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xr:revisionPtr revIDLastSave="0" documentId="13_ncr:1_{78EA6785-767F-4468-BA11-385F13CBB370}" xr6:coauthVersionLast="43" xr6:coauthVersionMax="43" xr10:uidLastSave="{00000000-0000-0000-0000-000000000000}"/>
  <bookViews>
    <workbookView xWindow="-120" yWindow="-120" windowWidth="20730" windowHeight="11160" tabRatio="690" activeTab="4" xr2:uid="{83CA46EE-DDE8-4A7B-B21A-67FDB88BD6A5}"/>
  </bookViews>
  <sheets>
    <sheet name="DashBoard" sheetId="1" r:id="rId1"/>
    <sheet name="AddTask" sheetId="2" r:id="rId2"/>
    <sheet name="DataBase" sheetId="3" state="hidden" r:id="rId3"/>
    <sheet name="RaulDataBank" sheetId="9" r:id="rId4"/>
    <sheet name="Raul" sheetId="4" r:id="rId5"/>
    <sheet name="FernandoDataBank" sheetId="10" state="hidden" r:id="rId6"/>
    <sheet name="Fernando" sheetId="5" r:id="rId7"/>
    <sheet name="MárcioDataBank" sheetId="11" state="hidden" r:id="rId8"/>
    <sheet name="Márcio" sheetId="6" r:id="rId9"/>
    <sheet name="DouglasDataBank" sheetId="12" state="hidden" r:id="rId10"/>
    <sheet name="Douglas" sheetId="7" r:id="rId11"/>
    <sheet name="FúlvioDataBank" sheetId="13" state="hidden" r:id="rId12"/>
    <sheet name="Fúlvio" sheetId="8" r:id="rId13"/>
    <sheet name="Suggestion" sheetId="14" r:id="rId14"/>
  </sheets>
  <calcPr calcId="181029"/>
  <customWorkbookViews>
    <customWorkbookView name="Pereira, Raul - Modo de exibição pessoal" guid="{052A0BE2-F46A-40A2-94AF-E8058C5FF2AC}" autoUpdate="1" mergeInterval="5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4" i="4" l="1"/>
  <c r="R17" i="4"/>
  <c r="R11" i="4"/>
  <c r="S12" i="3" l="1"/>
  <c r="O12" i="3"/>
  <c r="K12" i="3"/>
  <c r="G12" i="3"/>
  <c r="C12" i="3"/>
  <c r="T18" i="1"/>
  <c r="T16" i="1"/>
  <c r="T14" i="1"/>
  <c r="R11" i="7"/>
  <c r="R14" i="7"/>
  <c r="R17" i="7"/>
  <c r="R20" i="7"/>
  <c r="R23" i="7"/>
  <c r="R26" i="7"/>
  <c r="R29" i="7"/>
  <c r="R32" i="7"/>
  <c r="R35" i="7"/>
  <c r="R38" i="7"/>
  <c r="R41" i="7"/>
  <c r="R44" i="7"/>
  <c r="R47" i="7"/>
  <c r="R50" i="7"/>
  <c r="R53" i="7"/>
  <c r="R56" i="7"/>
  <c r="R59" i="7"/>
  <c r="R62" i="7"/>
  <c r="R65" i="7"/>
  <c r="R68" i="7"/>
  <c r="R71" i="7"/>
  <c r="R74" i="7"/>
  <c r="R77" i="7"/>
  <c r="R80" i="7"/>
  <c r="R83" i="7"/>
  <c r="R86" i="7"/>
  <c r="R89" i="7"/>
  <c r="R92" i="7"/>
  <c r="R95" i="7"/>
  <c r="R98" i="7"/>
  <c r="P16" i="1"/>
  <c r="P14" i="1"/>
  <c r="L18" i="1"/>
  <c r="L16" i="1"/>
  <c r="L14" i="1"/>
  <c r="H18" i="1"/>
  <c r="H16" i="1"/>
  <c r="H14" i="1"/>
  <c r="G11" i="3"/>
  <c r="D18" i="1"/>
  <c r="D16" i="1"/>
  <c r="R20" i="4"/>
  <c r="R23" i="4"/>
  <c r="R26" i="4"/>
  <c r="R29" i="4"/>
  <c r="R32" i="4"/>
  <c r="R35" i="4"/>
  <c r="R38" i="4"/>
  <c r="R41" i="4"/>
  <c r="R44" i="4"/>
  <c r="R47" i="4"/>
  <c r="R50" i="4"/>
  <c r="R53" i="4"/>
  <c r="R56" i="4"/>
  <c r="R59" i="4"/>
  <c r="R62" i="4"/>
  <c r="R65" i="4"/>
  <c r="R68" i="4"/>
  <c r="R71" i="4"/>
  <c r="R74" i="4"/>
  <c r="R77" i="4"/>
  <c r="R80" i="4"/>
  <c r="R83" i="4"/>
  <c r="R86" i="4"/>
  <c r="R89" i="4"/>
  <c r="R92" i="4"/>
  <c r="R95" i="4"/>
  <c r="R98" i="4"/>
  <c r="D14" i="1"/>
  <c r="C11" i="3"/>
  <c r="C13" i="3"/>
  <c r="S11" i="3"/>
  <c r="O13" i="3"/>
  <c r="O11" i="3"/>
  <c r="P13" i="3"/>
  <c r="P12" i="3"/>
  <c r="P11" i="3"/>
  <c r="K13" i="3"/>
  <c r="K11" i="3"/>
  <c r="L13" i="3"/>
  <c r="L12" i="3"/>
  <c r="L11" i="3"/>
  <c r="G13" i="3"/>
  <c r="H13" i="3"/>
  <c r="H12" i="3"/>
  <c r="H11" i="3"/>
  <c r="R98" i="8"/>
  <c r="R95" i="8"/>
  <c r="R92" i="8"/>
  <c r="R89" i="8"/>
  <c r="R86" i="8"/>
  <c r="R83" i="8"/>
  <c r="R80" i="8"/>
  <c r="R77" i="8"/>
  <c r="R74" i="8"/>
  <c r="R71" i="8"/>
  <c r="R68" i="8"/>
  <c r="R65" i="8"/>
  <c r="R62" i="8"/>
  <c r="R59" i="8"/>
  <c r="R56" i="8"/>
  <c r="R53" i="8"/>
  <c r="R50" i="8"/>
  <c r="R47" i="8"/>
  <c r="R44" i="8"/>
  <c r="R41" i="8"/>
  <c r="R38" i="8"/>
  <c r="R35" i="8"/>
  <c r="R32" i="8"/>
  <c r="R29" i="8"/>
  <c r="R26" i="8"/>
  <c r="R23" i="8"/>
  <c r="R20" i="8"/>
  <c r="R17" i="8"/>
  <c r="R14" i="8"/>
  <c r="R11" i="8"/>
  <c r="R98" i="6"/>
  <c r="R95" i="6"/>
  <c r="R92" i="6"/>
  <c r="R89" i="6"/>
  <c r="R86" i="6"/>
  <c r="R83" i="6"/>
  <c r="R80" i="6"/>
  <c r="R77" i="6"/>
  <c r="R74" i="6"/>
  <c r="R71" i="6"/>
  <c r="R68" i="6"/>
  <c r="R65" i="6"/>
  <c r="R62" i="6"/>
  <c r="R59" i="6"/>
  <c r="R56" i="6"/>
  <c r="R53" i="6"/>
  <c r="R50" i="6"/>
  <c r="R47" i="6"/>
  <c r="R44" i="6"/>
  <c r="R41" i="6"/>
  <c r="R38" i="6"/>
  <c r="R35" i="6"/>
  <c r="R32" i="6"/>
  <c r="R29" i="6"/>
  <c r="R26" i="6"/>
  <c r="R23" i="6"/>
  <c r="R20" i="6"/>
  <c r="R17" i="6"/>
  <c r="R14" i="6"/>
  <c r="R11" i="6"/>
  <c r="R98" i="5"/>
  <c r="R95" i="5"/>
  <c r="R92" i="5"/>
  <c r="R89" i="5"/>
  <c r="R86" i="5"/>
  <c r="R83" i="5"/>
  <c r="R80" i="5"/>
  <c r="R77" i="5"/>
  <c r="R74" i="5"/>
  <c r="R71" i="5"/>
  <c r="R68" i="5"/>
  <c r="R65" i="5"/>
  <c r="R62" i="5"/>
  <c r="R59" i="5"/>
  <c r="R56" i="5"/>
  <c r="R53" i="5"/>
  <c r="R50" i="5"/>
  <c r="R47" i="5"/>
  <c r="R44" i="5"/>
  <c r="R41" i="5"/>
  <c r="R38" i="5"/>
  <c r="R35" i="5"/>
  <c r="R32" i="5"/>
  <c r="R29" i="5"/>
  <c r="R26" i="5"/>
  <c r="R23" i="5"/>
  <c r="R20" i="5"/>
  <c r="R17" i="5"/>
  <c r="R14" i="5"/>
  <c r="R11" i="5"/>
  <c r="D11" i="3" l="1"/>
  <c r="S15" i="3"/>
  <c r="D13" i="3"/>
  <c r="P18" i="1"/>
  <c r="D12" i="3"/>
  <c r="S13" i="3"/>
  <c r="T13" i="3" s="1"/>
  <c r="C16" i="3"/>
  <c r="G16" i="3"/>
  <c r="K15" i="3"/>
  <c r="C15" i="3"/>
  <c r="O15" i="3"/>
  <c r="O16" i="3"/>
  <c r="S16" i="3"/>
  <c r="K16" i="3"/>
  <c r="G15" i="3"/>
  <c r="T12" i="3" l="1"/>
  <c r="T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____________________Status_____________</author>
    <author>_____________________________Status_________________</author>
  </authors>
  <commentList>
    <comment ref="S6" authorId="0" shapeId="0" xr:uid="{255BC16A-B798-43F0-9D50-0A465A70810F}">
      <text>
        <r>
          <rPr>
            <b/>
            <sz val="9"/>
            <color indexed="81"/>
            <rFont val="Segoe UI"/>
            <family val="2"/>
          </rPr>
          <t>____________________Status_____________:</t>
        </r>
        <r>
          <rPr>
            <sz val="9"/>
            <color indexed="81"/>
            <rFont val="Segoe UI"/>
            <family val="2"/>
          </rPr>
          <t xml:space="preserve">
Prgre</t>
        </r>
      </text>
    </comment>
    <comment ref="S9" authorId="0" shapeId="0" xr:uid="{AE921B68-55B7-4D9D-868B-E273A9E77601}">
      <text>
        <r>
          <rPr>
            <b/>
            <sz val="9"/>
            <color indexed="81"/>
            <rFont val="Segoe UI"/>
            <family val="2"/>
          </rPr>
          <t>____________________Status_____________:</t>
        </r>
        <r>
          <rPr>
            <sz val="9"/>
            <color indexed="81"/>
            <rFont val="Segoe UI"/>
            <family val="2"/>
          </rPr>
          <t xml:space="preserve">
Prgre</t>
        </r>
      </text>
    </comment>
    <comment ref="P12" authorId="1" shapeId="0" xr:uid="{CEE8FC12-7311-4AC7-B76B-D9B814494CB2}">
      <text>
        <r>
          <rPr>
            <b/>
            <sz val="9"/>
            <color indexed="81"/>
            <rFont val="Segoe UI"/>
            <family val="2"/>
          </rPr>
          <t>_____________________________Status_________________: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15" authorId="0" shapeId="0" xr:uid="{7306178D-93F4-412C-A5C4-76659F6D419F}">
      <text>
        <r>
          <rPr>
            <b/>
            <sz val="9"/>
            <color indexed="81"/>
            <rFont val="Segoe UI"/>
            <family val="2"/>
          </rPr>
          <t>____________________Status_____________:</t>
        </r>
        <r>
          <rPr>
            <sz val="9"/>
            <color indexed="81"/>
            <rFont val="Segoe UI"/>
            <family val="2"/>
          </rPr>
          <t xml:space="preserve">
Prgre</t>
        </r>
      </text>
    </comment>
    <comment ref="P15" authorId="1" shapeId="0" xr:uid="{3E1E516E-7017-47BB-BEE1-B0B23BB7996A}">
      <text>
        <r>
          <rPr>
            <sz val="9"/>
            <color indexed="81"/>
            <rFont val="Segoe UI"/>
            <family val="2"/>
          </rPr>
          <t>jkg,jkb,jkvmjcymr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____________________Status_____________</author>
    <author>_____________________________Status_________________</author>
  </authors>
  <commentList>
    <comment ref="B11" authorId="0" shapeId="0" xr:uid="{0F05C6A5-0252-4BD6-B2B0-82A284333657}">
      <text>
        <r>
          <rPr>
            <b/>
            <sz val="9"/>
            <color indexed="81"/>
            <rFont val="Segoe UI"/>
            <family val="2"/>
          </rPr>
          <t>____________________Status_____________:</t>
        </r>
        <r>
          <rPr>
            <sz val="9"/>
            <color indexed="81"/>
            <rFont val="Segoe UI"/>
            <family val="2"/>
          </rPr>
          <t xml:space="preserve">
Prgre</t>
        </r>
      </text>
    </comment>
    <comment ref="P11" authorId="1" shapeId="0" xr:uid="{15A1FA3A-E91D-4C56-9134-7BE0C6A50FDC}">
      <text/>
    </comment>
    <comment ref="P14" authorId="1" shapeId="0" xr:uid="{0D269BFD-309F-42AF-8D64-49053937C300}">
      <text/>
    </comment>
    <comment ref="P23" authorId="1" shapeId="0" xr:uid="{2EBFE262-A9C2-48DC-B4C4-88114FB8EDEF}">
      <text>
        <r>
          <rPr>
            <sz val="9"/>
            <color indexed="81"/>
            <rFont val="Segoe UI"/>
            <family val="2"/>
          </rPr>
          <t>ryhrehryh</t>
        </r>
      </text>
    </comment>
    <comment ref="P32" authorId="1" shapeId="0" xr:uid="{0782F651-9A36-4F1F-91C6-057887743E8D}">
      <text/>
    </comment>
  </commentList>
</comments>
</file>

<file path=xl/sharedStrings.xml><?xml version="1.0" encoding="utf-8"?>
<sst xmlns="http://schemas.openxmlformats.org/spreadsheetml/2006/main" count="238" uniqueCount="61">
  <si>
    <t>Tarefa</t>
  </si>
  <si>
    <t>Descrição Detalhada</t>
  </si>
  <si>
    <t>Dead Line</t>
  </si>
  <si>
    <t>Time</t>
  </si>
  <si>
    <t>Raul</t>
  </si>
  <si>
    <t>Fernando</t>
  </si>
  <si>
    <t>Márcio</t>
  </si>
  <si>
    <t>Douglas</t>
  </si>
  <si>
    <t>Fúlvio</t>
  </si>
  <si>
    <t>Atividade</t>
  </si>
  <si>
    <t>Detalhamento</t>
  </si>
  <si>
    <t>Início</t>
  </si>
  <si>
    <t>Fim</t>
  </si>
  <si>
    <t>Prioridade</t>
  </si>
  <si>
    <t>Status</t>
  </si>
  <si>
    <t>Membros</t>
  </si>
  <si>
    <t xml:space="preserve">Nome </t>
  </si>
  <si>
    <t>Baixa</t>
  </si>
  <si>
    <t>Média</t>
  </si>
  <si>
    <t>Alta</t>
  </si>
  <si>
    <t>Urgente</t>
  </si>
  <si>
    <t>Por Fazer</t>
  </si>
  <si>
    <t>Concluída</t>
  </si>
  <si>
    <t>Em progresso</t>
  </si>
  <si>
    <t>Atrasadas</t>
  </si>
  <si>
    <t>4y6y</t>
  </si>
  <si>
    <t>46y5</t>
  </si>
  <si>
    <t>Hoje</t>
  </si>
  <si>
    <t>HKBKB</t>
  </si>
  <si>
    <t>JKLBK</t>
  </si>
  <si>
    <t>RH</t>
  </si>
  <si>
    <t>UHRYT6</t>
  </si>
  <si>
    <t>ky</t>
  </si>
  <si>
    <t>ykuk</t>
  </si>
  <si>
    <t>thrth</t>
  </si>
  <si>
    <t>hrhr</t>
  </si>
  <si>
    <t>vre</t>
  </si>
  <si>
    <t>grw</t>
  </si>
  <si>
    <t>rtgy</t>
  </si>
  <si>
    <t>rth</t>
  </si>
  <si>
    <t>r6yh</t>
  </si>
  <si>
    <t>hrth</t>
  </si>
  <si>
    <t>etg</t>
  </si>
  <si>
    <t>regre</t>
  </si>
  <si>
    <t>gerg</t>
  </si>
  <si>
    <t>er</t>
  </si>
  <si>
    <t>rge</t>
  </si>
  <si>
    <t>reger</t>
  </si>
  <si>
    <t>erg</t>
  </si>
  <si>
    <t>ergreg</t>
  </si>
  <si>
    <t>rehger</t>
  </si>
  <si>
    <t>regreg</t>
  </si>
  <si>
    <t>jfj</t>
  </si>
  <si>
    <t>fgjfg</t>
  </si>
  <si>
    <t>grg</t>
  </si>
  <si>
    <t>grgr</t>
  </si>
  <si>
    <t>1-Inserir data de início/término real</t>
  </si>
  <si>
    <t>2-Comentários do status</t>
  </si>
  <si>
    <t>3-Análise mensal de atividade realizadas/esperadas</t>
  </si>
  <si>
    <t>_________________________Satus________________________</t>
  </si>
  <si>
    <t>jlnç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</si>
</sst>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/>
      <right/>
      <top style="thin">
        <color theme="9" tint="-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499984740745262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1" tint="0.499984740745262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131">
    <xf numFmtId="0" fontId="0" fillId="0" borderId="0" xfId="0"/>
    <xf numFmtId="0" fontId="1" fillId="3" borderId="0" xfId="0" applyFont="1" applyFill="1" applyAlignment="1"/>
    <xf numFmtId="0" fontId="0" fillId="3" borderId="0" xfId="0" applyFill="1" applyAlignment="1"/>
    <xf numFmtId="0" fontId="0" fillId="3" borderId="0" xfId="0" applyFill="1"/>
    <xf numFmtId="0" fontId="1" fillId="2" borderId="1" xfId="0" applyFont="1" applyFill="1" applyBorder="1"/>
    <xf numFmtId="0" fontId="1" fillId="2" borderId="0" xfId="0" applyFont="1" applyFill="1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0" xfId="0" applyFill="1" applyBorder="1"/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0" fillId="3" borderId="0" xfId="0" applyFill="1" applyBorder="1"/>
    <xf numFmtId="0" fontId="0" fillId="0" borderId="0" xfId="0" applyAlignment="1"/>
    <xf numFmtId="14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14" xfId="0" applyBorder="1"/>
    <xf numFmtId="0" fontId="0" fillId="0" borderId="15" xfId="0" applyBorder="1"/>
    <xf numFmtId="0" fontId="0" fillId="0" borderId="16" xfId="0" applyFill="1" applyBorder="1"/>
    <xf numFmtId="0" fontId="4" fillId="0" borderId="0" xfId="0" applyFont="1" applyBorder="1" applyAlignment="1"/>
    <xf numFmtId="0" fontId="0" fillId="0" borderId="0" xfId="0" applyAlignment="1">
      <alignment horizontal="left"/>
    </xf>
    <xf numFmtId="0" fontId="0" fillId="0" borderId="0" xfId="0" applyBorder="1"/>
    <xf numFmtId="9" fontId="0" fillId="0" borderId="0" xfId="1" applyFont="1" applyBorder="1"/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10" fillId="0" borderId="0" xfId="0" applyFont="1" applyAlignment="1">
      <alignment horizontal="left" vertical="center"/>
    </xf>
    <xf numFmtId="0" fontId="10" fillId="0" borderId="0" xfId="0" applyFont="1"/>
    <xf numFmtId="0" fontId="0" fillId="0" borderId="0" xfId="0" applyFill="1"/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14" fontId="0" fillId="0" borderId="21" xfId="0" applyNumberFormat="1" applyBorder="1" applyAlignment="1" applyProtection="1">
      <alignment horizontal="center" vertical="center"/>
      <protection locked="0"/>
    </xf>
    <xf numFmtId="14" fontId="0" fillId="0" borderId="22" xfId="0" applyNumberFormat="1" applyBorder="1" applyAlignment="1" applyProtection="1">
      <alignment horizontal="center" vertical="center"/>
      <protection locked="0"/>
    </xf>
    <xf numFmtId="14" fontId="0" fillId="0" borderId="19" xfId="0" applyNumberFormat="1" applyBorder="1" applyAlignment="1" applyProtection="1">
      <alignment horizontal="center" vertical="center"/>
      <protection locked="0"/>
    </xf>
    <xf numFmtId="14" fontId="0" fillId="0" borderId="20" xfId="0" applyNumberFormat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0" fillId="0" borderId="21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20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horizontal="left" vertical="top" wrapText="1"/>
      <protection locked="0"/>
    </xf>
    <xf numFmtId="0" fontId="0" fillId="0" borderId="16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6" fillId="0" borderId="21" xfId="0" applyFont="1" applyBorder="1" applyAlignment="1" applyProtection="1">
      <alignment horizontal="left" vertical="top"/>
      <protection locked="0"/>
    </xf>
    <xf numFmtId="0" fontId="6" fillId="0" borderId="22" xfId="0" applyFont="1" applyBorder="1" applyAlignment="1" applyProtection="1">
      <alignment horizontal="left" vertical="top"/>
      <protection locked="0"/>
    </xf>
    <xf numFmtId="0" fontId="6" fillId="0" borderId="19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left" vertical="top"/>
      <protection locked="0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4" xfId="0" applyNumberFormat="1" applyFill="1" applyBorder="1" applyAlignment="1">
      <alignment horizontal="center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10" xfId="0" applyNumberFormat="1" applyFill="1" applyBorder="1" applyAlignment="1">
      <alignment horizontal="center" vertical="center"/>
    </xf>
    <xf numFmtId="14" fontId="0" fillId="0" borderId="11" xfId="0" applyNumberFormat="1" applyFill="1" applyBorder="1" applyAlignment="1">
      <alignment horizontal="center" vertical="center"/>
    </xf>
    <xf numFmtId="14" fontId="0" fillId="0" borderId="7" xfId="0" applyNumberFormat="1" applyFill="1" applyBorder="1" applyAlignment="1">
      <alignment horizontal="center" vertical="center"/>
    </xf>
    <xf numFmtId="14" fontId="0" fillId="0" borderId="9" xfId="0" applyNumberFormat="1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4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left" vertical="top" wrapText="1"/>
    </xf>
    <xf numFmtId="0" fontId="0" fillId="0" borderId="5" xfId="0" applyFill="1" applyBorder="1" applyAlignment="1">
      <alignment horizontal="left" vertical="top" wrapText="1"/>
    </xf>
    <xf numFmtId="0" fontId="0" fillId="0" borderId="6" xfId="0" applyFill="1" applyBorder="1" applyAlignment="1">
      <alignment horizontal="left" vertical="top" wrapText="1"/>
    </xf>
    <xf numFmtId="0" fontId="0" fillId="0" borderId="10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11" xfId="0" applyFill="1" applyBorder="1" applyAlignment="1">
      <alignment horizontal="left" vertical="top" wrapText="1"/>
    </xf>
    <xf numFmtId="0" fontId="0" fillId="0" borderId="7" xfId="0" applyFill="1" applyBorder="1" applyAlignment="1">
      <alignment horizontal="left" vertical="top" wrapText="1"/>
    </xf>
    <xf numFmtId="0" fontId="0" fillId="0" borderId="8" xfId="0" applyFill="1" applyBorder="1" applyAlignment="1">
      <alignment horizontal="left" vertical="top" wrapText="1"/>
    </xf>
    <xf numFmtId="0" fontId="0" fillId="0" borderId="9" xfId="0" applyFill="1" applyBorder="1" applyAlignment="1">
      <alignment horizontal="left" vertical="top" wrapText="1"/>
    </xf>
    <xf numFmtId="0" fontId="0" fillId="3" borderId="0" xfId="0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415"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2" defaultPivotStyle="PivotStyleLight16"/>
  <colors>
    <mruColors>
      <color rgb="FFE7FDE9"/>
      <color rgb="FFCCFFCC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A9-4AEC-88B3-343F229EEC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A9-4AEC-88B3-343F229EEC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A9-4AEC-88B3-343F229EEC3D}"/>
              </c:ext>
            </c:extLst>
          </c:dPt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A9-4AEC-88B3-343F229EE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DataBase!$C$10</c:f>
              <c:strCache>
                <c:ptCount val="1"/>
                <c:pt idx="0">
                  <c:v>Raul</c:v>
                </c:pt>
              </c:strCache>
            </c:strRef>
          </c:tx>
          <c:cat>
            <c:strRef>
              <c:f>DataBase!$B$11:$B$13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DataBase!$C$11:$C$13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D3F-4A93-8F8B-043742A2E244}"/>
            </c:ext>
          </c:extLst>
        </c:ser>
        <c:ser>
          <c:idx val="2"/>
          <c:order val="1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D3F-4A93-8F8B-043742A2E244}"/>
            </c:ext>
          </c:extLst>
        </c:ser>
        <c:ser>
          <c:idx val="0"/>
          <c:order val="2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D3F-4A93-8F8B-043742A2E2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DD3F-4A93-8F8B-043742A2E2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DD3F-4A93-8F8B-043742A2E244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D3F-4A93-8F8B-043742A2E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5.7708730158730161E-2"/>
          <c:y val="0.61106000000000005"/>
          <c:w val="0.87450317460317462"/>
          <c:h val="0.346606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DataBase!$O$10</c:f>
              <c:strCache>
                <c:ptCount val="1"/>
                <c:pt idx="0">
                  <c:v>Márcio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CC-4C8B-A6DC-BE2D80A3C7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CC-4C8B-A6DC-BE2D80A3C7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CC-4C8B-A6DC-BE2D80A3C77C}"/>
              </c:ext>
            </c:extLst>
          </c:dPt>
          <c:cat>
            <c:strRef>
              <c:f>DataBase!$N$11:$N$13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DataBase!$O$11:$O$13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CC-4C8B-A6DC-BE2D80A3C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63-4144-B46A-19705A55E1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63-4144-B46A-19705A55E1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63-4144-B46A-19705A55E1E2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63-4144-B46A-19705A55E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3A-488B-AC65-8829F75207F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3A-488B-AC65-8829F75207F8}"/>
              </c:ext>
            </c:extLst>
          </c:dPt>
          <c:cat>
            <c:strRef>
              <c:f>DataBase!$F$15:$F$16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DataBase!$G$15:$G$16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3A-488B-AC65-8829F7520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59-4622-BC70-C7C8FBC30B1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59-4622-BC70-C7C8FBC30B18}"/>
              </c:ext>
            </c:extLst>
          </c:dPt>
          <c:cat>
            <c:strRef>
              <c:f>DataBase!$J$15:$J$16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DataBase!$K$15:$K$16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59-4622-BC70-C7C8FBC30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315-4092-974E-2EDB34A0D68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315-4092-974E-2EDB34A0D687}"/>
              </c:ext>
            </c:extLst>
          </c:dPt>
          <c:cat>
            <c:strRef>
              <c:f>DataBase!$R$15:$R$16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DataBase!$S$15:$S$16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5-4092-974E-2EDB34A0D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95-4933-9FB7-282D803D71FB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95-4933-9FB7-282D803D71FB}"/>
              </c:ext>
            </c:extLst>
          </c:dPt>
          <c:cat>
            <c:strRef>
              <c:f>DataBase!$N$15:$N$16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DataBase!$O$15:$O$16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95-4933-9FB7-282D803D7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75-4FDB-8776-0BECC955DBF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75-4FDB-8776-0BECC955DBF7}"/>
              </c:ext>
            </c:extLst>
          </c:dPt>
          <c:dLbls>
            <c:delete val="1"/>
          </c:dLbls>
          <c:cat>
            <c:strRef>
              <c:f>DataBase!$B$15:$B$16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DataBase!$C$15:$C$16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75-4FDB-8776-0BECC955DB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DataBase!$K$10</c:f>
              <c:strCache>
                <c:ptCount val="1"/>
                <c:pt idx="0">
                  <c:v>Fúlvio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23-47E9-9514-44B78FEA70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23-47E9-9514-44B78FEA70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23-47E9-9514-44B78FEA704D}"/>
              </c:ext>
            </c:extLst>
          </c:dPt>
          <c:cat>
            <c:strRef>
              <c:f>DataBase!$J$11:$J$13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DataBase!$K$11:$K$13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23-47E9-9514-44B78FEA7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10.xml"/><Relationship Id="rId3" Type="http://schemas.openxmlformats.org/officeDocument/2006/relationships/hyperlink" Target="#AddTask!A1"/><Relationship Id="rId7" Type="http://schemas.openxmlformats.org/officeDocument/2006/relationships/chart" Target="../charts/chart4.xml"/><Relationship Id="rId12" Type="http://schemas.openxmlformats.org/officeDocument/2006/relationships/chart" Target="../charts/chart9.xml"/><Relationship Id="rId2" Type="http://schemas.openxmlformats.org/officeDocument/2006/relationships/hyperlink" Target="#Raul!A1"/><Relationship Id="rId1" Type="http://schemas.openxmlformats.org/officeDocument/2006/relationships/image" Target="../media/image1.gif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chart" Target="../charts/chart2.xml"/><Relationship Id="rId10" Type="http://schemas.openxmlformats.org/officeDocument/2006/relationships/chart" Target="../charts/chart7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Raul!A1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F&#250;lvio!A1"/><Relationship Id="rId5" Type="http://schemas.openxmlformats.org/officeDocument/2006/relationships/hyperlink" Target="#Douglas!A1"/><Relationship Id="rId4" Type="http://schemas.openxmlformats.org/officeDocument/2006/relationships/hyperlink" Target="#M&#225;rcio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Fernando!A1"/><Relationship Id="rId5" Type="http://schemas.openxmlformats.org/officeDocument/2006/relationships/hyperlink" Target="#Raul!A1"/><Relationship Id="rId4" Type="http://schemas.openxmlformats.org/officeDocument/2006/relationships/hyperlink" Target="#F&#250;lvio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ouglas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M&#225;rcio!A1"/><Relationship Id="rId5" Type="http://schemas.openxmlformats.org/officeDocument/2006/relationships/hyperlink" Target="#Fernando!A1"/><Relationship Id="rId4" Type="http://schemas.openxmlformats.org/officeDocument/2006/relationships/hyperlink" Target="#Rau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8</xdr:col>
      <xdr:colOff>38100</xdr:colOff>
      <xdr:row>0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14900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384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</a:t>
          </a:r>
          <a:r>
            <a:rPr lang="pt-BR" sz="1300" b="1" baseline="0">
              <a:latin typeface="Calibri "/>
            </a:rPr>
            <a:t> Tarefa</a:t>
          </a:r>
          <a:endParaRPr lang="pt-BR" sz="1300" b="1">
            <a:latin typeface="Calibri "/>
          </a:endParaRPr>
        </a:p>
      </xdr:txBody>
    </xdr:sp>
    <xdr:clientData/>
  </xdr:twoCellAnchor>
  <xdr:twoCellAnchor>
    <xdr:from>
      <xdr:col>4</xdr:col>
      <xdr:colOff>178490</xdr:colOff>
      <xdr:row>12</xdr:row>
      <xdr:rowOff>95809</xdr:rowOff>
    </xdr:from>
    <xdr:to>
      <xdr:col>6</xdr:col>
      <xdr:colOff>219290</xdr:colOff>
      <xdr:row>21</xdr:row>
      <xdr:rowOff>181309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150720</xdr:colOff>
      <xdr:row>12</xdr:row>
      <xdr:rowOff>95809</xdr:rowOff>
    </xdr:from>
    <xdr:to>
      <xdr:col>2</xdr:col>
      <xdr:colOff>191520</xdr:colOff>
      <xdr:row>21</xdr:row>
      <xdr:rowOff>181309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104214</xdr:colOff>
      <xdr:row>12</xdr:row>
      <xdr:rowOff>95809</xdr:rowOff>
    </xdr:from>
    <xdr:to>
      <xdr:col>18</xdr:col>
      <xdr:colOff>145014</xdr:colOff>
      <xdr:row>21</xdr:row>
      <xdr:rowOff>181309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233959</xdr:colOff>
      <xdr:row>12</xdr:row>
      <xdr:rowOff>95809</xdr:rowOff>
    </xdr:from>
    <xdr:to>
      <xdr:col>14</xdr:col>
      <xdr:colOff>274759</xdr:colOff>
      <xdr:row>21</xdr:row>
      <xdr:rowOff>181309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178490</xdr:colOff>
      <xdr:row>22</xdr:row>
      <xdr:rowOff>66675</xdr:rowOff>
    </xdr:from>
    <xdr:to>
      <xdr:col>8</xdr:col>
      <xdr:colOff>62090</xdr:colOff>
      <xdr:row>31</xdr:row>
      <xdr:rowOff>152175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204472</xdr:colOff>
      <xdr:row>22</xdr:row>
      <xdr:rowOff>66675</xdr:rowOff>
    </xdr:from>
    <xdr:to>
      <xdr:col>12</xdr:col>
      <xdr:colOff>88072</xdr:colOff>
      <xdr:row>31</xdr:row>
      <xdr:rowOff>152175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233959</xdr:colOff>
      <xdr:row>22</xdr:row>
      <xdr:rowOff>66675</xdr:rowOff>
    </xdr:from>
    <xdr:to>
      <xdr:col>15</xdr:col>
      <xdr:colOff>727159</xdr:colOff>
      <xdr:row>31</xdr:row>
      <xdr:rowOff>152175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609039</xdr:colOff>
      <xdr:row>22</xdr:row>
      <xdr:rowOff>66675</xdr:rowOff>
    </xdr:from>
    <xdr:to>
      <xdr:col>19</xdr:col>
      <xdr:colOff>492639</xdr:colOff>
      <xdr:row>31</xdr:row>
      <xdr:rowOff>152175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150720</xdr:colOff>
      <xdr:row>22</xdr:row>
      <xdr:rowOff>66675</xdr:rowOff>
    </xdr:from>
    <xdr:to>
      <xdr:col>4</xdr:col>
      <xdr:colOff>34320</xdr:colOff>
      <xdr:row>31</xdr:row>
      <xdr:rowOff>152175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152400</xdr:colOff>
      <xdr:row>10</xdr:row>
      <xdr:rowOff>211231</xdr:rowOff>
    </xdr:from>
    <xdr:to>
      <xdr:col>4</xdr:col>
      <xdr:colOff>36000</xdr:colOff>
      <xdr:row>12</xdr:row>
      <xdr:rowOff>42031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2400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Raul</a:t>
          </a:r>
        </a:p>
      </xdr:txBody>
    </xdr:sp>
    <xdr:clientData/>
  </xdr:twoCellAnchor>
  <xdr:twoCellAnchor>
    <xdr:from>
      <xdr:col>4</xdr:col>
      <xdr:colOff>177613</xdr:colOff>
      <xdr:row>10</xdr:row>
      <xdr:rowOff>211231</xdr:rowOff>
    </xdr:from>
    <xdr:to>
      <xdr:col>8</xdr:col>
      <xdr:colOff>61213</xdr:colOff>
      <xdr:row>12</xdr:row>
      <xdr:rowOff>42031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598084" y="1981760"/>
          <a:ext cx="2304070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Fernando</a:t>
          </a:r>
        </a:p>
      </xdr:txBody>
    </xdr:sp>
    <xdr:clientData/>
  </xdr:twoCellAnchor>
  <xdr:twoCellAnchor>
    <xdr:from>
      <xdr:col>8</xdr:col>
      <xdr:colOff>209550</xdr:colOff>
      <xdr:row>10</xdr:row>
      <xdr:rowOff>211231</xdr:rowOff>
    </xdr:from>
    <xdr:to>
      <xdr:col>12</xdr:col>
      <xdr:colOff>93150</xdr:colOff>
      <xdr:row>12</xdr:row>
      <xdr:rowOff>42031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5050491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Fúlvio</a:t>
          </a:r>
        </a:p>
      </xdr:txBody>
    </xdr:sp>
    <xdr:clientData/>
  </xdr:twoCellAnchor>
  <xdr:twoCellAnchor>
    <xdr:from>
      <xdr:col>12</xdr:col>
      <xdr:colOff>225238</xdr:colOff>
      <xdr:row>10</xdr:row>
      <xdr:rowOff>211231</xdr:rowOff>
    </xdr:from>
    <xdr:to>
      <xdr:col>15</xdr:col>
      <xdr:colOff>718438</xdr:colOff>
      <xdr:row>12</xdr:row>
      <xdr:rowOff>42031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486650" y="1981760"/>
          <a:ext cx="2308553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Douglas</a:t>
          </a:r>
        </a:p>
      </xdr:txBody>
    </xdr:sp>
    <xdr:clientData/>
  </xdr:twoCellAnchor>
  <xdr:twoCellAnchor>
    <xdr:from>
      <xdr:col>16</xdr:col>
      <xdr:colOff>107016</xdr:colOff>
      <xdr:row>10</xdr:row>
      <xdr:rowOff>211231</xdr:rowOff>
    </xdr:from>
    <xdr:to>
      <xdr:col>19</xdr:col>
      <xdr:colOff>585088</xdr:colOff>
      <xdr:row>12</xdr:row>
      <xdr:rowOff>42031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860616" y="1982881"/>
          <a:ext cx="2306872" cy="2880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Márcio</a:t>
          </a:r>
        </a:p>
        <a:p>
          <a:pPr algn="ctr"/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>
    <xdr:from>
      <xdr:col>8</xdr:col>
      <xdr:colOff>209550</xdr:colOff>
      <xdr:row>12</xdr:row>
      <xdr:rowOff>95250</xdr:rowOff>
    </xdr:from>
    <xdr:to>
      <xdr:col>10</xdr:col>
      <xdr:colOff>250350</xdr:colOff>
      <xdr:row>21</xdr:row>
      <xdr:rowOff>180750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171450</xdr:colOff>
      <xdr:row>5</xdr:row>
      <xdr:rowOff>133350</xdr:rowOff>
    </xdr:from>
    <xdr:to>
      <xdr:col>19</xdr:col>
      <xdr:colOff>476250</xdr:colOff>
      <xdr:row>10</xdr:row>
      <xdr:rowOff>47625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71450" y="952500"/>
          <a:ext cx="12134850" cy="866775"/>
        </a:xfrm>
        <a:prstGeom prst="rect">
          <a:avLst/>
        </a:prstGeom>
        <a:solidFill>
          <a:srgbClr val="E7FDE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400">
              <a:solidFill>
                <a:schemeClr val="tx1"/>
              </a:solidFill>
            </a:rPr>
            <a:t>Estatística do</a:t>
          </a:r>
          <a:r>
            <a:rPr lang="pt-BR" sz="5400" baseline="0">
              <a:solidFill>
                <a:schemeClr val="tx1"/>
              </a:solidFill>
            </a:rPr>
            <a:t> Progresso</a:t>
          </a:r>
          <a:endParaRPr lang="pt-BR" sz="54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416029</xdr:colOff>
      <xdr:row>13</xdr:row>
      <xdr:rowOff>50910</xdr:rowOff>
    </xdr:from>
    <xdr:to>
      <xdr:col>2</xdr:col>
      <xdr:colOff>524029</xdr:colOff>
      <xdr:row>13</xdr:row>
      <xdr:rowOff>158910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635229" y="2472981"/>
          <a:ext cx="108000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15</xdr:row>
      <xdr:rowOff>49783</xdr:rowOff>
    </xdr:from>
    <xdr:to>
      <xdr:col>2</xdr:col>
      <xdr:colOff>524029</xdr:colOff>
      <xdr:row>15</xdr:row>
      <xdr:rowOff>157783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635229" y="2852854"/>
          <a:ext cx="108000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17</xdr:row>
      <xdr:rowOff>48655</xdr:rowOff>
    </xdr:from>
    <xdr:to>
      <xdr:col>2</xdr:col>
      <xdr:colOff>524029</xdr:colOff>
      <xdr:row>17</xdr:row>
      <xdr:rowOff>156655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635229" y="3232726"/>
          <a:ext cx="108000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13</xdr:row>
      <xdr:rowOff>55959</xdr:rowOff>
    </xdr:from>
    <xdr:to>
      <xdr:col>6</xdr:col>
      <xdr:colOff>521146</xdr:colOff>
      <xdr:row>13</xdr:row>
      <xdr:rowOff>163959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4073128" y="2475309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15</xdr:row>
      <xdr:rowOff>54832</xdr:rowOff>
    </xdr:from>
    <xdr:to>
      <xdr:col>6</xdr:col>
      <xdr:colOff>521146</xdr:colOff>
      <xdr:row>15</xdr:row>
      <xdr:rowOff>162832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4073128" y="2855182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17</xdr:row>
      <xdr:rowOff>53704</xdr:rowOff>
    </xdr:from>
    <xdr:to>
      <xdr:col>6</xdr:col>
      <xdr:colOff>521146</xdr:colOff>
      <xdr:row>17</xdr:row>
      <xdr:rowOff>161704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4073128" y="3235054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13</xdr:row>
      <xdr:rowOff>66675</xdr:rowOff>
    </xdr:from>
    <xdr:to>
      <xdr:col>10</xdr:col>
      <xdr:colOff>524718</xdr:colOff>
      <xdr:row>13</xdr:row>
      <xdr:rowOff>174675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6515100" y="2486025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15</xdr:row>
      <xdr:rowOff>65548</xdr:rowOff>
    </xdr:from>
    <xdr:to>
      <xdr:col>10</xdr:col>
      <xdr:colOff>524718</xdr:colOff>
      <xdr:row>15</xdr:row>
      <xdr:rowOff>173548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6515100" y="2865898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17</xdr:row>
      <xdr:rowOff>64420</xdr:rowOff>
    </xdr:from>
    <xdr:to>
      <xdr:col>10</xdr:col>
      <xdr:colOff>524718</xdr:colOff>
      <xdr:row>17</xdr:row>
      <xdr:rowOff>172420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515100" y="3245770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13</xdr:row>
      <xdr:rowOff>67865</xdr:rowOff>
    </xdr:from>
    <xdr:to>
      <xdr:col>14</xdr:col>
      <xdr:colOff>544958</xdr:colOff>
      <xdr:row>13</xdr:row>
      <xdr:rowOff>173483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2980910">
          <a:off x="8972549" y="2486024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15</xdr:row>
      <xdr:rowOff>66738</xdr:rowOff>
    </xdr:from>
    <xdr:to>
      <xdr:col>14</xdr:col>
      <xdr:colOff>544958</xdr:colOff>
      <xdr:row>15</xdr:row>
      <xdr:rowOff>172356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2980910">
          <a:off x="8972549" y="2865897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17</xdr:row>
      <xdr:rowOff>65610</xdr:rowOff>
    </xdr:from>
    <xdr:to>
      <xdr:col>14</xdr:col>
      <xdr:colOff>544958</xdr:colOff>
      <xdr:row>17</xdr:row>
      <xdr:rowOff>171228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2980910">
          <a:off x="8972549" y="3245769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13</xdr:row>
      <xdr:rowOff>57149</xdr:rowOff>
    </xdr:from>
    <xdr:to>
      <xdr:col>18</xdr:col>
      <xdr:colOff>517575</xdr:colOff>
      <xdr:row>13</xdr:row>
      <xdr:rowOff>162767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2980910">
          <a:off x="11383566" y="2475308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15</xdr:row>
      <xdr:rowOff>56022</xdr:rowOff>
    </xdr:from>
    <xdr:to>
      <xdr:col>18</xdr:col>
      <xdr:colOff>517575</xdr:colOff>
      <xdr:row>15</xdr:row>
      <xdr:rowOff>161640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2980910">
          <a:off x="11383566" y="2855181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17</xdr:row>
      <xdr:rowOff>54894</xdr:rowOff>
    </xdr:from>
    <xdr:to>
      <xdr:col>18</xdr:col>
      <xdr:colOff>517575</xdr:colOff>
      <xdr:row>17</xdr:row>
      <xdr:rowOff>160512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2980910">
          <a:off x="11383566" y="3235053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6</xdr:col>
      <xdr:colOff>9525</xdr:colOff>
      <xdr:row>3</xdr:row>
      <xdr:rowOff>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86025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20</xdr:row>
          <xdr:rowOff>28575</xdr:rowOff>
        </xdr:from>
        <xdr:to>
          <xdr:col>17</xdr:col>
          <xdr:colOff>590550</xdr:colOff>
          <xdr:row>21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9524</xdr:colOff>
      <xdr:row>0</xdr:row>
      <xdr:rowOff>0</xdr:rowOff>
    </xdr:from>
    <xdr:to>
      <xdr:col>5</xdr:col>
      <xdr:colOff>590549</xdr:colOff>
      <xdr:row>3</xdr:row>
      <xdr:rowOff>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447924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17</xdr:col>
      <xdr:colOff>40698</xdr:colOff>
      <xdr:row>3</xdr:row>
      <xdr:rowOff>0</xdr:rowOff>
    </xdr:from>
    <xdr:to>
      <xdr:col>18</xdr:col>
      <xdr:colOff>59747</xdr:colOff>
      <xdr:row>4</xdr:row>
      <xdr:rowOff>180975</xdr:rowOff>
    </xdr:to>
    <xdr:sp macro="[0]!TELAREDUZ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0403898" y="571500"/>
          <a:ext cx="628649" cy="238125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...</a:t>
          </a:r>
        </a:p>
      </xdr:txBody>
    </xdr:sp>
    <xdr:clientData/>
  </xdr:twoCellAnchor>
  <xdr:twoCellAnchor>
    <xdr:from>
      <xdr:col>19</xdr:col>
      <xdr:colOff>40697</xdr:colOff>
      <xdr:row>3</xdr:row>
      <xdr:rowOff>4330</xdr:rowOff>
    </xdr:from>
    <xdr:to>
      <xdr:col>20</xdr:col>
      <xdr:colOff>59748</xdr:colOff>
      <xdr:row>4</xdr:row>
      <xdr:rowOff>180976</xdr:rowOff>
    </xdr:to>
    <xdr:sp macro="[0]!TELAINTEIRA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1623097" y="575830"/>
          <a:ext cx="628651" cy="233796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..........</a:t>
          </a:r>
        </a:p>
      </xdr:txBody>
    </xdr:sp>
    <xdr:clientData/>
  </xdr:twoCellAnchor>
  <xdr:twoCellAnchor>
    <xdr:from>
      <xdr:col>9</xdr:col>
      <xdr:colOff>104775</xdr:colOff>
      <xdr:row>5</xdr:row>
      <xdr:rowOff>66676</xdr:rowOff>
    </xdr:from>
    <xdr:to>
      <xdr:col>12</xdr:col>
      <xdr:colOff>581025</xdr:colOff>
      <xdr:row>6</xdr:row>
      <xdr:rowOff>142876</xdr:rowOff>
    </xdr:to>
    <xdr:sp macro="[0]!Abrir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591175" y="885826"/>
          <a:ext cx="23050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Comentar</a:t>
          </a:r>
        </a:p>
      </xdr:txBody>
    </xdr:sp>
    <xdr:clientData/>
  </xdr:twoCellAnchor>
  <xdr:twoCellAnchor>
    <xdr:from>
      <xdr:col>13</xdr:col>
      <xdr:colOff>66675</xdr:colOff>
      <xdr:row>5</xdr:row>
      <xdr:rowOff>57150</xdr:rowOff>
    </xdr:from>
    <xdr:to>
      <xdr:col>14</xdr:col>
      <xdr:colOff>276225</xdr:colOff>
      <xdr:row>6</xdr:row>
      <xdr:rowOff>133350</xdr:rowOff>
    </xdr:to>
    <xdr:sp macro="[0]!Abrir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1A61C34-FD80-4477-809B-404A00CAD10A}"/>
            </a:ext>
          </a:extLst>
        </xdr:cNvPr>
        <xdr:cNvSpPr/>
      </xdr:nvSpPr>
      <xdr:spPr>
        <a:xfrm>
          <a:off x="7991475" y="876300"/>
          <a:ext cx="8191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Close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7" name="Retângulo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Doulas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DC1B3-0B42-4914-AA92-075555846317}">
  <sheetPr codeName="Planilha8"/>
  <dimension ref="A1:X18"/>
  <sheetViews>
    <sheetView showGridLines="0" showRowColHeaders="0" zoomScaleNormal="100" workbookViewId="0">
      <pane ySplit="5" topLeftCell="A6" activePane="bottomLeft" state="frozen"/>
      <selection pane="bottomLeft" sqref="A1:C3"/>
    </sheetView>
  </sheetViews>
  <sheetFormatPr defaultRowHeight="15" x14ac:dyDescent="0.25"/>
  <cols>
    <col min="16" max="16" width="9.140625" customWidth="1"/>
  </cols>
  <sheetData>
    <row r="1" spans="1:24" ht="15" customHeight="1" x14ac:dyDescent="0.25">
      <c r="A1" s="32"/>
      <c r="B1" s="32"/>
      <c r="C1" s="32"/>
      <c r="D1" s="5"/>
      <c r="E1" s="34"/>
      <c r="F1" s="34"/>
      <c r="G1" s="35"/>
      <c r="H1" s="3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2"/>
      <c r="B2" s="32"/>
      <c r="C2" s="32"/>
      <c r="D2" s="5"/>
      <c r="E2" s="34"/>
      <c r="F2" s="34"/>
      <c r="G2" s="35"/>
      <c r="H2" s="3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3"/>
      <c r="B3" s="33"/>
      <c r="C3" s="33"/>
      <c r="D3" s="4"/>
      <c r="E3" s="34"/>
      <c r="F3" s="34"/>
      <c r="G3" s="35"/>
      <c r="H3" s="36"/>
      <c r="I3" s="5"/>
      <c r="J3" s="5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3"/>
      <c r="F4" s="3"/>
      <c r="G4" s="11"/>
      <c r="H4" s="3"/>
      <c r="I4" s="11"/>
      <c r="J4" s="11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8" spans="1:24" ht="15" customHeight="1" x14ac:dyDescent="0.25"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12"/>
      <c r="V8" s="12"/>
    </row>
    <row r="9" spans="1:24" x14ac:dyDescent="0.25"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12"/>
      <c r="V9" s="12"/>
    </row>
    <row r="11" spans="1:24" ht="21" x14ac:dyDescent="0.35">
      <c r="A11" s="21"/>
      <c r="B11" s="21"/>
      <c r="C11" s="21"/>
      <c r="D11" s="21"/>
      <c r="E11" s="21"/>
    </row>
    <row r="14" spans="1:24" x14ac:dyDescent="0.25">
      <c r="D14" s="22">
        <f>COUNTIF(Raul!P11:Q100,"Por Fazer")</f>
        <v>0</v>
      </c>
      <c r="H14" s="22">
        <f>COUNTIF(Fernando!P11:Q100,"Por Fazer")</f>
        <v>0</v>
      </c>
      <c r="L14" s="22">
        <f>COUNTIF(Fúlvio!P11:Q100,"Por Fazer")</f>
        <v>0</v>
      </c>
      <c r="P14" s="22">
        <f>COUNTIF(Douglas!P11:Q100,"Por Fazer")</f>
        <v>0</v>
      </c>
      <c r="T14" s="22">
        <f>COUNTIF(Márcio!P11:Q100,"Por Fazer")</f>
        <v>0</v>
      </c>
    </row>
    <row r="16" spans="1:24" x14ac:dyDescent="0.25">
      <c r="D16" s="25">
        <f>COUNTIF(Raul!P11:Q100,"Em progesso")</f>
        <v>0</v>
      </c>
      <c r="H16" s="22">
        <f>COUNTIF(Fernando!P11:Q100,"Em progesso")</f>
        <v>0</v>
      </c>
      <c r="L16" s="22">
        <f>COUNTIF(Fúlvio!P11:Q100,"Em progesso")</f>
        <v>0</v>
      </c>
      <c r="P16" s="22">
        <f>COUNTIF(Douglas!P11,"Em progesso")</f>
        <v>0</v>
      </c>
      <c r="T16" s="22">
        <f>COUNTIF(Márcio!P11:Q100,"Em progesso")</f>
        <v>0</v>
      </c>
    </row>
    <row r="18" spans="4:20" x14ac:dyDescent="0.25">
      <c r="D18" s="22">
        <f>COUNTIF(Raul!P11:Q100,"Concluída")</f>
        <v>0</v>
      </c>
      <c r="H18" s="22">
        <f>COUNTIF(Fernando!P11:Q100,"Concluída")</f>
        <v>0</v>
      </c>
      <c r="L18" s="22">
        <f>COUNTIF(Fúlvio!P11:Q100,"Concluída")</f>
        <v>0</v>
      </c>
      <c r="P18" s="22">
        <f ca="1">COUNTIF(Douglas!P11:T100,"Concluída")</f>
        <v>0</v>
      </c>
      <c r="T18" s="22">
        <f>COUNTIF(Márcio!P11:Q100,"Concluída")</f>
        <v>0</v>
      </c>
    </row>
  </sheetData>
  <sheetProtection algorithmName="SHA-512" hashValue="+rK8J8q0NoDEg/5qso/yXZrjI/P0fEf8PC9z7N6tw8N+ETeuB+zVoBFOBouEsNta8kvfE2w3qD47PR9O7XZOwg==" saltValue="r2TMfuODAptE8nemyVCQFg==" spinCount="100000" sheet="1" objects="1" scenarios="1" selectLockedCells="1" selectUnlockedCells="1"/>
  <customSheetViews>
    <customSheetView guid="{052A0BE2-F46A-40A2-94AF-E8058C5FF2AC}" showGridLines="0">
      <pane ySplit="5" topLeftCell="A9" activePane="bottomLeft" state="frozen"/>
      <selection pane="bottomLeft" activeCell="P14" sqref="P14"/>
      <pageMargins left="0.511811024" right="0.511811024" top="0.78740157499999996" bottom="0.78740157499999996" header="0.31496062000000002" footer="0.31496062000000002"/>
    </customSheetView>
  </customSheetViews>
  <mergeCells count="4">
    <mergeCell ref="A1:C3"/>
    <mergeCell ref="E1:F3"/>
    <mergeCell ref="G1:H3"/>
    <mergeCell ref="B8:T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A0CAE-5A10-4CDB-BE2A-8861AB0C7094}">
  <sheetPr codeName="Planilha1"/>
  <dimension ref="A1:X22"/>
  <sheetViews>
    <sheetView showGridLines="0" showRowColHeaders="0" zoomScaleNormal="100" workbookViewId="0">
      <pane ySplit="5" topLeftCell="A6" activePane="bottomLeft" state="frozen"/>
      <selection pane="bottomLeft" activeCell="E10" sqref="E10:R11"/>
    </sheetView>
  </sheetViews>
  <sheetFormatPr defaultRowHeight="15" x14ac:dyDescent="0.25"/>
  <sheetData>
    <row r="1" spans="1:24" x14ac:dyDescent="0.25">
      <c r="A1" s="32"/>
      <c r="B1" s="32"/>
      <c r="C1" s="32"/>
      <c r="D1" s="5"/>
      <c r="E1" s="46"/>
      <c r="F1" s="46"/>
      <c r="G1" s="35"/>
      <c r="H1" s="3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32"/>
      <c r="B2" s="32"/>
      <c r="C2" s="32"/>
      <c r="D2" s="5"/>
      <c r="E2" s="46"/>
      <c r="F2" s="46"/>
      <c r="G2" s="35"/>
      <c r="H2" s="3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33"/>
      <c r="B3" s="33"/>
      <c r="C3" s="33"/>
      <c r="D3" s="4"/>
      <c r="E3" s="46"/>
      <c r="F3" s="46"/>
      <c r="G3" s="35"/>
      <c r="H3" s="36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3"/>
      <c r="F4" s="3"/>
      <c r="G4" s="11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ht="15.75" thickBot="1" x14ac:dyDescent="0.3"/>
    <row r="7" spans="1:24" ht="15" customHeight="1" x14ac:dyDescent="0.25">
      <c r="C7" s="47" t="s">
        <v>16</v>
      </c>
      <c r="D7" s="48"/>
      <c r="E7" s="67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</row>
    <row r="8" spans="1:24" ht="15.75" customHeight="1" thickBot="1" x14ac:dyDescent="0.3">
      <c r="C8" s="49"/>
      <c r="D8" s="50"/>
      <c r="E8" s="69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</row>
    <row r="9" spans="1:24" ht="15.75" thickBot="1" x14ac:dyDescent="0.3"/>
    <row r="10" spans="1:24" x14ac:dyDescent="0.25">
      <c r="C10" s="38" t="s">
        <v>0</v>
      </c>
      <c r="D10" s="39"/>
      <c r="E10" s="51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</row>
    <row r="11" spans="1:24" ht="15.75" thickBot="1" x14ac:dyDescent="0.3">
      <c r="C11" s="40"/>
      <c r="D11" s="41"/>
      <c r="E11" s="53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</row>
    <row r="12" spans="1:24" ht="15.75" thickBot="1" x14ac:dyDescent="0.3"/>
    <row r="13" spans="1:24" ht="15" customHeight="1" x14ac:dyDescent="0.25">
      <c r="C13" s="61" t="s">
        <v>1</v>
      </c>
      <c r="D13" s="62"/>
      <c r="E13" s="55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</row>
    <row r="14" spans="1:24" x14ac:dyDescent="0.25">
      <c r="C14" s="63"/>
      <c r="D14" s="64"/>
      <c r="E14" s="57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</row>
    <row r="15" spans="1:24" x14ac:dyDescent="0.25">
      <c r="C15" s="63"/>
      <c r="D15" s="64"/>
      <c r="E15" s="57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</row>
    <row r="16" spans="1:24" x14ac:dyDescent="0.25">
      <c r="C16" s="63"/>
      <c r="D16" s="64"/>
      <c r="E16" s="57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</row>
    <row r="17" spans="3:18" x14ac:dyDescent="0.25">
      <c r="C17" s="63"/>
      <c r="D17" s="64"/>
      <c r="E17" s="57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</row>
    <row r="18" spans="3:18" x14ac:dyDescent="0.25">
      <c r="C18" s="63"/>
      <c r="D18" s="64"/>
      <c r="E18" s="57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</row>
    <row r="19" spans="3:18" ht="15.75" thickBot="1" x14ac:dyDescent="0.3">
      <c r="C19" s="65"/>
      <c r="D19" s="66"/>
      <c r="E19" s="59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</row>
    <row r="20" spans="3:18" ht="15.75" thickBot="1" x14ac:dyDescent="0.3"/>
    <row r="21" spans="3:18" ht="15" customHeight="1" x14ac:dyDescent="0.25">
      <c r="C21" s="38" t="s">
        <v>2</v>
      </c>
      <c r="D21" s="39"/>
      <c r="E21" s="42"/>
      <c r="F21" s="43"/>
      <c r="G21" s="43"/>
      <c r="I21" s="38" t="s">
        <v>13</v>
      </c>
      <c r="J21" s="39"/>
      <c r="K21" s="42"/>
      <c r="L21" s="43"/>
      <c r="M21" s="43"/>
    </row>
    <row r="22" spans="3:18" ht="15.75" customHeight="1" thickBot="1" x14ac:dyDescent="0.3">
      <c r="C22" s="40"/>
      <c r="D22" s="41"/>
      <c r="E22" s="44"/>
      <c r="F22" s="45"/>
      <c r="G22" s="45"/>
      <c r="I22" s="40"/>
      <c r="J22" s="41"/>
      <c r="K22" s="44"/>
      <c r="L22" s="45"/>
      <c r="M22" s="45"/>
    </row>
  </sheetData>
  <sheetProtection algorithmName="SHA-512" hashValue="Zg0tBRkU1wSqdyF3IsW2S/2opWMZ+oCnVqEXLV4yL07FAf6w/kPOvRHnjqPpknPCUnPPddB4ONKHFfBxcm+Tpg==" saltValue="2B+DAgxLQK9k2/EzJcZ8aQ==" spinCount="100000" sheet="1" objects="1" scenarios="1" selectLockedCells="1"/>
  <protectedRanges>
    <protectedRange sqref="K21" name="Intervalo5"/>
    <protectedRange sqref="E21" name="Intervalo4"/>
    <protectedRange sqref="E13" name="Intervalo3"/>
    <protectedRange sqref="E10" name="Intervalo2"/>
    <protectedRange sqref="E7" name="Intervalo1"/>
  </protectedRanges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13">
    <mergeCell ref="C21:D22"/>
    <mergeCell ref="G1:H3"/>
    <mergeCell ref="E21:G22"/>
    <mergeCell ref="A1:C3"/>
    <mergeCell ref="E1:F3"/>
    <mergeCell ref="C7:D8"/>
    <mergeCell ref="C10:D11"/>
    <mergeCell ref="E10:R11"/>
    <mergeCell ref="E13:R19"/>
    <mergeCell ref="C13:D19"/>
    <mergeCell ref="E7:R8"/>
    <mergeCell ref="I21:J22"/>
    <mergeCell ref="K21:M2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END">
                <anchor moveWithCells="1" sizeWithCells="1">
                  <from>
                    <xdr:col>15</xdr:col>
                    <xdr:colOff>266700</xdr:colOff>
                    <xdr:row>20</xdr:row>
                    <xdr:rowOff>28575</xdr:rowOff>
                  </from>
                  <to>
                    <xdr:col>17</xdr:col>
                    <xdr:colOff>590550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29267E-0591-4E43-A1AB-663D8106912D}">
          <x14:formula1>
            <xm:f>DataBase!$B$3:$B$7</xm:f>
          </x14:formula1>
          <xm:sqref>E7</xm:sqref>
        </x14:dataValidation>
        <x14:dataValidation type="list" allowBlank="1" showInputMessage="1" showErrorMessage="1" xr:uid="{DEA25775-5F3E-485C-885B-C73ED4D6D229}">
          <x14:formula1>
            <xm:f>DataBase!$C$3:$C$6</xm:f>
          </x14:formula1>
          <xm:sqref>K21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D5950-06C9-4B47-A8F7-3A0E2E28A49C}">
  <sheetPr codeName="Planilha7"/>
  <dimension ref="B2:T21"/>
  <sheetViews>
    <sheetView topLeftCell="C1" workbookViewId="0">
      <selection activeCell="J3" sqref="J3"/>
    </sheetView>
  </sheetViews>
  <sheetFormatPr defaultRowHeight="15" x14ac:dyDescent="0.25"/>
  <cols>
    <col min="2" max="2" width="18.85546875" customWidth="1"/>
    <col min="3" max="3" width="10.7109375" bestFit="1" customWidth="1"/>
    <col min="4" max="4" width="10.7109375" customWidth="1"/>
    <col min="6" max="6" width="12.85546875" bestFit="1" customWidth="1"/>
    <col min="10" max="10" width="12.85546875" bestFit="1" customWidth="1"/>
    <col min="14" max="14" width="12.85546875" bestFit="1" customWidth="1"/>
    <col min="18" max="18" width="12.85546875" bestFit="1" customWidth="1"/>
  </cols>
  <sheetData>
    <row r="2" spans="2:20" x14ac:dyDescent="0.25">
      <c r="B2" t="s">
        <v>15</v>
      </c>
      <c r="C2" t="s">
        <v>13</v>
      </c>
      <c r="F2" t="s">
        <v>14</v>
      </c>
    </row>
    <row r="3" spans="2:20" x14ac:dyDescent="0.25">
      <c r="B3" t="s">
        <v>4</v>
      </c>
      <c r="C3" t="s">
        <v>17</v>
      </c>
      <c r="F3" t="s">
        <v>21</v>
      </c>
    </row>
    <row r="4" spans="2:20" x14ac:dyDescent="0.25">
      <c r="B4" t="s">
        <v>5</v>
      </c>
      <c r="C4" t="s">
        <v>18</v>
      </c>
      <c r="F4" t="s">
        <v>23</v>
      </c>
    </row>
    <row r="5" spans="2:20" x14ac:dyDescent="0.25">
      <c r="B5" t="s">
        <v>6</v>
      </c>
      <c r="C5" t="s">
        <v>19</v>
      </c>
      <c r="F5" t="s">
        <v>22</v>
      </c>
    </row>
    <row r="6" spans="2:20" x14ac:dyDescent="0.25">
      <c r="B6" t="s">
        <v>7</v>
      </c>
      <c r="C6" t="s">
        <v>20</v>
      </c>
    </row>
    <row r="7" spans="2:20" x14ac:dyDescent="0.25">
      <c r="B7" t="s">
        <v>8</v>
      </c>
    </row>
    <row r="9" spans="2:20" ht="15.75" thickBot="1" x14ac:dyDescent="0.3"/>
    <row r="10" spans="2:20" x14ac:dyDescent="0.25">
      <c r="B10" s="14"/>
      <c r="C10" s="15" t="s">
        <v>4</v>
      </c>
      <c r="D10" s="23"/>
      <c r="F10" s="14"/>
      <c r="G10" s="15" t="s">
        <v>5</v>
      </c>
      <c r="H10" s="23"/>
      <c r="J10" s="14"/>
      <c r="K10" s="15" t="s">
        <v>8</v>
      </c>
      <c r="L10" s="23"/>
      <c r="N10" s="14"/>
      <c r="O10" s="15" t="s">
        <v>6</v>
      </c>
      <c r="P10" s="23"/>
      <c r="R10" s="14"/>
      <c r="S10" s="15" t="s">
        <v>7</v>
      </c>
    </row>
    <row r="11" spans="2:20" x14ac:dyDescent="0.25">
      <c r="B11" s="16" t="s">
        <v>21</v>
      </c>
      <c r="C11" s="17">
        <f>COUNTIF(Raul!P11:Q100,"Por Fazer")</f>
        <v>0</v>
      </c>
      <c r="D11" s="24">
        <f>IFERROR(C11/SUM(C11:C13),0)</f>
        <v>0</v>
      </c>
      <c r="F11" s="16" t="s">
        <v>21</v>
      </c>
      <c r="G11" s="17">
        <f>COUNTIF(Fernando!P11:Q100,"Por Fazer")</f>
        <v>0</v>
      </c>
      <c r="H11" s="24">
        <f>IFERROR(G11/SUM(G11:G13),0)</f>
        <v>0</v>
      </c>
      <c r="J11" s="16" t="s">
        <v>21</v>
      </c>
      <c r="K11" s="17">
        <f>COUNTIF(Fúlvio!P11:Q100,"Por Fazer")</f>
        <v>0</v>
      </c>
      <c r="L11" s="24">
        <f>IFERROR(K11/SUM(K11:K13),0)</f>
        <v>0</v>
      </c>
      <c r="N11" s="16" t="s">
        <v>21</v>
      </c>
      <c r="O11" s="17">
        <f>COUNTIF(Márcio!P11:Q100,"Por Fazer")</f>
        <v>0</v>
      </c>
      <c r="P11" s="24">
        <f>IFERROR(O11/SUM(O11:O13),0)</f>
        <v>0</v>
      </c>
      <c r="R11" s="16" t="s">
        <v>21</v>
      </c>
      <c r="S11" s="17">
        <f>COUNTIF(Douglas!P11:Q100,"Por Fazer")</f>
        <v>0</v>
      </c>
      <c r="T11" s="24">
        <f ca="1">IFERROR(S11/SUM(S11:S13),0)</f>
        <v>0</v>
      </c>
    </row>
    <row r="12" spans="2:20" x14ac:dyDescent="0.25">
      <c r="B12" s="16" t="s">
        <v>23</v>
      </c>
      <c r="C12" s="17">
        <f>COUNTIF(Raul!P11:Q100,"Em progresso")</f>
        <v>2</v>
      </c>
      <c r="D12" s="24">
        <f>IFERROR(C12/SUM(C11:C13),0)</f>
        <v>1</v>
      </c>
      <c r="F12" s="16" t="s">
        <v>23</v>
      </c>
      <c r="G12" s="17">
        <f>COUNTIF(Fernando!P11:Q100,"Em progresso")</f>
        <v>0</v>
      </c>
      <c r="H12" s="24">
        <f>IFERROR(G12/SUM(G11:G13),0)</f>
        <v>0</v>
      </c>
      <c r="J12" s="16" t="s">
        <v>23</v>
      </c>
      <c r="K12" s="17">
        <f>COUNTIF(Fúlvio!P11:Q100,"Em progresso")</f>
        <v>0</v>
      </c>
      <c r="L12" s="24">
        <f>IFERROR(K12/SUM(K11:K13),0)</f>
        <v>0</v>
      </c>
      <c r="N12" s="16" t="s">
        <v>23</v>
      </c>
      <c r="O12" s="17">
        <f>COUNTIF(Márcio!P11:Q100,"Em progresso")</f>
        <v>0</v>
      </c>
      <c r="P12" s="24">
        <f>IFERROR(O12/SUM(O11:O13),0)</f>
        <v>0</v>
      </c>
      <c r="R12" s="16" t="s">
        <v>23</v>
      </c>
      <c r="S12" s="17">
        <f>COUNTIF(Douglas!P11,"Em progresso")</f>
        <v>0</v>
      </c>
      <c r="T12" s="24">
        <f ca="1">IFERROR(S12/SUM(S11:S13),0)</f>
        <v>0</v>
      </c>
    </row>
    <row r="13" spans="2:20" x14ac:dyDescent="0.25">
      <c r="B13" s="16" t="s">
        <v>22</v>
      </c>
      <c r="C13" s="17">
        <f>COUNTIF(Raul!P11:Q100,"Concluída")</f>
        <v>0</v>
      </c>
      <c r="D13" s="24">
        <f>IFERROR(C13/SUM(C11:C13),0)</f>
        <v>0</v>
      </c>
      <c r="F13" s="16" t="s">
        <v>22</v>
      </c>
      <c r="G13" s="17">
        <f>COUNTIF(Fernando!P11:Q100,"Concluída")</f>
        <v>0</v>
      </c>
      <c r="H13" s="24">
        <f>IFERROR(G13/SUM(G11:G13),0)</f>
        <v>0</v>
      </c>
      <c r="J13" s="16" t="s">
        <v>22</v>
      </c>
      <c r="K13" s="17">
        <f>COUNTIF(Fúlvio!P11:Q100,"Concluída")</f>
        <v>0</v>
      </c>
      <c r="L13" s="24">
        <f>IFERROR(K13/SUM(K11:K13),0)</f>
        <v>0</v>
      </c>
      <c r="N13" s="16" t="s">
        <v>22</v>
      </c>
      <c r="O13" s="17">
        <f>COUNTIF(Márcio!P11:Q100,"Concluída")</f>
        <v>0</v>
      </c>
      <c r="P13" s="24">
        <f>IFERROR(O13/SUM(O11:O13),0)</f>
        <v>0</v>
      </c>
      <c r="R13" s="16" t="s">
        <v>22</v>
      </c>
      <c r="S13" s="17">
        <f ca="1">COUNTIF(Douglas!P11:T100,"Concluída")</f>
        <v>0</v>
      </c>
      <c r="T13" s="24">
        <f ca="1">IFERROR(S13/SUM(S11:S13),0)</f>
        <v>0</v>
      </c>
    </row>
    <row r="14" spans="2:20" x14ac:dyDescent="0.25">
      <c r="B14" s="16"/>
      <c r="C14" s="17"/>
      <c r="D14" s="23"/>
      <c r="F14" s="16"/>
      <c r="G14" s="17"/>
      <c r="H14" s="23"/>
      <c r="J14" s="16"/>
      <c r="K14" s="17"/>
      <c r="L14" s="23"/>
      <c r="N14" s="16"/>
      <c r="O14" s="17"/>
      <c r="P14" s="23"/>
      <c r="R14" s="16"/>
      <c r="S14" s="17"/>
    </row>
    <row r="15" spans="2:20" ht="15.75" thickBot="1" x14ac:dyDescent="0.3">
      <c r="B15" s="18" t="s">
        <v>24</v>
      </c>
      <c r="C15" s="19">
        <f ca="1">COUNTIF(Raul!R11:S100,"Em Atraso")</f>
        <v>1</v>
      </c>
      <c r="D15" s="23"/>
      <c r="F15" s="18" t="s">
        <v>24</v>
      </c>
      <c r="G15" s="19">
        <f ca="1">COUNTIF(Fernando!R11:S100,"Em Atraso")</f>
        <v>1</v>
      </c>
      <c r="H15" s="23"/>
      <c r="J15" s="18" t="s">
        <v>24</v>
      </c>
      <c r="K15" s="19">
        <f ca="1">COUNTIF(Fúlvio!R11:S100,"Em Atraso")</f>
        <v>0</v>
      </c>
      <c r="L15" s="23"/>
      <c r="N15" s="18" t="s">
        <v>24</v>
      </c>
      <c r="O15" s="19">
        <f ca="1">COUNTIF(Márcio!R11:S100,"Em Atraso")</f>
        <v>0</v>
      </c>
      <c r="P15" s="23"/>
      <c r="R15" s="18" t="s">
        <v>24</v>
      </c>
      <c r="S15" s="19">
        <f ca="1">COUNTIF(Douglas!R11:S100,"Em Atraso")</f>
        <v>0</v>
      </c>
    </row>
    <row r="16" spans="2:20" ht="15.75" thickBot="1" x14ac:dyDescent="0.3">
      <c r="B16" s="20" t="s">
        <v>27</v>
      </c>
      <c r="C16" s="19">
        <f ca="1">COUNTIF(Raul!R11:S100,"Hoje")</f>
        <v>1</v>
      </c>
      <c r="D16" s="23"/>
      <c r="F16" t="s">
        <v>27</v>
      </c>
      <c r="G16">
        <f ca="1">COUNTIF(Fernando!R11:R100,"Hoje")</f>
        <v>0</v>
      </c>
      <c r="J16" t="s">
        <v>27</v>
      </c>
      <c r="K16">
        <f ca="1">COUNTIF(Fúlvio!R11:S100,"Hoje")</f>
        <v>0</v>
      </c>
      <c r="N16" t="s">
        <v>27</v>
      </c>
      <c r="O16">
        <f ca="1">COUNTIF(Márcio!R11:S100,"Hoje")</f>
        <v>0</v>
      </c>
      <c r="R16" t="s">
        <v>27</v>
      </c>
      <c r="S16">
        <f ca="1">COUNTIF(Douglas!R11:S100,"Hoje")</f>
        <v>0</v>
      </c>
    </row>
    <row r="21" spans="3:4" x14ac:dyDescent="0.25">
      <c r="C21" s="13"/>
      <c r="D21" s="13"/>
    </row>
  </sheetData>
  <customSheetViews>
    <customSheetView guid="{052A0BE2-F46A-40A2-94AF-E8058C5FF2AC}">
      <selection activeCell="O11" sqref="O11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3D94C-8E7F-40C3-8323-44D7FAC0B768}">
  <sheetPr codeName="Planilha9"/>
  <dimension ref="B3:AM872"/>
  <sheetViews>
    <sheetView topLeftCell="B1" zoomScale="70" zoomScaleNormal="70" workbookViewId="0">
      <selection activeCell="P15" sqref="P15:Q17"/>
    </sheetView>
  </sheetViews>
  <sheetFormatPr defaultRowHeight="15" x14ac:dyDescent="0.25"/>
  <sheetData>
    <row r="3" spans="2:39" x14ac:dyDescent="0.25">
      <c r="B3" s="100" t="s">
        <v>9</v>
      </c>
      <c r="C3" s="101"/>
      <c r="D3" s="106" t="s">
        <v>10</v>
      </c>
      <c r="E3" s="107"/>
      <c r="F3" s="107"/>
      <c r="G3" s="107"/>
      <c r="H3" s="107"/>
      <c r="I3" s="108"/>
      <c r="J3" s="100" t="s">
        <v>11</v>
      </c>
      <c r="K3" s="101"/>
      <c r="L3" s="100" t="s">
        <v>12</v>
      </c>
      <c r="M3" s="101"/>
      <c r="N3" s="100" t="s">
        <v>13</v>
      </c>
      <c r="O3" s="101"/>
      <c r="P3" s="100" t="s">
        <v>14</v>
      </c>
      <c r="Q3" s="101"/>
      <c r="S3" s="100" t="s">
        <v>9</v>
      </c>
      <c r="T3" s="101"/>
      <c r="U3" s="106" t="s">
        <v>10</v>
      </c>
      <c r="V3" s="107"/>
      <c r="W3" s="107"/>
      <c r="X3" s="107"/>
      <c r="Y3" s="107"/>
      <c r="Z3" s="108"/>
      <c r="AA3" s="100" t="s">
        <v>11</v>
      </c>
      <c r="AB3" s="101"/>
      <c r="AC3" s="100" t="s">
        <v>12</v>
      </c>
      <c r="AD3" s="101"/>
      <c r="AE3" s="100" t="s">
        <v>13</v>
      </c>
      <c r="AF3" s="101"/>
      <c r="AG3" s="100" t="s">
        <v>14</v>
      </c>
      <c r="AH3" s="101"/>
      <c r="AM3" t="s">
        <v>59</v>
      </c>
    </row>
    <row r="4" spans="2:39" x14ac:dyDescent="0.25">
      <c r="B4" s="102"/>
      <c r="C4" s="103"/>
      <c r="D4" s="109"/>
      <c r="E4" s="110"/>
      <c r="F4" s="110"/>
      <c r="G4" s="110"/>
      <c r="H4" s="110"/>
      <c r="I4" s="111"/>
      <c r="J4" s="102"/>
      <c r="K4" s="103"/>
      <c r="L4" s="102"/>
      <c r="M4" s="103"/>
      <c r="N4" s="102"/>
      <c r="O4" s="103"/>
      <c r="P4" s="102"/>
      <c r="Q4" s="103"/>
      <c r="S4" s="102"/>
      <c r="T4" s="103"/>
      <c r="U4" s="109"/>
      <c r="V4" s="110"/>
      <c r="W4" s="110"/>
      <c r="X4" s="110"/>
      <c r="Y4" s="110"/>
      <c r="Z4" s="111"/>
      <c r="AA4" s="102"/>
      <c r="AB4" s="103"/>
      <c r="AC4" s="102"/>
      <c r="AD4" s="103"/>
      <c r="AE4" s="102"/>
      <c r="AF4" s="103"/>
      <c r="AG4" s="102"/>
      <c r="AH4" s="103"/>
    </row>
    <row r="5" spans="2:39" x14ac:dyDescent="0.25">
      <c r="B5" s="104"/>
      <c r="C5" s="105"/>
      <c r="D5" s="112"/>
      <c r="E5" s="113"/>
      <c r="F5" s="113"/>
      <c r="G5" s="113"/>
      <c r="H5" s="113"/>
      <c r="I5" s="114"/>
      <c r="J5" s="104"/>
      <c r="K5" s="105"/>
      <c r="L5" s="104"/>
      <c r="M5" s="105"/>
      <c r="N5" s="104"/>
      <c r="O5" s="105"/>
      <c r="P5" s="104"/>
      <c r="Q5" s="105"/>
      <c r="S5" s="104"/>
      <c r="T5" s="105"/>
      <c r="U5" s="112"/>
      <c r="V5" s="113"/>
      <c r="W5" s="113"/>
      <c r="X5" s="113"/>
      <c r="Y5" s="113"/>
      <c r="Z5" s="114"/>
      <c r="AA5" s="104"/>
      <c r="AB5" s="105"/>
      <c r="AC5" s="104"/>
      <c r="AD5" s="105"/>
      <c r="AE5" s="104"/>
      <c r="AF5" s="105"/>
      <c r="AG5" s="104"/>
      <c r="AH5" s="105"/>
    </row>
    <row r="6" spans="2:39" x14ac:dyDescent="0.25">
      <c r="B6" s="71" t="s">
        <v>28</v>
      </c>
      <c r="C6" s="72"/>
      <c r="D6" s="77" t="s">
        <v>29</v>
      </c>
      <c r="E6" s="78"/>
      <c r="F6" s="78"/>
      <c r="G6" s="78"/>
      <c r="H6" s="78"/>
      <c r="I6" s="79"/>
      <c r="J6" s="86">
        <v>43579</v>
      </c>
      <c r="K6" s="87"/>
      <c r="L6" s="86">
        <v>43570</v>
      </c>
      <c r="M6" s="87"/>
      <c r="N6" s="77" t="s">
        <v>17</v>
      </c>
      <c r="O6" s="79"/>
      <c r="P6" s="92" t="s">
        <v>22</v>
      </c>
      <c r="Q6" s="93"/>
      <c r="S6" s="77"/>
      <c r="T6" s="79"/>
      <c r="U6" s="77"/>
      <c r="V6" s="78"/>
      <c r="W6" s="78"/>
      <c r="X6" s="78"/>
      <c r="Y6" s="78"/>
      <c r="Z6" s="79"/>
      <c r="AA6" s="86"/>
      <c r="AB6" s="87"/>
      <c r="AC6" s="86"/>
      <c r="AD6" s="87"/>
      <c r="AE6" s="77"/>
      <c r="AF6" s="79"/>
      <c r="AG6" s="92"/>
      <c r="AH6" s="93"/>
    </row>
    <row r="7" spans="2:39" x14ac:dyDescent="0.25">
      <c r="B7" s="73"/>
      <c r="C7" s="74"/>
      <c r="D7" s="80"/>
      <c r="E7" s="81"/>
      <c r="F7" s="81"/>
      <c r="G7" s="81"/>
      <c r="H7" s="81"/>
      <c r="I7" s="82"/>
      <c r="J7" s="88"/>
      <c r="K7" s="89"/>
      <c r="L7" s="88"/>
      <c r="M7" s="89"/>
      <c r="N7" s="80"/>
      <c r="O7" s="82"/>
      <c r="P7" s="94"/>
      <c r="Q7" s="95"/>
      <c r="S7" s="80"/>
      <c r="T7" s="82"/>
      <c r="U7" s="80"/>
      <c r="V7" s="81"/>
      <c r="W7" s="81"/>
      <c r="X7" s="81"/>
      <c r="Y7" s="81"/>
      <c r="Z7" s="82"/>
      <c r="AA7" s="88"/>
      <c r="AB7" s="89"/>
      <c r="AC7" s="88"/>
      <c r="AD7" s="89"/>
      <c r="AE7" s="80"/>
      <c r="AF7" s="82"/>
      <c r="AG7" s="94"/>
      <c r="AH7" s="95"/>
    </row>
    <row r="8" spans="2:39" x14ac:dyDescent="0.25">
      <c r="B8" s="75"/>
      <c r="C8" s="76"/>
      <c r="D8" s="83"/>
      <c r="E8" s="84"/>
      <c r="F8" s="84"/>
      <c r="G8" s="84"/>
      <c r="H8" s="84"/>
      <c r="I8" s="85"/>
      <c r="J8" s="90"/>
      <c r="K8" s="91"/>
      <c r="L8" s="90"/>
      <c r="M8" s="91"/>
      <c r="N8" s="83"/>
      <c r="O8" s="85"/>
      <c r="P8" s="96"/>
      <c r="Q8" s="97"/>
      <c r="S8" s="83"/>
      <c r="T8" s="85"/>
      <c r="U8" s="83"/>
      <c r="V8" s="84"/>
      <c r="W8" s="84"/>
      <c r="X8" s="84"/>
      <c r="Y8" s="84"/>
      <c r="Z8" s="85"/>
      <c r="AA8" s="90"/>
      <c r="AB8" s="91"/>
      <c r="AC8" s="90"/>
      <c r="AD8" s="91"/>
      <c r="AE8" s="83"/>
      <c r="AF8" s="85"/>
      <c r="AG8" s="96"/>
      <c r="AH8" s="97"/>
    </row>
    <row r="9" spans="2:39" x14ac:dyDescent="0.25">
      <c r="B9" s="71" t="s">
        <v>50</v>
      </c>
      <c r="C9" s="72"/>
      <c r="D9" s="77" t="s">
        <v>51</v>
      </c>
      <c r="E9" s="78"/>
      <c r="F9" s="78"/>
      <c r="G9" s="78"/>
      <c r="H9" s="78"/>
      <c r="I9" s="79"/>
      <c r="J9" s="86">
        <v>43579</v>
      </c>
      <c r="K9" s="87"/>
      <c r="L9" s="86">
        <v>43597</v>
      </c>
      <c r="M9" s="87"/>
      <c r="N9" s="77" t="s">
        <v>19</v>
      </c>
      <c r="O9" s="79"/>
      <c r="P9" s="92" t="s">
        <v>22</v>
      </c>
      <c r="Q9" s="93"/>
      <c r="S9" s="77"/>
      <c r="T9" s="79"/>
      <c r="U9" s="77"/>
      <c r="V9" s="78"/>
      <c r="W9" s="78"/>
      <c r="X9" s="78"/>
      <c r="Y9" s="78"/>
      <c r="Z9" s="79"/>
      <c r="AA9" s="86"/>
      <c r="AB9" s="87"/>
      <c r="AC9" s="86"/>
      <c r="AD9" s="87"/>
      <c r="AE9" s="77"/>
      <c r="AF9" s="79"/>
      <c r="AG9" s="92"/>
      <c r="AH9" s="93"/>
    </row>
    <row r="10" spans="2:39" x14ac:dyDescent="0.25">
      <c r="B10" s="73"/>
      <c r="C10" s="74"/>
      <c r="D10" s="80"/>
      <c r="E10" s="81"/>
      <c r="F10" s="81"/>
      <c r="G10" s="81"/>
      <c r="H10" s="81"/>
      <c r="I10" s="82"/>
      <c r="J10" s="88"/>
      <c r="K10" s="89"/>
      <c r="L10" s="88"/>
      <c r="M10" s="89"/>
      <c r="N10" s="80"/>
      <c r="O10" s="82"/>
      <c r="P10" s="94"/>
      <c r="Q10" s="95"/>
      <c r="S10" s="80"/>
      <c r="T10" s="82"/>
      <c r="U10" s="80"/>
      <c r="V10" s="81"/>
      <c r="W10" s="81"/>
      <c r="X10" s="81"/>
      <c r="Y10" s="81"/>
      <c r="Z10" s="82"/>
      <c r="AA10" s="88"/>
      <c r="AB10" s="89"/>
      <c r="AC10" s="88"/>
      <c r="AD10" s="89"/>
      <c r="AE10" s="80"/>
      <c r="AF10" s="82"/>
      <c r="AG10" s="94"/>
      <c r="AH10" s="95"/>
    </row>
    <row r="11" spans="2:39" x14ac:dyDescent="0.25">
      <c r="B11" s="75"/>
      <c r="C11" s="76"/>
      <c r="D11" s="83"/>
      <c r="E11" s="84"/>
      <c r="F11" s="84"/>
      <c r="G11" s="84"/>
      <c r="H11" s="84"/>
      <c r="I11" s="85"/>
      <c r="J11" s="90"/>
      <c r="K11" s="91"/>
      <c r="L11" s="90"/>
      <c r="M11" s="91"/>
      <c r="N11" s="83"/>
      <c r="O11" s="85"/>
      <c r="P11" s="96"/>
      <c r="Q11" s="97"/>
      <c r="S11" s="83"/>
      <c r="T11" s="85"/>
      <c r="U11" s="83"/>
      <c r="V11" s="84"/>
      <c r="W11" s="84"/>
      <c r="X11" s="84"/>
      <c r="Y11" s="84"/>
      <c r="Z11" s="85"/>
      <c r="AA11" s="90"/>
      <c r="AB11" s="91"/>
      <c r="AC11" s="90"/>
      <c r="AD11" s="91"/>
      <c r="AE11" s="83"/>
      <c r="AF11" s="85"/>
      <c r="AG11" s="96"/>
      <c r="AH11" s="97"/>
    </row>
    <row r="12" spans="2:39" x14ac:dyDescent="0.25">
      <c r="B12" s="71" t="s">
        <v>52</v>
      </c>
      <c r="C12" s="72"/>
      <c r="D12" s="77" t="s">
        <v>53</v>
      </c>
      <c r="E12" s="78"/>
      <c r="F12" s="78"/>
      <c r="G12" s="78"/>
      <c r="H12" s="78"/>
      <c r="I12" s="79"/>
      <c r="J12" s="86">
        <v>43579</v>
      </c>
      <c r="K12" s="87"/>
      <c r="L12" s="86">
        <v>43691</v>
      </c>
      <c r="M12" s="87"/>
      <c r="N12" s="77" t="s">
        <v>17</v>
      </c>
      <c r="O12" s="79"/>
      <c r="P12" s="92" t="s">
        <v>22</v>
      </c>
      <c r="Q12" s="93"/>
      <c r="S12" s="77"/>
      <c r="T12" s="79"/>
      <c r="U12" s="77"/>
      <c r="V12" s="78"/>
      <c r="W12" s="78"/>
      <c r="X12" s="78"/>
      <c r="Y12" s="78"/>
      <c r="Z12" s="79"/>
      <c r="AA12" s="86"/>
      <c r="AB12" s="87"/>
      <c r="AC12" s="86"/>
      <c r="AD12" s="87"/>
      <c r="AE12" s="77"/>
      <c r="AF12" s="79"/>
      <c r="AG12" s="92"/>
      <c r="AH12" s="93"/>
    </row>
    <row r="13" spans="2:39" x14ac:dyDescent="0.25">
      <c r="B13" s="73"/>
      <c r="C13" s="74"/>
      <c r="D13" s="80"/>
      <c r="E13" s="81"/>
      <c r="F13" s="81"/>
      <c r="G13" s="81"/>
      <c r="H13" s="81"/>
      <c r="I13" s="82"/>
      <c r="J13" s="88"/>
      <c r="K13" s="89"/>
      <c r="L13" s="88"/>
      <c r="M13" s="89"/>
      <c r="N13" s="80"/>
      <c r="O13" s="82"/>
      <c r="P13" s="94"/>
      <c r="Q13" s="95"/>
      <c r="S13" s="80"/>
      <c r="T13" s="82"/>
      <c r="U13" s="80"/>
      <c r="V13" s="81"/>
      <c r="W13" s="81"/>
      <c r="X13" s="81"/>
      <c r="Y13" s="81"/>
      <c r="Z13" s="82"/>
      <c r="AA13" s="88"/>
      <c r="AB13" s="89"/>
      <c r="AC13" s="88"/>
      <c r="AD13" s="89"/>
      <c r="AE13" s="80"/>
      <c r="AF13" s="82"/>
      <c r="AG13" s="94"/>
      <c r="AH13" s="95"/>
    </row>
    <row r="14" spans="2:39" x14ac:dyDescent="0.25">
      <c r="B14" s="75"/>
      <c r="C14" s="76"/>
      <c r="D14" s="83"/>
      <c r="E14" s="84"/>
      <c r="F14" s="84"/>
      <c r="G14" s="84"/>
      <c r="H14" s="84"/>
      <c r="I14" s="85"/>
      <c r="J14" s="90"/>
      <c r="K14" s="91"/>
      <c r="L14" s="90"/>
      <c r="M14" s="91"/>
      <c r="N14" s="83"/>
      <c r="O14" s="85"/>
      <c r="P14" s="96"/>
      <c r="Q14" s="97"/>
      <c r="S14" s="83"/>
      <c r="T14" s="85"/>
      <c r="U14" s="83"/>
      <c r="V14" s="84"/>
      <c r="W14" s="84"/>
      <c r="X14" s="84"/>
      <c r="Y14" s="84"/>
      <c r="Z14" s="85"/>
      <c r="AA14" s="90"/>
      <c r="AB14" s="91"/>
      <c r="AC14" s="90"/>
      <c r="AD14" s="91"/>
      <c r="AE14" s="83"/>
      <c r="AF14" s="85"/>
      <c r="AG14" s="96"/>
      <c r="AH14" s="97"/>
    </row>
    <row r="15" spans="2:39" x14ac:dyDescent="0.25">
      <c r="B15" s="71"/>
      <c r="C15" s="72"/>
      <c r="D15" s="77"/>
      <c r="E15" s="78"/>
      <c r="F15" s="78"/>
      <c r="G15" s="78"/>
      <c r="H15" s="78"/>
      <c r="I15" s="79"/>
      <c r="J15" s="86"/>
      <c r="K15" s="87"/>
      <c r="L15" s="86"/>
      <c r="M15" s="87"/>
      <c r="N15" s="77"/>
      <c r="O15" s="79"/>
      <c r="P15" s="92" t="s">
        <v>22</v>
      </c>
      <c r="Q15" s="93"/>
      <c r="S15" s="77"/>
      <c r="T15" s="79"/>
      <c r="U15" s="77"/>
      <c r="V15" s="78"/>
      <c r="W15" s="78"/>
      <c r="X15" s="78"/>
      <c r="Y15" s="78"/>
      <c r="Z15" s="79"/>
      <c r="AA15" s="86"/>
      <c r="AB15" s="87"/>
      <c r="AC15" s="86"/>
      <c r="AD15" s="87"/>
      <c r="AE15" s="77"/>
      <c r="AF15" s="79"/>
      <c r="AG15" s="92"/>
      <c r="AH15" s="93"/>
    </row>
    <row r="16" spans="2:39" x14ac:dyDescent="0.25">
      <c r="B16" s="73"/>
      <c r="C16" s="74"/>
      <c r="D16" s="80"/>
      <c r="E16" s="81"/>
      <c r="F16" s="81"/>
      <c r="G16" s="81"/>
      <c r="H16" s="81"/>
      <c r="I16" s="82"/>
      <c r="J16" s="88"/>
      <c r="K16" s="89"/>
      <c r="L16" s="88"/>
      <c r="M16" s="89"/>
      <c r="N16" s="80"/>
      <c r="O16" s="82"/>
      <c r="P16" s="94"/>
      <c r="Q16" s="95"/>
      <c r="S16" s="80"/>
      <c r="T16" s="82"/>
      <c r="U16" s="80"/>
      <c r="V16" s="81"/>
      <c r="W16" s="81"/>
      <c r="X16" s="81"/>
      <c r="Y16" s="81"/>
      <c r="Z16" s="82"/>
      <c r="AA16" s="88"/>
      <c r="AB16" s="89"/>
      <c r="AC16" s="88"/>
      <c r="AD16" s="89"/>
      <c r="AE16" s="80"/>
      <c r="AF16" s="82"/>
      <c r="AG16" s="94"/>
      <c r="AH16" s="95"/>
    </row>
    <row r="17" spans="2:34" x14ac:dyDescent="0.25">
      <c r="B17" s="75"/>
      <c r="C17" s="76"/>
      <c r="D17" s="83"/>
      <c r="E17" s="84"/>
      <c r="F17" s="84"/>
      <c r="G17" s="84"/>
      <c r="H17" s="84"/>
      <c r="I17" s="85"/>
      <c r="J17" s="90"/>
      <c r="K17" s="91"/>
      <c r="L17" s="90"/>
      <c r="M17" s="91"/>
      <c r="N17" s="83"/>
      <c r="O17" s="85"/>
      <c r="P17" s="96"/>
      <c r="Q17" s="97"/>
      <c r="S17" s="83"/>
      <c r="T17" s="85"/>
      <c r="U17" s="83"/>
      <c r="V17" s="84"/>
      <c r="W17" s="84"/>
      <c r="X17" s="84"/>
      <c r="Y17" s="84"/>
      <c r="Z17" s="85"/>
      <c r="AA17" s="90"/>
      <c r="AB17" s="91"/>
      <c r="AC17" s="90"/>
      <c r="AD17" s="91"/>
      <c r="AE17" s="83"/>
      <c r="AF17" s="85"/>
      <c r="AG17" s="96"/>
      <c r="AH17" s="97"/>
    </row>
    <row r="18" spans="2:34" x14ac:dyDescent="0.25">
      <c r="B18" s="71"/>
      <c r="C18" s="72"/>
      <c r="D18" s="77"/>
      <c r="E18" s="78"/>
      <c r="F18" s="78"/>
      <c r="G18" s="78"/>
      <c r="H18" s="78"/>
      <c r="I18" s="79"/>
      <c r="J18" s="86"/>
      <c r="K18" s="87"/>
      <c r="L18" s="86"/>
      <c r="M18" s="87"/>
      <c r="N18" s="77"/>
      <c r="O18" s="79"/>
      <c r="P18" s="92"/>
      <c r="Q18" s="93"/>
      <c r="S18" s="77"/>
      <c r="T18" s="79"/>
      <c r="U18" s="77"/>
      <c r="V18" s="78"/>
      <c r="W18" s="78"/>
      <c r="X18" s="78"/>
      <c r="Y18" s="78"/>
      <c r="Z18" s="79"/>
      <c r="AA18" s="86"/>
      <c r="AB18" s="87"/>
      <c r="AC18" s="86"/>
      <c r="AD18" s="87"/>
      <c r="AE18" s="77"/>
      <c r="AF18" s="79"/>
      <c r="AG18" s="92"/>
      <c r="AH18" s="93"/>
    </row>
    <row r="19" spans="2:34" x14ac:dyDescent="0.25">
      <c r="B19" s="73"/>
      <c r="C19" s="74"/>
      <c r="D19" s="80"/>
      <c r="E19" s="81"/>
      <c r="F19" s="81"/>
      <c r="G19" s="81"/>
      <c r="H19" s="81"/>
      <c r="I19" s="82"/>
      <c r="J19" s="88"/>
      <c r="K19" s="89"/>
      <c r="L19" s="88"/>
      <c r="M19" s="89"/>
      <c r="N19" s="80"/>
      <c r="O19" s="82"/>
      <c r="P19" s="94"/>
      <c r="Q19" s="95"/>
      <c r="S19" s="80"/>
      <c r="T19" s="82"/>
      <c r="U19" s="80"/>
      <c r="V19" s="81"/>
      <c r="W19" s="81"/>
      <c r="X19" s="81"/>
      <c r="Y19" s="81"/>
      <c r="Z19" s="82"/>
      <c r="AA19" s="88"/>
      <c r="AB19" s="89"/>
      <c r="AC19" s="88"/>
      <c r="AD19" s="89"/>
      <c r="AE19" s="80"/>
      <c r="AF19" s="82"/>
      <c r="AG19" s="94"/>
      <c r="AH19" s="95"/>
    </row>
    <row r="20" spans="2:34" x14ac:dyDescent="0.25">
      <c r="B20" s="75"/>
      <c r="C20" s="76"/>
      <c r="D20" s="83"/>
      <c r="E20" s="84"/>
      <c r="F20" s="84"/>
      <c r="G20" s="84"/>
      <c r="H20" s="84"/>
      <c r="I20" s="85"/>
      <c r="J20" s="90"/>
      <c r="K20" s="91"/>
      <c r="L20" s="90"/>
      <c r="M20" s="91"/>
      <c r="N20" s="83"/>
      <c r="O20" s="85"/>
      <c r="P20" s="96"/>
      <c r="Q20" s="97"/>
      <c r="S20" s="83"/>
      <c r="T20" s="85"/>
      <c r="U20" s="83"/>
      <c r="V20" s="84"/>
      <c r="W20" s="84"/>
      <c r="X20" s="84"/>
      <c r="Y20" s="84"/>
      <c r="Z20" s="85"/>
      <c r="AA20" s="90"/>
      <c r="AB20" s="91"/>
      <c r="AC20" s="90"/>
      <c r="AD20" s="91"/>
      <c r="AE20" s="83"/>
      <c r="AF20" s="85"/>
      <c r="AG20" s="96"/>
      <c r="AH20" s="97"/>
    </row>
    <row r="21" spans="2:34" x14ac:dyDescent="0.25">
      <c r="B21" s="71"/>
      <c r="C21" s="72"/>
      <c r="D21" s="77"/>
      <c r="E21" s="78"/>
      <c r="F21" s="78"/>
      <c r="G21" s="78"/>
      <c r="H21" s="78"/>
      <c r="I21" s="79"/>
      <c r="J21" s="86"/>
      <c r="K21" s="87"/>
      <c r="L21" s="86"/>
      <c r="M21" s="87"/>
      <c r="N21" s="77"/>
      <c r="O21" s="79"/>
      <c r="P21" s="92"/>
      <c r="Q21" s="93"/>
      <c r="S21" s="77"/>
      <c r="T21" s="79"/>
      <c r="U21" s="77"/>
      <c r="V21" s="78"/>
      <c r="W21" s="78"/>
      <c r="X21" s="78"/>
      <c r="Y21" s="78"/>
      <c r="Z21" s="79"/>
      <c r="AA21" s="86"/>
      <c r="AB21" s="87"/>
      <c r="AC21" s="86"/>
      <c r="AD21" s="87"/>
      <c r="AE21" s="77"/>
      <c r="AF21" s="79"/>
      <c r="AG21" s="92"/>
      <c r="AH21" s="93"/>
    </row>
    <row r="22" spans="2:34" x14ac:dyDescent="0.25">
      <c r="B22" s="73"/>
      <c r="C22" s="74"/>
      <c r="D22" s="80"/>
      <c r="E22" s="81"/>
      <c r="F22" s="81"/>
      <c r="G22" s="81"/>
      <c r="H22" s="81"/>
      <c r="I22" s="82"/>
      <c r="J22" s="88"/>
      <c r="K22" s="89"/>
      <c r="L22" s="88"/>
      <c r="M22" s="89"/>
      <c r="N22" s="80"/>
      <c r="O22" s="82"/>
      <c r="P22" s="94"/>
      <c r="Q22" s="95"/>
      <c r="S22" s="80"/>
      <c r="T22" s="82"/>
      <c r="U22" s="80"/>
      <c r="V22" s="81"/>
      <c r="W22" s="81"/>
      <c r="X22" s="81"/>
      <c r="Y22" s="81"/>
      <c r="Z22" s="82"/>
      <c r="AA22" s="88"/>
      <c r="AB22" s="89"/>
      <c r="AC22" s="88"/>
      <c r="AD22" s="89"/>
      <c r="AE22" s="80"/>
      <c r="AF22" s="82"/>
      <c r="AG22" s="94"/>
      <c r="AH22" s="95"/>
    </row>
    <row r="23" spans="2:34" x14ac:dyDescent="0.25">
      <c r="B23" s="75"/>
      <c r="C23" s="76"/>
      <c r="D23" s="83"/>
      <c r="E23" s="84"/>
      <c r="F23" s="84"/>
      <c r="G23" s="84"/>
      <c r="H23" s="84"/>
      <c r="I23" s="85"/>
      <c r="J23" s="90"/>
      <c r="K23" s="91"/>
      <c r="L23" s="90"/>
      <c r="M23" s="91"/>
      <c r="N23" s="83"/>
      <c r="O23" s="85"/>
      <c r="P23" s="96"/>
      <c r="Q23" s="97"/>
      <c r="S23" s="83"/>
      <c r="T23" s="85"/>
      <c r="U23" s="83"/>
      <c r="V23" s="84"/>
      <c r="W23" s="84"/>
      <c r="X23" s="84"/>
      <c r="Y23" s="84"/>
      <c r="Z23" s="85"/>
      <c r="AA23" s="90"/>
      <c r="AB23" s="91"/>
      <c r="AC23" s="90"/>
      <c r="AD23" s="91"/>
      <c r="AE23" s="83"/>
      <c r="AF23" s="85"/>
      <c r="AG23" s="96"/>
      <c r="AH23" s="97"/>
    </row>
    <row r="24" spans="2:34" x14ac:dyDescent="0.25">
      <c r="B24" s="71"/>
      <c r="C24" s="72"/>
      <c r="D24" s="77"/>
      <c r="E24" s="78"/>
      <c r="F24" s="78"/>
      <c r="G24" s="78"/>
      <c r="H24" s="78"/>
      <c r="I24" s="79"/>
      <c r="J24" s="86"/>
      <c r="K24" s="87"/>
      <c r="L24" s="86"/>
      <c r="M24" s="87"/>
      <c r="N24" s="77"/>
      <c r="O24" s="79"/>
      <c r="P24" s="92"/>
      <c r="Q24" s="93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8"/>
      <c r="AD24" s="98"/>
      <c r="AE24" s="98"/>
      <c r="AF24" s="98"/>
      <c r="AG24" s="98"/>
      <c r="AH24" s="98"/>
    </row>
    <row r="25" spans="2:34" x14ac:dyDescent="0.25">
      <c r="B25" s="73"/>
      <c r="C25" s="74"/>
      <c r="D25" s="80"/>
      <c r="E25" s="81"/>
      <c r="F25" s="81"/>
      <c r="G25" s="81"/>
      <c r="H25" s="81"/>
      <c r="I25" s="82"/>
      <c r="J25" s="88"/>
      <c r="K25" s="89"/>
      <c r="L25" s="88"/>
      <c r="M25" s="89"/>
      <c r="N25" s="80"/>
      <c r="O25" s="82"/>
      <c r="P25" s="94"/>
      <c r="Q25" s="95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8"/>
      <c r="AD25" s="98"/>
      <c r="AE25" s="98"/>
      <c r="AF25" s="98"/>
      <c r="AG25" s="98"/>
      <c r="AH25" s="98"/>
    </row>
    <row r="26" spans="2:34" x14ac:dyDescent="0.25">
      <c r="B26" s="75"/>
      <c r="C26" s="76"/>
      <c r="D26" s="83"/>
      <c r="E26" s="84"/>
      <c r="F26" s="84"/>
      <c r="G26" s="84"/>
      <c r="H26" s="84"/>
      <c r="I26" s="85"/>
      <c r="J26" s="90"/>
      <c r="K26" s="91"/>
      <c r="L26" s="90"/>
      <c r="M26" s="91"/>
      <c r="N26" s="83"/>
      <c r="O26" s="85"/>
      <c r="P26" s="96"/>
      <c r="Q26" s="97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8"/>
      <c r="AD26" s="98"/>
      <c r="AE26" s="98"/>
      <c r="AF26" s="98"/>
      <c r="AG26" s="98"/>
      <c r="AH26" s="98"/>
    </row>
    <row r="27" spans="2:34" x14ac:dyDescent="0.25">
      <c r="B27" s="71"/>
      <c r="C27" s="72"/>
      <c r="D27" s="77"/>
      <c r="E27" s="78"/>
      <c r="F27" s="78"/>
      <c r="G27" s="78"/>
      <c r="H27" s="78"/>
      <c r="I27" s="79"/>
      <c r="J27" s="86"/>
      <c r="K27" s="87"/>
      <c r="L27" s="86"/>
      <c r="M27" s="87"/>
      <c r="N27" s="77"/>
      <c r="O27" s="79"/>
      <c r="P27" s="92"/>
      <c r="Q27" s="93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8"/>
      <c r="AD27" s="98"/>
      <c r="AE27" s="98"/>
      <c r="AF27" s="98"/>
      <c r="AG27" s="98"/>
      <c r="AH27" s="98"/>
    </row>
    <row r="28" spans="2:34" x14ac:dyDescent="0.25">
      <c r="B28" s="73"/>
      <c r="C28" s="74"/>
      <c r="D28" s="80"/>
      <c r="E28" s="81"/>
      <c r="F28" s="81"/>
      <c r="G28" s="81"/>
      <c r="H28" s="81"/>
      <c r="I28" s="82"/>
      <c r="J28" s="88"/>
      <c r="K28" s="89"/>
      <c r="L28" s="88"/>
      <c r="M28" s="89"/>
      <c r="N28" s="80"/>
      <c r="O28" s="82"/>
      <c r="P28" s="94"/>
      <c r="Q28" s="95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8"/>
      <c r="AD28" s="98"/>
      <c r="AE28" s="98"/>
      <c r="AF28" s="98"/>
      <c r="AG28" s="98"/>
      <c r="AH28" s="98"/>
    </row>
    <row r="29" spans="2:34" x14ac:dyDescent="0.25">
      <c r="B29" s="75"/>
      <c r="C29" s="76"/>
      <c r="D29" s="83"/>
      <c r="E29" s="84"/>
      <c r="F29" s="84"/>
      <c r="G29" s="84"/>
      <c r="H29" s="84"/>
      <c r="I29" s="85"/>
      <c r="J29" s="90"/>
      <c r="K29" s="91"/>
      <c r="L29" s="90"/>
      <c r="M29" s="91"/>
      <c r="N29" s="83"/>
      <c r="O29" s="85"/>
      <c r="P29" s="96"/>
      <c r="Q29" s="97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8"/>
      <c r="AD29" s="98"/>
      <c r="AE29" s="98"/>
      <c r="AF29" s="98"/>
      <c r="AG29" s="98"/>
      <c r="AH29" s="98"/>
    </row>
    <row r="30" spans="2:34" x14ac:dyDescent="0.25">
      <c r="B30" s="71"/>
      <c r="C30" s="72"/>
      <c r="D30" s="77"/>
      <c r="E30" s="78"/>
      <c r="F30" s="78"/>
      <c r="G30" s="78"/>
      <c r="H30" s="78"/>
      <c r="I30" s="79"/>
      <c r="J30" s="86"/>
      <c r="K30" s="87"/>
      <c r="L30" s="86"/>
      <c r="M30" s="87"/>
      <c r="N30" s="77"/>
      <c r="O30" s="79"/>
      <c r="P30" s="92"/>
      <c r="Q30" s="93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8"/>
      <c r="AD30" s="98"/>
      <c r="AE30" s="98"/>
      <c r="AF30" s="98"/>
      <c r="AG30" s="98"/>
      <c r="AH30" s="98"/>
    </row>
    <row r="31" spans="2:34" x14ac:dyDescent="0.25">
      <c r="B31" s="73"/>
      <c r="C31" s="74"/>
      <c r="D31" s="80"/>
      <c r="E31" s="81"/>
      <c r="F31" s="81"/>
      <c r="G31" s="81"/>
      <c r="H31" s="81"/>
      <c r="I31" s="82"/>
      <c r="J31" s="88"/>
      <c r="K31" s="89"/>
      <c r="L31" s="88"/>
      <c r="M31" s="89"/>
      <c r="N31" s="80"/>
      <c r="O31" s="82"/>
      <c r="P31" s="94"/>
      <c r="Q31" s="95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8"/>
      <c r="AD31" s="98"/>
      <c r="AE31" s="98"/>
      <c r="AF31" s="98"/>
      <c r="AG31" s="98"/>
      <c r="AH31" s="98"/>
    </row>
    <row r="32" spans="2:34" x14ac:dyDescent="0.25">
      <c r="B32" s="75"/>
      <c r="C32" s="76"/>
      <c r="D32" s="83"/>
      <c r="E32" s="84"/>
      <c r="F32" s="84"/>
      <c r="G32" s="84"/>
      <c r="H32" s="84"/>
      <c r="I32" s="85"/>
      <c r="J32" s="90"/>
      <c r="K32" s="91"/>
      <c r="L32" s="90"/>
      <c r="M32" s="91"/>
      <c r="N32" s="83"/>
      <c r="O32" s="85"/>
      <c r="P32" s="96"/>
      <c r="Q32" s="97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8"/>
      <c r="AD32" s="98"/>
      <c r="AE32" s="98"/>
      <c r="AF32" s="98"/>
      <c r="AG32" s="98"/>
      <c r="AH32" s="98"/>
    </row>
    <row r="33" spans="2:34" x14ac:dyDescent="0.25">
      <c r="B33" s="71"/>
      <c r="C33" s="72"/>
      <c r="D33" s="77"/>
      <c r="E33" s="78"/>
      <c r="F33" s="78"/>
      <c r="G33" s="78"/>
      <c r="H33" s="78"/>
      <c r="I33" s="79"/>
      <c r="J33" s="86"/>
      <c r="K33" s="87"/>
      <c r="L33" s="86"/>
      <c r="M33" s="87"/>
      <c r="N33" s="77"/>
      <c r="O33" s="79"/>
      <c r="P33" s="92"/>
      <c r="Q33" s="93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8"/>
      <c r="AD33" s="98"/>
      <c r="AE33" s="98"/>
      <c r="AF33" s="98"/>
      <c r="AG33" s="98"/>
      <c r="AH33" s="98"/>
    </row>
    <row r="34" spans="2:34" x14ac:dyDescent="0.25">
      <c r="B34" s="73"/>
      <c r="C34" s="74"/>
      <c r="D34" s="80"/>
      <c r="E34" s="81"/>
      <c r="F34" s="81"/>
      <c r="G34" s="81"/>
      <c r="H34" s="81"/>
      <c r="I34" s="82"/>
      <c r="J34" s="88"/>
      <c r="K34" s="89"/>
      <c r="L34" s="88"/>
      <c r="M34" s="89"/>
      <c r="N34" s="80"/>
      <c r="O34" s="82"/>
      <c r="P34" s="94"/>
      <c r="Q34" s="95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8"/>
      <c r="AD34" s="98"/>
      <c r="AE34" s="98"/>
      <c r="AF34" s="98"/>
      <c r="AG34" s="98"/>
      <c r="AH34" s="98"/>
    </row>
    <row r="35" spans="2:34" x14ac:dyDescent="0.25">
      <c r="B35" s="75"/>
      <c r="C35" s="76"/>
      <c r="D35" s="83"/>
      <c r="E35" s="84"/>
      <c r="F35" s="84"/>
      <c r="G35" s="84"/>
      <c r="H35" s="84"/>
      <c r="I35" s="85"/>
      <c r="J35" s="90"/>
      <c r="K35" s="91"/>
      <c r="L35" s="90"/>
      <c r="M35" s="91"/>
      <c r="N35" s="83"/>
      <c r="O35" s="85"/>
      <c r="P35" s="96"/>
      <c r="Q35" s="97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8"/>
      <c r="AD35" s="98"/>
      <c r="AE35" s="98"/>
      <c r="AF35" s="98"/>
      <c r="AG35" s="98"/>
      <c r="AH35" s="98"/>
    </row>
    <row r="36" spans="2:34" x14ac:dyDescent="0.25">
      <c r="B36" s="71"/>
      <c r="C36" s="72"/>
      <c r="D36" s="77"/>
      <c r="E36" s="78"/>
      <c r="F36" s="78"/>
      <c r="G36" s="78"/>
      <c r="H36" s="78"/>
      <c r="I36" s="79"/>
      <c r="J36" s="86"/>
      <c r="K36" s="87"/>
      <c r="L36" s="86"/>
      <c r="M36" s="87"/>
      <c r="N36" s="77"/>
      <c r="O36" s="79"/>
      <c r="P36" s="92"/>
      <c r="Q36" s="93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8"/>
      <c r="AD36" s="98"/>
      <c r="AE36" s="98"/>
      <c r="AF36" s="98"/>
      <c r="AG36" s="98"/>
      <c r="AH36" s="98"/>
    </row>
    <row r="37" spans="2:34" x14ac:dyDescent="0.25">
      <c r="B37" s="73"/>
      <c r="C37" s="74"/>
      <c r="D37" s="80"/>
      <c r="E37" s="81"/>
      <c r="F37" s="81"/>
      <c r="G37" s="81"/>
      <c r="H37" s="81"/>
      <c r="I37" s="82"/>
      <c r="J37" s="88"/>
      <c r="K37" s="89"/>
      <c r="L37" s="88"/>
      <c r="M37" s="89"/>
      <c r="N37" s="80"/>
      <c r="O37" s="82"/>
      <c r="P37" s="94"/>
      <c r="Q37" s="95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8"/>
      <c r="AD37" s="98"/>
      <c r="AE37" s="98"/>
      <c r="AF37" s="98"/>
      <c r="AG37" s="98"/>
      <c r="AH37" s="98"/>
    </row>
    <row r="38" spans="2:34" x14ac:dyDescent="0.25">
      <c r="B38" s="75"/>
      <c r="C38" s="76"/>
      <c r="D38" s="83"/>
      <c r="E38" s="84"/>
      <c r="F38" s="84"/>
      <c r="G38" s="84"/>
      <c r="H38" s="84"/>
      <c r="I38" s="85"/>
      <c r="J38" s="90"/>
      <c r="K38" s="91"/>
      <c r="L38" s="90"/>
      <c r="M38" s="91"/>
      <c r="N38" s="83"/>
      <c r="O38" s="85"/>
      <c r="P38" s="96"/>
      <c r="Q38" s="97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8"/>
      <c r="AD38" s="98"/>
      <c r="AE38" s="98"/>
      <c r="AF38" s="98"/>
      <c r="AG38" s="98"/>
      <c r="AH38" s="98"/>
    </row>
    <row r="39" spans="2:34" x14ac:dyDescent="0.25">
      <c r="B39" s="71"/>
      <c r="C39" s="72"/>
      <c r="D39" s="77"/>
      <c r="E39" s="78"/>
      <c r="F39" s="78"/>
      <c r="G39" s="78"/>
      <c r="H39" s="78"/>
      <c r="I39" s="79"/>
      <c r="J39" s="86"/>
      <c r="K39" s="87"/>
      <c r="L39" s="86"/>
      <c r="M39" s="87"/>
      <c r="N39" s="77"/>
      <c r="O39" s="79"/>
      <c r="P39" s="92"/>
      <c r="Q39" s="93"/>
      <c r="S39" s="99"/>
      <c r="T39" s="99"/>
      <c r="U39" s="99"/>
      <c r="V39" s="99"/>
      <c r="W39" s="99"/>
      <c r="X39" s="99"/>
      <c r="Y39" s="99"/>
      <c r="Z39" s="99"/>
      <c r="AA39" s="99"/>
      <c r="AB39" s="99"/>
      <c r="AC39" s="98"/>
      <c r="AD39" s="98"/>
      <c r="AE39" s="98"/>
      <c r="AF39" s="98"/>
      <c r="AG39" s="98"/>
      <c r="AH39" s="98"/>
    </row>
    <row r="40" spans="2:34" x14ac:dyDescent="0.25">
      <c r="B40" s="73"/>
      <c r="C40" s="74"/>
      <c r="D40" s="80"/>
      <c r="E40" s="81"/>
      <c r="F40" s="81"/>
      <c r="G40" s="81"/>
      <c r="H40" s="81"/>
      <c r="I40" s="82"/>
      <c r="J40" s="88"/>
      <c r="K40" s="89"/>
      <c r="L40" s="88"/>
      <c r="M40" s="89"/>
      <c r="N40" s="80"/>
      <c r="O40" s="82"/>
      <c r="P40" s="94"/>
      <c r="Q40" s="95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8"/>
      <c r="AD40" s="98"/>
      <c r="AE40" s="98"/>
      <c r="AF40" s="98"/>
      <c r="AG40" s="98"/>
      <c r="AH40" s="98"/>
    </row>
    <row r="41" spans="2:34" x14ac:dyDescent="0.25">
      <c r="B41" s="75"/>
      <c r="C41" s="76"/>
      <c r="D41" s="83"/>
      <c r="E41" s="84"/>
      <c r="F41" s="84"/>
      <c r="G41" s="84"/>
      <c r="H41" s="84"/>
      <c r="I41" s="85"/>
      <c r="J41" s="90"/>
      <c r="K41" s="91"/>
      <c r="L41" s="90"/>
      <c r="M41" s="91"/>
      <c r="N41" s="83"/>
      <c r="O41" s="85"/>
      <c r="P41" s="96"/>
      <c r="Q41" s="97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8"/>
      <c r="AD41" s="98"/>
      <c r="AE41" s="98"/>
      <c r="AF41" s="98"/>
      <c r="AG41" s="98"/>
      <c r="AH41" s="98"/>
    </row>
    <row r="42" spans="2:34" x14ac:dyDescent="0.25">
      <c r="B42" s="71"/>
      <c r="C42" s="72"/>
      <c r="D42" s="77"/>
      <c r="E42" s="78"/>
      <c r="F42" s="78"/>
      <c r="G42" s="78"/>
      <c r="H42" s="78"/>
      <c r="I42" s="79"/>
      <c r="J42" s="86"/>
      <c r="K42" s="87"/>
      <c r="L42" s="86"/>
      <c r="M42" s="87"/>
      <c r="N42" s="77"/>
      <c r="O42" s="79"/>
      <c r="P42" s="92"/>
      <c r="Q42" s="93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8"/>
      <c r="AD42" s="98"/>
      <c r="AE42" s="98"/>
      <c r="AF42" s="98"/>
      <c r="AG42" s="98"/>
      <c r="AH42" s="98"/>
    </row>
    <row r="43" spans="2:34" x14ac:dyDescent="0.25">
      <c r="B43" s="73"/>
      <c r="C43" s="74"/>
      <c r="D43" s="80"/>
      <c r="E43" s="81"/>
      <c r="F43" s="81"/>
      <c r="G43" s="81"/>
      <c r="H43" s="81"/>
      <c r="I43" s="82"/>
      <c r="J43" s="88"/>
      <c r="K43" s="89"/>
      <c r="L43" s="88"/>
      <c r="M43" s="89"/>
      <c r="N43" s="80"/>
      <c r="O43" s="82"/>
      <c r="P43" s="94"/>
      <c r="Q43" s="95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8"/>
      <c r="AD43" s="98"/>
      <c r="AE43" s="98"/>
      <c r="AF43" s="98"/>
      <c r="AG43" s="98"/>
      <c r="AH43" s="98"/>
    </row>
    <row r="44" spans="2:34" x14ac:dyDescent="0.25">
      <c r="B44" s="75"/>
      <c r="C44" s="76"/>
      <c r="D44" s="83"/>
      <c r="E44" s="84"/>
      <c r="F44" s="84"/>
      <c r="G44" s="84"/>
      <c r="H44" s="84"/>
      <c r="I44" s="85"/>
      <c r="J44" s="90"/>
      <c r="K44" s="91"/>
      <c r="L44" s="90"/>
      <c r="M44" s="91"/>
      <c r="N44" s="83"/>
      <c r="O44" s="85"/>
      <c r="P44" s="96"/>
      <c r="Q44" s="97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8"/>
      <c r="AD44" s="98"/>
      <c r="AE44" s="98"/>
      <c r="AF44" s="98"/>
      <c r="AG44" s="98"/>
      <c r="AH44" s="98"/>
    </row>
    <row r="45" spans="2:34" x14ac:dyDescent="0.25">
      <c r="B45" s="71"/>
      <c r="C45" s="72"/>
      <c r="D45" s="77"/>
      <c r="E45" s="78"/>
      <c r="F45" s="78"/>
      <c r="G45" s="78"/>
      <c r="H45" s="78"/>
      <c r="I45" s="79"/>
      <c r="J45" s="86"/>
      <c r="K45" s="87"/>
      <c r="L45" s="86"/>
      <c r="M45" s="87"/>
      <c r="N45" s="77"/>
      <c r="O45" s="79"/>
      <c r="P45" s="92"/>
      <c r="Q45" s="93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8"/>
      <c r="AD45" s="98"/>
      <c r="AE45" s="98"/>
      <c r="AF45" s="98"/>
      <c r="AG45" s="98"/>
      <c r="AH45" s="98"/>
    </row>
    <row r="46" spans="2:34" x14ac:dyDescent="0.25">
      <c r="B46" s="73"/>
      <c r="C46" s="74"/>
      <c r="D46" s="80"/>
      <c r="E46" s="81"/>
      <c r="F46" s="81"/>
      <c r="G46" s="81"/>
      <c r="H46" s="81"/>
      <c r="I46" s="82"/>
      <c r="J46" s="88"/>
      <c r="K46" s="89"/>
      <c r="L46" s="88"/>
      <c r="M46" s="89"/>
      <c r="N46" s="80"/>
      <c r="O46" s="82"/>
      <c r="P46" s="94"/>
      <c r="Q46" s="95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8"/>
      <c r="AD46" s="98"/>
      <c r="AE46" s="98"/>
      <c r="AF46" s="98"/>
      <c r="AG46" s="98"/>
      <c r="AH46" s="98"/>
    </row>
    <row r="47" spans="2:34" x14ac:dyDescent="0.25">
      <c r="B47" s="75"/>
      <c r="C47" s="76"/>
      <c r="D47" s="83"/>
      <c r="E47" s="84"/>
      <c r="F47" s="84"/>
      <c r="G47" s="84"/>
      <c r="H47" s="84"/>
      <c r="I47" s="85"/>
      <c r="J47" s="90"/>
      <c r="K47" s="91"/>
      <c r="L47" s="90"/>
      <c r="M47" s="91"/>
      <c r="N47" s="83"/>
      <c r="O47" s="85"/>
      <c r="P47" s="96"/>
      <c r="Q47" s="97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8"/>
      <c r="AD47" s="98"/>
      <c r="AE47" s="98"/>
      <c r="AF47" s="98"/>
      <c r="AG47" s="98"/>
      <c r="AH47" s="98"/>
    </row>
    <row r="48" spans="2:34" x14ac:dyDescent="0.25">
      <c r="B48" s="71"/>
      <c r="C48" s="72"/>
      <c r="D48" s="77"/>
      <c r="E48" s="78"/>
      <c r="F48" s="78"/>
      <c r="G48" s="78"/>
      <c r="H48" s="78"/>
      <c r="I48" s="79"/>
      <c r="J48" s="86"/>
      <c r="K48" s="87"/>
      <c r="L48" s="86"/>
      <c r="M48" s="87"/>
      <c r="N48" s="77"/>
      <c r="O48" s="79"/>
      <c r="P48" s="92"/>
      <c r="Q48" s="93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8"/>
      <c r="AD48" s="98"/>
      <c r="AE48" s="98"/>
      <c r="AF48" s="98"/>
      <c r="AG48" s="98"/>
      <c r="AH48" s="98"/>
    </row>
    <row r="49" spans="2:34" x14ac:dyDescent="0.25">
      <c r="B49" s="73"/>
      <c r="C49" s="74"/>
      <c r="D49" s="80"/>
      <c r="E49" s="81"/>
      <c r="F49" s="81"/>
      <c r="G49" s="81"/>
      <c r="H49" s="81"/>
      <c r="I49" s="82"/>
      <c r="J49" s="88"/>
      <c r="K49" s="89"/>
      <c r="L49" s="88"/>
      <c r="M49" s="89"/>
      <c r="N49" s="80"/>
      <c r="O49" s="82"/>
      <c r="P49" s="94"/>
      <c r="Q49" s="95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8"/>
      <c r="AD49" s="98"/>
      <c r="AE49" s="98"/>
      <c r="AF49" s="98"/>
      <c r="AG49" s="98"/>
      <c r="AH49" s="98"/>
    </row>
    <row r="50" spans="2:34" x14ac:dyDescent="0.25">
      <c r="B50" s="75"/>
      <c r="C50" s="76"/>
      <c r="D50" s="83"/>
      <c r="E50" s="84"/>
      <c r="F50" s="84"/>
      <c r="G50" s="84"/>
      <c r="H50" s="84"/>
      <c r="I50" s="85"/>
      <c r="J50" s="90"/>
      <c r="K50" s="91"/>
      <c r="L50" s="90"/>
      <c r="M50" s="91"/>
      <c r="N50" s="83"/>
      <c r="O50" s="85"/>
      <c r="P50" s="96"/>
      <c r="Q50" s="97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8"/>
      <c r="AD50" s="98"/>
      <c r="AE50" s="98"/>
      <c r="AF50" s="98"/>
      <c r="AG50" s="98"/>
      <c r="AH50" s="98"/>
    </row>
    <row r="51" spans="2:34" x14ac:dyDescent="0.25">
      <c r="B51" s="71"/>
      <c r="C51" s="72"/>
      <c r="D51" s="77"/>
      <c r="E51" s="78"/>
      <c r="F51" s="78"/>
      <c r="G51" s="78"/>
      <c r="H51" s="78"/>
      <c r="I51" s="79"/>
      <c r="J51" s="86"/>
      <c r="K51" s="87"/>
      <c r="L51" s="86"/>
      <c r="M51" s="87"/>
      <c r="N51" s="77"/>
      <c r="O51" s="79"/>
      <c r="P51" s="92"/>
      <c r="Q51" s="93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8"/>
      <c r="AD51" s="98"/>
      <c r="AE51" s="98"/>
      <c r="AF51" s="98"/>
      <c r="AG51" s="98"/>
      <c r="AH51" s="98"/>
    </row>
    <row r="52" spans="2:34" x14ac:dyDescent="0.25">
      <c r="B52" s="73"/>
      <c r="C52" s="74"/>
      <c r="D52" s="80"/>
      <c r="E52" s="81"/>
      <c r="F52" s="81"/>
      <c r="G52" s="81"/>
      <c r="H52" s="81"/>
      <c r="I52" s="82"/>
      <c r="J52" s="88"/>
      <c r="K52" s="89"/>
      <c r="L52" s="88"/>
      <c r="M52" s="89"/>
      <c r="N52" s="80"/>
      <c r="O52" s="82"/>
      <c r="P52" s="94"/>
      <c r="Q52" s="95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8"/>
      <c r="AD52" s="98"/>
      <c r="AE52" s="98"/>
      <c r="AF52" s="98"/>
      <c r="AG52" s="98"/>
      <c r="AH52" s="98"/>
    </row>
    <row r="53" spans="2:34" x14ac:dyDescent="0.25">
      <c r="B53" s="75"/>
      <c r="C53" s="76"/>
      <c r="D53" s="83"/>
      <c r="E53" s="84"/>
      <c r="F53" s="84"/>
      <c r="G53" s="84"/>
      <c r="H53" s="84"/>
      <c r="I53" s="85"/>
      <c r="J53" s="90"/>
      <c r="K53" s="91"/>
      <c r="L53" s="90"/>
      <c r="M53" s="91"/>
      <c r="N53" s="83"/>
      <c r="O53" s="85"/>
      <c r="P53" s="96"/>
      <c r="Q53" s="97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8"/>
      <c r="AD53" s="98"/>
      <c r="AE53" s="98"/>
      <c r="AF53" s="98"/>
      <c r="AG53" s="98"/>
      <c r="AH53" s="98"/>
    </row>
    <row r="54" spans="2:34" x14ac:dyDescent="0.25">
      <c r="B54" s="71"/>
      <c r="C54" s="72"/>
      <c r="D54" s="77"/>
      <c r="E54" s="78"/>
      <c r="F54" s="78"/>
      <c r="G54" s="78"/>
      <c r="H54" s="78"/>
      <c r="I54" s="79"/>
      <c r="J54" s="86"/>
      <c r="K54" s="87"/>
      <c r="L54" s="86"/>
      <c r="M54" s="87"/>
      <c r="N54" s="77"/>
      <c r="O54" s="79"/>
      <c r="P54" s="92"/>
      <c r="Q54" s="93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8"/>
      <c r="AD54" s="98"/>
      <c r="AE54" s="98"/>
      <c r="AF54" s="98"/>
      <c r="AG54" s="98"/>
      <c r="AH54" s="98"/>
    </row>
    <row r="55" spans="2:34" x14ac:dyDescent="0.25">
      <c r="B55" s="73"/>
      <c r="C55" s="74"/>
      <c r="D55" s="80"/>
      <c r="E55" s="81"/>
      <c r="F55" s="81"/>
      <c r="G55" s="81"/>
      <c r="H55" s="81"/>
      <c r="I55" s="82"/>
      <c r="J55" s="88"/>
      <c r="K55" s="89"/>
      <c r="L55" s="88"/>
      <c r="M55" s="89"/>
      <c r="N55" s="80"/>
      <c r="O55" s="82"/>
      <c r="P55" s="94"/>
      <c r="Q55" s="95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8"/>
      <c r="AD55" s="98"/>
      <c r="AE55" s="98"/>
      <c r="AF55" s="98"/>
      <c r="AG55" s="98"/>
      <c r="AH55" s="98"/>
    </row>
    <row r="56" spans="2:34" x14ac:dyDescent="0.25">
      <c r="B56" s="75"/>
      <c r="C56" s="76"/>
      <c r="D56" s="83"/>
      <c r="E56" s="84"/>
      <c r="F56" s="84"/>
      <c r="G56" s="84"/>
      <c r="H56" s="84"/>
      <c r="I56" s="85"/>
      <c r="J56" s="90"/>
      <c r="K56" s="91"/>
      <c r="L56" s="90"/>
      <c r="M56" s="91"/>
      <c r="N56" s="83"/>
      <c r="O56" s="85"/>
      <c r="P56" s="96"/>
      <c r="Q56" s="97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8"/>
      <c r="AD56" s="98"/>
      <c r="AE56" s="98"/>
      <c r="AF56" s="98"/>
      <c r="AG56" s="98"/>
      <c r="AH56" s="98"/>
    </row>
    <row r="57" spans="2:34" x14ac:dyDescent="0.25">
      <c r="B57" s="71"/>
      <c r="C57" s="72"/>
      <c r="D57" s="77"/>
      <c r="E57" s="78"/>
      <c r="F57" s="78"/>
      <c r="G57" s="78"/>
      <c r="H57" s="78"/>
      <c r="I57" s="79"/>
      <c r="J57" s="86"/>
      <c r="K57" s="87"/>
      <c r="L57" s="86"/>
      <c r="M57" s="87"/>
      <c r="N57" s="77"/>
      <c r="O57" s="79"/>
      <c r="P57" s="92"/>
      <c r="Q57" s="93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8"/>
      <c r="AD57" s="98"/>
      <c r="AE57" s="98"/>
      <c r="AF57" s="98"/>
      <c r="AG57" s="98"/>
      <c r="AH57" s="98"/>
    </row>
    <row r="58" spans="2:34" x14ac:dyDescent="0.25">
      <c r="B58" s="73"/>
      <c r="C58" s="74"/>
      <c r="D58" s="80"/>
      <c r="E58" s="81"/>
      <c r="F58" s="81"/>
      <c r="G58" s="81"/>
      <c r="H58" s="81"/>
      <c r="I58" s="82"/>
      <c r="J58" s="88"/>
      <c r="K58" s="89"/>
      <c r="L58" s="88"/>
      <c r="M58" s="89"/>
      <c r="N58" s="80"/>
      <c r="O58" s="82"/>
      <c r="P58" s="94"/>
      <c r="Q58" s="95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8"/>
      <c r="AD58" s="98"/>
      <c r="AE58" s="98"/>
      <c r="AF58" s="98"/>
      <c r="AG58" s="98"/>
      <c r="AH58" s="98"/>
    </row>
    <row r="59" spans="2:34" x14ac:dyDescent="0.25">
      <c r="B59" s="75"/>
      <c r="C59" s="76"/>
      <c r="D59" s="83"/>
      <c r="E59" s="84"/>
      <c r="F59" s="84"/>
      <c r="G59" s="84"/>
      <c r="H59" s="84"/>
      <c r="I59" s="85"/>
      <c r="J59" s="90"/>
      <c r="K59" s="91"/>
      <c r="L59" s="90"/>
      <c r="M59" s="91"/>
      <c r="N59" s="83"/>
      <c r="O59" s="85"/>
      <c r="P59" s="96"/>
      <c r="Q59" s="97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8"/>
      <c r="AD59" s="98"/>
      <c r="AE59" s="98"/>
      <c r="AF59" s="98"/>
      <c r="AG59" s="98"/>
      <c r="AH59" s="98"/>
    </row>
    <row r="60" spans="2:34" x14ac:dyDescent="0.25">
      <c r="B60" s="71"/>
      <c r="C60" s="72"/>
      <c r="D60" s="77"/>
      <c r="E60" s="78"/>
      <c r="F60" s="78"/>
      <c r="G60" s="78"/>
      <c r="H60" s="78"/>
      <c r="I60" s="79"/>
      <c r="J60" s="86"/>
      <c r="K60" s="87"/>
      <c r="L60" s="86"/>
      <c r="M60" s="87"/>
      <c r="N60" s="77"/>
      <c r="O60" s="79"/>
      <c r="P60" s="92"/>
      <c r="Q60" s="93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8"/>
      <c r="AD60" s="98"/>
      <c r="AE60" s="98"/>
      <c r="AF60" s="98"/>
      <c r="AG60" s="98"/>
      <c r="AH60" s="98"/>
    </row>
    <row r="61" spans="2:34" x14ac:dyDescent="0.25">
      <c r="B61" s="73"/>
      <c r="C61" s="74"/>
      <c r="D61" s="80"/>
      <c r="E61" s="81"/>
      <c r="F61" s="81"/>
      <c r="G61" s="81"/>
      <c r="H61" s="81"/>
      <c r="I61" s="82"/>
      <c r="J61" s="88"/>
      <c r="K61" s="89"/>
      <c r="L61" s="88"/>
      <c r="M61" s="89"/>
      <c r="N61" s="80"/>
      <c r="O61" s="82"/>
      <c r="P61" s="94"/>
      <c r="Q61" s="95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8"/>
      <c r="AD61" s="98"/>
      <c r="AE61" s="98"/>
      <c r="AF61" s="98"/>
      <c r="AG61" s="98"/>
      <c r="AH61" s="98"/>
    </row>
    <row r="62" spans="2:34" x14ac:dyDescent="0.25">
      <c r="B62" s="75"/>
      <c r="C62" s="76"/>
      <c r="D62" s="83"/>
      <c r="E62" s="84"/>
      <c r="F62" s="84"/>
      <c r="G62" s="84"/>
      <c r="H62" s="84"/>
      <c r="I62" s="85"/>
      <c r="J62" s="90"/>
      <c r="K62" s="91"/>
      <c r="L62" s="90"/>
      <c r="M62" s="91"/>
      <c r="N62" s="83"/>
      <c r="O62" s="85"/>
      <c r="P62" s="96"/>
      <c r="Q62" s="97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8"/>
      <c r="AD62" s="98"/>
      <c r="AE62" s="98"/>
      <c r="AF62" s="98"/>
      <c r="AG62" s="98"/>
      <c r="AH62" s="98"/>
    </row>
    <row r="63" spans="2:34" x14ac:dyDescent="0.25">
      <c r="B63" s="71"/>
      <c r="C63" s="72"/>
      <c r="D63" s="77"/>
      <c r="E63" s="78"/>
      <c r="F63" s="78"/>
      <c r="G63" s="78"/>
      <c r="H63" s="78"/>
      <c r="I63" s="79"/>
      <c r="J63" s="86"/>
      <c r="K63" s="87"/>
      <c r="L63" s="86"/>
      <c r="M63" s="87"/>
      <c r="N63" s="77"/>
      <c r="O63" s="79"/>
      <c r="P63" s="92"/>
      <c r="Q63" s="93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8"/>
      <c r="AD63" s="98"/>
      <c r="AE63" s="98"/>
      <c r="AF63" s="98"/>
      <c r="AG63" s="98"/>
      <c r="AH63" s="98"/>
    </row>
    <row r="64" spans="2:34" x14ac:dyDescent="0.25">
      <c r="B64" s="73"/>
      <c r="C64" s="74"/>
      <c r="D64" s="80"/>
      <c r="E64" s="81"/>
      <c r="F64" s="81"/>
      <c r="G64" s="81"/>
      <c r="H64" s="81"/>
      <c r="I64" s="82"/>
      <c r="J64" s="88"/>
      <c r="K64" s="89"/>
      <c r="L64" s="88"/>
      <c r="M64" s="89"/>
      <c r="N64" s="80"/>
      <c r="O64" s="82"/>
      <c r="P64" s="94"/>
      <c r="Q64" s="95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8"/>
      <c r="AD64" s="98"/>
      <c r="AE64" s="98"/>
      <c r="AF64" s="98"/>
      <c r="AG64" s="98"/>
      <c r="AH64" s="98"/>
    </row>
    <row r="65" spans="2:34" x14ac:dyDescent="0.25">
      <c r="B65" s="75"/>
      <c r="C65" s="76"/>
      <c r="D65" s="83"/>
      <c r="E65" s="84"/>
      <c r="F65" s="84"/>
      <c r="G65" s="84"/>
      <c r="H65" s="84"/>
      <c r="I65" s="85"/>
      <c r="J65" s="90"/>
      <c r="K65" s="91"/>
      <c r="L65" s="90"/>
      <c r="M65" s="91"/>
      <c r="N65" s="83"/>
      <c r="O65" s="85"/>
      <c r="P65" s="96"/>
      <c r="Q65" s="97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8"/>
      <c r="AD65" s="98"/>
      <c r="AE65" s="98"/>
      <c r="AF65" s="98"/>
      <c r="AG65" s="98"/>
      <c r="AH65" s="98"/>
    </row>
    <row r="66" spans="2:34" x14ac:dyDescent="0.25">
      <c r="B66" s="71"/>
      <c r="C66" s="72"/>
      <c r="D66" s="77"/>
      <c r="E66" s="78"/>
      <c r="F66" s="78"/>
      <c r="G66" s="78"/>
      <c r="H66" s="78"/>
      <c r="I66" s="79"/>
      <c r="J66" s="86"/>
      <c r="K66" s="87"/>
      <c r="L66" s="86"/>
      <c r="M66" s="87"/>
      <c r="N66" s="77"/>
      <c r="O66" s="79"/>
      <c r="P66" s="92"/>
      <c r="Q66" s="93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8"/>
      <c r="AD66" s="98"/>
      <c r="AE66" s="98"/>
      <c r="AF66" s="98"/>
      <c r="AG66" s="98"/>
      <c r="AH66" s="98"/>
    </row>
    <row r="67" spans="2:34" x14ac:dyDescent="0.25">
      <c r="B67" s="73"/>
      <c r="C67" s="74"/>
      <c r="D67" s="80"/>
      <c r="E67" s="81"/>
      <c r="F67" s="81"/>
      <c r="G67" s="81"/>
      <c r="H67" s="81"/>
      <c r="I67" s="82"/>
      <c r="J67" s="88"/>
      <c r="K67" s="89"/>
      <c r="L67" s="88"/>
      <c r="M67" s="89"/>
      <c r="N67" s="80"/>
      <c r="O67" s="82"/>
      <c r="P67" s="94"/>
      <c r="Q67" s="95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8"/>
      <c r="AD67" s="98"/>
      <c r="AE67" s="98"/>
      <c r="AF67" s="98"/>
      <c r="AG67" s="98"/>
      <c r="AH67" s="98"/>
    </row>
    <row r="68" spans="2:34" x14ac:dyDescent="0.25">
      <c r="B68" s="75"/>
      <c r="C68" s="76"/>
      <c r="D68" s="83"/>
      <c r="E68" s="84"/>
      <c r="F68" s="84"/>
      <c r="G68" s="84"/>
      <c r="H68" s="84"/>
      <c r="I68" s="85"/>
      <c r="J68" s="90"/>
      <c r="K68" s="91"/>
      <c r="L68" s="90"/>
      <c r="M68" s="91"/>
      <c r="N68" s="83"/>
      <c r="O68" s="85"/>
      <c r="P68" s="96"/>
      <c r="Q68" s="97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8"/>
      <c r="AD68" s="98"/>
      <c r="AE68" s="98"/>
      <c r="AF68" s="98"/>
      <c r="AG68" s="98"/>
      <c r="AH68" s="98"/>
    </row>
    <row r="69" spans="2:34" x14ac:dyDescent="0.25">
      <c r="B69" s="71"/>
      <c r="C69" s="72"/>
      <c r="D69" s="77"/>
      <c r="E69" s="78"/>
      <c r="F69" s="78"/>
      <c r="G69" s="78"/>
      <c r="H69" s="78"/>
      <c r="I69" s="79"/>
      <c r="J69" s="86"/>
      <c r="K69" s="87"/>
      <c r="L69" s="86"/>
      <c r="M69" s="87"/>
      <c r="N69" s="77"/>
      <c r="O69" s="79"/>
      <c r="P69" s="92"/>
      <c r="Q69" s="93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8"/>
      <c r="AD69" s="98"/>
      <c r="AE69" s="98"/>
      <c r="AF69" s="98"/>
      <c r="AG69" s="98"/>
      <c r="AH69" s="98"/>
    </row>
    <row r="70" spans="2:34" x14ac:dyDescent="0.25">
      <c r="B70" s="73"/>
      <c r="C70" s="74"/>
      <c r="D70" s="80"/>
      <c r="E70" s="81"/>
      <c r="F70" s="81"/>
      <c r="G70" s="81"/>
      <c r="H70" s="81"/>
      <c r="I70" s="82"/>
      <c r="J70" s="88"/>
      <c r="K70" s="89"/>
      <c r="L70" s="88"/>
      <c r="M70" s="89"/>
      <c r="N70" s="80"/>
      <c r="O70" s="82"/>
      <c r="P70" s="94"/>
      <c r="Q70" s="95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8"/>
      <c r="AD70" s="98"/>
      <c r="AE70" s="98"/>
      <c r="AF70" s="98"/>
      <c r="AG70" s="98"/>
      <c r="AH70" s="98"/>
    </row>
    <row r="71" spans="2:34" x14ac:dyDescent="0.25">
      <c r="B71" s="75"/>
      <c r="C71" s="76"/>
      <c r="D71" s="83"/>
      <c r="E71" s="84"/>
      <c r="F71" s="84"/>
      <c r="G71" s="84"/>
      <c r="H71" s="84"/>
      <c r="I71" s="85"/>
      <c r="J71" s="90"/>
      <c r="K71" s="91"/>
      <c r="L71" s="90"/>
      <c r="M71" s="91"/>
      <c r="N71" s="83"/>
      <c r="O71" s="85"/>
      <c r="P71" s="96"/>
      <c r="Q71" s="97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8"/>
      <c r="AD71" s="98"/>
      <c r="AE71" s="98"/>
      <c r="AF71" s="98"/>
      <c r="AG71" s="98"/>
      <c r="AH71" s="98"/>
    </row>
    <row r="72" spans="2:34" x14ac:dyDescent="0.25">
      <c r="B72" s="71"/>
      <c r="C72" s="72"/>
      <c r="D72" s="77"/>
      <c r="E72" s="78"/>
      <c r="F72" s="78"/>
      <c r="G72" s="78"/>
      <c r="H72" s="78"/>
      <c r="I72" s="79"/>
      <c r="J72" s="86"/>
      <c r="K72" s="87"/>
      <c r="L72" s="86"/>
      <c r="M72" s="87"/>
      <c r="N72" s="77"/>
      <c r="O72" s="79"/>
      <c r="P72" s="92"/>
      <c r="Q72" s="93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8"/>
      <c r="AD72" s="98"/>
      <c r="AE72" s="98"/>
      <c r="AF72" s="98"/>
      <c r="AG72" s="98"/>
      <c r="AH72" s="98"/>
    </row>
    <row r="73" spans="2:34" x14ac:dyDescent="0.25">
      <c r="B73" s="73"/>
      <c r="C73" s="74"/>
      <c r="D73" s="80"/>
      <c r="E73" s="81"/>
      <c r="F73" s="81"/>
      <c r="G73" s="81"/>
      <c r="H73" s="81"/>
      <c r="I73" s="82"/>
      <c r="J73" s="88"/>
      <c r="K73" s="89"/>
      <c r="L73" s="88"/>
      <c r="M73" s="89"/>
      <c r="N73" s="80"/>
      <c r="O73" s="82"/>
      <c r="P73" s="94"/>
      <c r="Q73" s="95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8"/>
      <c r="AD73" s="98"/>
      <c r="AE73" s="98"/>
      <c r="AF73" s="98"/>
      <c r="AG73" s="98"/>
      <c r="AH73" s="98"/>
    </row>
    <row r="74" spans="2:34" x14ac:dyDescent="0.25">
      <c r="B74" s="75"/>
      <c r="C74" s="76"/>
      <c r="D74" s="83"/>
      <c r="E74" s="84"/>
      <c r="F74" s="84"/>
      <c r="G74" s="84"/>
      <c r="H74" s="84"/>
      <c r="I74" s="85"/>
      <c r="J74" s="90"/>
      <c r="K74" s="91"/>
      <c r="L74" s="90"/>
      <c r="M74" s="91"/>
      <c r="N74" s="83"/>
      <c r="O74" s="85"/>
      <c r="P74" s="96"/>
      <c r="Q74" s="97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8"/>
      <c r="AD74" s="98"/>
      <c r="AE74" s="98"/>
      <c r="AF74" s="98"/>
      <c r="AG74" s="98"/>
      <c r="AH74" s="98"/>
    </row>
    <row r="75" spans="2:34" x14ac:dyDescent="0.25">
      <c r="B75" s="71"/>
      <c r="C75" s="72"/>
      <c r="D75" s="77"/>
      <c r="E75" s="78"/>
      <c r="F75" s="78"/>
      <c r="G75" s="78"/>
      <c r="H75" s="78"/>
      <c r="I75" s="79"/>
      <c r="J75" s="86"/>
      <c r="K75" s="87"/>
      <c r="L75" s="86"/>
      <c r="M75" s="87"/>
      <c r="N75" s="77"/>
      <c r="O75" s="79"/>
      <c r="P75" s="92"/>
      <c r="Q75" s="93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8"/>
      <c r="AD75" s="98"/>
      <c r="AE75" s="98"/>
      <c r="AF75" s="98"/>
      <c r="AG75" s="98"/>
      <c r="AH75" s="98"/>
    </row>
    <row r="76" spans="2:34" x14ac:dyDescent="0.25">
      <c r="B76" s="73"/>
      <c r="C76" s="74"/>
      <c r="D76" s="80"/>
      <c r="E76" s="81"/>
      <c r="F76" s="81"/>
      <c r="G76" s="81"/>
      <c r="H76" s="81"/>
      <c r="I76" s="82"/>
      <c r="J76" s="88"/>
      <c r="K76" s="89"/>
      <c r="L76" s="88"/>
      <c r="M76" s="89"/>
      <c r="N76" s="80"/>
      <c r="O76" s="82"/>
      <c r="P76" s="94"/>
      <c r="Q76" s="95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8"/>
      <c r="AD76" s="98"/>
      <c r="AE76" s="98"/>
      <c r="AF76" s="98"/>
      <c r="AG76" s="98"/>
      <c r="AH76" s="98"/>
    </row>
    <row r="77" spans="2:34" x14ac:dyDescent="0.25">
      <c r="B77" s="75"/>
      <c r="C77" s="76"/>
      <c r="D77" s="83"/>
      <c r="E77" s="84"/>
      <c r="F77" s="84"/>
      <c r="G77" s="84"/>
      <c r="H77" s="84"/>
      <c r="I77" s="85"/>
      <c r="J77" s="90"/>
      <c r="K77" s="91"/>
      <c r="L77" s="90"/>
      <c r="M77" s="91"/>
      <c r="N77" s="83"/>
      <c r="O77" s="85"/>
      <c r="P77" s="96"/>
      <c r="Q77" s="97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8"/>
      <c r="AD77" s="98"/>
      <c r="AE77" s="98"/>
      <c r="AF77" s="98"/>
      <c r="AG77" s="98"/>
      <c r="AH77" s="98"/>
    </row>
    <row r="78" spans="2:34" x14ac:dyDescent="0.25">
      <c r="B78" s="71"/>
      <c r="C78" s="72"/>
      <c r="D78" s="77"/>
      <c r="E78" s="78"/>
      <c r="F78" s="78"/>
      <c r="G78" s="78"/>
      <c r="H78" s="78"/>
      <c r="I78" s="79"/>
      <c r="J78" s="86"/>
      <c r="K78" s="87"/>
      <c r="L78" s="86"/>
      <c r="M78" s="87"/>
      <c r="N78" s="77"/>
      <c r="O78" s="79"/>
      <c r="P78" s="92"/>
      <c r="Q78" s="93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8"/>
      <c r="AD78" s="98"/>
      <c r="AE78" s="98"/>
      <c r="AF78" s="98"/>
      <c r="AG78" s="98"/>
      <c r="AH78" s="98"/>
    </row>
    <row r="79" spans="2:34" x14ac:dyDescent="0.25">
      <c r="B79" s="73"/>
      <c r="C79" s="74"/>
      <c r="D79" s="80"/>
      <c r="E79" s="81"/>
      <c r="F79" s="81"/>
      <c r="G79" s="81"/>
      <c r="H79" s="81"/>
      <c r="I79" s="82"/>
      <c r="J79" s="88"/>
      <c r="K79" s="89"/>
      <c r="L79" s="88"/>
      <c r="M79" s="89"/>
      <c r="N79" s="80"/>
      <c r="O79" s="82"/>
      <c r="P79" s="94"/>
      <c r="Q79" s="95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8"/>
      <c r="AD79" s="98"/>
      <c r="AE79" s="98"/>
      <c r="AF79" s="98"/>
      <c r="AG79" s="98"/>
      <c r="AH79" s="98"/>
    </row>
    <row r="80" spans="2:34" x14ac:dyDescent="0.25">
      <c r="B80" s="75"/>
      <c r="C80" s="76"/>
      <c r="D80" s="83"/>
      <c r="E80" s="84"/>
      <c r="F80" s="84"/>
      <c r="G80" s="84"/>
      <c r="H80" s="84"/>
      <c r="I80" s="85"/>
      <c r="J80" s="90"/>
      <c r="K80" s="91"/>
      <c r="L80" s="90"/>
      <c r="M80" s="91"/>
      <c r="N80" s="83"/>
      <c r="O80" s="85"/>
      <c r="P80" s="96"/>
      <c r="Q80" s="97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8"/>
      <c r="AD80" s="98"/>
      <c r="AE80" s="98"/>
      <c r="AF80" s="98"/>
      <c r="AG80" s="98"/>
      <c r="AH80" s="98"/>
    </row>
    <row r="81" spans="2:34" x14ac:dyDescent="0.25">
      <c r="B81" s="71"/>
      <c r="C81" s="72"/>
      <c r="D81" s="77"/>
      <c r="E81" s="78"/>
      <c r="F81" s="78"/>
      <c r="G81" s="78"/>
      <c r="H81" s="78"/>
      <c r="I81" s="79"/>
      <c r="J81" s="86"/>
      <c r="K81" s="87"/>
      <c r="L81" s="86"/>
      <c r="M81" s="87"/>
      <c r="N81" s="77"/>
      <c r="O81" s="79"/>
      <c r="P81" s="92"/>
      <c r="Q81" s="93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8"/>
      <c r="AD81" s="98"/>
      <c r="AE81" s="98"/>
      <c r="AF81" s="98"/>
      <c r="AG81" s="98"/>
      <c r="AH81" s="98"/>
    </row>
    <row r="82" spans="2:34" x14ac:dyDescent="0.25">
      <c r="B82" s="73"/>
      <c r="C82" s="74"/>
      <c r="D82" s="80"/>
      <c r="E82" s="81"/>
      <c r="F82" s="81"/>
      <c r="G82" s="81"/>
      <c r="H82" s="81"/>
      <c r="I82" s="82"/>
      <c r="J82" s="88"/>
      <c r="K82" s="89"/>
      <c r="L82" s="88"/>
      <c r="M82" s="89"/>
      <c r="N82" s="80"/>
      <c r="O82" s="82"/>
      <c r="P82" s="94"/>
      <c r="Q82" s="95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8"/>
      <c r="AD82" s="98"/>
      <c r="AE82" s="98"/>
      <c r="AF82" s="98"/>
      <c r="AG82" s="98"/>
      <c r="AH82" s="98"/>
    </row>
    <row r="83" spans="2:34" x14ac:dyDescent="0.25">
      <c r="B83" s="75"/>
      <c r="C83" s="76"/>
      <c r="D83" s="83"/>
      <c r="E83" s="84"/>
      <c r="F83" s="84"/>
      <c r="G83" s="84"/>
      <c r="H83" s="84"/>
      <c r="I83" s="85"/>
      <c r="J83" s="90"/>
      <c r="K83" s="91"/>
      <c r="L83" s="90"/>
      <c r="M83" s="91"/>
      <c r="N83" s="83"/>
      <c r="O83" s="85"/>
      <c r="P83" s="96"/>
      <c r="Q83" s="97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8"/>
      <c r="AD83" s="98"/>
      <c r="AE83" s="98"/>
      <c r="AF83" s="98"/>
      <c r="AG83" s="98"/>
      <c r="AH83" s="98"/>
    </row>
    <row r="84" spans="2:34" x14ac:dyDescent="0.25">
      <c r="B84" s="71"/>
      <c r="C84" s="72"/>
      <c r="D84" s="77"/>
      <c r="E84" s="78"/>
      <c r="F84" s="78"/>
      <c r="G84" s="78"/>
      <c r="H84" s="78"/>
      <c r="I84" s="79"/>
      <c r="J84" s="86"/>
      <c r="K84" s="87"/>
      <c r="L84" s="86"/>
      <c r="M84" s="87"/>
      <c r="N84" s="77"/>
      <c r="O84" s="79"/>
      <c r="P84" s="92"/>
      <c r="Q84" s="93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8"/>
      <c r="AD84" s="98"/>
      <c r="AE84" s="98"/>
      <c r="AF84" s="98"/>
      <c r="AG84" s="98"/>
      <c r="AH84" s="98"/>
    </row>
    <row r="85" spans="2:34" x14ac:dyDescent="0.25">
      <c r="B85" s="73"/>
      <c r="C85" s="74"/>
      <c r="D85" s="80"/>
      <c r="E85" s="81"/>
      <c r="F85" s="81"/>
      <c r="G85" s="81"/>
      <c r="H85" s="81"/>
      <c r="I85" s="82"/>
      <c r="J85" s="88"/>
      <c r="K85" s="89"/>
      <c r="L85" s="88"/>
      <c r="M85" s="89"/>
      <c r="N85" s="80"/>
      <c r="O85" s="82"/>
      <c r="P85" s="94"/>
      <c r="Q85" s="95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8"/>
      <c r="AD85" s="98"/>
      <c r="AE85" s="98"/>
      <c r="AF85" s="98"/>
      <c r="AG85" s="98"/>
      <c r="AH85" s="98"/>
    </row>
    <row r="86" spans="2:34" x14ac:dyDescent="0.25">
      <c r="B86" s="75"/>
      <c r="C86" s="76"/>
      <c r="D86" s="83"/>
      <c r="E86" s="84"/>
      <c r="F86" s="84"/>
      <c r="G86" s="84"/>
      <c r="H86" s="84"/>
      <c r="I86" s="85"/>
      <c r="J86" s="90"/>
      <c r="K86" s="91"/>
      <c r="L86" s="90"/>
      <c r="M86" s="91"/>
      <c r="N86" s="83"/>
      <c r="O86" s="85"/>
      <c r="P86" s="96"/>
      <c r="Q86" s="97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8"/>
      <c r="AD86" s="98"/>
      <c r="AE86" s="98"/>
      <c r="AF86" s="98"/>
      <c r="AG86" s="98"/>
      <c r="AH86" s="98"/>
    </row>
    <row r="87" spans="2:34" x14ac:dyDescent="0.25">
      <c r="B87" s="71"/>
      <c r="C87" s="72"/>
      <c r="D87" s="77"/>
      <c r="E87" s="78"/>
      <c r="F87" s="78"/>
      <c r="G87" s="78"/>
      <c r="H87" s="78"/>
      <c r="I87" s="79"/>
      <c r="J87" s="86"/>
      <c r="K87" s="87"/>
      <c r="L87" s="86"/>
      <c r="M87" s="87"/>
      <c r="N87" s="77"/>
      <c r="O87" s="79"/>
      <c r="P87" s="92"/>
      <c r="Q87" s="93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8"/>
      <c r="AD87" s="98"/>
      <c r="AE87" s="98"/>
      <c r="AF87" s="98"/>
      <c r="AG87" s="98"/>
      <c r="AH87" s="98"/>
    </row>
    <row r="88" spans="2:34" x14ac:dyDescent="0.25">
      <c r="B88" s="73"/>
      <c r="C88" s="74"/>
      <c r="D88" s="80"/>
      <c r="E88" s="81"/>
      <c r="F88" s="81"/>
      <c r="G88" s="81"/>
      <c r="H88" s="81"/>
      <c r="I88" s="82"/>
      <c r="J88" s="88"/>
      <c r="K88" s="89"/>
      <c r="L88" s="88"/>
      <c r="M88" s="89"/>
      <c r="N88" s="80"/>
      <c r="O88" s="82"/>
      <c r="P88" s="94"/>
      <c r="Q88" s="95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8"/>
      <c r="AD88" s="98"/>
      <c r="AE88" s="98"/>
      <c r="AF88" s="98"/>
      <c r="AG88" s="98"/>
      <c r="AH88" s="98"/>
    </row>
    <row r="89" spans="2:34" x14ac:dyDescent="0.25">
      <c r="B89" s="75"/>
      <c r="C89" s="76"/>
      <c r="D89" s="83"/>
      <c r="E89" s="84"/>
      <c r="F89" s="84"/>
      <c r="G89" s="84"/>
      <c r="H89" s="84"/>
      <c r="I89" s="85"/>
      <c r="J89" s="90"/>
      <c r="K89" s="91"/>
      <c r="L89" s="90"/>
      <c r="M89" s="91"/>
      <c r="N89" s="83"/>
      <c r="O89" s="85"/>
      <c r="P89" s="96"/>
      <c r="Q89" s="97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8"/>
      <c r="AD89" s="98"/>
      <c r="AE89" s="98"/>
      <c r="AF89" s="98"/>
      <c r="AG89" s="98"/>
      <c r="AH89" s="98"/>
    </row>
    <row r="90" spans="2:34" x14ac:dyDescent="0.25">
      <c r="B90" s="71"/>
      <c r="C90" s="72"/>
      <c r="D90" s="77"/>
      <c r="E90" s="78"/>
      <c r="F90" s="78"/>
      <c r="G90" s="78"/>
      <c r="H90" s="78"/>
      <c r="I90" s="79"/>
      <c r="J90" s="86"/>
      <c r="K90" s="87"/>
      <c r="L90" s="86"/>
      <c r="M90" s="87"/>
      <c r="N90" s="77"/>
      <c r="O90" s="79"/>
      <c r="P90" s="92"/>
      <c r="Q90" s="93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8"/>
      <c r="AD90" s="98"/>
      <c r="AE90" s="98"/>
      <c r="AF90" s="98"/>
      <c r="AG90" s="98"/>
      <c r="AH90" s="98"/>
    </row>
    <row r="91" spans="2:34" x14ac:dyDescent="0.25">
      <c r="B91" s="73"/>
      <c r="C91" s="74"/>
      <c r="D91" s="80"/>
      <c r="E91" s="81"/>
      <c r="F91" s="81"/>
      <c r="G91" s="81"/>
      <c r="H91" s="81"/>
      <c r="I91" s="82"/>
      <c r="J91" s="88"/>
      <c r="K91" s="89"/>
      <c r="L91" s="88"/>
      <c r="M91" s="89"/>
      <c r="N91" s="80"/>
      <c r="O91" s="82"/>
      <c r="P91" s="94"/>
      <c r="Q91" s="95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8"/>
      <c r="AD91" s="98"/>
      <c r="AE91" s="98"/>
      <c r="AF91" s="98"/>
      <c r="AG91" s="98"/>
      <c r="AH91" s="98"/>
    </row>
    <row r="92" spans="2:34" x14ac:dyDescent="0.25">
      <c r="B92" s="75"/>
      <c r="C92" s="76"/>
      <c r="D92" s="83"/>
      <c r="E92" s="84"/>
      <c r="F92" s="84"/>
      <c r="G92" s="84"/>
      <c r="H92" s="84"/>
      <c r="I92" s="85"/>
      <c r="J92" s="90"/>
      <c r="K92" s="91"/>
      <c r="L92" s="90"/>
      <c r="M92" s="91"/>
      <c r="N92" s="83"/>
      <c r="O92" s="85"/>
      <c r="P92" s="96"/>
      <c r="Q92" s="97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8"/>
      <c r="AD92" s="98"/>
      <c r="AE92" s="98"/>
      <c r="AF92" s="98"/>
      <c r="AG92" s="98"/>
      <c r="AH92" s="98"/>
    </row>
    <row r="93" spans="2:34" x14ac:dyDescent="0.25">
      <c r="B93" s="71"/>
      <c r="C93" s="72"/>
      <c r="D93" s="77"/>
      <c r="E93" s="78"/>
      <c r="F93" s="78"/>
      <c r="G93" s="78"/>
      <c r="H93" s="78"/>
      <c r="I93" s="79"/>
      <c r="J93" s="86"/>
      <c r="K93" s="87"/>
      <c r="L93" s="86"/>
      <c r="M93" s="87"/>
      <c r="N93" s="77"/>
      <c r="O93" s="79"/>
      <c r="P93" s="92"/>
      <c r="Q93" s="93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8"/>
      <c r="AD93" s="98"/>
      <c r="AE93" s="98"/>
      <c r="AF93" s="98"/>
      <c r="AG93" s="98"/>
      <c r="AH93" s="98"/>
    </row>
    <row r="94" spans="2:34" x14ac:dyDescent="0.25">
      <c r="B94" s="73"/>
      <c r="C94" s="74"/>
      <c r="D94" s="80"/>
      <c r="E94" s="81"/>
      <c r="F94" s="81"/>
      <c r="G94" s="81"/>
      <c r="H94" s="81"/>
      <c r="I94" s="82"/>
      <c r="J94" s="88"/>
      <c r="K94" s="89"/>
      <c r="L94" s="88"/>
      <c r="M94" s="89"/>
      <c r="N94" s="80"/>
      <c r="O94" s="82"/>
      <c r="P94" s="94"/>
      <c r="Q94" s="95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8"/>
      <c r="AD94" s="98"/>
      <c r="AE94" s="98"/>
      <c r="AF94" s="98"/>
      <c r="AG94" s="98"/>
      <c r="AH94" s="98"/>
    </row>
    <row r="95" spans="2:34" x14ac:dyDescent="0.25">
      <c r="B95" s="75"/>
      <c r="C95" s="76"/>
      <c r="D95" s="83"/>
      <c r="E95" s="84"/>
      <c r="F95" s="84"/>
      <c r="G95" s="84"/>
      <c r="H95" s="84"/>
      <c r="I95" s="85"/>
      <c r="J95" s="90"/>
      <c r="K95" s="91"/>
      <c r="L95" s="90"/>
      <c r="M95" s="91"/>
      <c r="N95" s="83"/>
      <c r="O95" s="85"/>
      <c r="P95" s="96"/>
      <c r="Q95" s="97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8"/>
      <c r="AD95" s="98"/>
      <c r="AE95" s="98"/>
      <c r="AF95" s="98"/>
      <c r="AG95" s="98"/>
      <c r="AH95" s="98"/>
    </row>
    <row r="96" spans="2:34" x14ac:dyDescent="0.25">
      <c r="B96" s="71"/>
      <c r="C96" s="72"/>
      <c r="D96" s="77"/>
      <c r="E96" s="78"/>
      <c r="F96" s="78"/>
      <c r="G96" s="78"/>
      <c r="H96" s="78"/>
      <c r="I96" s="79"/>
      <c r="J96" s="86"/>
      <c r="K96" s="87"/>
      <c r="L96" s="86"/>
      <c r="M96" s="87"/>
      <c r="N96" s="77"/>
      <c r="O96" s="79"/>
      <c r="P96" s="92"/>
      <c r="Q96" s="93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8"/>
      <c r="AD96" s="98"/>
      <c r="AE96" s="98"/>
      <c r="AF96" s="98"/>
      <c r="AG96" s="98"/>
      <c r="AH96" s="98"/>
    </row>
    <row r="97" spans="2:34" x14ac:dyDescent="0.25">
      <c r="B97" s="73"/>
      <c r="C97" s="74"/>
      <c r="D97" s="80"/>
      <c r="E97" s="81"/>
      <c r="F97" s="81"/>
      <c r="G97" s="81"/>
      <c r="H97" s="81"/>
      <c r="I97" s="82"/>
      <c r="J97" s="88"/>
      <c r="K97" s="89"/>
      <c r="L97" s="88"/>
      <c r="M97" s="89"/>
      <c r="N97" s="80"/>
      <c r="O97" s="82"/>
      <c r="P97" s="94"/>
      <c r="Q97" s="95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8"/>
      <c r="AD97" s="98"/>
      <c r="AE97" s="98"/>
      <c r="AF97" s="98"/>
      <c r="AG97" s="98"/>
      <c r="AH97" s="98"/>
    </row>
    <row r="98" spans="2:34" x14ac:dyDescent="0.25">
      <c r="B98" s="75"/>
      <c r="C98" s="76"/>
      <c r="D98" s="83"/>
      <c r="E98" s="84"/>
      <c r="F98" s="84"/>
      <c r="G98" s="84"/>
      <c r="H98" s="84"/>
      <c r="I98" s="85"/>
      <c r="J98" s="90"/>
      <c r="K98" s="91"/>
      <c r="L98" s="90"/>
      <c r="M98" s="91"/>
      <c r="N98" s="83"/>
      <c r="O98" s="85"/>
      <c r="P98" s="96"/>
      <c r="Q98" s="97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8"/>
      <c r="AD98" s="98"/>
      <c r="AE98" s="98"/>
      <c r="AF98" s="98"/>
      <c r="AG98" s="98"/>
      <c r="AH98" s="98"/>
    </row>
    <row r="99" spans="2:34" x14ac:dyDescent="0.25">
      <c r="B99" s="71"/>
      <c r="C99" s="72"/>
      <c r="D99" s="77"/>
      <c r="E99" s="78"/>
      <c r="F99" s="78"/>
      <c r="G99" s="78"/>
      <c r="H99" s="78"/>
      <c r="I99" s="79"/>
      <c r="J99" s="86"/>
      <c r="K99" s="87"/>
      <c r="L99" s="86"/>
      <c r="M99" s="87"/>
      <c r="N99" s="77"/>
      <c r="O99" s="79"/>
      <c r="P99" s="92"/>
      <c r="Q99" s="93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8"/>
      <c r="AD99" s="98"/>
      <c r="AE99" s="98"/>
      <c r="AF99" s="98"/>
      <c r="AG99" s="98"/>
      <c r="AH99" s="98"/>
    </row>
    <row r="100" spans="2:34" x14ac:dyDescent="0.25">
      <c r="B100" s="73"/>
      <c r="C100" s="74"/>
      <c r="D100" s="80"/>
      <c r="E100" s="81"/>
      <c r="F100" s="81"/>
      <c r="G100" s="81"/>
      <c r="H100" s="81"/>
      <c r="I100" s="82"/>
      <c r="J100" s="88"/>
      <c r="K100" s="89"/>
      <c r="L100" s="88"/>
      <c r="M100" s="89"/>
      <c r="N100" s="80"/>
      <c r="O100" s="82"/>
      <c r="P100" s="94"/>
      <c r="Q100" s="95"/>
      <c r="S100" s="99"/>
      <c r="T100" s="99"/>
      <c r="U100" s="99"/>
      <c r="V100" s="99"/>
      <c r="W100" s="99"/>
      <c r="X100" s="99"/>
      <c r="Y100" s="99"/>
      <c r="Z100" s="99"/>
      <c r="AA100" s="99"/>
      <c r="AB100" s="99"/>
      <c r="AC100" s="98"/>
      <c r="AD100" s="98"/>
      <c r="AE100" s="98"/>
      <c r="AF100" s="98"/>
      <c r="AG100" s="98"/>
      <c r="AH100" s="98"/>
    </row>
    <row r="101" spans="2:34" x14ac:dyDescent="0.25">
      <c r="B101" s="75"/>
      <c r="C101" s="76"/>
      <c r="D101" s="83"/>
      <c r="E101" s="84"/>
      <c r="F101" s="84"/>
      <c r="G101" s="84"/>
      <c r="H101" s="84"/>
      <c r="I101" s="85"/>
      <c r="J101" s="90"/>
      <c r="K101" s="91"/>
      <c r="L101" s="90"/>
      <c r="M101" s="91"/>
      <c r="N101" s="83"/>
      <c r="O101" s="85"/>
      <c r="P101" s="96"/>
      <c r="Q101" s="97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8"/>
      <c r="AD101" s="98"/>
      <c r="AE101" s="98"/>
      <c r="AF101" s="98"/>
      <c r="AG101" s="98"/>
      <c r="AH101" s="98"/>
    </row>
    <row r="102" spans="2:34" x14ac:dyDescent="0.25">
      <c r="B102" s="71"/>
      <c r="C102" s="72"/>
      <c r="D102" s="77"/>
      <c r="E102" s="78"/>
      <c r="F102" s="78"/>
      <c r="G102" s="78"/>
      <c r="H102" s="78"/>
      <c r="I102" s="79"/>
      <c r="J102" s="86"/>
      <c r="K102" s="87"/>
      <c r="L102" s="86"/>
      <c r="M102" s="87"/>
      <c r="N102" s="77"/>
      <c r="O102" s="79"/>
      <c r="P102" s="92"/>
      <c r="Q102" s="93"/>
      <c r="S102" s="99"/>
      <c r="T102" s="99"/>
      <c r="U102" s="99"/>
      <c r="V102" s="99"/>
      <c r="W102" s="99"/>
      <c r="X102" s="99"/>
      <c r="Y102" s="99"/>
      <c r="Z102" s="99"/>
      <c r="AA102" s="99"/>
      <c r="AB102" s="99"/>
      <c r="AC102" s="98"/>
      <c r="AD102" s="98"/>
      <c r="AE102" s="98"/>
      <c r="AF102" s="98"/>
      <c r="AG102" s="98"/>
      <c r="AH102" s="98"/>
    </row>
    <row r="103" spans="2:34" x14ac:dyDescent="0.25">
      <c r="B103" s="73"/>
      <c r="C103" s="74"/>
      <c r="D103" s="80"/>
      <c r="E103" s="81"/>
      <c r="F103" s="81"/>
      <c r="G103" s="81"/>
      <c r="H103" s="81"/>
      <c r="I103" s="82"/>
      <c r="J103" s="88"/>
      <c r="K103" s="89"/>
      <c r="L103" s="88"/>
      <c r="M103" s="89"/>
      <c r="N103" s="80"/>
      <c r="O103" s="82"/>
      <c r="P103" s="94"/>
      <c r="Q103" s="95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8"/>
      <c r="AD103" s="98"/>
      <c r="AE103" s="98"/>
      <c r="AF103" s="98"/>
      <c r="AG103" s="98"/>
      <c r="AH103" s="98"/>
    </row>
    <row r="104" spans="2:34" x14ac:dyDescent="0.25">
      <c r="B104" s="75"/>
      <c r="C104" s="76"/>
      <c r="D104" s="83"/>
      <c r="E104" s="84"/>
      <c r="F104" s="84"/>
      <c r="G104" s="84"/>
      <c r="H104" s="84"/>
      <c r="I104" s="85"/>
      <c r="J104" s="90"/>
      <c r="K104" s="91"/>
      <c r="L104" s="90"/>
      <c r="M104" s="91"/>
      <c r="N104" s="83"/>
      <c r="O104" s="85"/>
      <c r="P104" s="96"/>
      <c r="Q104" s="97"/>
      <c r="S104" s="99"/>
      <c r="T104" s="99"/>
      <c r="U104" s="99"/>
      <c r="V104" s="99"/>
      <c r="W104" s="99"/>
      <c r="X104" s="99"/>
      <c r="Y104" s="99"/>
      <c r="Z104" s="99"/>
      <c r="AA104" s="99"/>
      <c r="AB104" s="99"/>
      <c r="AC104" s="98"/>
      <c r="AD104" s="98"/>
      <c r="AE104" s="98"/>
      <c r="AF104" s="98"/>
      <c r="AG104" s="98"/>
      <c r="AH104" s="98"/>
    </row>
    <row r="105" spans="2:34" x14ac:dyDescent="0.25">
      <c r="B105" s="71"/>
      <c r="C105" s="72"/>
      <c r="D105" s="77"/>
      <c r="E105" s="78"/>
      <c r="F105" s="78"/>
      <c r="G105" s="78"/>
      <c r="H105" s="78"/>
      <c r="I105" s="79"/>
      <c r="J105" s="86"/>
      <c r="K105" s="87"/>
      <c r="L105" s="86"/>
      <c r="M105" s="87"/>
      <c r="N105" s="77"/>
      <c r="O105" s="79"/>
      <c r="P105" s="92"/>
      <c r="Q105" s="93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8"/>
      <c r="AD105" s="98"/>
      <c r="AE105" s="98"/>
      <c r="AF105" s="98"/>
      <c r="AG105" s="98"/>
      <c r="AH105" s="98"/>
    </row>
    <row r="106" spans="2:34" x14ac:dyDescent="0.25">
      <c r="B106" s="73"/>
      <c r="C106" s="74"/>
      <c r="D106" s="80"/>
      <c r="E106" s="81"/>
      <c r="F106" s="81"/>
      <c r="G106" s="81"/>
      <c r="H106" s="81"/>
      <c r="I106" s="82"/>
      <c r="J106" s="88"/>
      <c r="K106" s="89"/>
      <c r="L106" s="88"/>
      <c r="M106" s="89"/>
      <c r="N106" s="80"/>
      <c r="O106" s="82"/>
      <c r="P106" s="94"/>
      <c r="Q106" s="95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8"/>
      <c r="AD106" s="98"/>
      <c r="AE106" s="98"/>
      <c r="AF106" s="98"/>
      <c r="AG106" s="98"/>
      <c r="AH106" s="98"/>
    </row>
    <row r="107" spans="2:34" x14ac:dyDescent="0.25">
      <c r="B107" s="75"/>
      <c r="C107" s="76"/>
      <c r="D107" s="83"/>
      <c r="E107" s="84"/>
      <c r="F107" s="84"/>
      <c r="G107" s="84"/>
      <c r="H107" s="84"/>
      <c r="I107" s="85"/>
      <c r="J107" s="90"/>
      <c r="K107" s="91"/>
      <c r="L107" s="90"/>
      <c r="M107" s="91"/>
      <c r="N107" s="83"/>
      <c r="O107" s="85"/>
      <c r="P107" s="96"/>
      <c r="Q107" s="97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8"/>
      <c r="AD107" s="98"/>
      <c r="AE107" s="98"/>
      <c r="AF107" s="98"/>
      <c r="AG107" s="98"/>
      <c r="AH107" s="98"/>
    </row>
    <row r="108" spans="2:34" x14ac:dyDescent="0.25">
      <c r="B108" s="71"/>
      <c r="C108" s="72"/>
      <c r="D108" s="77"/>
      <c r="E108" s="78"/>
      <c r="F108" s="78"/>
      <c r="G108" s="78"/>
      <c r="H108" s="78"/>
      <c r="I108" s="79"/>
      <c r="J108" s="86"/>
      <c r="K108" s="87"/>
      <c r="L108" s="86"/>
      <c r="M108" s="87"/>
      <c r="N108" s="77"/>
      <c r="O108" s="79"/>
      <c r="P108" s="92"/>
      <c r="Q108" s="93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8"/>
      <c r="AD108" s="98"/>
      <c r="AE108" s="98"/>
      <c r="AF108" s="98"/>
      <c r="AG108" s="98"/>
      <c r="AH108" s="98"/>
    </row>
    <row r="109" spans="2:34" x14ac:dyDescent="0.25">
      <c r="B109" s="73"/>
      <c r="C109" s="74"/>
      <c r="D109" s="80"/>
      <c r="E109" s="81"/>
      <c r="F109" s="81"/>
      <c r="G109" s="81"/>
      <c r="H109" s="81"/>
      <c r="I109" s="82"/>
      <c r="J109" s="88"/>
      <c r="K109" s="89"/>
      <c r="L109" s="88"/>
      <c r="M109" s="89"/>
      <c r="N109" s="80"/>
      <c r="O109" s="82"/>
      <c r="P109" s="94"/>
      <c r="Q109" s="95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8"/>
      <c r="AD109" s="98"/>
      <c r="AE109" s="98"/>
      <c r="AF109" s="98"/>
      <c r="AG109" s="98"/>
      <c r="AH109" s="98"/>
    </row>
    <row r="110" spans="2:34" x14ac:dyDescent="0.25">
      <c r="B110" s="75"/>
      <c r="C110" s="76"/>
      <c r="D110" s="83"/>
      <c r="E110" s="84"/>
      <c r="F110" s="84"/>
      <c r="G110" s="84"/>
      <c r="H110" s="84"/>
      <c r="I110" s="85"/>
      <c r="J110" s="90"/>
      <c r="K110" s="91"/>
      <c r="L110" s="90"/>
      <c r="M110" s="91"/>
      <c r="N110" s="83"/>
      <c r="O110" s="85"/>
      <c r="P110" s="96"/>
      <c r="Q110" s="97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8"/>
      <c r="AD110" s="98"/>
      <c r="AE110" s="98"/>
      <c r="AF110" s="98"/>
      <c r="AG110" s="98"/>
      <c r="AH110" s="98"/>
    </row>
    <row r="111" spans="2:34" x14ac:dyDescent="0.25">
      <c r="B111" s="71"/>
      <c r="C111" s="72"/>
      <c r="D111" s="77"/>
      <c r="E111" s="78"/>
      <c r="F111" s="78"/>
      <c r="G111" s="78"/>
      <c r="H111" s="78"/>
      <c r="I111" s="79"/>
      <c r="J111" s="86"/>
      <c r="K111" s="87"/>
      <c r="L111" s="86"/>
      <c r="M111" s="87"/>
      <c r="N111" s="77"/>
      <c r="O111" s="79"/>
      <c r="P111" s="92"/>
      <c r="Q111" s="93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8"/>
      <c r="AD111" s="98"/>
      <c r="AE111" s="98"/>
      <c r="AF111" s="98"/>
      <c r="AG111" s="98"/>
      <c r="AH111" s="98"/>
    </row>
    <row r="112" spans="2:34" x14ac:dyDescent="0.25">
      <c r="B112" s="73"/>
      <c r="C112" s="74"/>
      <c r="D112" s="80"/>
      <c r="E112" s="81"/>
      <c r="F112" s="81"/>
      <c r="G112" s="81"/>
      <c r="H112" s="81"/>
      <c r="I112" s="82"/>
      <c r="J112" s="88"/>
      <c r="K112" s="89"/>
      <c r="L112" s="88"/>
      <c r="M112" s="89"/>
      <c r="N112" s="80"/>
      <c r="O112" s="82"/>
      <c r="P112" s="94"/>
      <c r="Q112" s="95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8"/>
      <c r="AD112" s="98"/>
      <c r="AE112" s="98"/>
      <c r="AF112" s="98"/>
      <c r="AG112" s="98"/>
      <c r="AH112" s="98"/>
    </row>
    <row r="113" spans="2:34" x14ac:dyDescent="0.25">
      <c r="B113" s="75"/>
      <c r="C113" s="76"/>
      <c r="D113" s="83"/>
      <c r="E113" s="84"/>
      <c r="F113" s="84"/>
      <c r="G113" s="84"/>
      <c r="H113" s="84"/>
      <c r="I113" s="85"/>
      <c r="J113" s="90"/>
      <c r="K113" s="91"/>
      <c r="L113" s="90"/>
      <c r="M113" s="91"/>
      <c r="N113" s="83"/>
      <c r="O113" s="85"/>
      <c r="P113" s="96"/>
      <c r="Q113" s="97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8"/>
      <c r="AD113" s="98"/>
      <c r="AE113" s="98"/>
      <c r="AF113" s="98"/>
      <c r="AG113" s="98"/>
      <c r="AH113" s="98"/>
    </row>
    <row r="114" spans="2:34" x14ac:dyDescent="0.25">
      <c r="B114" s="71"/>
      <c r="C114" s="72"/>
      <c r="D114" s="77"/>
      <c r="E114" s="78"/>
      <c r="F114" s="78"/>
      <c r="G114" s="78"/>
      <c r="H114" s="78"/>
      <c r="I114" s="79"/>
      <c r="J114" s="86"/>
      <c r="K114" s="87"/>
      <c r="L114" s="86"/>
      <c r="M114" s="87"/>
      <c r="N114" s="77"/>
      <c r="O114" s="79"/>
      <c r="P114" s="92"/>
      <c r="Q114" s="93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8"/>
      <c r="AD114" s="98"/>
      <c r="AE114" s="98"/>
      <c r="AF114" s="98"/>
      <c r="AG114" s="98"/>
      <c r="AH114" s="98"/>
    </row>
    <row r="115" spans="2:34" x14ac:dyDescent="0.25">
      <c r="B115" s="73"/>
      <c r="C115" s="74"/>
      <c r="D115" s="80"/>
      <c r="E115" s="81"/>
      <c r="F115" s="81"/>
      <c r="G115" s="81"/>
      <c r="H115" s="81"/>
      <c r="I115" s="82"/>
      <c r="J115" s="88"/>
      <c r="K115" s="89"/>
      <c r="L115" s="88"/>
      <c r="M115" s="89"/>
      <c r="N115" s="80"/>
      <c r="O115" s="82"/>
      <c r="P115" s="94"/>
      <c r="Q115" s="95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8"/>
      <c r="AD115" s="98"/>
      <c r="AE115" s="98"/>
      <c r="AF115" s="98"/>
      <c r="AG115" s="98"/>
      <c r="AH115" s="98"/>
    </row>
    <row r="116" spans="2:34" x14ac:dyDescent="0.25">
      <c r="B116" s="75"/>
      <c r="C116" s="76"/>
      <c r="D116" s="83"/>
      <c r="E116" s="84"/>
      <c r="F116" s="84"/>
      <c r="G116" s="84"/>
      <c r="H116" s="84"/>
      <c r="I116" s="85"/>
      <c r="J116" s="90"/>
      <c r="K116" s="91"/>
      <c r="L116" s="90"/>
      <c r="M116" s="91"/>
      <c r="N116" s="83"/>
      <c r="O116" s="85"/>
      <c r="P116" s="96"/>
      <c r="Q116" s="97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8"/>
      <c r="AD116" s="98"/>
      <c r="AE116" s="98"/>
      <c r="AF116" s="98"/>
      <c r="AG116" s="98"/>
      <c r="AH116" s="98"/>
    </row>
    <row r="117" spans="2:34" x14ac:dyDescent="0.25">
      <c r="B117" s="71"/>
      <c r="C117" s="72"/>
      <c r="D117" s="77"/>
      <c r="E117" s="78"/>
      <c r="F117" s="78"/>
      <c r="G117" s="78"/>
      <c r="H117" s="78"/>
      <c r="I117" s="79"/>
      <c r="J117" s="86"/>
      <c r="K117" s="87"/>
      <c r="L117" s="86"/>
      <c r="M117" s="87"/>
      <c r="N117" s="77"/>
      <c r="O117" s="79"/>
      <c r="P117" s="92"/>
      <c r="Q117" s="93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8"/>
      <c r="AD117" s="98"/>
      <c r="AE117" s="98"/>
      <c r="AF117" s="98"/>
      <c r="AG117" s="98"/>
      <c r="AH117" s="98"/>
    </row>
    <row r="118" spans="2:34" x14ac:dyDescent="0.25">
      <c r="B118" s="73"/>
      <c r="C118" s="74"/>
      <c r="D118" s="80"/>
      <c r="E118" s="81"/>
      <c r="F118" s="81"/>
      <c r="G118" s="81"/>
      <c r="H118" s="81"/>
      <c r="I118" s="82"/>
      <c r="J118" s="88"/>
      <c r="K118" s="89"/>
      <c r="L118" s="88"/>
      <c r="M118" s="89"/>
      <c r="N118" s="80"/>
      <c r="O118" s="82"/>
      <c r="P118" s="94"/>
      <c r="Q118" s="95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8"/>
      <c r="AD118" s="98"/>
      <c r="AE118" s="98"/>
      <c r="AF118" s="98"/>
      <c r="AG118" s="98"/>
      <c r="AH118" s="98"/>
    </row>
    <row r="119" spans="2:34" x14ac:dyDescent="0.25">
      <c r="B119" s="75"/>
      <c r="C119" s="76"/>
      <c r="D119" s="83"/>
      <c r="E119" s="84"/>
      <c r="F119" s="84"/>
      <c r="G119" s="84"/>
      <c r="H119" s="84"/>
      <c r="I119" s="85"/>
      <c r="J119" s="90"/>
      <c r="K119" s="91"/>
      <c r="L119" s="90"/>
      <c r="M119" s="91"/>
      <c r="N119" s="83"/>
      <c r="O119" s="85"/>
      <c r="P119" s="96"/>
      <c r="Q119" s="97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8"/>
      <c r="AD119" s="98"/>
      <c r="AE119" s="98"/>
      <c r="AF119" s="98"/>
      <c r="AG119" s="98"/>
      <c r="AH119" s="98"/>
    </row>
    <row r="120" spans="2:34" x14ac:dyDescent="0.25">
      <c r="B120" s="71"/>
      <c r="C120" s="72"/>
      <c r="D120" s="77"/>
      <c r="E120" s="78"/>
      <c r="F120" s="78"/>
      <c r="G120" s="78"/>
      <c r="H120" s="78"/>
      <c r="I120" s="79"/>
      <c r="J120" s="86"/>
      <c r="K120" s="87"/>
      <c r="L120" s="86"/>
      <c r="M120" s="87"/>
      <c r="N120" s="77"/>
      <c r="O120" s="79"/>
      <c r="P120" s="92"/>
      <c r="Q120" s="93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8"/>
      <c r="AD120" s="98"/>
      <c r="AE120" s="98"/>
      <c r="AF120" s="98"/>
      <c r="AG120" s="98"/>
      <c r="AH120" s="98"/>
    </row>
    <row r="121" spans="2:34" x14ac:dyDescent="0.25">
      <c r="B121" s="73"/>
      <c r="C121" s="74"/>
      <c r="D121" s="80"/>
      <c r="E121" s="81"/>
      <c r="F121" s="81"/>
      <c r="G121" s="81"/>
      <c r="H121" s="81"/>
      <c r="I121" s="82"/>
      <c r="J121" s="88"/>
      <c r="K121" s="89"/>
      <c r="L121" s="88"/>
      <c r="M121" s="89"/>
      <c r="N121" s="80"/>
      <c r="O121" s="82"/>
      <c r="P121" s="94"/>
      <c r="Q121" s="95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8"/>
      <c r="AD121" s="98"/>
      <c r="AE121" s="98"/>
      <c r="AF121" s="98"/>
      <c r="AG121" s="98"/>
      <c r="AH121" s="98"/>
    </row>
    <row r="122" spans="2:34" x14ac:dyDescent="0.25">
      <c r="B122" s="75"/>
      <c r="C122" s="76"/>
      <c r="D122" s="83"/>
      <c r="E122" s="84"/>
      <c r="F122" s="84"/>
      <c r="G122" s="84"/>
      <c r="H122" s="84"/>
      <c r="I122" s="85"/>
      <c r="J122" s="90"/>
      <c r="K122" s="91"/>
      <c r="L122" s="90"/>
      <c r="M122" s="91"/>
      <c r="N122" s="83"/>
      <c r="O122" s="85"/>
      <c r="P122" s="96"/>
      <c r="Q122" s="97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8"/>
      <c r="AD122" s="98"/>
      <c r="AE122" s="98"/>
      <c r="AF122" s="98"/>
      <c r="AG122" s="98"/>
      <c r="AH122" s="98"/>
    </row>
    <row r="123" spans="2:34" x14ac:dyDescent="0.25">
      <c r="B123" s="71"/>
      <c r="C123" s="72"/>
      <c r="D123" s="77"/>
      <c r="E123" s="78"/>
      <c r="F123" s="78"/>
      <c r="G123" s="78"/>
      <c r="H123" s="78"/>
      <c r="I123" s="79"/>
      <c r="J123" s="86"/>
      <c r="K123" s="87"/>
      <c r="L123" s="86"/>
      <c r="M123" s="87"/>
      <c r="N123" s="77"/>
      <c r="O123" s="79"/>
      <c r="P123" s="92"/>
      <c r="Q123" s="93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8"/>
      <c r="AD123" s="98"/>
      <c r="AE123" s="98"/>
      <c r="AF123" s="98"/>
      <c r="AG123" s="98"/>
      <c r="AH123" s="98"/>
    </row>
    <row r="124" spans="2:34" x14ac:dyDescent="0.25">
      <c r="B124" s="73"/>
      <c r="C124" s="74"/>
      <c r="D124" s="80"/>
      <c r="E124" s="81"/>
      <c r="F124" s="81"/>
      <c r="G124" s="81"/>
      <c r="H124" s="81"/>
      <c r="I124" s="82"/>
      <c r="J124" s="88"/>
      <c r="K124" s="89"/>
      <c r="L124" s="88"/>
      <c r="M124" s="89"/>
      <c r="N124" s="80"/>
      <c r="O124" s="82"/>
      <c r="P124" s="94"/>
      <c r="Q124" s="95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8"/>
      <c r="AD124" s="98"/>
      <c r="AE124" s="98"/>
      <c r="AF124" s="98"/>
      <c r="AG124" s="98"/>
      <c r="AH124" s="98"/>
    </row>
    <row r="125" spans="2:34" x14ac:dyDescent="0.25">
      <c r="B125" s="75"/>
      <c r="C125" s="76"/>
      <c r="D125" s="83"/>
      <c r="E125" s="84"/>
      <c r="F125" s="84"/>
      <c r="G125" s="84"/>
      <c r="H125" s="84"/>
      <c r="I125" s="85"/>
      <c r="J125" s="90"/>
      <c r="K125" s="91"/>
      <c r="L125" s="90"/>
      <c r="M125" s="91"/>
      <c r="N125" s="83"/>
      <c r="O125" s="85"/>
      <c r="P125" s="96"/>
      <c r="Q125" s="97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8"/>
      <c r="AD125" s="98"/>
      <c r="AE125" s="98"/>
      <c r="AF125" s="98"/>
      <c r="AG125" s="98"/>
      <c r="AH125" s="98"/>
    </row>
    <row r="126" spans="2:34" x14ac:dyDescent="0.25">
      <c r="B126" s="71"/>
      <c r="C126" s="72"/>
      <c r="D126" s="77"/>
      <c r="E126" s="78"/>
      <c r="F126" s="78"/>
      <c r="G126" s="78"/>
      <c r="H126" s="78"/>
      <c r="I126" s="79"/>
      <c r="J126" s="86"/>
      <c r="K126" s="87"/>
      <c r="L126" s="86"/>
      <c r="M126" s="87"/>
      <c r="N126" s="77"/>
      <c r="O126" s="79"/>
      <c r="P126" s="92"/>
      <c r="Q126" s="93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8"/>
      <c r="AD126" s="98"/>
      <c r="AE126" s="98"/>
      <c r="AF126" s="98"/>
      <c r="AG126" s="98"/>
      <c r="AH126" s="98"/>
    </row>
    <row r="127" spans="2:34" x14ac:dyDescent="0.25">
      <c r="B127" s="73"/>
      <c r="C127" s="74"/>
      <c r="D127" s="80"/>
      <c r="E127" s="81"/>
      <c r="F127" s="81"/>
      <c r="G127" s="81"/>
      <c r="H127" s="81"/>
      <c r="I127" s="82"/>
      <c r="J127" s="88"/>
      <c r="K127" s="89"/>
      <c r="L127" s="88"/>
      <c r="M127" s="89"/>
      <c r="N127" s="80"/>
      <c r="O127" s="82"/>
      <c r="P127" s="94"/>
      <c r="Q127" s="95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8"/>
      <c r="AD127" s="98"/>
      <c r="AE127" s="98"/>
      <c r="AF127" s="98"/>
      <c r="AG127" s="98"/>
      <c r="AH127" s="98"/>
    </row>
    <row r="128" spans="2:34" x14ac:dyDescent="0.25">
      <c r="B128" s="75"/>
      <c r="C128" s="76"/>
      <c r="D128" s="83"/>
      <c r="E128" s="84"/>
      <c r="F128" s="84"/>
      <c r="G128" s="84"/>
      <c r="H128" s="84"/>
      <c r="I128" s="85"/>
      <c r="J128" s="90"/>
      <c r="K128" s="91"/>
      <c r="L128" s="90"/>
      <c r="M128" s="91"/>
      <c r="N128" s="83"/>
      <c r="O128" s="85"/>
      <c r="P128" s="96"/>
      <c r="Q128" s="97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8"/>
      <c r="AD128" s="98"/>
      <c r="AE128" s="98"/>
      <c r="AF128" s="98"/>
      <c r="AG128" s="98"/>
      <c r="AH128" s="98"/>
    </row>
    <row r="129" spans="2:34" x14ac:dyDescent="0.25">
      <c r="B129" s="71"/>
      <c r="C129" s="72"/>
      <c r="D129" s="77"/>
      <c r="E129" s="78"/>
      <c r="F129" s="78"/>
      <c r="G129" s="78"/>
      <c r="H129" s="78"/>
      <c r="I129" s="79"/>
      <c r="J129" s="86"/>
      <c r="K129" s="87"/>
      <c r="L129" s="86"/>
      <c r="M129" s="87"/>
      <c r="N129" s="77"/>
      <c r="O129" s="79"/>
      <c r="P129" s="92"/>
      <c r="Q129" s="93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8"/>
      <c r="AD129" s="98"/>
      <c r="AE129" s="98"/>
      <c r="AF129" s="98"/>
      <c r="AG129" s="98"/>
      <c r="AH129" s="98"/>
    </row>
    <row r="130" spans="2:34" x14ac:dyDescent="0.25">
      <c r="B130" s="73"/>
      <c r="C130" s="74"/>
      <c r="D130" s="80"/>
      <c r="E130" s="81"/>
      <c r="F130" s="81"/>
      <c r="G130" s="81"/>
      <c r="H130" s="81"/>
      <c r="I130" s="82"/>
      <c r="J130" s="88"/>
      <c r="K130" s="89"/>
      <c r="L130" s="88"/>
      <c r="M130" s="89"/>
      <c r="N130" s="80"/>
      <c r="O130" s="82"/>
      <c r="P130" s="94"/>
      <c r="Q130" s="95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8"/>
      <c r="AD130" s="98"/>
      <c r="AE130" s="98"/>
      <c r="AF130" s="98"/>
      <c r="AG130" s="98"/>
      <c r="AH130" s="98"/>
    </row>
    <row r="131" spans="2:34" x14ac:dyDescent="0.25">
      <c r="B131" s="75"/>
      <c r="C131" s="76"/>
      <c r="D131" s="83"/>
      <c r="E131" s="84"/>
      <c r="F131" s="84"/>
      <c r="G131" s="84"/>
      <c r="H131" s="84"/>
      <c r="I131" s="85"/>
      <c r="J131" s="90"/>
      <c r="K131" s="91"/>
      <c r="L131" s="90"/>
      <c r="M131" s="91"/>
      <c r="N131" s="83"/>
      <c r="O131" s="85"/>
      <c r="P131" s="96"/>
      <c r="Q131" s="97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8"/>
      <c r="AD131" s="98"/>
      <c r="AE131" s="98"/>
      <c r="AF131" s="98"/>
      <c r="AG131" s="98"/>
      <c r="AH131" s="98"/>
    </row>
    <row r="132" spans="2:34" x14ac:dyDescent="0.25">
      <c r="B132" s="71"/>
      <c r="C132" s="72"/>
      <c r="D132" s="77"/>
      <c r="E132" s="78"/>
      <c r="F132" s="78"/>
      <c r="G132" s="78"/>
      <c r="H132" s="78"/>
      <c r="I132" s="79"/>
      <c r="J132" s="86"/>
      <c r="K132" s="87"/>
      <c r="L132" s="86"/>
      <c r="M132" s="87"/>
      <c r="N132" s="77"/>
      <c r="O132" s="79"/>
      <c r="P132" s="92"/>
      <c r="Q132" s="93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8"/>
      <c r="AD132" s="98"/>
      <c r="AE132" s="98"/>
      <c r="AF132" s="98"/>
      <c r="AG132" s="98"/>
      <c r="AH132" s="98"/>
    </row>
    <row r="133" spans="2:34" x14ac:dyDescent="0.25">
      <c r="B133" s="73"/>
      <c r="C133" s="74"/>
      <c r="D133" s="80"/>
      <c r="E133" s="81"/>
      <c r="F133" s="81"/>
      <c r="G133" s="81"/>
      <c r="H133" s="81"/>
      <c r="I133" s="82"/>
      <c r="J133" s="88"/>
      <c r="K133" s="89"/>
      <c r="L133" s="88"/>
      <c r="M133" s="89"/>
      <c r="N133" s="80"/>
      <c r="O133" s="82"/>
      <c r="P133" s="94"/>
      <c r="Q133" s="95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8"/>
      <c r="AD133" s="98"/>
      <c r="AE133" s="98"/>
      <c r="AF133" s="98"/>
      <c r="AG133" s="98"/>
      <c r="AH133" s="98"/>
    </row>
    <row r="134" spans="2:34" x14ac:dyDescent="0.25">
      <c r="B134" s="75"/>
      <c r="C134" s="76"/>
      <c r="D134" s="83"/>
      <c r="E134" s="84"/>
      <c r="F134" s="84"/>
      <c r="G134" s="84"/>
      <c r="H134" s="84"/>
      <c r="I134" s="85"/>
      <c r="J134" s="90"/>
      <c r="K134" s="91"/>
      <c r="L134" s="90"/>
      <c r="M134" s="91"/>
      <c r="N134" s="83"/>
      <c r="O134" s="85"/>
      <c r="P134" s="96"/>
      <c r="Q134" s="97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8"/>
      <c r="AD134" s="98"/>
      <c r="AE134" s="98"/>
      <c r="AF134" s="98"/>
      <c r="AG134" s="98"/>
      <c r="AH134" s="98"/>
    </row>
    <row r="135" spans="2:34" x14ac:dyDescent="0.25">
      <c r="B135" s="71"/>
      <c r="C135" s="72"/>
      <c r="D135" s="77"/>
      <c r="E135" s="78"/>
      <c r="F135" s="78"/>
      <c r="G135" s="78"/>
      <c r="H135" s="78"/>
      <c r="I135" s="79"/>
      <c r="J135" s="86"/>
      <c r="K135" s="87"/>
      <c r="L135" s="86"/>
      <c r="M135" s="87"/>
      <c r="N135" s="77"/>
      <c r="O135" s="79"/>
      <c r="P135" s="92"/>
      <c r="Q135" s="93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8"/>
      <c r="AD135" s="98"/>
      <c r="AE135" s="98"/>
      <c r="AF135" s="98"/>
      <c r="AG135" s="98"/>
      <c r="AH135" s="98"/>
    </row>
    <row r="136" spans="2:34" x14ac:dyDescent="0.25">
      <c r="B136" s="73"/>
      <c r="C136" s="74"/>
      <c r="D136" s="80"/>
      <c r="E136" s="81"/>
      <c r="F136" s="81"/>
      <c r="G136" s="81"/>
      <c r="H136" s="81"/>
      <c r="I136" s="82"/>
      <c r="J136" s="88"/>
      <c r="K136" s="89"/>
      <c r="L136" s="88"/>
      <c r="M136" s="89"/>
      <c r="N136" s="80"/>
      <c r="O136" s="82"/>
      <c r="P136" s="94"/>
      <c r="Q136" s="95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8"/>
      <c r="AD136" s="98"/>
      <c r="AE136" s="98"/>
      <c r="AF136" s="98"/>
      <c r="AG136" s="98"/>
      <c r="AH136" s="98"/>
    </row>
    <row r="137" spans="2:34" x14ac:dyDescent="0.25">
      <c r="B137" s="75"/>
      <c r="C137" s="76"/>
      <c r="D137" s="83"/>
      <c r="E137" s="84"/>
      <c r="F137" s="84"/>
      <c r="G137" s="84"/>
      <c r="H137" s="84"/>
      <c r="I137" s="85"/>
      <c r="J137" s="90"/>
      <c r="K137" s="91"/>
      <c r="L137" s="90"/>
      <c r="M137" s="91"/>
      <c r="N137" s="83"/>
      <c r="O137" s="85"/>
      <c r="P137" s="96"/>
      <c r="Q137" s="97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8"/>
      <c r="AD137" s="98"/>
      <c r="AE137" s="98"/>
      <c r="AF137" s="98"/>
      <c r="AG137" s="98"/>
      <c r="AH137" s="98"/>
    </row>
    <row r="138" spans="2:34" x14ac:dyDescent="0.25">
      <c r="B138" s="71"/>
      <c r="C138" s="72"/>
      <c r="D138" s="77"/>
      <c r="E138" s="78"/>
      <c r="F138" s="78"/>
      <c r="G138" s="78"/>
      <c r="H138" s="78"/>
      <c r="I138" s="79"/>
      <c r="J138" s="86"/>
      <c r="K138" s="87"/>
      <c r="L138" s="86"/>
      <c r="M138" s="87"/>
      <c r="N138" s="77"/>
      <c r="O138" s="79"/>
      <c r="P138" s="92"/>
      <c r="Q138" s="93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8"/>
      <c r="AD138" s="98"/>
      <c r="AE138" s="98"/>
      <c r="AF138" s="98"/>
      <c r="AG138" s="98"/>
      <c r="AH138" s="98"/>
    </row>
    <row r="139" spans="2:34" x14ac:dyDescent="0.25">
      <c r="B139" s="73"/>
      <c r="C139" s="74"/>
      <c r="D139" s="80"/>
      <c r="E139" s="81"/>
      <c r="F139" s="81"/>
      <c r="G139" s="81"/>
      <c r="H139" s="81"/>
      <c r="I139" s="82"/>
      <c r="J139" s="88"/>
      <c r="K139" s="89"/>
      <c r="L139" s="88"/>
      <c r="M139" s="89"/>
      <c r="N139" s="80"/>
      <c r="O139" s="82"/>
      <c r="P139" s="94"/>
      <c r="Q139" s="95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8"/>
      <c r="AD139" s="98"/>
      <c r="AE139" s="98"/>
      <c r="AF139" s="98"/>
      <c r="AG139" s="98"/>
      <c r="AH139" s="98"/>
    </row>
    <row r="140" spans="2:34" x14ac:dyDescent="0.25">
      <c r="B140" s="75"/>
      <c r="C140" s="76"/>
      <c r="D140" s="83"/>
      <c r="E140" s="84"/>
      <c r="F140" s="84"/>
      <c r="G140" s="84"/>
      <c r="H140" s="84"/>
      <c r="I140" s="85"/>
      <c r="J140" s="90"/>
      <c r="K140" s="91"/>
      <c r="L140" s="90"/>
      <c r="M140" s="91"/>
      <c r="N140" s="83"/>
      <c r="O140" s="85"/>
      <c r="P140" s="96"/>
      <c r="Q140" s="97"/>
      <c r="S140" s="99"/>
      <c r="T140" s="99"/>
      <c r="U140" s="99"/>
      <c r="V140" s="99"/>
      <c r="W140" s="99"/>
      <c r="X140" s="99"/>
      <c r="Y140" s="99"/>
      <c r="Z140" s="99"/>
      <c r="AA140" s="99"/>
      <c r="AB140" s="99"/>
      <c r="AC140" s="98"/>
      <c r="AD140" s="98"/>
      <c r="AE140" s="98"/>
      <c r="AF140" s="98"/>
      <c r="AG140" s="98"/>
      <c r="AH140" s="98"/>
    </row>
    <row r="141" spans="2:34" x14ac:dyDescent="0.25">
      <c r="B141" s="71"/>
      <c r="C141" s="72"/>
      <c r="D141" s="77"/>
      <c r="E141" s="78"/>
      <c r="F141" s="78"/>
      <c r="G141" s="78"/>
      <c r="H141" s="78"/>
      <c r="I141" s="79"/>
      <c r="J141" s="86"/>
      <c r="K141" s="87"/>
      <c r="L141" s="86"/>
      <c r="M141" s="87"/>
      <c r="N141" s="77"/>
      <c r="O141" s="79"/>
      <c r="P141" s="92"/>
      <c r="Q141" s="93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8"/>
      <c r="AD141" s="98"/>
      <c r="AE141" s="98"/>
      <c r="AF141" s="98"/>
      <c r="AG141" s="98"/>
      <c r="AH141" s="98"/>
    </row>
    <row r="142" spans="2:34" x14ac:dyDescent="0.25">
      <c r="B142" s="73"/>
      <c r="C142" s="74"/>
      <c r="D142" s="80"/>
      <c r="E142" s="81"/>
      <c r="F142" s="81"/>
      <c r="G142" s="81"/>
      <c r="H142" s="81"/>
      <c r="I142" s="82"/>
      <c r="J142" s="88"/>
      <c r="K142" s="89"/>
      <c r="L142" s="88"/>
      <c r="M142" s="89"/>
      <c r="N142" s="80"/>
      <c r="O142" s="82"/>
      <c r="P142" s="94"/>
      <c r="Q142" s="95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8"/>
      <c r="AD142" s="98"/>
      <c r="AE142" s="98"/>
      <c r="AF142" s="98"/>
      <c r="AG142" s="98"/>
      <c r="AH142" s="98"/>
    </row>
    <row r="143" spans="2:34" x14ac:dyDescent="0.25">
      <c r="B143" s="75"/>
      <c r="C143" s="76"/>
      <c r="D143" s="83"/>
      <c r="E143" s="84"/>
      <c r="F143" s="84"/>
      <c r="G143" s="84"/>
      <c r="H143" s="84"/>
      <c r="I143" s="85"/>
      <c r="J143" s="90"/>
      <c r="K143" s="91"/>
      <c r="L143" s="90"/>
      <c r="M143" s="91"/>
      <c r="N143" s="83"/>
      <c r="O143" s="85"/>
      <c r="P143" s="96"/>
      <c r="Q143" s="97"/>
      <c r="S143" s="99"/>
      <c r="T143" s="99"/>
      <c r="U143" s="99"/>
      <c r="V143" s="99"/>
      <c r="W143" s="99"/>
      <c r="X143" s="99"/>
      <c r="Y143" s="99"/>
      <c r="Z143" s="99"/>
      <c r="AA143" s="99"/>
      <c r="AB143" s="99"/>
      <c r="AC143" s="98"/>
      <c r="AD143" s="98"/>
      <c r="AE143" s="98"/>
      <c r="AF143" s="98"/>
      <c r="AG143" s="98"/>
      <c r="AH143" s="98"/>
    </row>
    <row r="144" spans="2:34" x14ac:dyDescent="0.25">
      <c r="B144" s="71"/>
      <c r="C144" s="72"/>
      <c r="D144" s="77"/>
      <c r="E144" s="78"/>
      <c r="F144" s="78"/>
      <c r="G144" s="78"/>
      <c r="H144" s="78"/>
      <c r="I144" s="79"/>
      <c r="J144" s="86"/>
      <c r="K144" s="87"/>
      <c r="L144" s="86"/>
      <c r="M144" s="87"/>
      <c r="N144" s="77"/>
      <c r="O144" s="79"/>
      <c r="P144" s="92"/>
      <c r="Q144" s="93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8"/>
      <c r="AD144" s="98"/>
      <c r="AE144" s="98"/>
      <c r="AF144" s="98"/>
      <c r="AG144" s="98"/>
      <c r="AH144" s="98"/>
    </row>
    <row r="145" spans="2:34" x14ac:dyDescent="0.25">
      <c r="B145" s="73"/>
      <c r="C145" s="74"/>
      <c r="D145" s="80"/>
      <c r="E145" s="81"/>
      <c r="F145" s="81"/>
      <c r="G145" s="81"/>
      <c r="H145" s="81"/>
      <c r="I145" s="82"/>
      <c r="J145" s="88"/>
      <c r="K145" s="89"/>
      <c r="L145" s="88"/>
      <c r="M145" s="89"/>
      <c r="N145" s="80"/>
      <c r="O145" s="82"/>
      <c r="P145" s="94"/>
      <c r="Q145" s="95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8"/>
      <c r="AD145" s="98"/>
      <c r="AE145" s="98"/>
      <c r="AF145" s="98"/>
      <c r="AG145" s="98"/>
      <c r="AH145" s="98"/>
    </row>
    <row r="146" spans="2:34" x14ac:dyDescent="0.25">
      <c r="B146" s="75"/>
      <c r="C146" s="76"/>
      <c r="D146" s="83"/>
      <c r="E146" s="84"/>
      <c r="F146" s="84"/>
      <c r="G146" s="84"/>
      <c r="H146" s="84"/>
      <c r="I146" s="85"/>
      <c r="J146" s="90"/>
      <c r="K146" s="91"/>
      <c r="L146" s="90"/>
      <c r="M146" s="91"/>
      <c r="N146" s="83"/>
      <c r="O146" s="85"/>
      <c r="P146" s="96"/>
      <c r="Q146" s="97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8"/>
      <c r="AD146" s="98"/>
      <c r="AE146" s="98"/>
      <c r="AF146" s="98"/>
      <c r="AG146" s="98"/>
      <c r="AH146" s="98"/>
    </row>
    <row r="147" spans="2:34" x14ac:dyDescent="0.25">
      <c r="B147" s="71"/>
      <c r="C147" s="72"/>
      <c r="D147" s="77"/>
      <c r="E147" s="78"/>
      <c r="F147" s="78"/>
      <c r="G147" s="78"/>
      <c r="H147" s="78"/>
      <c r="I147" s="79"/>
      <c r="J147" s="86"/>
      <c r="K147" s="87"/>
      <c r="L147" s="86"/>
      <c r="M147" s="87"/>
      <c r="N147" s="77"/>
      <c r="O147" s="79"/>
      <c r="P147" s="92"/>
      <c r="Q147" s="93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8"/>
      <c r="AD147" s="98"/>
      <c r="AE147" s="98"/>
      <c r="AF147" s="98"/>
      <c r="AG147" s="98"/>
      <c r="AH147" s="98"/>
    </row>
    <row r="148" spans="2:34" x14ac:dyDescent="0.25">
      <c r="B148" s="73"/>
      <c r="C148" s="74"/>
      <c r="D148" s="80"/>
      <c r="E148" s="81"/>
      <c r="F148" s="81"/>
      <c r="G148" s="81"/>
      <c r="H148" s="81"/>
      <c r="I148" s="82"/>
      <c r="J148" s="88"/>
      <c r="K148" s="89"/>
      <c r="L148" s="88"/>
      <c r="M148" s="89"/>
      <c r="N148" s="80"/>
      <c r="O148" s="82"/>
      <c r="P148" s="94"/>
      <c r="Q148" s="95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8"/>
      <c r="AD148" s="98"/>
      <c r="AE148" s="98"/>
      <c r="AF148" s="98"/>
      <c r="AG148" s="98"/>
      <c r="AH148" s="98"/>
    </row>
    <row r="149" spans="2:34" x14ac:dyDescent="0.25">
      <c r="B149" s="75"/>
      <c r="C149" s="76"/>
      <c r="D149" s="83"/>
      <c r="E149" s="84"/>
      <c r="F149" s="84"/>
      <c r="G149" s="84"/>
      <c r="H149" s="84"/>
      <c r="I149" s="85"/>
      <c r="J149" s="90"/>
      <c r="K149" s="91"/>
      <c r="L149" s="90"/>
      <c r="M149" s="91"/>
      <c r="N149" s="83"/>
      <c r="O149" s="85"/>
      <c r="P149" s="96"/>
      <c r="Q149" s="97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8"/>
      <c r="AD149" s="98"/>
      <c r="AE149" s="98"/>
      <c r="AF149" s="98"/>
      <c r="AG149" s="98"/>
      <c r="AH149" s="98"/>
    </row>
    <row r="150" spans="2:34" x14ac:dyDescent="0.25">
      <c r="B150" s="71"/>
      <c r="C150" s="72"/>
      <c r="D150" s="77"/>
      <c r="E150" s="78"/>
      <c r="F150" s="78"/>
      <c r="G150" s="78"/>
      <c r="H150" s="78"/>
      <c r="I150" s="79"/>
      <c r="J150" s="86"/>
      <c r="K150" s="87"/>
      <c r="L150" s="86"/>
      <c r="M150" s="87"/>
      <c r="N150" s="77"/>
      <c r="O150" s="79"/>
      <c r="P150" s="92"/>
      <c r="Q150" s="93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8"/>
      <c r="AD150" s="98"/>
      <c r="AE150" s="98"/>
      <c r="AF150" s="98"/>
      <c r="AG150" s="98"/>
      <c r="AH150" s="98"/>
    </row>
    <row r="151" spans="2:34" x14ac:dyDescent="0.25">
      <c r="B151" s="73"/>
      <c r="C151" s="74"/>
      <c r="D151" s="80"/>
      <c r="E151" s="81"/>
      <c r="F151" s="81"/>
      <c r="G151" s="81"/>
      <c r="H151" s="81"/>
      <c r="I151" s="82"/>
      <c r="J151" s="88"/>
      <c r="K151" s="89"/>
      <c r="L151" s="88"/>
      <c r="M151" s="89"/>
      <c r="N151" s="80"/>
      <c r="O151" s="82"/>
      <c r="P151" s="94"/>
      <c r="Q151" s="95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8"/>
      <c r="AD151" s="98"/>
      <c r="AE151" s="98"/>
      <c r="AF151" s="98"/>
      <c r="AG151" s="98"/>
      <c r="AH151" s="98"/>
    </row>
    <row r="152" spans="2:34" x14ac:dyDescent="0.25">
      <c r="B152" s="75"/>
      <c r="C152" s="76"/>
      <c r="D152" s="83"/>
      <c r="E152" s="84"/>
      <c r="F152" s="84"/>
      <c r="G152" s="84"/>
      <c r="H152" s="84"/>
      <c r="I152" s="85"/>
      <c r="J152" s="90"/>
      <c r="K152" s="91"/>
      <c r="L152" s="90"/>
      <c r="M152" s="91"/>
      <c r="N152" s="83"/>
      <c r="O152" s="85"/>
      <c r="P152" s="96"/>
      <c r="Q152" s="97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8"/>
      <c r="AD152" s="98"/>
      <c r="AE152" s="98"/>
      <c r="AF152" s="98"/>
      <c r="AG152" s="98"/>
      <c r="AH152" s="98"/>
    </row>
    <row r="153" spans="2:34" x14ac:dyDescent="0.25">
      <c r="B153" s="71"/>
      <c r="C153" s="72"/>
      <c r="D153" s="77"/>
      <c r="E153" s="78"/>
      <c r="F153" s="78"/>
      <c r="G153" s="78"/>
      <c r="H153" s="78"/>
      <c r="I153" s="79"/>
      <c r="J153" s="86"/>
      <c r="K153" s="87"/>
      <c r="L153" s="86"/>
      <c r="M153" s="87"/>
      <c r="N153" s="77"/>
      <c r="O153" s="79"/>
      <c r="P153" s="92"/>
      <c r="Q153" s="93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8"/>
      <c r="AD153" s="98"/>
      <c r="AE153" s="98"/>
      <c r="AF153" s="98"/>
      <c r="AG153" s="98"/>
      <c r="AH153" s="98"/>
    </row>
    <row r="154" spans="2:34" x14ac:dyDescent="0.25">
      <c r="B154" s="73"/>
      <c r="C154" s="74"/>
      <c r="D154" s="80"/>
      <c r="E154" s="81"/>
      <c r="F154" s="81"/>
      <c r="G154" s="81"/>
      <c r="H154" s="81"/>
      <c r="I154" s="82"/>
      <c r="J154" s="88"/>
      <c r="K154" s="89"/>
      <c r="L154" s="88"/>
      <c r="M154" s="89"/>
      <c r="N154" s="80"/>
      <c r="O154" s="82"/>
      <c r="P154" s="94"/>
      <c r="Q154" s="95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8"/>
      <c r="AD154" s="98"/>
      <c r="AE154" s="98"/>
      <c r="AF154" s="98"/>
      <c r="AG154" s="98"/>
      <c r="AH154" s="98"/>
    </row>
    <row r="155" spans="2:34" x14ac:dyDescent="0.25">
      <c r="B155" s="75"/>
      <c r="C155" s="76"/>
      <c r="D155" s="83"/>
      <c r="E155" s="84"/>
      <c r="F155" s="84"/>
      <c r="G155" s="84"/>
      <c r="H155" s="84"/>
      <c r="I155" s="85"/>
      <c r="J155" s="90"/>
      <c r="K155" s="91"/>
      <c r="L155" s="90"/>
      <c r="M155" s="91"/>
      <c r="N155" s="83"/>
      <c r="O155" s="85"/>
      <c r="P155" s="96"/>
      <c r="Q155" s="97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8"/>
      <c r="AD155" s="98"/>
      <c r="AE155" s="98"/>
      <c r="AF155" s="98"/>
      <c r="AG155" s="98"/>
      <c r="AH155" s="98"/>
    </row>
    <row r="156" spans="2:34" x14ac:dyDescent="0.25">
      <c r="B156" s="71"/>
      <c r="C156" s="72"/>
      <c r="D156" s="77"/>
      <c r="E156" s="78"/>
      <c r="F156" s="78"/>
      <c r="G156" s="78"/>
      <c r="H156" s="78"/>
      <c r="I156" s="79"/>
      <c r="J156" s="86"/>
      <c r="K156" s="87"/>
      <c r="L156" s="86"/>
      <c r="M156" s="87"/>
      <c r="N156" s="77"/>
      <c r="O156" s="79"/>
      <c r="P156" s="92"/>
      <c r="Q156" s="93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8"/>
      <c r="AD156" s="98"/>
      <c r="AE156" s="98"/>
      <c r="AF156" s="98"/>
      <c r="AG156" s="98"/>
      <c r="AH156" s="98"/>
    </row>
    <row r="157" spans="2:34" x14ac:dyDescent="0.25">
      <c r="B157" s="73"/>
      <c r="C157" s="74"/>
      <c r="D157" s="80"/>
      <c r="E157" s="81"/>
      <c r="F157" s="81"/>
      <c r="G157" s="81"/>
      <c r="H157" s="81"/>
      <c r="I157" s="82"/>
      <c r="J157" s="88"/>
      <c r="K157" s="89"/>
      <c r="L157" s="88"/>
      <c r="M157" s="89"/>
      <c r="N157" s="80"/>
      <c r="O157" s="82"/>
      <c r="P157" s="94"/>
      <c r="Q157" s="95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8"/>
      <c r="AD157" s="98"/>
      <c r="AE157" s="98"/>
      <c r="AF157" s="98"/>
      <c r="AG157" s="98"/>
      <c r="AH157" s="98"/>
    </row>
    <row r="158" spans="2:34" x14ac:dyDescent="0.25">
      <c r="B158" s="75"/>
      <c r="C158" s="76"/>
      <c r="D158" s="83"/>
      <c r="E158" s="84"/>
      <c r="F158" s="84"/>
      <c r="G158" s="84"/>
      <c r="H158" s="84"/>
      <c r="I158" s="85"/>
      <c r="J158" s="90"/>
      <c r="K158" s="91"/>
      <c r="L158" s="90"/>
      <c r="M158" s="91"/>
      <c r="N158" s="83"/>
      <c r="O158" s="85"/>
      <c r="P158" s="96"/>
      <c r="Q158" s="97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8"/>
      <c r="AD158" s="98"/>
      <c r="AE158" s="98"/>
      <c r="AF158" s="98"/>
      <c r="AG158" s="98"/>
      <c r="AH158" s="98"/>
    </row>
    <row r="159" spans="2:34" x14ac:dyDescent="0.25">
      <c r="B159" s="71"/>
      <c r="C159" s="72"/>
      <c r="D159" s="77"/>
      <c r="E159" s="78"/>
      <c r="F159" s="78"/>
      <c r="G159" s="78"/>
      <c r="H159" s="78"/>
      <c r="I159" s="79"/>
      <c r="J159" s="86"/>
      <c r="K159" s="87"/>
      <c r="L159" s="86"/>
      <c r="M159" s="87"/>
      <c r="N159" s="77"/>
      <c r="O159" s="79"/>
      <c r="P159" s="92"/>
      <c r="Q159" s="93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8"/>
      <c r="AD159" s="98"/>
      <c r="AE159" s="98"/>
      <c r="AF159" s="98"/>
      <c r="AG159" s="98"/>
      <c r="AH159" s="98"/>
    </row>
    <row r="160" spans="2:34" x14ac:dyDescent="0.25">
      <c r="B160" s="73"/>
      <c r="C160" s="74"/>
      <c r="D160" s="80"/>
      <c r="E160" s="81"/>
      <c r="F160" s="81"/>
      <c r="G160" s="81"/>
      <c r="H160" s="81"/>
      <c r="I160" s="82"/>
      <c r="J160" s="88"/>
      <c r="K160" s="89"/>
      <c r="L160" s="88"/>
      <c r="M160" s="89"/>
      <c r="N160" s="80"/>
      <c r="O160" s="82"/>
      <c r="P160" s="94"/>
      <c r="Q160" s="95"/>
      <c r="S160" s="99"/>
      <c r="T160" s="99"/>
      <c r="U160" s="99"/>
      <c r="V160" s="99"/>
      <c r="W160" s="99"/>
      <c r="X160" s="99"/>
      <c r="Y160" s="99"/>
      <c r="Z160" s="99"/>
      <c r="AA160" s="99"/>
      <c r="AB160" s="99"/>
      <c r="AC160" s="98"/>
      <c r="AD160" s="98"/>
      <c r="AE160" s="98"/>
      <c r="AF160" s="98"/>
      <c r="AG160" s="98"/>
      <c r="AH160" s="98"/>
    </row>
    <row r="161" spans="2:34" x14ac:dyDescent="0.25">
      <c r="B161" s="75"/>
      <c r="C161" s="76"/>
      <c r="D161" s="83"/>
      <c r="E161" s="84"/>
      <c r="F161" s="84"/>
      <c r="G161" s="84"/>
      <c r="H161" s="84"/>
      <c r="I161" s="85"/>
      <c r="J161" s="90"/>
      <c r="K161" s="91"/>
      <c r="L161" s="90"/>
      <c r="M161" s="91"/>
      <c r="N161" s="83"/>
      <c r="O161" s="85"/>
      <c r="P161" s="96"/>
      <c r="Q161" s="97"/>
      <c r="S161" s="99"/>
      <c r="T161" s="99"/>
      <c r="U161" s="99"/>
      <c r="V161" s="99"/>
      <c r="W161" s="99"/>
      <c r="X161" s="99"/>
      <c r="Y161" s="99"/>
      <c r="Z161" s="99"/>
      <c r="AA161" s="99"/>
      <c r="AB161" s="99"/>
      <c r="AC161" s="98"/>
      <c r="AD161" s="98"/>
      <c r="AE161" s="98"/>
      <c r="AF161" s="98"/>
      <c r="AG161" s="98"/>
      <c r="AH161" s="98"/>
    </row>
    <row r="162" spans="2:34" x14ac:dyDescent="0.25">
      <c r="B162" s="71"/>
      <c r="C162" s="72"/>
      <c r="D162" s="77"/>
      <c r="E162" s="78"/>
      <c r="F162" s="78"/>
      <c r="G162" s="78"/>
      <c r="H162" s="78"/>
      <c r="I162" s="79"/>
      <c r="J162" s="86"/>
      <c r="K162" s="87"/>
      <c r="L162" s="86"/>
      <c r="M162" s="87"/>
      <c r="N162" s="77"/>
      <c r="O162" s="79"/>
      <c r="P162" s="92"/>
      <c r="Q162" s="93"/>
      <c r="S162" s="99"/>
      <c r="T162" s="99"/>
      <c r="U162" s="99"/>
      <c r="V162" s="99"/>
      <c r="W162" s="99"/>
      <c r="X162" s="99"/>
      <c r="Y162" s="99"/>
      <c r="Z162" s="99"/>
      <c r="AA162" s="99"/>
      <c r="AB162" s="99"/>
      <c r="AC162" s="98"/>
      <c r="AD162" s="98"/>
      <c r="AE162" s="98"/>
      <c r="AF162" s="98"/>
      <c r="AG162" s="98"/>
      <c r="AH162" s="98"/>
    </row>
    <row r="163" spans="2:34" x14ac:dyDescent="0.25">
      <c r="B163" s="73"/>
      <c r="C163" s="74"/>
      <c r="D163" s="80"/>
      <c r="E163" s="81"/>
      <c r="F163" s="81"/>
      <c r="G163" s="81"/>
      <c r="H163" s="81"/>
      <c r="I163" s="82"/>
      <c r="J163" s="88"/>
      <c r="K163" s="89"/>
      <c r="L163" s="88"/>
      <c r="M163" s="89"/>
      <c r="N163" s="80"/>
      <c r="O163" s="82"/>
      <c r="P163" s="94"/>
      <c r="Q163" s="95"/>
      <c r="S163" s="99"/>
      <c r="T163" s="99"/>
      <c r="U163" s="99"/>
      <c r="V163" s="99"/>
      <c r="W163" s="99"/>
      <c r="X163" s="99"/>
      <c r="Y163" s="99"/>
      <c r="Z163" s="99"/>
      <c r="AA163" s="99"/>
      <c r="AB163" s="99"/>
      <c r="AC163" s="98"/>
      <c r="AD163" s="98"/>
      <c r="AE163" s="98"/>
      <c r="AF163" s="98"/>
      <c r="AG163" s="98"/>
      <c r="AH163" s="98"/>
    </row>
    <row r="164" spans="2:34" x14ac:dyDescent="0.25">
      <c r="B164" s="75"/>
      <c r="C164" s="76"/>
      <c r="D164" s="83"/>
      <c r="E164" s="84"/>
      <c r="F164" s="84"/>
      <c r="G164" s="84"/>
      <c r="H164" s="84"/>
      <c r="I164" s="85"/>
      <c r="J164" s="90"/>
      <c r="K164" s="91"/>
      <c r="L164" s="90"/>
      <c r="M164" s="91"/>
      <c r="N164" s="83"/>
      <c r="O164" s="85"/>
      <c r="P164" s="96"/>
      <c r="Q164" s="97"/>
      <c r="S164" s="99"/>
      <c r="T164" s="99"/>
      <c r="U164" s="99"/>
      <c r="V164" s="99"/>
      <c r="W164" s="99"/>
      <c r="X164" s="99"/>
      <c r="Y164" s="99"/>
      <c r="Z164" s="99"/>
      <c r="AA164" s="99"/>
      <c r="AB164" s="99"/>
      <c r="AC164" s="98"/>
      <c r="AD164" s="98"/>
      <c r="AE164" s="98"/>
      <c r="AF164" s="98"/>
      <c r="AG164" s="98"/>
      <c r="AH164" s="98"/>
    </row>
    <row r="165" spans="2:34" x14ac:dyDescent="0.25">
      <c r="B165" s="71"/>
      <c r="C165" s="72"/>
      <c r="D165" s="77"/>
      <c r="E165" s="78"/>
      <c r="F165" s="78"/>
      <c r="G165" s="78"/>
      <c r="H165" s="78"/>
      <c r="I165" s="79"/>
      <c r="J165" s="86"/>
      <c r="K165" s="87"/>
      <c r="L165" s="86"/>
      <c r="M165" s="87"/>
      <c r="N165" s="77"/>
      <c r="O165" s="79"/>
      <c r="P165" s="92"/>
      <c r="Q165" s="93"/>
      <c r="S165" s="99"/>
      <c r="T165" s="99"/>
      <c r="U165" s="99"/>
      <c r="V165" s="99"/>
      <c r="W165" s="99"/>
      <c r="X165" s="99"/>
      <c r="Y165" s="99"/>
      <c r="Z165" s="99"/>
      <c r="AA165" s="99"/>
      <c r="AB165" s="99"/>
      <c r="AC165" s="98"/>
      <c r="AD165" s="98"/>
      <c r="AE165" s="98"/>
      <c r="AF165" s="98"/>
      <c r="AG165" s="98"/>
      <c r="AH165" s="98"/>
    </row>
    <row r="166" spans="2:34" x14ac:dyDescent="0.25">
      <c r="B166" s="73"/>
      <c r="C166" s="74"/>
      <c r="D166" s="80"/>
      <c r="E166" s="81"/>
      <c r="F166" s="81"/>
      <c r="G166" s="81"/>
      <c r="H166" s="81"/>
      <c r="I166" s="82"/>
      <c r="J166" s="88"/>
      <c r="K166" s="89"/>
      <c r="L166" s="88"/>
      <c r="M166" s="89"/>
      <c r="N166" s="80"/>
      <c r="O166" s="82"/>
      <c r="P166" s="94"/>
      <c r="Q166" s="95"/>
      <c r="S166" s="99"/>
      <c r="T166" s="99"/>
      <c r="U166" s="99"/>
      <c r="V166" s="99"/>
      <c r="W166" s="99"/>
      <c r="X166" s="99"/>
      <c r="Y166" s="99"/>
      <c r="Z166" s="99"/>
      <c r="AA166" s="99"/>
      <c r="AB166" s="99"/>
      <c r="AC166" s="98"/>
      <c r="AD166" s="98"/>
      <c r="AE166" s="98"/>
      <c r="AF166" s="98"/>
      <c r="AG166" s="98"/>
      <c r="AH166" s="98"/>
    </row>
    <row r="167" spans="2:34" x14ac:dyDescent="0.25">
      <c r="B167" s="75"/>
      <c r="C167" s="76"/>
      <c r="D167" s="83"/>
      <c r="E167" s="84"/>
      <c r="F167" s="84"/>
      <c r="G167" s="84"/>
      <c r="H167" s="84"/>
      <c r="I167" s="85"/>
      <c r="J167" s="90"/>
      <c r="K167" s="91"/>
      <c r="L167" s="90"/>
      <c r="M167" s="91"/>
      <c r="N167" s="83"/>
      <c r="O167" s="85"/>
      <c r="P167" s="96"/>
      <c r="Q167" s="97"/>
      <c r="S167" s="99"/>
      <c r="T167" s="99"/>
      <c r="U167" s="99"/>
      <c r="V167" s="99"/>
      <c r="W167" s="99"/>
      <c r="X167" s="99"/>
      <c r="Y167" s="99"/>
      <c r="Z167" s="99"/>
      <c r="AA167" s="99"/>
      <c r="AB167" s="99"/>
      <c r="AC167" s="98"/>
      <c r="AD167" s="98"/>
      <c r="AE167" s="98"/>
      <c r="AF167" s="98"/>
      <c r="AG167" s="98"/>
      <c r="AH167" s="98"/>
    </row>
    <row r="168" spans="2:34" x14ac:dyDescent="0.25">
      <c r="B168" s="71"/>
      <c r="C168" s="72"/>
      <c r="D168" s="77"/>
      <c r="E168" s="78"/>
      <c r="F168" s="78"/>
      <c r="G168" s="78"/>
      <c r="H168" s="78"/>
      <c r="I168" s="79"/>
      <c r="J168" s="86"/>
      <c r="K168" s="87"/>
      <c r="L168" s="86"/>
      <c r="M168" s="87"/>
      <c r="N168" s="77"/>
      <c r="O168" s="79"/>
      <c r="P168" s="92"/>
      <c r="Q168" s="93"/>
      <c r="S168" s="99"/>
      <c r="T168" s="99"/>
      <c r="U168" s="99"/>
      <c r="V168" s="99"/>
      <c r="W168" s="99"/>
      <c r="X168" s="99"/>
      <c r="Y168" s="99"/>
      <c r="Z168" s="99"/>
      <c r="AA168" s="99"/>
      <c r="AB168" s="99"/>
      <c r="AC168" s="98"/>
      <c r="AD168" s="98"/>
      <c r="AE168" s="98"/>
      <c r="AF168" s="98"/>
      <c r="AG168" s="98"/>
      <c r="AH168" s="98"/>
    </row>
    <row r="169" spans="2:34" x14ac:dyDescent="0.25">
      <c r="B169" s="73"/>
      <c r="C169" s="74"/>
      <c r="D169" s="80"/>
      <c r="E169" s="81"/>
      <c r="F169" s="81"/>
      <c r="G169" s="81"/>
      <c r="H169" s="81"/>
      <c r="I169" s="82"/>
      <c r="J169" s="88"/>
      <c r="K169" s="89"/>
      <c r="L169" s="88"/>
      <c r="M169" s="89"/>
      <c r="N169" s="80"/>
      <c r="O169" s="82"/>
      <c r="P169" s="94"/>
      <c r="Q169" s="95"/>
      <c r="S169" s="99"/>
      <c r="T169" s="99"/>
      <c r="U169" s="99"/>
      <c r="V169" s="99"/>
      <c r="W169" s="99"/>
      <c r="X169" s="99"/>
      <c r="Y169" s="99"/>
      <c r="Z169" s="99"/>
      <c r="AA169" s="99"/>
      <c r="AB169" s="99"/>
      <c r="AC169" s="98"/>
      <c r="AD169" s="98"/>
      <c r="AE169" s="98"/>
      <c r="AF169" s="98"/>
      <c r="AG169" s="98"/>
      <c r="AH169" s="98"/>
    </row>
    <row r="170" spans="2:34" x14ac:dyDescent="0.25">
      <c r="B170" s="75"/>
      <c r="C170" s="76"/>
      <c r="D170" s="83"/>
      <c r="E170" s="84"/>
      <c r="F170" s="84"/>
      <c r="G170" s="84"/>
      <c r="H170" s="84"/>
      <c r="I170" s="85"/>
      <c r="J170" s="90"/>
      <c r="K170" s="91"/>
      <c r="L170" s="90"/>
      <c r="M170" s="91"/>
      <c r="N170" s="83"/>
      <c r="O170" s="85"/>
      <c r="P170" s="96"/>
      <c r="Q170" s="97"/>
      <c r="S170" s="99"/>
      <c r="T170" s="99"/>
      <c r="U170" s="99"/>
      <c r="V170" s="99"/>
      <c r="W170" s="99"/>
      <c r="X170" s="99"/>
      <c r="Y170" s="99"/>
      <c r="Z170" s="99"/>
      <c r="AA170" s="99"/>
      <c r="AB170" s="99"/>
      <c r="AC170" s="98"/>
      <c r="AD170" s="98"/>
      <c r="AE170" s="98"/>
      <c r="AF170" s="98"/>
      <c r="AG170" s="98"/>
      <c r="AH170" s="98"/>
    </row>
    <row r="171" spans="2:34" x14ac:dyDescent="0.25">
      <c r="B171" s="71"/>
      <c r="C171" s="72"/>
      <c r="D171" s="77"/>
      <c r="E171" s="78"/>
      <c r="F171" s="78"/>
      <c r="G171" s="78"/>
      <c r="H171" s="78"/>
      <c r="I171" s="79"/>
      <c r="J171" s="86"/>
      <c r="K171" s="87"/>
      <c r="L171" s="86"/>
      <c r="M171" s="87"/>
      <c r="N171" s="77"/>
      <c r="O171" s="79"/>
      <c r="P171" s="92"/>
      <c r="Q171" s="93"/>
      <c r="S171" s="99"/>
      <c r="T171" s="99"/>
      <c r="U171" s="99"/>
      <c r="V171" s="99"/>
      <c r="W171" s="99"/>
      <c r="X171" s="99"/>
      <c r="Y171" s="99"/>
      <c r="Z171" s="99"/>
      <c r="AA171" s="99"/>
      <c r="AB171" s="99"/>
      <c r="AC171" s="98"/>
      <c r="AD171" s="98"/>
      <c r="AE171" s="98"/>
      <c r="AF171" s="98"/>
      <c r="AG171" s="98"/>
      <c r="AH171" s="98"/>
    </row>
    <row r="172" spans="2:34" x14ac:dyDescent="0.25">
      <c r="B172" s="73"/>
      <c r="C172" s="74"/>
      <c r="D172" s="80"/>
      <c r="E172" s="81"/>
      <c r="F172" s="81"/>
      <c r="G172" s="81"/>
      <c r="H172" s="81"/>
      <c r="I172" s="82"/>
      <c r="J172" s="88"/>
      <c r="K172" s="89"/>
      <c r="L172" s="88"/>
      <c r="M172" s="89"/>
      <c r="N172" s="80"/>
      <c r="O172" s="82"/>
      <c r="P172" s="94"/>
      <c r="Q172" s="95"/>
      <c r="S172" s="99"/>
      <c r="T172" s="99"/>
      <c r="U172" s="99"/>
      <c r="V172" s="99"/>
      <c r="W172" s="99"/>
      <c r="X172" s="99"/>
      <c r="Y172" s="99"/>
      <c r="Z172" s="99"/>
      <c r="AA172" s="99"/>
      <c r="AB172" s="99"/>
      <c r="AC172" s="98"/>
      <c r="AD172" s="98"/>
      <c r="AE172" s="98"/>
      <c r="AF172" s="98"/>
      <c r="AG172" s="98"/>
      <c r="AH172" s="98"/>
    </row>
    <row r="173" spans="2:34" x14ac:dyDescent="0.25">
      <c r="B173" s="75"/>
      <c r="C173" s="76"/>
      <c r="D173" s="83"/>
      <c r="E173" s="84"/>
      <c r="F173" s="84"/>
      <c r="G173" s="84"/>
      <c r="H173" s="84"/>
      <c r="I173" s="85"/>
      <c r="J173" s="90"/>
      <c r="K173" s="91"/>
      <c r="L173" s="90"/>
      <c r="M173" s="91"/>
      <c r="N173" s="83"/>
      <c r="O173" s="85"/>
      <c r="P173" s="96"/>
      <c r="Q173" s="97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8"/>
      <c r="AD173" s="98"/>
      <c r="AE173" s="98"/>
      <c r="AF173" s="98"/>
      <c r="AG173" s="98"/>
      <c r="AH173" s="98"/>
    </row>
    <row r="174" spans="2:34" x14ac:dyDescent="0.25">
      <c r="B174" s="71"/>
      <c r="C174" s="72"/>
      <c r="D174" s="77"/>
      <c r="E174" s="78"/>
      <c r="F174" s="78"/>
      <c r="G174" s="78"/>
      <c r="H174" s="78"/>
      <c r="I174" s="79"/>
      <c r="J174" s="86"/>
      <c r="K174" s="87"/>
      <c r="L174" s="86"/>
      <c r="M174" s="87"/>
      <c r="N174" s="77"/>
      <c r="O174" s="79"/>
      <c r="P174" s="92"/>
      <c r="Q174" s="93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8"/>
      <c r="AD174" s="98"/>
      <c r="AE174" s="98"/>
      <c r="AF174" s="98"/>
      <c r="AG174" s="98"/>
      <c r="AH174" s="98"/>
    </row>
    <row r="175" spans="2:34" x14ac:dyDescent="0.25">
      <c r="B175" s="73"/>
      <c r="C175" s="74"/>
      <c r="D175" s="80"/>
      <c r="E175" s="81"/>
      <c r="F175" s="81"/>
      <c r="G175" s="81"/>
      <c r="H175" s="81"/>
      <c r="I175" s="82"/>
      <c r="J175" s="88"/>
      <c r="K175" s="89"/>
      <c r="L175" s="88"/>
      <c r="M175" s="89"/>
      <c r="N175" s="80"/>
      <c r="O175" s="82"/>
      <c r="P175" s="94"/>
      <c r="Q175" s="95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8"/>
      <c r="AD175" s="98"/>
      <c r="AE175" s="98"/>
      <c r="AF175" s="98"/>
      <c r="AG175" s="98"/>
      <c r="AH175" s="98"/>
    </row>
    <row r="176" spans="2:34" x14ac:dyDescent="0.25">
      <c r="B176" s="75"/>
      <c r="C176" s="76"/>
      <c r="D176" s="83"/>
      <c r="E176" s="84"/>
      <c r="F176" s="84"/>
      <c r="G176" s="84"/>
      <c r="H176" s="84"/>
      <c r="I176" s="85"/>
      <c r="J176" s="90"/>
      <c r="K176" s="91"/>
      <c r="L176" s="90"/>
      <c r="M176" s="91"/>
      <c r="N176" s="83"/>
      <c r="O176" s="85"/>
      <c r="P176" s="96"/>
      <c r="Q176" s="97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8"/>
      <c r="AD176" s="98"/>
      <c r="AE176" s="98"/>
      <c r="AF176" s="98"/>
      <c r="AG176" s="98"/>
      <c r="AH176" s="98"/>
    </row>
    <row r="177" spans="2:34" x14ac:dyDescent="0.25">
      <c r="B177" s="71"/>
      <c r="C177" s="72"/>
      <c r="D177" s="77"/>
      <c r="E177" s="78"/>
      <c r="F177" s="78"/>
      <c r="G177" s="78"/>
      <c r="H177" s="78"/>
      <c r="I177" s="79"/>
      <c r="J177" s="86"/>
      <c r="K177" s="87"/>
      <c r="L177" s="86"/>
      <c r="M177" s="87"/>
      <c r="N177" s="77"/>
      <c r="O177" s="79"/>
      <c r="P177" s="92"/>
      <c r="Q177" s="93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8"/>
      <c r="AD177" s="98"/>
      <c r="AE177" s="98"/>
      <c r="AF177" s="98"/>
      <c r="AG177" s="98"/>
      <c r="AH177" s="98"/>
    </row>
    <row r="178" spans="2:34" x14ac:dyDescent="0.25">
      <c r="B178" s="73"/>
      <c r="C178" s="74"/>
      <c r="D178" s="80"/>
      <c r="E178" s="81"/>
      <c r="F178" s="81"/>
      <c r="G178" s="81"/>
      <c r="H178" s="81"/>
      <c r="I178" s="82"/>
      <c r="J178" s="88"/>
      <c r="K178" s="89"/>
      <c r="L178" s="88"/>
      <c r="M178" s="89"/>
      <c r="N178" s="80"/>
      <c r="O178" s="82"/>
      <c r="P178" s="94"/>
      <c r="Q178" s="95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8"/>
      <c r="AD178" s="98"/>
      <c r="AE178" s="98"/>
      <c r="AF178" s="98"/>
      <c r="AG178" s="98"/>
      <c r="AH178" s="98"/>
    </row>
    <row r="179" spans="2:34" x14ac:dyDescent="0.25">
      <c r="B179" s="75"/>
      <c r="C179" s="76"/>
      <c r="D179" s="83"/>
      <c r="E179" s="84"/>
      <c r="F179" s="84"/>
      <c r="G179" s="84"/>
      <c r="H179" s="84"/>
      <c r="I179" s="85"/>
      <c r="J179" s="90"/>
      <c r="K179" s="91"/>
      <c r="L179" s="90"/>
      <c r="M179" s="91"/>
      <c r="N179" s="83"/>
      <c r="O179" s="85"/>
      <c r="P179" s="96"/>
      <c r="Q179" s="97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8"/>
      <c r="AD179" s="98"/>
      <c r="AE179" s="98"/>
      <c r="AF179" s="98"/>
      <c r="AG179" s="98"/>
      <c r="AH179" s="98"/>
    </row>
    <row r="180" spans="2:34" x14ac:dyDescent="0.25">
      <c r="B180" s="71"/>
      <c r="C180" s="72"/>
      <c r="D180" s="77"/>
      <c r="E180" s="78"/>
      <c r="F180" s="78"/>
      <c r="G180" s="78"/>
      <c r="H180" s="78"/>
      <c r="I180" s="79"/>
      <c r="J180" s="86"/>
      <c r="K180" s="87"/>
      <c r="L180" s="86"/>
      <c r="M180" s="87"/>
      <c r="N180" s="77"/>
      <c r="O180" s="79"/>
      <c r="P180" s="92"/>
      <c r="Q180" s="93"/>
      <c r="S180" s="99"/>
      <c r="T180" s="99"/>
      <c r="U180" s="99"/>
      <c r="V180" s="99"/>
      <c r="W180" s="99"/>
      <c r="X180" s="99"/>
      <c r="Y180" s="99"/>
      <c r="Z180" s="99"/>
      <c r="AA180" s="99"/>
      <c r="AB180" s="99"/>
      <c r="AC180" s="98"/>
      <c r="AD180" s="98"/>
      <c r="AE180" s="98"/>
      <c r="AF180" s="98"/>
      <c r="AG180" s="98"/>
      <c r="AH180" s="98"/>
    </row>
    <row r="181" spans="2:34" x14ac:dyDescent="0.25">
      <c r="B181" s="73"/>
      <c r="C181" s="74"/>
      <c r="D181" s="80"/>
      <c r="E181" s="81"/>
      <c r="F181" s="81"/>
      <c r="G181" s="81"/>
      <c r="H181" s="81"/>
      <c r="I181" s="82"/>
      <c r="J181" s="88"/>
      <c r="K181" s="89"/>
      <c r="L181" s="88"/>
      <c r="M181" s="89"/>
      <c r="N181" s="80"/>
      <c r="O181" s="82"/>
      <c r="P181" s="94"/>
      <c r="Q181" s="95"/>
      <c r="S181" s="99"/>
      <c r="T181" s="99"/>
      <c r="U181" s="99"/>
      <c r="V181" s="99"/>
      <c r="W181" s="99"/>
      <c r="X181" s="99"/>
      <c r="Y181" s="99"/>
      <c r="Z181" s="99"/>
      <c r="AA181" s="99"/>
      <c r="AB181" s="99"/>
      <c r="AC181" s="98"/>
      <c r="AD181" s="98"/>
      <c r="AE181" s="98"/>
      <c r="AF181" s="98"/>
      <c r="AG181" s="98"/>
      <c r="AH181" s="98"/>
    </row>
    <row r="182" spans="2:34" x14ac:dyDescent="0.25">
      <c r="B182" s="75"/>
      <c r="C182" s="76"/>
      <c r="D182" s="83"/>
      <c r="E182" s="84"/>
      <c r="F182" s="84"/>
      <c r="G182" s="84"/>
      <c r="H182" s="84"/>
      <c r="I182" s="85"/>
      <c r="J182" s="90"/>
      <c r="K182" s="91"/>
      <c r="L182" s="90"/>
      <c r="M182" s="91"/>
      <c r="N182" s="83"/>
      <c r="O182" s="85"/>
      <c r="P182" s="96"/>
      <c r="Q182" s="97"/>
      <c r="S182" s="99"/>
      <c r="T182" s="99"/>
      <c r="U182" s="99"/>
      <c r="V182" s="99"/>
      <c r="W182" s="99"/>
      <c r="X182" s="99"/>
      <c r="Y182" s="99"/>
      <c r="Z182" s="99"/>
      <c r="AA182" s="99"/>
      <c r="AB182" s="99"/>
      <c r="AC182" s="98"/>
      <c r="AD182" s="98"/>
      <c r="AE182" s="98"/>
      <c r="AF182" s="98"/>
      <c r="AG182" s="98"/>
      <c r="AH182" s="98"/>
    </row>
    <row r="183" spans="2:34" x14ac:dyDescent="0.25">
      <c r="B183" s="71"/>
      <c r="C183" s="72"/>
      <c r="D183" s="77"/>
      <c r="E183" s="78"/>
      <c r="F183" s="78"/>
      <c r="G183" s="78"/>
      <c r="H183" s="78"/>
      <c r="I183" s="79"/>
      <c r="J183" s="86"/>
      <c r="K183" s="87"/>
      <c r="L183" s="86"/>
      <c r="M183" s="87"/>
      <c r="N183" s="77"/>
      <c r="O183" s="79"/>
      <c r="P183" s="92"/>
      <c r="Q183" s="93"/>
      <c r="S183" s="99"/>
      <c r="T183" s="99"/>
      <c r="U183" s="99"/>
      <c r="V183" s="99"/>
      <c r="W183" s="99"/>
      <c r="X183" s="99"/>
      <c r="Y183" s="99"/>
      <c r="Z183" s="99"/>
      <c r="AA183" s="99"/>
      <c r="AB183" s="99"/>
      <c r="AC183" s="98"/>
      <c r="AD183" s="98"/>
      <c r="AE183" s="98"/>
      <c r="AF183" s="98"/>
      <c r="AG183" s="98"/>
      <c r="AH183" s="98"/>
    </row>
    <row r="184" spans="2:34" x14ac:dyDescent="0.25">
      <c r="B184" s="73"/>
      <c r="C184" s="74"/>
      <c r="D184" s="80"/>
      <c r="E184" s="81"/>
      <c r="F184" s="81"/>
      <c r="G184" s="81"/>
      <c r="H184" s="81"/>
      <c r="I184" s="82"/>
      <c r="J184" s="88"/>
      <c r="K184" s="89"/>
      <c r="L184" s="88"/>
      <c r="M184" s="89"/>
      <c r="N184" s="80"/>
      <c r="O184" s="82"/>
      <c r="P184" s="94"/>
      <c r="Q184" s="95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8"/>
      <c r="AD184" s="98"/>
      <c r="AE184" s="98"/>
      <c r="AF184" s="98"/>
      <c r="AG184" s="98"/>
      <c r="AH184" s="98"/>
    </row>
    <row r="185" spans="2:34" x14ac:dyDescent="0.25">
      <c r="B185" s="75"/>
      <c r="C185" s="76"/>
      <c r="D185" s="83"/>
      <c r="E185" s="84"/>
      <c r="F185" s="84"/>
      <c r="G185" s="84"/>
      <c r="H185" s="84"/>
      <c r="I185" s="85"/>
      <c r="J185" s="90"/>
      <c r="K185" s="91"/>
      <c r="L185" s="90"/>
      <c r="M185" s="91"/>
      <c r="N185" s="83"/>
      <c r="O185" s="85"/>
      <c r="P185" s="96"/>
      <c r="Q185" s="97"/>
      <c r="S185" s="99"/>
      <c r="T185" s="99"/>
      <c r="U185" s="99"/>
      <c r="V185" s="99"/>
      <c r="W185" s="99"/>
      <c r="X185" s="99"/>
      <c r="Y185" s="99"/>
      <c r="Z185" s="99"/>
      <c r="AA185" s="99"/>
      <c r="AB185" s="99"/>
      <c r="AC185" s="98"/>
      <c r="AD185" s="98"/>
      <c r="AE185" s="98"/>
      <c r="AF185" s="98"/>
      <c r="AG185" s="98"/>
      <c r="AH185" s="98"/>
    </row>
    <row r="186" spans="2:34" x14ac:dyDescent="0.25">
      <c r="B186" s="71"/>
      <c r="C186" s="72"/>
      <c r="D186" s="77"/>
      <c r="E186" s="78"/>
      <c r="F186" s="78"/>
      <c r="G186" s="78"/>
      <c r="H186" s="78"/>
      <c r="I186" s="79"/>
      <c r="J186" s="86"/>
      <c r="K186" s="87"/>
      <c r="L186" s="86"/>
      <c r="M186" s="87"/>
      <c r="N186" s="77"/>
      <c r="O186" s="79"/>
      <c r="P186" s="92"/>
      <c r="Q186" s="93"/>
      <c r="S186" s="99"/>
      <c r="T186" s="99"/>
      <c r="U186" s="99"/>
      <c r="V186" s="99"/>
      <c r="W186" s="99"/>
      <c r="X186" s="99"/>
      <c r="Y186" s="99"/>
      <c r="Z186" s="99"/>
      <c r="AA186" s="99"/>
      <c r="AB186" s="99"/>
      <c r="AC186" s="98"/>
      <c r="AD186" s="98"/>
      <c r="AE186" s="98"/>
      <c r="AF186" s="98"/>
      <c r="AG186" s="98"/>
      <c r="AH186" s="98"/>
    </row>
    <row r="187" spans="2:34" x14ac:dyDescent="0.25">
      <c r="B187" s="73"/>
      <c r="C187" s="74"/>
      <c r="D187" s="80"/>
      <c r="E187" s="81"/>
      <c r="F187" s="81"/>
      <c r="G187" s="81"/>
      <c r="H187" s="81"/>
      <c r="I187" s="82"/>
      <c r="J187" s="88"/>
      <c r="K187" s="89"/>
      <c r="L187" s="88"/>
      <c r="M187" s="89"/>
      <c r="N187" s="80"/>
      <c r="O187" s="82"/>
      <c r="P187" s="94"/>
      <c r="Q187" s="95"/>
      <c r="S187" s="99"/>
      <c r="T187" s="99"/>
      <c r="U187" s="99"/>
      <c r="V187" s="99"/>
      <c r="W187" s="99"/>
      <c r="X187" s="99"/>
      <c r="Y187" s="99"/>
      <c r="Z187" s="99"/>
      <c r="AA187" s="99"/>
      <c r="AB187" s="99"/>
      <c r="AC187" s="98"/>
      <c r="AD187" s="98"/>
      <c r="AE187" s="98"/>
      <c r="AF187" s="98"/>
      <c r="AG187" s="98"/>
      <c r="AH187" s="98"/>
    </row>
    <row r="188" spans="2:34" x14ac:dyDescent="0.25">
      <c r="B188" s="75"/>
      <c r="C188" s="76"/>
      <c r="D188" s="83"/>
      <c r="E188" s="84"/>
      <c r="F188" s="84"/>
      <c r="G188" s="84"/>
      <c r="H188" s="84"/>
      <c r="I188" s="85"/>
      <c r="J188" s="90"/>
      <c r="K188" s="91"/>
      <c r="L188" s="90"/>
      <c r="M188" s="91"/>
      <c r="N188" s="83"/>
      <c r="O188" s="85"/>
      <c r="P188" s="96"/>
      <c r="Q188" s="97"/>
      <c r="S188" s="99"/>
      <c r="T188" s="99"/>
      <c r="U188" s="99"/>
      <c r="V188" s="99"/>
      <c r="W188" s="99"/>
      <c r="X188" s="99"/>
      <c r="Y188" s="99"/>
      <c r="Z188" s="99"/>
      <c r="AA188" s="99"/>
      <c r="AB188" s="99"/>
      <c r="AC188" s="98"/>
      <c r="AD188" s="98"/>
      <c r="AE188" s="98"/>
      <c r="AF188" s="98"/>
      <c r="AG188" s="98"/>
      <c r="AH188" s="98"/>
    </row>
    <row r="189" spans="2:34" x14ac:dyDescent="0.25">
      <c r="B189" s="71"/>
      <c r="C189" s="72"/>
      <c r="D189" s="77"/>
      <c r="E189" s="78"/>
      <c r="F189" s="78"/>
      <c r="G189" s="78"/>
      <c r="H189" s="78"/>
      <c r="I189" s="79"/>
      <c r="J189" s="86"/>
      <c r="K189" s="87"/>
      <c r="L189" s="86"/>
      <c r="M189" s="87"/>
      <c r="N189" s="77"/>
      <c r="O189" s="79"/>
      <c r="P189" s="92"/>
      <c r="Q189" s="93"/>
      <c r="S189" s="99"/>
      <c r="T189" s="99"/>
      <c r="U189" s="99"/>
      <c r="V189" s="99"/>
      <c r="W189" s="99"/>
      <c r="X189" s="99"/>
      <c r="Y189" s="99"/>
      <c r="Z189" s="99"/>
      <c r="AA189" s="99"/>
      <c r="AB189" s="99"/>
      <c r="AC189" s="98"/>
      <c r="AD189" s="98"/>
      <c r="AE189" s="98"/>
      <c r="AF189" s="98"/>
      <c r="AG189" s="98"/>
      <c r="AH189" s="98"/>
    </row>
    <row r="190" spans="2:34" x14ac:dyDescent="0.25">
      <c r="B190" s="73"/>
      <c r="C190" s="74"/>
      <c r="D190" s="80"/>
      <c r="E190" s="81"/>
      <c r="F190" s="81"/>
      <c r="G190" s="81"/>
      <c r="H190" s="81"/>
      <c r="I190" s="82"/>
      <c r="J190" s="88"/>
      <c r="K190" s="89"/>
      <c r="L190" s="88"/>
      <c r="M190" s="89"/>
      <c r="N190" s="80"/>
      <c r="O190" s="82"/>
      <c r="P190" s="94"/>
      <c r="Q190" s="95"/>
      <c r="S190" s="99"/>
      <c r="T190" s="99"/>
      <c r="U190" s="99"/>
      <c r="V190" s="99"/>
      <c r="W190" s="99"/>
      <c r="X190" s="99"/>
      <c r="Y190" s="99"/>
      <c r="Z190" s="99"/>
      <c r="AA190" s="99"/>
      <c r="AB190" s="99"/>
      <c r="AC190" s="98"/>
      <c r="AD190" s="98"/>
      <c r="AE190" s="98"/>
      <c r="AF190" s="98"/>
      <c r="AG190" s="98"/>
      <c r="AH190" s="98"/>
    </row>
    <row r="191" spans="2:34" x14ac:dyDescent="0.25">
      <c r="B191" s="75"/>
      <c r="C191" s="76"/>
      <c r="D191" s="83"/>
      <c r="E191" s="84"/>
      <c r="F191" s="84"/>
      <c r="G191" s="84"/>
      <c r="H191" s="84"/>
      <c r="I191" s="85"/>
      <c r="J191" s="90"/>
      <c r="K191" s="91"/>
      <c r="L191" s="90"/>
      <c r="M191" s="91"/>
      <c r="N191" s="83"/>
      <c r="O191" s="85"/>
      <c r="P191" s="96"/>
      <c r="Q191" s="97"/>
      <c r="S191" s="99"/>
      <c r="T191" s="99"/>
      <c r="U191" s="99"/>
      <c r="V191" s="99"/>
      <c r="W191" s="99"/>
      <c r="X191" s="99"/>
      <c r="Y191" s="99"/>
      <c r="Z191" s="99"/>
      <c r="AA191" s="99"/>
      <c r="AB191" s="99"/>
      <c r="AC191" s="98"/>
      <c r="AD191" s="98"/>
      <c r="AE191" s="98"/>
      <c r="AF191" s="98"/>
      <c r="AG191" s="98"/>
      <c r="AH191" s="98"/>
    </row>
    <row r="192" spans="2:34" x14ac:dyDescent="0.25">
      <c r="B192" s="71"/>
      <c r="C192" s="72"/>
      <c r="D192" s="77"/>
      <c r="E192" s="78"/>
      <c r="F192" s="78"/>
      <c r="G192" s="78"/>
      <c r="H192" s="78"/>
      <c r="I192" s="79"/>
      <c r="J192" s="86"/>
      <c r="K192" s="87"/>
      <c r="L192" s="86"/>
      <c r="M192" s="87"/>
      <c r="N192" s="77"/>
      <c r="O192" s="79"/>
      <c r="P192" s="92"/>
      <c r="Q192" s="93"/>
      <c r="S192" s="99"/>
      <c r="T192" s="99"/>
      <c r="U192" s="99"/>
      <c r="V192" s="99"/>
      <c r="W192" s="99"/>
      <c r="X192" s="99"/>
      <c r="Y192" s="99"/>
      <c r="Z192" s="99"/>
      <c r="AA192" s="99"/>
      <c r="AB192" s="99"/>
      <c r="AC192" s="98"/>
      <c r="AD192" s="98"/>
      <c r="AE192" s="98"/>
      <c r="AF192" s="98"/>
      <c r="AG192" s="98"/>
      <c r="AH192" s="98"/>
    </row>
    <row r="193" spans="2:34" x14ac:dyDescent="0.25">
      <c r="B193" s="73"/>
      <c r="C193" s="74"/>
      <c r="D193" s="80"/>
      <c r="E193" s="81"/>
      <c r="F193" s="81"/>
      <c r="G193" s="81"/>
      <c r="H193" s="81"/>
      <c r="I193" s="82"/>
      <c r="J193" s="88"/>
      <c r="K193" s="89"/>
      <c r="L193" s="88"/>
      <c r="M193" s="89"/>
      <c r="N193" s="80"/>
      <c r="O193" s="82"/>
      <c r="P193" s="94"/>
      <c r="Q193" s="95"/>
      <c r="S193" s="99"/>
      <c r="T193" s="99"/>
      <c r="U193" s="99"/>
      <c r="V193" s="99"/>
      <c r="W193" s="99"/>
      <c r="X193" s="99"/>
      <c r="Y193" s="99"/>
      <c r="Z193" s="99"/>
      <c r="AA193" s="99"/>
      <c r="AB193" s="99"/>
      <c r="AC193" s="98"/>
      <c r="AD193" s="98"/>
      <c r="AE193" s="98"/>
      <c r="AF193" s="98"/>
      <c r="AG193" s="98"/>
      <c r="AH193" s="98"/>
    </row>
    <row r="194" spans="2:34" x14ac:dyDescent="0.25">
      <c r="B194" s="75"/>
      <c r="C194" s="76"/>
      <c r="D194" s="83"/>
      <c r="E194" s="84"/>
      <c r="F194" s="84"/>
      <c r="G194" s="84"/>
      <c r="H194" s="84"/>
      <c r="I194" s="85"/>
      <c r="J194" s="90"/>
      <c r="K194" s="91"/>
      <c r="L194" s="90"/>
      <c r="M194" s="91"/>
      <c r="N194" s="83"/>
      <c r="O194" s="85"/>
      <c r="P194" s="96"/>
      <c r="Q194" s="97"/>
      <c r="S194" s="99"/>
      <c r="T194" s="99"/>
      <c r="U194" s="99"/>
      <c r="V194" s="99"/>
      <c r="W194" s="99"/>
      <c r="X194" s="99"/>
      <c r="Y194" s="99"/>
      <c r="Z194" s="99"/>
      <c r="AA194" s="99"/>
      <c r="AB194" s="99"/>
      <c r="AC194" s="98"/>
      <c r="AD194" s="98"/>
      <c r="AE194" s="98"/>
      <c r="AF194" s="98"/>
      <c r="AG194" s="98"/>
      <c r="AH194" s="98"/>
    </row>
    <row r="195" spans="2:34" x14ac:dyDescent="0.25">
      <c r="B195" s="71"/>
      <c r="C195" s="72"/>
      <c r="D195" s="77"/>
      <c r="E195" s="78"/>
      <c r="F195" s="78"/>
      <c r="G195" s="78"/>
      <c r="H195" s="78"/>
      <c r="I195" s="79"/>
      <c r="J195" s="86"/>
      <c r="K195" s="87"/>
      <c r="L195" s="86"/>
      <c r="M195" s="87"/>
      <c r="N195" s="77"/>
      <c r="O195" s="79"/>
      <c r="P195" s="92"/>
      <c r="Q195" s="93"/>
      <c r="S195" s="99"/>
      <c r="T195" s="99"/>
      <c r="U195" s="99"/>
      <c r="V195" s="99"/>
      <c r="W195" s="99"/>
      <c r="X195" s="99"/>
      <c r="Y195" s="99"/>
      <c r="Z195" s="99"/>
      <c r="AA195" s="99"/>
      <c r="AB195" s="99"/>
      <c r="AC195" s="98"/>
      <c r="AD195" s="98"/>
      <c r="AE195" s="98"/>
      <c r="AF195" s="98"/>
      <c r="AG195" s="98"/>
      <c r="AH195" s="98"/>
    </row>
    <row r="196" spans="2:34" x14ac:dyDescent="0.25">
      <c r="B196" s="73"/>
      <c r="C196" s="74"/>
      <c r="D196" s="80"/>
      <c r="E196" s="81"/>
      <c r="F196" s="81"/>
      <c r="G196" s="81"/>
      <c r="H196" s="81"/>
      <c r="I196" s="82"/>
      <c r="J196" s="88"/>
      <c r="K196" s="89"/>
      <c r="L196" s="88"/>
      <c r="M196" s="89"/>
      <c r="N196" s="80"/>
      <c r="O196" s="82"/>
      <c r="P196" s="94"/>
      <c r="Q196" s="95"/>
      <c r="S196" s="99"/>
      <c r="T196" s="99"/>
      <c r="U196" s="99"/>
      <c r="V196" s="99"/>
      <c r="W196" s="99"/>
      <c r="X196" s="99"/>
      <c r="Y196" s="99"/>
      <c r="Z196" s="99"/>
      <c r="AA196" s="99"/>
      <c r="AB196" s="99"/>
      <c r="AC196" s="98"/>
      <c r="AD196" s="98"/>
      <c r="AE196" s="98"/>
      <c r="AF196" s="98"/>
      <c r="AG196" s="98"/>
      <c r="AH196" s="98"/>
    </row>
    <row r="197" spans="2:34" x14ac:dyDescent="0.25">
      <c r="B197" s="75"/>
      <c r="C197" s="76"/>
      <c r="D197" s="83"/>
      <c r="E197" s="84"/>
      <c r="F197" s="84"/>
      <c r="G197" s="84"/>
      <c r="H197" s="84"/>
      <c r="I197" s="85"/>
      <c r="J197" s="90"/>
      <c r="K197" s="91"/>
      <c r="L197" s="90"/>
      <c r="M197" s="91"/>
      <c r="N197" s="83"/>
      <c r="O197" s="85"/>
      <c r="P197" s="96"/>
      <c r="Q197" s="97"/>
      <c r="S197" s="99"/>
      <c r="T197" s="99"/>
      <c r="U197" s="99"/>
      <c r="V197" s="99"/>
      <c r="W197" s="99"/>
      <c r="X197" s="99"/>
      <c r="Y197" s="99"/>
      <c r="Z197" s="99"/>
      <c r="AA197" s="99"/>
      <c r="AB197" s="99"/>
      <c r="AC197" s="98"/>
      <c r="AD197" s="98"/>
      <c r="AE197" s="98"/>
      <c r="AF197" s="98"/>
      <c r="AG197" s="98"/>
      <c r="AH197" s="98"/>
    </row>
    <row r="198" spans="2:34" x14ac:dyDescent="0.25">
      <c r="B198" s="71"/>
      <c r="C198" s="72"/>
      <c r="D198" s="77"/>
      <c r="E198" s="78"/>
      <c r="F198" s="78"/>
      <c r="G198" s="78"/>
      <c r="H198" s="78"/>
      <c r="I198" s="79"/>
      <c r="J198" s="86"/>
      <c r="K198" s="87"/>
      <c r="L198" s="86"/>
      <c r="M198" s="87"/>
      <c r="N198" s="77"/>
      <c r="O198" s="79"/>
      <c r="P198" s="92"/>
      <c r="Q198" s="93"/>
      <c r="S198" s="99"/>
      <c r="T198" s="99"/>
      <c r="U198" s="99"/>
      <c r="V198" s="99"/>
      <c r="W198" s="99"/>
      <c r="X198" s="99"/>
      <c r="Y198" s="99"/>
      <c r="Z198" s="99"/>
      <c r="AA198" s="99"/>
      <c r="AB198" s="99"/>
      <c r="AC198" s="98"/>
      <c r="AD198" s="98"/>
      <c r="AE198" s="98"/>
      <c r="AF198" s="98"/>
      <c r="AG198" s="98"/>
      <c r="AH198" s="98"/>
    </row>
    <row r="199" spans="2:34" x14ac:dyDescent="0.25">
      <c r="B199" s="73"/>
      <c r="C199" s="74"/>
      <c r="D199" s="80"/>
      <c r="E199" s="81"/>
      <c r="F199" s="81"/>
      <c r="G199" s="81"/>
      <c r="H199" s="81"/>
      <c r="I199" s="82"/>
      <c r="J199" s="88"/>
      <c r="K199" s="89"/>
      <c r="L199" s="88"/>
      <c r="M199" s="89"/>
      <c r="N199" s="80"/>
      <c r="O199" s="82"/>
      <c r="P199" s="94"/>
      <c r="Q199" s="95"/>
      <c r="S199" s="99"/>
      <c r="T199" s="99"/>
      <c r="U199" s="99"/>
      <c r="V199" s="99"/>
      <c r="W199" s="99"/>
      <c r="X199" s="99"/>
      <c r="Y199" s="99"/>
      <c r="Z199" s="99"/>
      <c r="AA199" s="99"/>
      <c r="AB199" s="99"/>
      <c r="AC199" s="98"/>
      <c r="AD199" s="98"/>
      <c r="AE199" s="98"/>
      <c r="AF199" s="98"/>
      <c r="AG199" s="98"/>
      <c r="AH199" s="98"/>
    </row>
    <row r="200" spans="2:34" x14ac:dyDescent="0.25">
      <c r="B200" s="75"/>
      <c r="C200" s="76"/>
      <c r="D200" s="83"/>
      <c r="E200" s="84"/>
      <c r="F200" s="84"/>
      <c r="G200" s="84"/>
      <c r="H200" s="84"/>
      <c r="I200" s="85"/>
      <c r="J200" s="90"/>
      <c r="K200" s="91"/>
      <c r="L200" s="90"/>
      <c r="M200" s="91"/>
      <c r="N200" s="83"/>
      <c r="O200" s="85"/>
      <c r="P200" s="96"/>
      <c r="Q200" s="97"/>
      <c r="S200" s="99"/>
      <c r="T200" s="99"/>
      <c r="U200" s="99"/>
      <c r="V200" s="99"/>
      <c r="W200" s="99"/>
      <c r="X200" s="99"/>
      <c r="Y200" s="99"/>
      <c r="Z200" s="99"/>
      <c r="AA200" s="99"/>
      <c r="AB200" s="99"/>
      <c r="AC200" s="98"/>
      <c r="AD200" s="98"/>
      <c r="AE200" s="98"/>
      <c r="AF200" s="98"/>
      <c r="AG200" s="98"/>
      <c r="AH200" s="98"/>
    </row>
    <row r="201" spans="2:34" x14ac:dyDescent="0.25">
      <c r="B201" s="71"/>
      <c r="C201" s="72"/>
      <c r="D201" s="77"/>
      <c r="E201" s="78"/>
      <c r="F201" s="78"/>
      <c r="G201" s="78"/>
      <c r="H201" s="78"/>
      <c r="I201" s="79"/>
      <c r="J201" s="86"/>
      <c r="K201" s="87"/>
      <c r="L201" s="86"/>
      <c r="M201" s="87"/>
      <c r="N201" s="77"/>
      <c r="O201" s="79"/>
      <c r="P201" s="92"/>
      <c r="Q201" s="93"/>
      <c r="S201" s="99"/>
      <c r="T201" s="99"/>
      <c r="U201" s="99"/>
      <c r="V201" s="99"/>
      <c r="W201" s="99"/>
      <c r="X201" s="99"/>
      <c r="Y201" s="99"/>
      <c r="Z201" s="99"/>
      <c r="AA201" s="99"/>
      <c r="AB201" s="99"/>
      <c r="AC201" s="98"/>
      <c r="AD201" s="98"/>
      <c r="AE201" s="98"/>
      <c r="AF201" s="98"/>
      <c r="AG201" s="98"/>
      <c r="AH201" s="98"/>
    </row>
    <row r="202" spans="2:34" x14ac:dyDescent="0.25">
      <c r="B202" s="73"/>
      <c r="C202" s="74"/>
      <c r="D202" s="80"/>
      <c r="E202" s="81"/>
      <c r="F202" s="81"/>
      <c r="G202" s="81"/>
      <c r="H202" s="81"/>
      <c r="I202" s="82"/>
      <c r="J202" s="88"/>
      <c r="K202" s="89"/>
      <c r="L202" s="88"/>
      <c r="M202" s="89"/>
      <c r="N202" s="80"/>
      <c r="O202" s="82"/>
      <c r="P202" s="94"/>
      <c r="Q202" s="95"/>
      <c r="S202" s="99"/>
      <c r="T202" s="99"/>
      <c r="U202" s="99"/>
      <c r="V202" s="99"/>
      <c r="W202" s="99"/>
      <c r="X202" s="99"/>
      <c r="Y202" s="99"/>
      <c r="Z202" s="99"/>
      <c r="AA202" s="99"/>
      <c r="AB202" s="99"/>
      <c r="AC202" s="98"/>
      <c r="AD202" s="98"/>
      <c r="AE202" s="98"/>
      <c r="AF202" s="98"/>
      <c r="AG202" s="98"/>
      <c r="AH202" s="98"/>
    </row>
    <row r="203" spans="2:34" x14ac:dyDescent="0.25">
      <c r="B203" s="75"/>
      <c r="C203" s="76"/>
      <c r="D203" s="83"/>
      <c r="E203" s="84"/>
      <c r="F203" s="84"/>
      <c r="G203" s="84"/>
      <c r="H203" s="84"/>
      <c r="I203" s="85"/>
      <c r="J203" s="90"/>
      <c r="K203" s="91"/>
      <c r="L203" s="90"/>
      <c r="M203" s="91"/>
      <c r="N203" s="83"/>
      <c r="O203" s="85"/>
      <c r="P203" s="96"/>
      <c r="Q203" s="97"/>
      <c r="S203" s="99"/>
      <c r="T203" s="99"/>
      <c r="U203" s="99"/>
      <c r="V203" s="99"/>
      <c r="W203" s="99"/>
      <c r="X203" s="99"/>
      <c r="Y203" s="99"/>
      <c r="Z203" s="99"/>
      <c r="AA203" s="99"/>
      <c r="AB203" s="99"/>
      <c r="AC203" s="98"/>
      <c r="AD203" s="98"/>
      <c r="AE203" s="98"/>
      <c r="AF203" s="98"/>
      <c r="AG203" s="98"/>
      <c r="AH203" s="98"/>
    </row>
    <row r="204" spans="2:34" x14ac:dyDescent="0.25">
      <c r="B204" s="71"/>
      <c r="C204" s="72"/>
      <c r="D204" s="77"/>
      <c r="E204" s="78"/>
      <c r="F204" s="78"/>
      <c r="G204" s="78"/>
      <c r="H204" s="78"/>
      <c r="I204" s="79"/>
      <c r="J204" s="86"/>
      <c r="K204" s="87"/>
      <c r="L204" s="86"/>
      <c r="M204" s="87"/>
      <c r="N204" s="77"/>
      <c r="O204" s="79"/>
      <c r="P204" s="92"/>
      <c r="Q204" s="93"/>
      <c r="S204" s="99"/>
      <c r="T204" s="99"/>
      <c r="U204" s="99"/>
      <c r="V204" s="99"/>
      <c r="W204" s="99"/>
      <c r="X204" s="99"/>
      <c r="Y204" s="99"/>
      <c r="Z204" s="99"/>
      <c r="AA204" s="99"/>
      <c r="AB204" s="99"/>
      <c r="AC204" s="98"/>
      <c r="AD204" s="98"/>
      <c r="AE204" s="98"/>
      <c r="AF204" s="98"/>
      <c r="AG204" s="98"/>
      <c r="AH204" s="98"/>
    </row>
    <row r="205" spans="2:34" x14ac:dyDescent="0.25">
      <c r="B205" s="73"/>
      <c r="C205" s="74"/>
      <c r="D205" s="80"/>
      <c r="E205" s="81"/>
      <c r="F205" s="81"/>
      <c r="G205" s="81"/>
      <c r="H205" s="81"/>
      <c r="I205" s="82"/>
      <c r="J205" s="88"/>
      <c r="K205" s="89"/>
      <c r="L205" s="88"/>
      <c r="M205" s="89"/>
      <c r="N205" s="80"/>
      <c r="O205" s="82"/>
      <c r="P205" s="94"/>
      <c r="Q205" s="95"/>
      <c r="S205" s="99"/>
      <c r="T205" s="99"/>
      <c r="U205" s="99"/>
      <c r="V205" s="99"/>
      <c r="W205" s="99"/>
      <c r="X205" s="99"/>
      <c r="Y205" s="99"/>
      <c r="Z205" s="99"/>
      <c r="AA205" s="99"/>
      <c r="AB205" s="99"/>
      <c r="AC205" s="98"/>
      <c r="AD205" s="98"/>
      <c r="AE205" s="98"/>
      <c r="AF205" s="98"/>
      <c r="AG205" s="98"/>
      <c r="AH205" s="98"/>
    </row>
    <row r="206" spans="2:34" x14ac:dyDescent="0.25">
      <c r="B206" s="75"/>
      <c r="C206" s="76"/>
      <c r="D206" s="83"/>
      <c r="E206" s="84"/>
      <c r="F206" s="84"/>
      <c r="G206" s="84"/>
      <c r="H206" s="84"/>
      <c r="I206" s="85"/>
      <c r="J206" s="90"/>
      <c r="K206" s="91"/>
      <c r="L206" s="90"/>
      <c r="M206" s="91"/>
      <c r="N206" s="83"/>
      <c r="O206" s="85"/>
      <c r="P206" s="96"/>
      <c r="Q206" s="97"/>
      <c r="S206" s="99"/>
      <c r="T206" s="99"/>
      <c r="U206" s="99"/>
      <c r="V206" s="99"/>
      <c r="W206" s="99"/>
      <c r="X206" s="99"/>
      <c r="Y206" s="99"/>
      <c r="Z206" s="99"/>
      <c r="AA206" s="99"/>
      <c r="AB206" s="99"/>
      <c r="AC206" s="98"/>
      <c r="AD206" s="98"/>
      <c r="AE206" s="98"/>
      <c r="AF206" s="98"/>
      <c r="AG206" s="98"/>
      <c r="AH206" s="98"/>
    </row>
    <row r="207" spans="2:34" x14ac:dyDescent="0.25">
      <c r="B207" s="71"/>
      <c r="C207" s="72"/>
      <c r="D207" s="77"/>
      <c r="E207" s="78"/>
      <c r="F207" s="78"/>
      <c r="G207" s="78"/>
      <c r="H207" s="78"/>
      <c r="I207" s="79"/>
      <c r="J207" s="86"/>
      <c r="K207" s="87"/>
      <c r="L207" s="86"/>
      <c r="M207" s="87"/>
      <c r="N207" s="77"/>
      <c r="O207" s="79"/>
      <c r="P207" s="92"/>
      <c r="Q207" s="93"/>
      <c r="S207" s="99"/>
      <c r="T207" s="99"/>
      <c r="U207" s="99"/>
      <c r="V207" s="99"/>
      <c r="W207" s="99"/>
      <c r="X207" s="99"/>
      <c r="Y207" s="99"/>
      <c r="Z207" s="99"/>
      <c r="AA207" s="99"/>
      <c r="AB207" s="99"/>
      <c r="AC207" s="98"/>
      <c r="AD207" s="98"/>
      <c r="AE207" s="98"/>
      <c r="AF207" s="98"/>
      <c r="AG207" s="98"/>
      <c r="AH207" s="98"/>
    </row>
    <row r="208" spans="2:34" x14ac:dyDescent="0.25">
      <c r="B208" s="73"/>
      <c r="C208" s="74"/>
      <c r="D208" s="80"/>
      <c r="E208" s="81"/>
      <c r="F208" s="81"/>
      <c r="G208" s="81"/>
      <c r="H208" s="81"/>
      <c r="I208" s="82"/>
      <c r="J208" s="88"/>
      <c r="K208" s="89"/>
      <c r="L208" s="88"/>
      <c r="M208" s="89"/>
      <c r="N208" s="80"/>
      <c r="O208" s="82"/>
      <c r="P208" s="94"/>
      <c r="Q208" s="95"/>
      <c r="S208" s="99"/>
      <c r="T208" s="99"/>
      <c r="U208" s="99"/>
      <c r="V208" s="99"/>
      <c r="W208" s="99"/>
      <c r="X208" s="99"/>
      <c r="Y208" s="99"/>
      <c r="Z208" s="99"/>
      <c r="AA208" s="99"/>
      <c r="AB208" s="99"/>
      <c r="AC208" s="98"/>
      <c r="AD208" s="98"/>
      <c r="AE208" s="98"/>
      <c r="AF208" s="98"/>
      <c r="AG208" s="98"/>
      <c r="AH208" s="98"/>
    </row>
    <row r="209" spans="2:34" x14ac:dyDescent="0.25">
      <c r="B209" s="75"/>
      <c r="C209" s="76"/>
      <c r="D209" s="83"/>
      <c r="E209" s="84"/>
      <c r="F209" s="84"/>
      <c r="G209" s="84"/>
      <c r="H209" s="84"/>
      <c r="I209" s="85"/>
      <c r="J209" s="90"/>
      <c r="K209" s="91"/>
      <c r="L209" s="90"/>
      <c r="M209" s="91"/>
      <c r="N209" s="83"/>
      <c r="O209" s="85"/>
      <c r="P209" s="96"/>
      <c r="Q209" s="97"/>
      <c r="S209" s="99"/>
      <c r="T209" s="99"/>
      <c r="U209" s="99"/>
      <c r="V209" s="99"/>
      <c r="W209" s="99"/>
      <c r="X209" s="99"/>
      <c r="Y209" s="99"/>
      <c r="Z209" s="99"/>
      <c r="AA209" s="99"/>
      <c r="AB209" s="99"/>
      <c r="AC209" s="98"/>
      <c r="AD209" s="98"/>
      <c r="AE209" s="98"/>
      <c r="AF209" s="98"/>
      <c r="AG209" s="98"/>
      <c r="AH209" s="98"/>
    </row>
    <row r="210" spans="2:34" x14ac:dyDescent="0.25">
      <c r="B210" s="71"/>
      <c r="C210" s="72"/>
      <c r="D210" s="77"/>
      <c r="E210" s="78"/>
      <c r="F210" s="78"/>
      <c r="G210" s="78"/>
      <c r="H210" s="78"/>
      <c r="I210" s="79"/>
      <c r="J210" s="86"/>
      <c r="K210" s="87"/>
      <c r="L210" s="86"/>
      <c r="M210" s="87"/>
      <c r="N210" s="77"/>
      <c r="O210" s="79"/>
      <c r="P210" s="92"/>
      <c r="Q210" s="93"/>
      <c r="S210" s="99"/>
      <c r="T210" s="99"/>
      <c r="U210" s="99"/>
      <c r="V210" s="99"/>
      <c r="W210" s="99"/>
      <c r="X210" s="99"/>
      <c r="Y210" s="99"/>
      <c r="Z210" s="99"/>
      <c r="AA210" s="99"/>
      <c r="AB210" s="99"/>
      <c r="AC210" s="98"/>
      <c r="AD210" s="98"/>
      <c r="AE210" s="98"/>
      <c r="AF210" s="98"/>
      <c r="AG210" s="98"/>
      <c r="AH210" s="98"/>
    </row>
    <row r="211" spans="2:34" x14ac:dyDescent="0.25">
      <c r="B211" s="73"/>
      <c r="C211" s="74"/>
      <c r="D211" s="80"/>
      <c r="E211" s="81"/>
      <c r="F211" s="81"/>
      <c r="G211" s="81"/>
      <c r="H211" s="81"/>
      <c r="I211" s="82"/>
      <c r="J211" s="88"/>
      <c r="K211" s="89"/>
      <c r="L211" s="88"/>
      <c r="M211" s="89"/>
      <c r="N211" s="80"/>
      <c r="O211" s="82"/>
      <c r="P211" s="94"/>
      <c r="Q211" s="95"/>
      <c r="S211" s="99"/>
      <c r="T211" s="99"/>
      <c r="U211" s="99"/>
      <c r="V211" s="99"/>
      <c r="W211" s="99"/>
      <c r="X211" s="99"/>
      <c r="Y211" s="99"/>
      <c r="Z211" s="99"/>
      <c r="AA211" s="99"/>
      <c r="AB211" s="99"/>
      <c r="AC211" s="98"/>
      <c r="AD211" s="98"/>
      <c r="AE211" s="98"/>
      <c r="AF211" s="98"/>
      <c r="AG211" s="98"/>
      <c r="AH211" s="98"/>
    </row>
    <row r="212" spans="2:34" x14ac:dyDescent="0.25">
      <c r="B212" s="75"/>
      <c r="C212" s="76"/>
      <c r="D212" s="83"/>
      <c r="E212" s="84"/>
      <c r="F212" s="84"/>
      <c r="G212" s="84"/>
      <c r="H212" s="84"/>
      <c r="I212" s="85"/>
      <c r="J212" s="90"/>
      <c r="K212" s="91"/>
      <c r="L212" s="90"/>
      <c r="M212" s="91"/>
      <c r="N212" s="83"/>
      <c r="O212" s="85"/>
      <c r="P212" s="96"/>
      <c r="Q212" s="97"/>
      <c r="S212" s="99"/>
      <c r="T212" s="99"/>
      <c r="U212" s="99"/>
      <c r="V212" s="99"/>
      <c r="W212" s="99"/>
      <c r="X212" s="99"/>
      <c r="Y212" s="99"/>
      <c r="Z212" s="99"/>
      <c r="AA212" s="99"/>
      <c r="AB212" s="99"/>
      <c r="AC212" s="98"/>
      <c r="AD212" s="98"/>
      <c r="AE212" s="98"/>
      <c r="AF212" s="98"/>
      <c r="AG212" s="98"/>
      <c r="AH212" s="98"/>
    </row>
    <row r="213" spans="2:34" x14ac:dyDescent="0.25">
      <c r="B213" s="71"/>
      <c r="C213" s="72"/>
      <c r="D213" s="77"/>
      <c r="E213" s="78"/>
      <c r="F213" s="78"/>
      <c r="G213" s="78"/>
      <c r="H213" s="78"/>
      <c r="I213" s="79"/>
      <c r="J213" s="86"/>
      <c r="K213" s="87"/>
      <c r="L213" s="86"/>
      <c r="M213" s="87"/>
      <c r="N213" s="77"/>
      <c r="O213" s="79"/>
      <c r="P213" s="92"/>
      <c r="Q213" s="93"/>
      <c r="S213" s="99"/>
      <c r="T213" s="99"/>
      <c r="U213" s="99"/>
      <c r="V213" s="99"/>
      <c r="W213" s="99"/>
      <c r="X213" s="99"/>
      <c r="Y213" s="99"/>
      <c r="Z213" s="99"/>
      <c r="AA213" s="99"/>
      <c r="AB213" s="99"/>
      <c r="AC213" s="98"/>
      <c r="AD213" s="98"/>
      <c r="AE213" s="98"/>
      <c r="AF213" s="98"/>
      <c r="AG213" s="98"/>
      <c r="AH213" s="98"/>
    </row>
    <row r="214" spans="2:34" x14ac:dyDescent="0.25">
      <c r="B214" s="73"/>
      <c r="C214" s="74"/>
      <c r="D214" s="80"/>
      <c r="E214" s="81"/>
      <c r="F214" s="81"/>
      <c r="G214" s="81"/>
      <c r="H214" s="81"/>
      <c r="I214" s="82"/>
      <c r="J214" s="88"/>
      <c r="K214" s="89"/>
      <c r="L214" s="88"/>
      <c r="M214" s="89"/>
      <c r="N214" s="80"/>
      <c r="O214" s="82"/>
      <c r="P214" s="94"/>
      <c r="Q214" s="95"/>
      <c r="S214" s="99"/>
      <c r="T214" s="99"/>
      <c r="U214" s="99"/>
      <c r="V214" s="99"/>
      <c r="W214" s="99"/>
      <c r="X214" s="99"/>
      <c r="Y214" s="99"/>
      <c r="Z214" s="99"/>
      <c r="AA214" s="99"/>
      <c r="AB214" s="99"/>
      <c r="AC214" s="98"/>
      <c r="AD214" s="98"/>
      <c r="AE214" s="98"/>
      <c r="AF214" s="98"/>
      <c r="AG214" s="98"/>
      <c r="AH214" s="98"/>
    </row>
    <row r="215" spans="2:34" x14ac:dyDescent="0.25">
      <c r="B215" s="75"/>
      <c r="C215" s="76"/>
      <c r="D215" s="83"/>
      <c r="E215" s="84"/>
      <c r="F215" s="84"/>
      <c r="G215" s="84"/>
      <c r="H215" s="84"/>
      <c r="I215" s="85"/>
      <c r="J215" s="90"/>
      <c r="K215" s="91"/>
      <c r="L215" s="90"/>
      <c r="M215" s="91"/>
      <c r="N215" s="83"/>
      <c r="O215" s="85"/>
      <c r="P215" s="96"/>
      <c r="Q215" s="97"/>
      <c r="S215" s="99"/>
      <c r="T215" s="99"/>
      <c r="U215" s="99"/>
      <c r="V215" s="99"/>
      <c r="W215" s="99"/>
      <c r="X215" s="99"/>
      <c r="Y215" s="99"/>
      <c r="Z215" s="99"/>
      <c r="AA215" s="99"/>
      <c r="AB215" s="99"/>
      <c r="AC215" s="98"/>
      <c r="AD215" s="98"/>
      <c r="AE215" s="98"/>
      <c r="AF215" s="98"/>
      <c r="AG215" s="98"/>
      <c r="AH215" s="98"/>
    </row>
    <row r="216" spans="2:34" x14ac:dyDescent="0.25">
      <c r="B216" s="71"/>
      <c r="C216" s="72"/>
      <c r="D216" s="77"/>
      <c r="E216" s="78"/>
      <c r="F216" s="78"/>
      <c r="G216" s="78"/>
      <c r="H216" s="78"/>
      <c r="I216" s="79"/>
      <c r="J216" s="86"/>
      <c r="K216" s="87"/>
      <c r="L216" s="86"/>
      <c r="M216" s="87"/>
      <c r="N216" s="77"/>
      <c r="O216" s="79"/>
      <c r="P216" s="92"/>
      <c r="Q216" s="93"/>
      <c r="S216" s="99"/>
      <c r="T216" s="99"/>
      <c r="U216" s="99"/>
      <c r="V216" s="99"/>
      <c r="W216" s="99"/>
      <c r="X216" s="99"/>
      <c r="Y216" s="99"/>
      <c r="Z216" s="99"/>
      <c r="AA216" s="99"/>
      <c r="AB216" s="99"/>
      <c r="AC216" s="98"/>
      <c r="AD216" s="98"/>
      <c r="AE216" s="98"/>
      <c r="AF216" s="98"/>
      <c r="AG216" s="98"/>
      <c r="AH216" s="98"/>
    </row>
    <row r="217" spans="2:34" x14ac:dyDescent="0.25">
      <c r="B217" s="73"/>
      <c r="C217" s="74"/>
      <c r="D217" s="80"/>
      <c r="E217" s="81"/>
      <c r="F217" s="81"/>
      <c r="G217" s="81"/>
      <c r="H217" s="81"/>
      <c r="I217" s="82"/>
      <c r="J217" s="88"/>
      <c r="K217" s="89"/>
      <c r="L217" s="88"/>
      <c r="M217" s="89"/>
      <c r="N217" s="80"/>
      <c r="O217" s="82"/>
      <c r="P217" s="94"/>
      <c r="Q217" s="95"/>
      <c r="S217" s="99"/>
      <c r="T217" s="99"/>
      <c r="U217" s="99"/>
      <c r="V217" s="99"/>
      <c r="W217" s="99"/>
      <c r="X217" s="99"/>
      <c r="Y217" s="99"/>
      <c r="Z217" s="99"/>
      <c r="AA217" s="99"/>
      <c r="AB217" s="99"/>
      <c r="AC217" s="98"/>
      <c r="AD217" s="98"/>
      <c r="AE217" s="98"/>
      <c r="AF217" s="98"/>
      <c r="AG217" s="98"/>
      <c r="AH217" s="98"/>
    </row>
    <row r="218" spans="2:34" x14ac:dyDescent="0.25">
      <c r="B218" s="75"/>
      <c r="C218" s="76"/>
      <c r="D218" s="83"/>
      <c r="E218" s="84"/>
      <c r="F218" s="84"/>
      <c r="G218" s="84"/>
      <c r="H218" s="84"/>
      <c r="I218" s="85"/>
      <c r="J218" s="90"/>
      <c r="K218" s="91"/>
      <c r="L218" s="90"/>
      <c r="M218" s="91"/>
      <c r="N218" s="83"/>
      <c r="O218" s="85"/>
      <c r="P218" s="96"/>
      <c r="Q218" s="97"/>
      <c r="S218" s="99"/>
      <c r="T218" s="99"/>
      <c r="U218" s="99"/>
      <c r="V218" s="99"/>
      <c r="W218" s="99"/>
      <c r="X218" s="99"/>
      <c r="Y218" s="99"/>
      <c r="Z218" s="99"/>
      <c r="AA218" s="99"/>
      <c r="AB218" s="99"/>
      <c r="AC218" s="98"/>
      <c r="AD218" s="98"/>
      <c r="AE218" s="98"/>
      <c r="AF218" s="98"/>
      <c r="AG218" s="98"/>
      <c r="AH218" s="98"/>
    </row>
    <row r="219" spans="2:34" x14ac:dyDescent="0.25">
      <c r="B219" s="71"/>
      <c r="C219" s="72"/>
      <c r="D219" s="77"/>
      <c r="E219" s="78"/>
      <c r="F219" s="78"/>
      <c r="G219" s="78"/>
      <c r="H219" s="78"/>
      <c r="I219" s="79"/>
      <c r="J219" s="86"/>
      <c r="K219" s="87"/>
      <c r="L219" s="86"/>
      <c r="M219" s="87"/>
      <c r="N219" s="77"/>
      <c r="O219" s="79"/>
      <c r="P219" s="92"/>
      <c r="Q219" s="93"/>
      <c r="S219" s="99"/>
      <c r="T219" s="99"/>
      <c r="U219" s="99"/>
      <c r="V219" s="99"/>
      <c r="W219" s="99"/>
      <c r="X219" s="99"/>
      <c r="Y219" s="99"/>
      <c r="Z219" s="99"/>
      <c r="AA219" s="99"/>
      <c r="AB219" s="99"/>
      <c r="AC219" s="98"/>
      <c r="AD219" s="98"/>
      <c r="AE219" s="98"/>
      <c r="AF219" s="98"/>
      <c r="AG219" s="98"/>
      <c r="AH219" s="98"/>
    </row>
    <row r="220" spans="2:34" x14ac:dyDescent="0.25">
      <c r="B220" s="73"/>
      <c r="C220" s="74"/>
      <c r="D220" s="80"/>
      <c r="E220" s="81"/>
      <c r="F220" s="81"/>
      <c r="G220" s="81"/>
      <c r="H220" s="81"/>
      <c r="I220" s="82"/>
      <c r="J220" s="88"/>
      <c r="K220" s="89"/>
      <c r="L220" s="88"/>
      <c r="M220" s="89"/>
      <c r="N220" s="80"/>
      <c r="O220" s="82"/>
      <c r="P220" s="94"/>
      <c r="Q220" s="95"/>
      <c r="S220" s="99"/>
      <c r="T220" s="99"/>
      <c r="U220" s="99"/>
      <c r="V220" s="99"/>
      <c r="W220" s="99"/>
      <c r="X220" s="99"/>
      <c r="Y220" s="99"/>
      <c r="Z220" s="99"/>
      <c r="AA220" s="99"/>
      <c r="AB220" s="99"/>
      <c r="AC220" s="98"/>
      <c r="AD220" s="98"/>
      <c r="AE220" s="98"/>
      <c r="AF220" s="98"/>
      <c r="AG220" s="98"/>
      <c r="AH220" s="98"/>
    </row>
    <row r="221" spans="2:34" x14ac:dyDescent="0.25">
      <c r="B221" s="75"/>
      <c r="C221" s="76"/>
      <c r="D221" s="83"/>
      <c r="E221" s="84"/>
      <c r="F221" s="84"/>
      <c r="G221" s="84"/>
      <c r="H221" s="84"/>
      <c r="I221" s="85"/>
      <c r="J221" s="90"/>
      <c r="K221" s="91"/>
      <c r="L221" s="90"/>
      <c r="M221" s="91"/>
      <c r="N221" s="83"/>
      <c r="O221" s="85"/>
      <c r="P221" s="96"/>
      <c r="Q221" s="97"/>
      <c r="S221" s="99"/>
      <c r="T221" s="99"/>
      <c r="U221" s="99"/>
      <c r="V221" s="99"/>
      <c r="W221" s="99"/>
      <c r="X221" s="99"/>
      <c r="Y221" s="99"/>
      <c r="Z221" s="99"/>
      <c r="AA221" s="99"/>
      <c r="AB221" s="99"/>
      <c r="AC221" s="98"/>
      <c r="AD221" s="98"/>
      <c r="AE221" s="98"/>
      <c r="AF221" s="98"/>
      <c r="AG221" s="98"/>
      <c r="AH221" s="98"/>
    </row>
    <row r="222" spans="2:34" x14ac:dyDescent="0.25">
      <c r="B222" s="71"/>
      <c r="C222" s="72"/>
      <c r="D222" s="77"/>
      <c r="E222" s="78"/>
      <c r="F222" s="78"/>
      <c r="G222" s="78"/>
      <c r="H222" s="78"/>
      <c r="I222" s="79"/>
      <c r="J222" s="86"/>
      <c r="K222" s="87"/>
      <c r="L222" s="86"/>
      <c r="M222" s="87"/>
      <c r="N222" s="77"/>
      <c r="O222" s="79"/>
      <c r="P222" s="92"/>
      <c r="Q222" s="93"/>
      <c r="S222" s="99"/>
      <c r="T222" s="99"/>
      <c r="U222" s="99"/>
      <c r="V222" s="99"/>
      <c r="W222" s="99"/>
      <c r="X222" s="99"/>
      <c r="Y222" s="99"/>
      <c r="Z222" s="99"/>
      <c r="AA222" s="99"/>
      <c r="AB222" s="99"/>
      <c r="AC222" s="98"/>
      <c r="AD222" s="98"/>
      <c r="AE222" s="98"/>
      <c r="AF222" s="98"/>
      <c r="AG222" s="98"/>
      <c r="AH222" s="98"/>
    </row>
    <row r="223" spans="2:34" x14ac:dyDescent="0.25">
      <c r="B223" s="73"/>
      <c r="C223" s="74"/>
      <c r="D223" s="80"/>
      <c r="E223" s="81"/>
      <c r="F223" s="81"/>
      <c r="G223" s="81"/>
      <c r="H223" s="81"/>
      <c r="I223" s="82"/>
      <c r="J223" s="88"/>
      <c r="K223" s="89"/>
      <c r="L223" s="88"/>
      <c r="M223" s="89"/>
      <c r="N223" s="80"/>
      <c r="O223" s="82"/>
      <c r="P223" s="94"/>
      <c r="Q223" s="95"/>
      <c r="S223" s="99"/>
      <c r="T223" s="99"/>
      <c r="U223" s="99"/>
      <c r="V223" s="99"/>
      <c r="W223" s="99"/>
      <c r="X223" s="99"/>
      <c r="Y223" s="99"/>
      <c r="Z223" s="99"/>
      <c r="AA223" s="99"/>
      <c r="AB223" s="99"/>
      <c r="AC223" s="98"/>
      <c r="AD223" s="98"/>
      <c r="AE223" s="98"/>
      <c r="AF223" s="98"/>
      <c r="AG223" s="98"/>
      <c r="AH223" s="98"/>
    </row>
    <row r="224" spans="2:34" x14ac:dyDescent="0.25">
      <c r="B224" s="75"/>
      <c r="C224" s="76"/>
      <c r="D224" s="83"/>
      <c r="E224" s="84"/>
      <c r="F224" s="84"/>
      <c r="G224" s="84"/>
      <c r="H224" s="84"/>
      <c r="I224" s="85"/>
      <c r="J224" s="90"/>
      <c r="K224" s="91"/>
      <c r="L224" s="90"/>
      <c r="M224" s="91"/>
      <c r="N224" s="83"/>
      <c r="O224" s="85"/>
      <c r="P224" s="96"/>
      <c r="Q224" s="97"/>
      <c r="S224" s="99"/>
      <c r="T224" s="99"/>
      <c r="U224" s="99"/>
      <c r="V224" s="99"/>
      <c r="W224" s="99"/>
      <c r="X224" s="99"/>
      <c r="Y224" s="99"/>
      <c r="Z224" s="99"/>
      <c r="AA224" s="99"/>
      <c r="AB224" s="99"/>
      <c r="AC224" s="98"/>
      <c r="AD224" s="98"/>
      <c r="AE224" s="98"/>
      <c r="AF224" s="98"/>
      <c r="AG224" s="98"/>
      <c r="AH224" s="98"/>
    </row>
    <row r="225" spans="2:34" x14ac:dyDescent="0.25">
      <c r="B225" s="71"/>
      <c r="C225" s="72"/>
      <c r="D225" s="77"/>
      <c r="E225" s="78"/>
      <c r="F225" s="78"/>
      <c r="G225" s="78"/>
      <c r="H225" s="78"/>
      <c r="I225" s="79"/>
      <c r="J225" s="86"/>
      <c r="K225" s="87"/>
      <c r="L225" s="86"/>
      <c r="M225" s="87"/>
      <c r="N225" s="77"/>
      <c r="O225" s="79"/>
      <c r="P225" s="92"/>
      <c r="Q225" s="93"/>
      <c r="S225" s="99"/>
      <c r="T225" s="99"/>
      <c r="U225" s="99"/>
      <c r="V225" s="99"/>
      <c r="W225" s="99"/>
      <c r="X225" s="99"/>
      <c r="Y225" s="99"/>
      <c r="Z225" s="99"/>
      <c r="AA225" s="99"/>
      <c r="AB225" s="99"/>
      <c r="AC225" s="98"/>
      <c r="AD225" s="98"/>
      <c r="AE225" s="98"/>
      <c r="AF225" s="98"/>
      <c r="AG225" s="98"/>
      <c r="AH225" s="98"/>
    </row>
    <row r="226" spans="2:34" x14ac:dyDescent="0.25">
      <c r="B226" s="73"/>
      <c r="C226" s="74"/>
      <c r="D226" s="80"/>
      <c r="E226" s="81"/>
      <c r="F226" s="81"/>
      <c r="G226" s="81"/>
      <c r="H226" s="81"/>
      <c r="I226" s="82"/>
      <c r="J226" s="88"/>
      <c r="K226" s="89"/>
      <c r="L226" s="88"/>
      <c r="M226" s="89"/>
      <c r="N226" s="80"/>
      <c r="O226" s="82"/>
      <c r="P226" s="94"/>
      <c r="Q226" s="95"/>
      <c r="S226" s="99"/>
      <c r="T226" s="99"/>
      <c r="U226" s="99"/>
      <c r="V226" s="99"/>
      <c r="W226" s="99"/>
      <c r="X226" s="99"/>
      <c r="Y226" s="99"/>
      <c r="Z226" s="99"/>
      <c r="AA226" s="99"/>
      <c r="AB226" s="99"/>
      <c r="AC226" s="98"/>
      <c r="AD226" s="98"/>
      <c r="AE226" s="98"/>
      <c r="AF226" s="98"/>
      <c r="AG226" s="98"/>
      <c r="AH226" s="98"/>
    </row>
    <row r="227" spans="2:34" x14ac:dyDescent="0.25">
      <c r="B227" s="75"/>
      <c r="C227" s="76"/>
      <c r="D227" s="83"/>
      <c r="E227" s="84"/>
      <c r="F227" s="84"/>
      <c r="G227" s="84"/>
      <c r="H227" s="84"/>
      <c r="I227" s="85"/>
      <c r="J227" s="90"/>
      <c r="K227" s="91"/>
      <c r="L227" s="90"/>
      <c r="M227" s="91"/>
      <c r="N227" s="83"/>
      <c r="O227" s="85"/>
      <c r="P227" s="96"/>
      <c r="Q227" s="97"/>
      <c r="S227" s="99"/>
      <c r="T227" s="99"/>
      <c r="U227" s="99"/>
      <c r="V227" s="99"/>
      <c r="W227" s="99"/>
      <c r="X227" s="99"/>
      <c r="Y227" s="99"/>
      <c r="Z227" s="99"/>
      <c r="AA227" s="99"/>
      <c r="AB227" s="99"/>
      <c r="AC227" s="98"/>
      <c r="AD227" s="98"/>
      <c r="AE227" s="98"/>
      <c r="AF227" s="98"/>
      <c r="AG227" s="98"/>
      <c r="AH227" s="98"/>
    </row>
    <row r="228" spans="2:34" x14ac:dyDescent="0.25">
      <c r="B228" s="71"/>
      <c r="C228" s="72"/>
      <c r="D228" s="77"/>
      <c r="E228" s="78"/>
      <c r="F228" s="78"/>
      <c r="G228" s="78"/>
      <c r="H228" s="78"/>
      <c r="I228" s="79"/>
      <c r="J228" s="86"/>
      <c r="K228" s="87"/>
      <c r="L228" s="86"/>
      <c r="M228" s="87"/>
      <c r="N228" s="77"/>
      <c r="O228" s="79"/>
      <c r="P228" s="92"/>
      <c r="Q228" s="93"/>
      <c r="S228" s="99"/>
      <c r="T228" s="99"/>
      <c r="U228" s="99"/>
      <c r="V228" s="99"/>
      <c r="W228" s="99"/>
      <c r="X228" s="99"/>
      <c r="Y228" s="99"/>
      <c r="Z228" s="99"/>
      <c r="AA228" s="99"/>
      <c r="AB228" s="99"/>
      <c r="AC228" s="98"/>
      <c r="AD228" s="98"/>
      <c r="AE228" s="98"/>
      <c r="AF228" s="98"/>
      <c r="AG228" s="98"/>
      <c r="AH228" s="98"/>
    </row>
    <row r="229" spans="2:34" x14ac:dyDescent="0.25">
      <c r="B229" s="73"/>
      <c r="C229" s="74"/>
      <c r="D229" s="80"/>
      <c r="E229" s="81"/>
      <c r="F229" s="81"/>
      <c r="G229" s="81"/>
      <c r="H229" s="81"/>
      <c r="I229" s="82"/>
      <c r="J229" s="88"/>
      <c r="K229" s="89"/>
      <c r="L229" s="88"/>
      <c r="M229" s="89"/>
      <c r="N229" s="80"/>
      <c r="O229" s="82"/>
      <c r="P229" s="94"/>
      <c r="Q229" s="95"/>
      <c r="S229" s="99"/>
      <c r="T229" s="99"/>
      <c r="U229" s="99"/>
      <c r="V229" s="99"/>
      <c r="W229" s="99"/>
      <c r="X229" s="99"/>
      <c r="Y229" s="99"/>
      <c r="Z229" s="99"/>
      <c r="AA229" s="99"/>
      <c r="AB229" s="99"/>
      <c r="AC229" s="98"/>
      <c r="AD229" s="98"/>
      <c r="AE229" s="98"/>
      <c r="AF229" s="98"/>
      <c r="AG229" s="98"/>
      <c r="AH229" s="98"/>
    </row>
    <row r="230" spans="2:34" x14ac:dyDescent="0.25">
      <c r="B230" s="75"/>
      <c r="C230" s="76"/>
      <c r="D230" s="83"/>
      <c r="E230" s="84"/>
      <c r="F230" s="84"/>
      <c r="G230" s="84"/>
      <c r="H230" s="84"/>
      <c r="I230" s="85"/>
      <c r="J230" s="90"/>
      <c r="K230" s="91"/>
      <c r="L230" s="90"/>
      <c r="M230" s="91"/>
      <c r="N230" s="83"/>
      <c r="O230" s="85"/>
      <c r="P230" s="96"/>
      <c r="Q230" s="97"/>
      <c r="S230" s="99"/>
      <c r="T230" s="99"/>
      <c r="U230" s="99"/>
      <c r="V230" s="99"/>
      <c r="W230" s="99"/>
      <c r="X230" s="99"/>
      <c r="Y230" s="99"/>
      <c r="Z230" s="99"/>
      <c r="AA230" s="99"/>
      <c r="AB230" s="99"/>
      <c r="AC230" s="98"/>
      <c r="AD230" s="98"/>
      <c r="AE230" s="98"/>
      <c r="AF230" s="98"/>
      <c r="AG230" s="98"/>
      <c r="AH230" s="98"/>
    </row>
    <row r="231" spans="2:34" x14ac:dyDescent="0.25">
      <c r="B231" s="71"/>
      <c r="C231" s="72"/>
      <c r="D231" s="77"/>
      <c r="E231" s="78"/>
      <c r="F231" s="78"/>
      <c r="G231" s="78"/>
      <c r="H231" s="78"/>
      <c r="I231" s="79"/>
      <c r="J231" s="86"/>
      <c r="K231" s="87"/>
      <c r="L231" s="86"/>
      <c r="M231" s="87"/>
      <c r="N231" s="77"/>
      <c r="O231" s="79"/>
      <c r="P231" s="92"/>
      <c r="Q231" s="93"/>
      <c r="S231" s="99"/>
      <c r="T231" s="99"/>
      <c r="U231" s="99"/>
      <c r="V231" s="99"/>
      <c r="W231" s="99"/>
      <c r="X231" s="99"/>
      <c r="Y231" s="99"/>
      <c r="Z231" s="99"/>
      <c r="AA231" s="99"/>
      <c r="AB231" s="99"/>
      <c r="AC231" s="98"/>
      <c r="AD231" s="98"/>
      <c r="AE231" s="98"/>
      <c r="AF231" s="98"/>
      <c r="AG231" s="98"/>
      <c r="AH231" s="98"/>
    </row>
    <row r="232" spans="2:34" x14ac:dyDescent="0.25">
      <c r="B232" s="73"/>
      <c r="C232" s="74"/>
      <c r="D232" s="80"/>
      <c r="E232" s="81"/>
      <c r="F232" s="81"/>
      <c r="G232" s="81"/>
      <c r="H232" s="81"/>
      <c r="I232" s="82"/>
      <c r="J232" s="88"/>
      <c r="K232" s="89"/>
      <c r="L232" s="88"/>
      <c r="M232" s="89"/>
      <c r="N232" s="80"/>
      <c r="O232" s="82"/>
      <c r="P232" s="94"/>
      <c r="Q232" s="95"/>
      <c r="S232" s="99"/>
      <c r="T232" s="99"/>
      <c r="U232" s="99"/>
      <c r="V232" s="99"/>
      <c r="W232" s="99"/>
      <c r="X232" s="99"/>
      <c r="Y232" s="99"/>
      <c r="Z232" s="99"/>
      <c r="AA232" s="99"/>
      <c r="AB232" s="99"/>
      <c r="AC232" s="98"/>
      <c r="AD232" s="98"/>
      <c r="AE232" s="98"/>
      <c r="AF232" s="98"/>
      <c r="AG232" s="98"/>
      <c r="AH232" s="98"/>
    </row>
    <row r="233" spans="2:34" x14ac:dyDescent="0.25">
      <c r="B233" s="75"/>
      <c r="C233" s="76"/>
      <c r="D233" s="83"/>
      <c r="E233" s="84"/>
      <c r="F233" s="84"/>
      <c r="G233" s="84"/>
      <c r="H233" s="84"/>
      <c r="I233" s="85"/>
      <c r="J233" s="90"/>
      <c r="K233" s="91"/>
      <c r="L233" s="90"/>
      <c r="M233" s="91"/>
      <c r="N233" s="83"/>
      <c r="O233" s="85"/>
      <c r="P233" s="96"/>
      <c r="Q233" s="97"/>
      <c r="S233" s="99"/>
      <c r="T233" s="99"/>
      <c r="U233" s="99"/>
      <c r="V233" s="99"/>
      <c r="W233" s="99"/>
      <c r="X233" s="99"/>
      <c r="Y233" s="99"/>
      <c r="Z233" s="99"/>
      <c r="AA233" s="99"/>
      <c r="AB233" s="99"/>
      <c r="AC233" s="98"/>
      <c r="AD233" s="98"/>
      <c r="AE233" s="98"/>
      <c r="AF233" s="98"/>
      <c r="AG233" s="98"/>
      <c r="AH233" s="98"/>
    </row>
    <row r="234" spans="2:34" x14ac:dyDescent="0.25">
      <c r="B234" s="71"/>
      <c r="C234" s="72"/>
      <c r="D234" s="77"/>
      <c r="E234" s="78"/>
      <c r="F234" s="78"/>
      <c r="G234" s="78"/>
      <c r="H234" s="78"/>
      <c r="I234" s="79"/>
      <c r="J234" s="86"/>
      <c r="K234" s="87"/>
      <c r="L234" s="86"/>
      <c r="M234" s="87"/>
      <c r="N234" s="77"/>
      <c r="O234" s="79"/>
      <c r="P234" s="92"/>
      <c r="Q234" s="93"/>
      <c r="S234" s="99"/>
      <c r="T234" s="99"/>
      <c r="U234" s="99"/>
      <c r="V234" s="99"/>
      <c r="W234" s="99"/>
      <c r="X234" s="99"/>
      <c r="Y234" s="99"/>
      <c r="Z234" s="99"/>
      <c r="AA234" s="99"/>
      <c r="AB234" s="99"/>
      <c r="AC234" s="98"/>
      <c r="AD234" s="98"/>
      <c r="AE234" s="98"/>
      <c r="AF234" s="98"/>
      <c r="AG234" s="98"/>
      <c r="AH234" s="98"/>
    </row>
    <row r="235" spans="2:34" x14ac:dyDescent="0.25">
      <c r="B235" s="73"/>
      <c r="C235" s="74"/>
      <c r="D235" s="80"/>
      <c r="E235" s="81"/>
      <c r="F235" s="81"/>
      <c r="G235" s="81"/>
      <c r="H235" s="81"/>
      <c r="I235" s="82"/>
      <c r="J235" s="88"/>
      <c r="K235" s="89"/>
      <c r="L235" s="88"/>
      <c r="M235" s="89"/>
      <c r="N235" s="80"/>
      <c r="O235" s="82"/>
      <c r="P235" s="94"/>
      <c r="Q235" s="95"/>
      <c r="S235" s="99"/>
      <c r="T235" s="99"/>
      <c r="U235" s="99"/>
      <c r="V235" s="99"/>
      <c r="W235" s="99"/>
      <c r="X235" s="99"/>
      <c r="Y235" s="99"/>
      <c r="Z235" s="99"/>
      <c r="AA235" s="99"/>
      <c r="AB235" s="99"/>
      <c r="AC235" s="98"/>
      <c r="AD235" s="98"/>
      <c r="AE235" s="98"/>
      <c r="AF235" s="98"/>
      <c r="AG235" s="98"/>
      <c r="AH235" s="98"/>
    </row>
    <row r="236" spans="2:34" x14ac:dyDescent="0.25">
      <c r="B236" s="75"/>
      <c r="C236" s="76"/>
      <c r="D236" s="83"/>
      <c r="E236" s="84"/>
      <c r="F236" s="84"/>
      <c r="G236" s="84"/>
      <c r="H236" s="84"/>
      <c r="I236" s="85"/>
      <c r="J236" s="90"/>
      <c r="K236" s="91"/>
      <c r="L236" s="90"/>
      <c r="M236" s="91"/>
      <c r="N236" s="83"/>
      <c r="O236" s="85"/>
      <c r="P236" s="96"/>
      <c r="Q236" s="97"/>
      <c r="S236" s="99"/>
      <c r="T236" s="99"/>
      <c r="U236" s="99"/>
      <c r="V236" s="99"/>
      <c r="W236" s="99"/>
      <c r="X236" s="99"/>
      <c r="Y236" s="99"/>
      <c r="Z236" s="99"/>
      <c r="AA236" s="99"/>
      <c r="AB236" s="99"/>
      <c r="AC236" s="98"/>
      <c r="AD236" s="98"/>
      <c r="AE236" s="98"/>
      <c r="AF236" s="98"/>
      <c r="AG236" s="98"/>
      <c r="AH236" s="98"/>
    </row>
    <row r="237" spans="2:34" x14ac:dyDescent="0.25">
      <c r="B237" s="71"/>
      <c r="C237" s="72"/>
      <c r="D237" s="77"/>
      <c r="E237" s="78"/>
      <c r="F237" s="78"/>
      <c r="G237" s="78"/>
      <c r="H237" s="78"/>
      <c r="I237" s="79"/>
      <c r="J237" s="86"/>
      <c r="K237" s="87"/>
      <c r="L237" s="86"/>
      <c r="M237" s="87"/>
      <c r="N237" s="77"/>
      <c r="O237" s="79"/>
      <c r="P237" s="92"/>
      <c r="Q237" s="93"/>
      <c r="S237" s="99"/>
      <c r="T237" s="99"/>
      <c r="U237" s="99"/>
      <c r="V237" s="99"/>
      <c r="W237" s="99"/>
      <c r="X237" s="99"/>
      <c r="Y237" s="99"/>
      <c r="Z237" s="99"/>
      <c r="AA237" s="99"/>
      <c r="AB237" s="99"/>
      <c r="AC237" s="98"/>
      <c r="AD237" s="98"/>
      <c r="AE237" s="98"/>
      <c r="AF237" s="98"/>
      <c r="AG237" s="98"/>
      <c r="AH237" s="98"/>
    </row>
    <row r="238" spans="2:34" x14ac:dyDescent="0.25">
      <c r="B238" s="73"/>
      <c r="C238" s="74"/>
      <c r="D238" s="80"/>
      <c r="E238" s="81"/>
      <c r="F238" s="81"/>
      <c r="G238" s="81"/>
      <c r="H238" s="81"/>
      <c r="I238" s="82"/>
      <c r="J238" s="88"/>
      <c r="K238" s="89"/>
      <c r="L238" s="88"/>
      <c r="M238" s="89"/>
      <c r="N238" s="80"/>
      <c r="O238" s="82"/>
      <c r="P238" s="94"/>
      <c r="Q238" s="95"/>
      <c r="S238" s="99"/>
      <c r="T238" s="99"/>
      <c r="U238" s="99"/>
      <c r="V238" s="99"/>
      <c r="W238" s="99"/>
      <c r="X238" s="99"/>
      <c r="Y238" s="99"/>
      <c r="Z238" s="99"/>
      <c r="AA238" s="99"/>
      <c r="AB238" s="99"/>
      <c r="AC238" s="98"/>
      <c r="AD238" s="98"/>
      <c r="AE238" s="98"/>
      <c r="AF238" s="98"/>
      <c r="AG238" s="98"/>
      <c r="AH238" s="98"/>
    </row>
    <row r="239" spans="2:34" x14ac:dyDescent="0.25">
      <c r="B239" s="75"/>
      <c r="C239" s="76"/>
      <c r="D239" s="83"/>
      <c r="E239" s="84"/>
      <c r="F239" s="84"/>
      <c r="G239" s="84"/>
      <c r="H239" s="84"/>
      <c r="I239" s="85"/>
      <c r="J239" s="90"/>
      <c r="K239" s="91"/>
      <c r="L239" s="90"/>
      <c r="M239" s="91"/>
      <c r="N239" s="83"/>
      <c r="O239" s="85"/>
      <c r="P239" s="96"/>
      <c r="Q239" s="97"/>
      <c r="S239" s="99"/>
      <c r="T239" s="99"/>
      <c r="U239" s="99"/>
      <c r="V239" s="99"/>
      <c r="W239" s="99"/>
      <c r="X239" s="99"/>
      <c r="Y239" s="99"/>
      <c r="Z239" s="99"/>
      <c r="AA239" s="99"/>
      <c r="AB239" s="99"/>
      <c r="AC239" s="98"/>
      <c r="AD239" s="98"/>
      <c r="AE239" s="98"/>
      <c r="AF239" s="98"/>
      <c r="AG239" s="98"/>
      <c r="AH239" s="98"/>
    </row>
    <row r="240" spans="2:34" x14ac:dyDescent="0.25">
      <c r="B240" s="71"/>
      <c r="C240" s="72"/>
      <c r="D240" s="77"/>
      <c r="E240" s="78"/>
      <c r="F240" s="78"/>
      <c r="G240" s="78"/>
      <c r="H240" s="78"/>
      <c r="I240" s="79"/>
      <c r="J240" s="86"/>
      <c r="K240" s="87"/>
      <c r="L240" s="86"/>
      <c r="M240" s="87"/>
      <c r="N240" s="77"/>
      <c r="O240" s="79"/>
      <c r="P240" s="92"/>
      <c r="Q240" s="93"/>
      <c r="S240" s="99"/>
      <c r="T240" s="99"/>
      <c r="U240" s="99"/>
      <c r="V240" s="99"/>
      <c r="W240" s="99"/>
      <c r="X240" s="99"/>
      <c r="Y240" s="99"/>
      <c r="Z240" s="99"/>
      <c r="AA240" s="99"/>
      <c r="AB240" s="99"/>
      <c r="AC240" s="98"/>
      <c r="AD240" s="98"/>
      <c r="AE240" s="98"/>
      <c r="AF240" s="98"/>
      <c r="AG240" s="98"/>
      <c r="AH240" s="98"/>
    </row>
    <row r="241" spans="2:34" x14ac:dyDescent="0.25">
      <c r="B241" s="73"/>
      <c r="C241" s="74"/>
      <c r="D241" s="80"/>
      <c r="E241" s="81"/>
      <c r="F241" s="81"/>
      <c r="G241" s="81"/>
      <c r="H241" s="81"/>
      <c r="I241" s="82"/>
      <c r="J241" s="88"/>
      <c r="K241" s="89"/>
      <c r="L241" s="88"/>
      <c r="M241" s="89"/>
      <c r="N241" s="80"/>
      <c r="O241" s="82"/>
      <c r="P241" s="94"/>
      <c r="Q241" s="95"/>
      <c r="S241" s="99"/>
      <c r="T241" s="99"/>
      <c r="U241" s="99"/>
      <c r="V241" s="99"/>
      <c r="W241" s="99"/>
      <c r="X241" s="99"/>
      <c r="Y241" s="99"/>
      <c r="Z241" s="99"/>
      <c r="AA241" s="99"/>
      <c r="AB241" s="99"/>
      <c r="AC241" s="98"/>
      <c r="AD241" s="98"/>
      <c r="AE241" s="98"/>
      <c r="AF241" s="98"/>
      <c r="AG241" s="98"/>
      <c r="AH241" s="98"/>
    </row>
    <row r="242" spans="2:34" x14ac:dyDescent="0.25">
      <c r="B242" s="75"/>
      <c r="C242" s="76"/>
      <c r="D242" s="83"/>
      <c r="E242" s="84"/>
      <c r="F242" s="84"/>
      <c r="G242" s="84"/>
      <c r="H242" s="84"/>
      <c r="I242" s="85"/>
      <c r="J242" s="90"/>
      <c r="K242" s="91"/>
      <c r="L242" s="90"/>
      <c r="M242" s="91"/>
      <c r="N242" s="83"/>
      <c r="O242" s="85"/>
      <c r="P242" s="96"/>
      <c r="Q242" s="97"/>
      <c r="S242" s="99"/>
      <c r="T242" s="99"/>
      <c r="U242" s="99"/>
      <c r="V242" s="99"/>
      <c r="W242" s="99"/>
      <c r="X242" s="99"/>
      <c r="Y242" s="99"/>
      <c r="Z242" s="99"/>
      <c r="AA242" s="99"/>
      <c r="AB242" s="99"/>
      <c r="AC242" s="98"/>
      <c r="AD242" s="98"/>
      <c r="AE242" s="98"/>
      <c r="AF242" s="98"/>
      <c r="AG242" s="98"/>
      <c r="AH242" s="98"/>
    </row>
    <row r="243" spans="2:34" x14ac:dyDescent="0.25">
      <c r="B243" s="71"/>
      <c r="C243" s="72"/>
      <c r="D243" s="77"/>
      <c r="E243" s="78"/>
      <c r="F243" s="78"/>
      <c r="G243" s="78"/>
      <c r="H243" s="78"/>
      <c r="I243" s="79"/>
      <c r="J243" s="86"/>
      <c r="K243" s="87"/>
      <c r="L243" s="86"/>
      <c r="M243" s="87"/>
      <c r="N243" s="77"/>
      <c r="O243" s="79"/>
      <c r="P243" s="92"/>
      <c r="Q243" s="93"/>
      <c r="S243" s="99"/>
      <c r="T243" s="99"/>
      <c r="U243" s="99"/>
      <c r="V243" s="99"/>
      <c r="W243" s="99"/>
      <c r="X243" s="99"/>
      <c r="Y243" s="99"/>
      <c r="Z243" s="99"/>
      <c r="AA243" s="99"/>
      <c r="AB243" s="99"/>
      <c r="AC243" s="98"/>
      <c r="AD243" s="98"/>
      <c r="AE243" s="98"/>
      <c r="AF243" s="98"/>
      <c r="AG243" s="98"/>
      <c r="AH243" s="98"/>
    </row>
    <row r="244" spans="2:34" x14ac:dyDescent="0.25">
      <c r="B244" s="73"/>
      <c r="C244" s="74"/>
      <c r="D244" s="80"/>
      <c r="E244" s="81"/>
      <c r="F244" s="81"/>
      <c r="G244" s="81"/>
      <c r="H244" s="81"/>
      <c r="I244" s="82"/>
      <c r="J244" s="88"/>
      <c r="K244" s="89"/>
      <c r="L244" s="88"/>
      <c r="M244" s="89"/>
      <c r="N244" s="80"/>
      <c r="O244" s="82"/>
      <c r="P244" s="94"/>
      <c r="Q244" s="95"/>
      <c r="S244" s="99"/>
      <c r="T244" s="99"/>
      <c r="U244" s="99"/>
      <c r="V244" s="99"/>
      <c r="W244" s="99"/>
      <c r="X244" s="99"/>
      <c r="Y244" s="99"/>
      <c r="Z244" s="99"/>
      <c r="AA244" s="99"/>
      <c r="AB244" s="99"/>
      <c r="AC244" s="98"/>
      <c r="AD244" s="98"/>
      <c r="AE244" s="98"/>
      <c r="AF244" s="98"/>
      <c r="AG244" s="98"/>
      <c r="AH244" s="98"/>
    </row>
    <row r="245" spans="2:34" x14ac:dyDescent="0.25">
      <c r="B245" s="75"/>
      <c r="C245" s="76"/>
      <c r="D245" s="83"/>
      <c r="E245" s="84"/>
      <c r="F245" s="84"/>
      <c r="G245" s="84"/>
      <c r="H245" s="84"/>
      <c r="I245" s="85"/>
      <c r="J245" s="90"/>
      <c r="K245" s="91"/>
      <c r="L245" s="90"/>
      <c r="M245" s="91"/>
      <c r="N245" s="83"/>
      <c r="O245" s="85"/>
      <c r="P245" s="96"/>
      <c r="Q245" s="97"/>
      <c r="S245" s="99"/>
      <c r="T245" s="99"/>
      <c r="U245" s="99"/>
      <c r="V245" s="99"/>
      <c r="W245" s="99"/>
      <c r="X245" s="99"/>
      <c r="Y245" s="99"/>
      <c r="Z245" s="99"/>
      <c r="AA245" s="99"/>
      <c r="AB245" s="99"/>
      <c r="AC245" s="98"/>
      <c r="AD245" s="98"/>
      <c r="AE245" s="98"/>
      <c r="AF245" s="98"/>
      <c r="AG245" s="98"/>
      <c r="AH245" s="98"/>
    </row>
    <row r="246" spans="2:34" x14ac:dyDescent="0.25">
      <c r="B246" s="71"/>
      <c r="C246" s="72"/>
      <c r="D246" s="77"/>
      <c r="E246" s="78"/>
      <c r="F246" s="78"/>
      <c r="G246" s="78"/>
      <c r="H246" s="78"/>
      <c r="I246" s="79"/>
      <c r="J246" s="86"/>
      <c r="K246" s="87"/>
      <c r="L246" s="86"/>
      <c r="M246" s="87"/>
      <c r="N246" s="77"/>
      <c r="O246" s="79"/>
      <c r="P246" s="92"/>
      <c r="Q246" s="93"/>
      <c r="S246" s="99"/>
      <c r="T246" s="99"/>
      <c r="U246" s="99"/>
      <c r="V246" s="99"/>
      <c r="W246" s="99"/>
      <c r="X246" s="99"/>
      <c r="Y246" s="99"/>
      <c r="Z246" s="99"/>
      <c r="AA246" s="99"/>
      <c r="AB246" s="99"/>
      <c r="AC246" s="98"/>
      <c r="AD246" s="98"/>
      <c r="AE246" s="98"/>
      <c r="AF246" s="98"/>
      <c r="AG246" s="98"/>
      <c r="AH246" s="98"/>
    </row>
    <row r="247" spans="2:34" x14ac:dyDescent="0.25">
      <c r="B247" s="73"/>
      <c r="C247" s="74"/>
      <c r="D247" s="80"/>
      <c r="E247" s="81"/>
      <c r="F247" s="81"/>
      <c r="G247" s="81"/>
      <c r="H247" s="81"/>
      <c r="I247" s="82"/>
      <c r="J247" s="88"/>
      <c r="K247" s="89"/>
      <c r="L247" s="88"/>
      <c r="M247" s="89"/>
      <c r="N247" s="80"/>
      <c r="O247" s="82"/>
      <c r="P247" s="94"/>
      <c r="Q247" s="95"/>
      <c r="S247" s="99"/>
      <c r="T247" s="99"/>
      <c r="U247" s="99"/>
      <c r="V247" s="99"/>
      <c r="W247" s="99"/>
      <c r="X247" s="99"/>
      <c r="Y247" s="99"/>
      <c r="Z247" s="99"/>
      <c r="AA247" s="99"/>
      <c r="AB247" s="99"/>
      <c r="AC247" s="98"/>
      <c r="AD247" s="98"/>
      <c r="AE247" s="98"/>
      <c r="AF247" s="98"/>
      <c r="AG247" s="98"/>
      <c r="AH247" s="98"/>
    </row>
    <row r="248" spans="2:34" x14ac:dyDescent="0.25">
      <c r="B248" s="75"/>
      <c r="C248" s="76"/>
      <c r="D248" s="83"/>
      <c r="E248" s="84"/>
      <c r="F248" s="84"/>
      <c r="G248" s="84"/>
      <c r="H248" s="84"/>
      <c r="I248" s="85"/>
      <c r="J248" s="90"/>
      <c r="K248" s="91"/>
      <c r="L248" s="90"/>
      <c r="M248" s="91"/>
      <c r="N248" s="83"/>
      <c r="O248" s="85"/>
      <c r="P248" s="96"/>
      <c r="Q248" s="97"/>
      <c r="S248" s="99"/>
      <c r="T248" s="99"/>
      <c r="U248" s="99"/>
      <c r="V248" s="99"/>
      <c r="W248" s="99"/>
      <c r="X248" s="99"/>
      <c r="Y248" s="99"/>
      <c r="Z248" s="99"/>
      <c r="AA248" s="99"/>
      <c r="AB248" s="99"/>
      <c r="AC248" s="98"/>
      <c r="AD248" s="98"/>
      <c r="AE248" s="98"/>
      <c r="AF248" s="98"/>
      <c r="AG248" s="98"/>
      <c r="AH248" s="98"/>
    </row>
    <row r="249" spans="2:34" x14ac:dyDescent="0.25">
      <c r="B249" s="71"/>
      <c r="C249" s="72"/>
      <c r="D249" s="77"/>
      <c r="E249" s="78"/>
      <c r="F249" s="78"/>
      <c r="G249" s="78"/>
      <c r="H249" s="78"/>
      <c r="I249" s="79"/>
      <c r="J249" s="86"/>
      <c r="K249" s="87"/>
      <c r="L249" s="86"/>
      <c r="M249" s="87"/>
      <c r="N249" s="77"/>
      <c r="O249" s="79"/>
      <c r="P249" s="92"/>
      <c r="Q249" s="93"/>
      <c r="S249" s="99"/>
      <c r="T249" s="99"/>
      <c r="U249" s="99"/>
      <c r="V249" s="99"/>
      <c r="W249" s="99"/>
      <c r="X249" s="99"/>
      <c r="Y249" s="99"/>
      <c r="Z249" s="99"/>
      <c r="AA249" s="99"/>
      <c r="AB249" s="99"/>
      <c r="AC249" s="98"/>
      <c r="AD249" s="98"/>
      <c r="AE249" s="98"/>
      <c r="AF249" s="98"/>
      <c r="AG249" s="98"/>
      <c r="AH249" s="98"/>
    </row>
    <row r="250" spans="2:34" x14ac:dyDescent="0.25">
      <c r="B250" s="73"/>
      <c r="C250" s="74"/>
      <c r="D250" s="80"/>
      <c r="E250" s="81"/>
      <c r="F250" s="81"/>
      <c r="G250" s="81"/>
      <c r="H250" s="81"/>
      <c r="I250" s="82"/>
      <c r="J250" s="88"/>
      <c r="K250" s="89"/>
      <c r="L250" s="88"/>
      <c r="M250" s="89"/>
      <c r="N250" s="80"/>
      <c r="O250" s="82"/>
      <c r="P250" s="94"/>
      <c r="Q250" s="95"/>
      <c r="S250" s="99"/>
      <c r="T250" s="99"/>
      <c r="U250" s="99"/>
      <c r="V250" s="99"/>
      <c r="W250" s="99"/>
      <c r="X250" s="99"/>
      <c r="Y250" s="99"/>
      <c r="Z250" s="99"/>
      <c r="AA250" s="99"/>
      <c r="AB250" s="99"/>
      <c r="AC250" s="98"/>
      <c r="AD250" s="98"/>
      <c r="AE250" s="98"/>
      <c r="AF250" s="98"/>
      <c r="AG250" s="98"/>
      <c r="AH250" s="98"/>
    </row>
    <row r="251" spans="2:34" x14ac:dyDescent="0.25">
      <c r="B251" s="75"/>
      <c r="C251" s="76"/>
      <c r="D251" s="83"/>
      <c r="E251" s="84"/>
      <c r="F251" s="84"/>
      <c r="G251" s="84"/>
      <c r="H251" s="84"/>
      <c r="I251" s="85"/>
      <c r="J251" s="90"/>
      <c r="K251" s="91"/>
      <c r="L251" s="90"/>
      <c r="M251" s="91"/>
      <c r="N251" s="83"/>
      <c r="O251" s="85"/>
      <c r="P251" s="96"/>
      <c r="Q251" s="97"/>
      <c r="S251" s="99"/>
      <c r="T251" s="99"/>
      <c r="U251" s="99"/>
      <c r="V251" s="99"/>
      <c r="W251" s="99"/>
      <c r="X251" s="99"/>
      <c r="Y251" s="99"/>
      <c r="Z251" s="99"/>
      <c r="AA251" s="99"/>
      <c r="AB251" s="99"/>
      <c r="AC251" s="98"/>
      <c r="AD251" s="98"/>
      <c r="AE251" s="98"/>
      <c r="AF251" s="98"/>
      <c r="AG251" s="98"/>
      <c r="AH251" s="98"/>
    </row>
    <row r="252" spans="2:34" x14ac:dyDescent="0.25">
      <c r="B252" s="71"/>
      <c r="C252" s="72"/>
      <c r="D252" s="77"/>
      <c r="E252" s="78"/>
      <c r="F252" s="78"/>
      <c r="G252" s="78"/>
      <c r="H252" s="78"/>
      <c r="I252" s="79"/>
      <c r="J252" s="86"/>
      <c r="K252" s="87"/>
      <c r="L252" s="86"/>
      <c r="M252" s="87"/>
      <c r="N252" s="77"/>
      <c r="O252" s="79"/>
      <c r="P252" s="92"/>
      <c r="Q252" s="93"/>
      <c r="S252" s="99"/>
      <c r="T252" s="99"/>
      <c r="U252" s="99"/>
      <c r="V252" s="99"/>
      <c r="W252" s="99"/>
      <c r="X252" s="99"/>
      <c r="Y252" s="99"/>
      <c r="Z252" s="99"/>
      <c r="AA252" s="99"/>
      <c r="AB252" s="99"/>
      <c r="AC252" s="98"/>
      <c r="AD252" s="98"/>
      <c r="AE252" s="98"/>
      <c r="AF252" s="98"/>
      <c r="AG252" s="98"/>
      <c r="AH252" s="98"/>
    </row>
    <row r="253" spans="2:34" x14ac:dyDescent="0.25">
      <c r="B253" s="73"/>
      <c r="C253" s="74"/>
      <c r="D253" s="80"/>
      <c r="E253" s="81"/>
      <c r="F253" s="81"/>
      <c r="G253" s="81"/>
      <c r="H253" s="81"/>
      <c r="I253" s="82"/>
      <c r="J253" s="88"/>
      <c r="K253" s="89"/>
      <c r="L253" s="88"/>
      <c r="M253" s="89"/>
      <c r="N253" s="80"/>
      <c r="O253" s="82"/>
      <c r="P253" s="94"/>
      <c r="Q253" s="95"/>
      <c r="S253" s="99"/>
      <c r="T253" s="99"/>
      <c r="U253" s="99"/>
      <c r="V253" s="99"/>
      <c r="W253" s="99"/>
      <c r="X253" s="99"/>
      <c r="Y253" s="99"/>
      <c r="Z253" s="99"/>
      <c r="AA253" s="99"/>
      <c r="AB253" s="99"/>
      <c r="AC253" s="98"/>
      <c r="AD253" s="98"/>
      <c r="AE253" s="98"/>
      <c r="AF253" s="98"/>
      <c r="AG253" s="98"/>
      <c r="AH253" s="98"/>
    </row>
    <row r="254" spans="2:34" x14ac:dyDescent="0.25">
      <c r="B254" s="75"/>
      <c r="C254" s="76"/>
      <c r="D254" s="83"/>
      <c r="E254" s="84"/>
      <c r="F254" s="84"/>
      <c r="G254" s="84"/>
      <c r="H254" s="84"/>
      <c r="I254" s="85"/>
      <c r="J254" s="90"/>
      <c r="K254" s="91"/>
      <c r="L254" s="90"/>
      <c r="M254" s="91"/>
      <c r="N254" s="83"/>
      <c r="O254" s="85"/>
      <c r="P254" s="96"/>
      <c r="Q254" s="97"/>
      <c r="S254" s="99"/>
      <c r="T254" s="99"/>
      <c r="U254" s="99"/>
      <c r="V254" s="99"/>
      <c r="W254" s="99"/>
      <c r="X254" s="99"/>
      <c r="Y254" s="99"/>
      <c r="Z254" s="99"/>
      <c r="AA254" s="99"/>
      <c r="AB254" s="99"/>
      <c r="AC254" s="98"/>
      <c r="AD254" s="98"/>
      <c r="AE254" s="98"/>
      <c r="AF254" s="98"/>
      <c r="AG254" s="98"/>
      <c r="AH254" s="98"/>
    </row>
    <row r="255" spans="2:34" x14ac:dyDescent="0.25">
      <c r="B255" s="71"/>
      <c r="C255" s="72"/>
      <c r="D255" s="77"/>
      <c r="E255" s="78"/>
      <c r="F255" s="78"/>
      <c r="G255" s="78"/>
      <c r="H255" s="78"/>
      <c r="I255" s="79"/>
      <c r="J255" s="86"/>
      <c r="K255" s="87"/>
      <c r="L255" s="86"/>
      <c r="M255" s="87"/>
      <c r="N255" s="77"/>
      <c r="O255" s="79"/>
      <c r="P255" s="92"/>
      <c r="Q255" s="93"/>
      <c r="S255" s="99"/>
      <c r="T255" s="99"/>
      <c r="U255" s="99"/>
      <c r="V255" s="99"/>
      <c r="W255" s="99"/>
      <c r="X255" s="99"/>
      <c r="Y255" s="99"/>
      <c r="Z255" s="99"/>
      <c r="AA255" s="99"/>
      <c r="AB255" s="99"/>
      <c r="AC255" s="98"/>
      <c r="AD255" s="98"/>
      <c r="AE255" s="98"/>
      <c r="AF255" s="98"/>
      <c r="AG255" s="98"/>
      <c r="AH255" s="98"/>
    </row>
    <row r="256" spans="2:34" x14ac:dyDescent="0.25">
      <c r="B256" s="73"/>
      <c r="C256" s="74"/>
      <c r="D256" s="80"/>
      <c r="E256" s="81"/>
      <c r="F256" s="81"/>
      <c r="G256" s="81"/>
      <c r="H256" s="81"/>
      <c r="I256" s="82"/>
      <c r="J256" s="88"/>
      <c r="K256" s="89"/>
      <c r="L256" s="88"/>
      <c r="M256" s="89"/>
      <c r="N256" s="80"/>
      <c r="O256" s="82"/>
      <c r="P256" s="94"/>
      <c r="Q256" s="95"/>
      <c r="S256" s="99"/>
      <c r="T256" s="99"/>
      <c r="U256" s="99"/>
      <c r="V256" s="99"/>
      <c r="W256" s="99"/>
      <c r="X256" s="99"/>
      <c r="Y256" s="99"/>
      <c r="Z256" s="99"/>
      <c r="AA256" s="99"/>
      <c r="AB256" s="99"/>
      <c r="AC256" s="98"/>
      <c r="AD256" s="98"/>
      <c r="AE256" s="98"/>
      <c r="AF256" s="98"/>
      <c r="AG256" s="98"/>
      <c r="AH256" s="98"/>
    </row>
    <row r="257" spans="2:34" x14ac:dyDescent="0.25">
      <c r="B257" s="75"/>
      <c r="C257" s="76"/>
      <c r="D257" s="83"/>
      <c r="E257" s="84"/>
      <c r="F257" s="84"/>
      <c r="G257" s="84"/>
      <c r="H257" s="84"/>
      <c r="I257" s="85"/>
      <c r="J257" s="90"/>
      <c r="K257" s="91"/>
      <c r="L257" s="90"/>
      <c r="M257" s="91"/>
      <c r="N257" s="83"/>
      <c r="O257" s="85"/>
      <c r="P257" s="96"/>
      <c r="Q257" s="97"/>
      <c r="S257" s="99"/>
      <c r="T257" s="99"/>
      <c r="U257" s="99"/>
      <c r="V257" s="99"/>
      <c r="W257" s="99"/>
      <c r="X257" s="99"/>
      <c r="Y257" s="99"/>
      <c r="Z257" s="99"/>
      <c r="AA257" s="99"/>
      <c r="AB257" s="99"/>
      <c r="AC257" s="98"/>
      <c r="AD257" s="98"/>
      <c r="AE257" s="98"/>
      <c r="AF257" s="98"/>
      <c r="AG257" s="98"/>
      <c r="AH257" s="98"/>
    </row>
    <row r="258" spans="2:34" x14ac:dyDescent="0.25">
      <c r="B258" s="71"/>
      <c r="C258" s="72"/>
      <c r="D258" s="77"/>
      <c r="E258" s="78"/>
      <c r="F258" s="78"/>
      <c r="G258" s="78"/>
      <c r="H258" s="78"/>
      <c r="I258" s="79"/>
      <c r="J258" s="86"/>
      <c r="K258" s="87"/>
      <c r="L258" s="86"/>
      <c r="M258" s="87"/>
      <c r="N258" s="77"/>
      <c r="O258" s="79"/>
      <c r="P258" s="92"/>
      <c r="Q258" s="93"/>
      <c r="S258" s="99"/>
      <c r="T258" s="99"/>
      <c r="U258" s="99"/>
      <c r="V258" s="99"/>
      <c r="W258" s="99"/>
      <c r="X258" s="99"/>
      <c r="Y258" s="99"/>
      <c r="Z258" s="99"/>
      <c r="AA258" s="99"/>
      <c r="AB258" s="99"/>
      <c r="AC258" s="98"/>
      <c r="AD258" s="98"/>
      <c r="AE258" s="98"/>
      <c r="AF258" s="98"/>
      <c r="AG258" s="98"/>
      <c r="AH258" s="98"/>
    </row>
    <row r="259" spans="2:34" x14ac:dyDescent="0.25">
      <c r="B259" s="73"/>
      <c r="C259" s="74"/>
      <c r="D259" s="80"/>
      <c r="E259" s="81"/>
      <c r="F259" s="81"/>
      <c r="G259" s="81"/>
      <c r="H259" s="81"/>
      <c r="I259" s="82"/>
      <c r="J259" s="88"/>
      <c r="K259" s="89"/>
      <c r="L259" s="88"/>
      <c r="M259" s="89"/>
      <c r="N259" s="80"/>
      <c r="O259" s="82"/>
      <c r="P259" s="94"/>
      <c r="Q259" s="95"/>
      <c r="S259" s="99"/>
      <c r="T259" s="99"/>
      <c r="U259" s="99"/>
      <c r="V259" s="99"/>
      <c r="W259" s="99"/>
      <c r="X259" s="99"/>
      <c r="Y259" s="99"/>
      <c r="Z259" s="99"/>
      <c r="AA259" s="99"/>
      <c r="AB259" s="99"/>
      <c r="AC259" s="98"/>
      <c r="AD259" s="98"/>
      <c r="AE259" s="98"/>
      <c r="AF259" s="98"/>
      <c r="AG259" s="98"/>
      <c r="AH259" s="98"/>
    </row>
    <row r="260" spans="2:34" x14ac:dyDescent="0.25">
      <c r="B260" s="75"/>
      <c r="C260" s="76"/>
      <c r="D260" s="83"/>
      <c r="E260" s="84"/>
      <c r="F260" s="84"/>
      <c r="G260" s="84"/>
      <c r="H260" s="84"/>
      <c r="I260" s="85"/>
      <c r="J260" s="90"/>
      <c r="K260" s="91"/>
      <c r="L260" s="90"/>
      <c r="M260" s="91"/>
      <c r="N260" s="83"/>
      <c r="O260" s="85"/>
      <c r="P260" s="96"/>
      <c r="Q260" s="97"/>
      <c r="S260" s="99"/>
      <c r="T260" s="99"/>
      <c r="U260" s="99"/>
      <c r="V260" s="99"/>
      <c r="W260" s="99"/>
      <c r="X260" s="99"/>
      <c r="Y260" s="99"/>
      <c r="Z260" s="99"/>
      <c r="AA260" s="99"/>
      <c r="AB260" s="99"/>
      <c r="AC260" s="98"/>
      <c r="AD260" s="98"/>
      <c r="AE260" s="98"/>
      <c r="AF260" s="98"/>
      <c r="AG260" s="98"/>
      <c r="AH260" s="98"/>
    </row>
    <row r="261" spans="2:34" x14ac:dyDescent="0.25">
      <c r="B261" s="71"/>
      <c r="C261" s="72"/>
      <c r="D261" s="77"/>
      <c r="E261" s="78"/>
      <c r="F261" s="78"/>
      <c r="G261" s="78"/>
      <c r="H261" s="78"/>
      <c r="I261" s="79"/>
      <c r="J261" s="86"/>
      <c r="K261" s="87"/>
      <c r="L261" s="86"/>
      <c r="M261" s="87"/>
      <c r="N261" s="77"/>
      <c r="O261" s="79"/>
      <c r="P261" s="92"/>
      <c r="Q261" s="93"/>
      <c r="S261" s="99"/>
      <c r="T261" s="99"/>
      <c r="U261" s="99"/>
      <c r="V261" s="99"/>
      <c r="W261" s="99"/>
      <c r="X261" s="99"/>
      <c r="Y261" s="99"/>
      <c r="Z261" s="99"/>
      <c r="AA261" s="99"/>
      <c r="AB261" s="99"/>
      <c r="AC261" s="98"/>
      <c r="AD261" s="98"/>
      <c r="AE261" s="98"/>
      <c r="AF261" s="98"/>
      <c r="AG261" s="98"/>
      <c r="AH261" s="98"/>
    </row>
    <row r="262" spans="2:34" x14ac:dyDescent="0.25">
      <c r="B262" s="73"/>
      <c r="C262" s="74"/>
      <c r="D262" s="80"/>
      <c r="E262" s="81"/>
      <c r="F262" s="81"/>
      <c r="G262" s="81"/>
      <c r="H262" s="81"/>
      <c r="I262" s="82"/>
      <c r="J262" s="88"/>
      <c r="K262" s="89"/>
      <c r="L262" s="88"/>
      <c r="M262" s="89"/>
      <c r="N262" s="80"/>
      <c r="O262" s="82"/>
      <c r="P262" s="94"/>
      <c r="Q262" s="95"/>
      <c r="S262" s="99"/>
      <c r="T262" s="99"/>
      <c r="U262" s="99"/>
      <c r="V262" s="99"/>
      <c r="W262" s="99"/>
      <c r="X262" s="99"/>
      <c r="Y262" s="99"/>
      <c r="Z262" s="99"/>
      <c r="AA262" s="99"/>
      <c r="AB262" s="99"/>
      <c r="AC262" s="98"/>
      <c r="AD262" s="98"/>
      <c r="AE262" s="98"/>
      <c r="AF262" s="98"/>
      <c r="AG262" s="98"/>
      <c r="AH262" s="98"/>
    </row>
    <row r="263" spans="2:34" x14ac:dyDescent="0.25">
      <c r="B263" s="75"/>
      <c r="C263" s="76"/>
      <c r="D263" s="83"/>
      <c r="E263" s="84"/>
      <c r="F263" s="84"/>
      <c r="G263" s="84"/>
      <c r="H263" s="84"/>
      <c r="I263" s="85"/>
      <c r="J263" s="90"/>
      <c r="K263" s="91"/>
      <c r="L263" s="90"/>
      <c r="M263" s="91"/>
      <c r="N263" s="83"/>
      <c r="O263" s="85"/>
      <c r="P263" s="96"/>
      <c r="Q263" s="97"/>
      <c r="S263" s="99"/>
      <c r="T263" s="99"/>
      <c r="U263" s="99"/>
      <c r="V263" s="99"/>
      <c r="W263" s="99"/>
      <c r="X263" s="99"/>
      <c r="Y263" s="99"/>
      <c r="Z263" s="99"/>
      <c r="AA263" s="99"/>
      <c r="AB263" s="99"/>
      <c r="AC263" s="98"/>
      <c r="AD263" s="98"/>
      <c r="AE263" s="98"/>
      <c r="AF263" s="98"/>
      <c r="AG263" s="98"/>
      <c r="AH263" s="98"/>
    </row>
    <row r="264" spans="2:34" x14ac:dyDescent="0.25">
      <c r="B264" s="71"/>
      <c r="C264" s="72"/>
      <c r="D264" s="77"/>
      <c r="E264" s="78"/>
      <c r="F264" s="78"/>
      <c r="G264" s="78"/>
      <c r="H264" s="78"/>
      <c r="I264" s="79"/>
      <c r="J264" s="86"/>
      <c r="K264" s="87"/>
      <c r="L264" s="86"/>
      <c r="M264" s="87"/>
      <c r="N264" s="77"/>
      <c r="O264" s="79"/>
      <c r="P264" s="92"/>
      <c r="Q264" s="93"/>
      <c r="S264" s="99"/>
      <c r="T264" s="99"/>
      <c r="U264" s="99"/>
      <c r="V264" s="99"/>
      <c r="W264" s="99"/>
      <c r="X264" s="99"/>
      <c r="Y264" s="99"/>
      <c r="Z264" s="99"/>
      <c r="AA264" s="99"/>
      <c r="AB264" s="99"/>
      <c r="AC264" s="98"/>
      <c r="AD264" s="98"/>
      <c r="AE264" s="98"/>
      <c r="AF264" s="98"/>
      <c r="AG264" s="98"/>
      <c r="AH264" s="98"/>
    </row>
    <row r="265" spans="2:34" x14ac:dyDescent="0.25">
      <c r="B265" s="73"/>
      <c r="C265" s="74"/>
      <c r="D265" s="80"/>
      <c r="E265" s="81"/>
      <c r="F265" s="81"/>
      <c r="G265" s="81"/>
      <c r="H265" s="81"/>
      <c r="I265" s="82"/>
      <c r="J265" s="88"/>
      <c r="K265" s="89"/>
      <c r="L265" s="88"/>
      <c r="M265" s="89"/>
      <c r="N265" s="80"/>
      <c r="O265" s="82"/>
      <c r="P265" s="94"/>
      <c r="Q265" s="95"/>
      <c r="S265" s="99"/>
      <c r="T265" s="99"/>
      <c r="U265" s="99"/>
      <c r="V265" s="99"/>
      <c r="W265" s="99"/>
      <c r="X265" s="99"/>
      <c r="Y265" s="99"/>
      <c r="Z265" s="99"/>
      <c r="AA265" s="99"/>
      <c r="AB265" s="99"/>
      <c r="AC265" s="98"/>
      <c r="AD265" s="98"/>
      <c r="AE265" s="98"/>
      <c r="AF265" s="98"/>
      <c r="AG265" s="98"/>
      <c r="AH265" s="98"/>
    </row>
    <row r="266" spans="2:34" x14ac:dyDescent="0.25">
      <c r="B266" s="75"/>
      <c r="C266" s="76"/>
      <c r="D266" s="83"/>
      <c r="E266" s="84"/>
      <c r="F266" s="84"/>
      <c r="G266" s="84"/>
      <c r="H266" s="84"/>
      <c r="I266" s="85"/>
      <c r="J266" s="90"/>
      <c r="K266" s="91"/>
      <c r="L266" s="90"/>
      <c r="M266" s="91"/>
      <c r="N266" s="83"/>
      <c r="O266" s="85"/>
      <c r="P266" s="96"/>
      <c r="Q266" s="97"/>
      <c r="S266" s="99"/>
      <c r="T266" s="99"/>
      <c r="U266" s="99"/>
      <c r="V266" s="99"/>
      <c r="W266" s="99"/>
      <c r="X266" s="99"/>
      <c r="Y266" s="99"/>
      <c r="Z266" s="99"/>
      <c r="AA266" s="99"/>
      <c r="AB266" s="99"/>
      <c r="AC266" s="98"/>
      <c r="AD266" s="98"/>
      <c r="AE266" s="98"/>
      <c r="AF266" s="98"/>
      <c r="AG266" s="98"/>
      <c r="AH266" s="98"/>
    </row>
    <row r="267" spans="2:34" x14ac:dyDescent="0.25">
      <c r="B267" s="71"/>
      <c r="C267" s="72"/>
      <c r="D267" s="77"/>
      <c r="E267" s="78"/>
      <c r="F267" s="78"/>
      <c r="G267" s="78"/>
      <c r="H267" s="78"/>
      <c r="I267" s="79"/>
      <c r="J267" s="86"/>
      <c r="K267" s="87"/>
      <c r="L267" s="86"/>
      <c r="M267" s="87"/>
      <c r="N267" s="77"/>
      <c r="O267" s="79"/>
      <c r="P267" s="92"/>
      <c r="Q267" s="93"/>
      <c r="S267" s="99"/>
      <c r="T267" s="99"/>
      <c r="U267" s="99"/>
      <c r="V267" s="99"/>
      <c r="W267" s="99"/>
      <c r="X267" s="99"/>
      <c r="Y267" s="99"/>
      <c r="Z267" s="99"/>
      <c r="AA267" s="99"/>
      <c r="AB267" s="99"/>
      <c r="AC267" s="98"/>
      <c r="AD267" s="98"/>
      <c r="AE267" s="98"/>
      <c r="AF267" s="98"/>
      <c r="AG267" s="98"/>
      <c r="AH267" s="98"/>
    </row>
    <row r="268" spans="2:34" x14ac:dyDescent="0.25">
      <c r="B268" s="73"/>
      <c r="C268" s="74"/>
      <c r="D268" s="80"/>
      <c r="E268" s="81"/>
      <c r="F268" s="81"/>
      <c r="G268" s="81"/>
      <c r="H268" s="81"/>
      <c r="I268" s="82"/>
      <c r="J268" s="88"/>
      <c r="K268" s="89"/>
      <c r="L268" s="88"/>
      <c r="M268" s="89"/>
      <c r="N268" s="80"/>
      <c r="O268" s="82"/>
      <c r="P268" s="94"/>
      <c r="Q268" s="95"/>
      <c r="S268" s="99"/>
      <c r="T268" s="99"/>
      <c r="U268" s="99"/>
      <c r="V268" s="99"/>
      <c r="W268" s="99"/>
      <c r="X268" s="99"/>
      <c r="Y268" s="99"/>
      <c r="Z268" s="99"/>
      <c r="AA268" s="99"/>
      <c r="AB268" s="99"/>
      <c r="AC268" s="98"/>
      <c r="AD268" s="98"/>
      <c r="AE268" s="98"/>
      <c r="AF268" s="98"/>
      <c r="AG268" s="98"/>
      <c r="AH268" s="98"/>
    </row>
    <row r="269" spans="2:34" x14ac:dyDescent="0.25">
      <c r="B269" s="75"/>
      <c r="C269" s="76"/>
      <c r="D269" s="83"/>
      <c r="E269" s="84"/>
      <c r="F269" s="84"/>
      <c r="G269" s="84"/>
      <c r="H269" s="84"/>
      <c r="I269" s="85"/>
      <c r="J269" s="90"/>
      <c r="K269" s="91"/>
      <c r="L269" s="90"/>
      <c r="M269" s="91"/>
      <c r="N269" s="83"/>
      <c r="O269" s="85"/>
      <c r="P269" s="96"/>
      <c r="Q269" s="97"/>
      <c r="S269" s="99"/>
      <c r="T269" s="99"/>
      <c r="U269" s="99"/>
      <c r="V269" s="99"/>
      <c r="W269" s="99"/>
      <c r="X269" s="99"/>
      <c r="Y269" s="99"/>
      <c r="Z269" s="99"/>
      <c r="AA269" s="99"/>
      <c r="AB269" s="99"/>
      <c r="AC269" s="98"/>
      <c r="AD269" s="98"/>
      <c r="AE269" s="98"/>
      <c r="AF269" s="98"/>
      <c r="AG269" s="98"/>
      <c r="AH269" s="98"/>
    </row>
    <row r="270" spans="2:34" x14ac:dyDescent="0.25">
      <c r="B270" s="71"/>
      <c r="C270" s="72"/>
      <c r="D270" s="77"/>
      <c r="E270" s="78"/>
      <c r="F270" s="78"/>
      <c r="G270" s="78"/>
      <c r="H270" s="78"/>
      <c r="I270" s="79"/>
      <c r="J270" s="86"/>
      <c r="K270" s="87"/>
      <c r="L270" s="86"/>
      <c r="M270" s="87"/>
      <c r="N270" s="77"/>
      <c r="O270" s="79"/>
      <c r="P270" s="92"/>
      <c r="Q270" s="93"/>
      <c r="S270" s="99"/>
      <c r="T270" s="99"/>
      <c r="U270" s="99"/>
      <c r="V270" s="99"/>
      <c r="W270" s="99"/>
      <c r="X270" s="99"/>
      <c r="Y270" s="99"/>
      <c r="Z270" s="99"/>
      <c r="AA270" s="99"/>
      <c r="AB270" s="99"/>
      <c r="AC270" s="98"/>
      <c r="AD270" s="98"/>
      <c r="AE270" s="98"/>
      <c r="AF270" s="98"/>
      <c r="AG270" s="98"/>
      <c r="AH270" s="98"/>
    </row>
    <row r="271" spans="2:34" x14ac:dyDescent="0.25">
      <c r="B271" s="73"/>
      <c r="C271" s="74"/>
      <c r="D271" s="80"/>
      <c r="E271" s="81"/>
      <c r="F271" s="81"/>
      <c r="G271" s="81"/>
      <c r="H271" s="81"/>
      <c r="I271" s="82"/>
      <c r="J271" s="88"/>
      <c r="K271" s="89"/>
      <c r="L271" s="88"/>
      <c r="M271" s="89"/>
      <c r="N271" s="80"/>
      <c r="O271" s="82"/>
      <c r="P271" s="94"/>
      <c r="Q271" s="95"/>
      <c r="S271" s="99"/>
      <c r="T271" s="99"/>
      <c r="U271" s="99"/>
      <c r="V271" s="99"/>
      <c r="W271" s="99"/>
      <c r="X271" s="99"/>
      <c r="Y271" s="99"/>
      <c r="Z271" s="99"/>
      <c r="AA271" s="99"/>
      <c r="AB271" s="99"/>
      <c r="AC271" s="98"/>
      <c r="AD271" s="98"/>
      <c r="AE271" s="98"/>
      <c r="AF271" s="98"/>
      <c r="AG271" s="98"/>
      <c r="AH271" s="98"/>
    </row>
    <row r="272" spans="2:34" x14ac:dyDescent="0.25">
      <c r="B272" s="75"/>
      <c r="C272" s="76"/>
      <c r="D272" s="83"/>
      <c r="E272" s="84"/>
      <c r="F272" s="84"/>
      <c r="G272" s="84"/>
      <c r="H272" s="84"/>
      <c r="I272" s="85"/>
      <c r="J272" s="90"/>
      <c r="K272" s="91"/>
      <c r="L272" s="90"/>
      <c r="M272" s="91"/>
      <c r="N272" s="83"/>
      <c r="O272" s="85"/>
      <c r="P272" s="96"/>
      <c r="Q272" s="97"/>
      <c r="S272" s="99"/>
      <c r="T272" s="99"/>
      <c r="U272" s="99"/>
      <c r="V272" s="99"/>
      <c r="W272" s="99"/>
      <c r="X272" s="99"/>
      <c r="Y272" s="99"/>
      <c r="Z272" s="99"/>
      <c r="AA272" s="99"/>
      <c r="AB272" s="99"/>
      <c r="AC272" s="98"/>
      <c r="AD272" s="98"/>
      <c r="AE272" s="98"/>
      <c r="AF272" s="98"/>
      <c r="AG272" s="98"/>
      <c r="AH272" s="98"/>
    </row>
    <row r="273" spans="2:34" x14ac:dyDescent="0.25">
      <c r="B273" s="71"/>
      <c r="C273" s="72"/>
      <c r="D273" s="77"/>
      <c r="E273" s="78"/>
      <c r="F273" s="78"/>
      <c r="G273" s="78"/>
      <c r="H273" s="78"/>
      <c r="I273" s="79"/>
      <c r="J273" s="86"/>
      <c r="K273" s="87"/>
      <c r="L273" s="86"/>
      <c r="M273" s="87"/>
      <c r="N273" s="77"/>
      <c r="O273" s="79"/>
      <c r="P273" s="92"/>
      <c r="Q273" s="93"/>
      <c r="S273" s="99"/>
      <c r="T273" s="99"/>
      <c r="U273" s="99"/>
      <c r="V273" s="99"/>
      <c r="W273" s="99"/>
      <c r="X273" s="99"/>
      <c r="Y273" s="99"/>
      <c r="Z273" s="99"/>
      <c r="AA273" s="99"/>
      <c r="AB273" s="99"/>
      <c r="AC273" s="98"/>
      <c r="AD273" s="98"/>
      <c r="AE273" s="98"/>
      <c r="AF273" s="98"/>
      <c r="AG273" s="98"/>
      <c r="AH273" s="98"/>
    </row>
    <row r="274" spans="2:34" x14ac:dyDescent="0.25">
      <c r="B274" s="73"/>
      <c r="C274" s="74"/>
      <c r="D274" s="80"/>
      <c r="E274" s="81"/>
      <c r="F274" s="81"/>
      <c r="G274" s="81"/>
      <c r="H274" s="81"/>
      <c r="I274" s="82"/>
      <c r="J274" s="88"/>
      <c r="K274" s="89"/>
      <c r="L274" s="88"/>
      <c r="M274" s="89"/>
      <c r="N274" s="80"/>
      <c r="O274" s="82"/>
      <c r="P274" s="94"/>
      <c r="Q274" s="95"/>
      <c r="S274" s="99"/>
      <c r="T274" s="99"/>
      <c r="U274" s="99"/>
      <c r="V274" s="99"/>
      <c r="W274" s="99"/>
      <c r="X274" s="99"/>
      <c r="Y274" s="99"/>
      <c r="Z274" s="99"/>
      <c r="AA274" s="99"/>
      <c r="AB274" s="99"/>
      <c r="AC274" s="98"/>
      <c r="AD274" s="98"/>
      <c r="AE274" s="98"/>
      <c r="AF274" s="98"/>
      <c r="AG274" s="98"/>
      <c r="AH274" s="98"/>
    </row>
    <row r="275" spans="2:34" x14ac:dyDescent="0.25">
      <c r="B275" s="75"/>
      <c r="C275" s="76"/>
      <c r="D275" s="83"/>
      <c r="E275" s="84"/>
      <c r="F275" s="84"/>
      <c r="G275" s="84"/>
      <c r="H275" s="84"/>
      <c r="I275" s="85"/>
      <c r="J275" s="90"/>
      <c r="K275" s="91"/>
      <c r="L275" s="90"/>
      <c r="M275" s="91"/>
      <c r="N275" s="83"/>
      <c r="O275" s="85"/>
      <c r="P275" s="96"/>
      <c r="Q275" s="97"/>
      <c r="S275" s="99"/>
      <c r="T275" s="99"/>
      <c r="U275" s="99"/>
      <c r="V275" s="99"/>
      <c r="W275" s="99"/>
      <c r="X275" s="99"/>
      <c r="Y275" s="99"/>
      <c r="Z275" s="99"/>
      <c r="AA275" s="99"/>
      <c r="AB275" s="99"/>
      <c r="AC275" s="98"/>
      <c r="AD275" s="98"/>
      <c r="AE275" s="98"/>
      <c r="AF275" s="98"/>
      <c r="AG275" s="98"/>
      <c r="AH275" s="98"/>
    </row>
    <row r="276" spans="2:34" x14ac:dyDescent="0.25">
      <c r="B276" s="71"/>
      <c r="C276" s="72"/>
      <c r="D276" s="77"/>
      <c r="E276" s="78"/>
      <c r="F276" s="78"/>
      <c r="G276" s="78"/>
      <c r="H276" s="78"/>
      <c r="I276" s="79"/>
      <c r="J276" s="86"/>
      <c r="K276" s="87"/>
      <c r="L276" s="86"/>
      <c r="M276" s="87"/>
      <c r="N276" s="77"/>
      <c r="O276" s="79"/>
      <c r="P276" s="92"/>
      <c r="Q276" s="93"/>
      <c r="S276" s="99"/>
      <c r="T276" s="99"/>
      <c r="U276" s="99"/>
      <c r="V276" s="99"/>
      <c r="W276" s="99"/>
      <c r="X276" s="99"/>
      <c r="Y276" s="99"/>
      <c r="Z276" s="99"/>
      <c r="AA276" s="99"/>
      <c r="AB276" s="99"/>
      <c r="AC276" s="98"/>
      <c r="AD276" s="98"/>
      <c r="AE276" s="98"/>
      <c r="AF276" s="98"/>
      <c r="AG276" s="98"/>
      <c r="AH276" s="98"/>
    </row>
    <row r="277" spans="2:34" x14ac:dyDescent="0.25">
      <c r="B277" s="73"/>
      <c r="C277" s="74"/>
      <c r="D277" s="80"/>
      <c r="E277" s="81"/>
      <c r="F277" s="81"/>
      <c r="G277" s="81"/>
      <c r="H277" s="81"/>
      <c r="I277" s="82"/>
      <c r="J277" s="88"/>
      <c r="K277" s="89"/>
      <c r="L277" s="88"/>
      <c r="M277" s="89"/>
      <c r="N277" s="80"/>
      <c r="O277" s="82"/>
      <c r="P277" s="94"/>
      <c r="Q277" s="95"/>
      <c r="S277" s="99"/>
      <c r="T277" s="99"/>
      <c r="U277" s="99"/>
      <c r="V277" s="99"/>
      <c r="W277" s="99"/>
      <c r="X277" s="99"/>
      <c r="Y277" s="99"/>
      <c r="Z277" s="99"/>
      <c r="AA277" s="99"/>
      <c r="AB277" s="99"/>
      <c r="AC277" s="98"/>
      <c r="AD277" s="98"/>
      <c r="AE277" s="98"/>
      <c r="AF277" s="98"/>
      <c r="AG277" s="98"/>
      <c r="AH277" s="98"/>
    </row>
    <row r="278" spans="2:34" x14ac:dyDescent="0.25">
      <c r="B278" s="75"/>
      <c r="C278" s="76"/>
      <c r="D278" s="83"/>
      <c r="E278" s="84"/>
      <c r="F278" s="84"/>
      <c r="G278" s="84"/>
      <c r="H278" s="84"/>
      <c r="I278" s="85"/>
      <c r="J278" s="90"/>
      <c r="K278" s="91"/>
      <c r="L278" s="90"/>
      <c r="M278" s="91"/>
      <c r="N278" s="83"/>
      <c r="O278" s="85"/>
      <c r="P278" s="96"/>
      <c r="Q278" s="97"/>
      <c r="S278" s="99"/>
      <c r="T278" s="99"/>
      <c r="U278" s="99"/>
      <c r="V278" s="99"/>
      <c r="W278" s="99"/>
      <c r="X278" s="99"/>
      <c r="Y278" s="99"/>
      <c r="Z278" s="99"/>
      <c r="AA278" s="99"/>
      <c r="AB278" s="99"/>
      <c r="AC278" s="98"/>
      <c r="AD278" s="98"/>
      <c r="AE278" s="98"/>
      <c r="AF278" s="98"/>
      <c r="AG278" s="98"/>
      <c r="AH278" s="98"/>
    </row>
    <row r="279" spans="2:34" x14ac:dyDescent="0.25">
      <c r="B279" s="71"/>
      <c r="C279" s="72"/>
      <c r="D279" s="77"/>
      <c r="E279" s="78"/>
      <c r="F279" s="78"/>
      <c r="G279" s="78"/>
      <c r="H279" s="78"/>
      <c r="I279" s="79"/>
      <c r="J279" s="86"/>
      <c r="K279" s="87"/>
      <c r="L279" s="86"/>
      <c r="M279" s="87"/>
      <c r="N279" s="77"/>
      <c r="O279" s="79"/>
      <c r="P279" s="92"/>
      <c r="Q279" s="93"/>
      <c r="S279" s="99"/>
      <c r="T279" s="99"/>
      <c r="U279" s="99"/>
      <c r="V279" s="99"/>
      <c r="W279" s="99"/>
      <c r="X279" s="99"/>
      <c r="Y279" s="99"/>
      <c r="Z279" s="99"/>
      <c r="AA279" s="99"/>
      <c r="AB279" s="99"/>
      <c r="AC279" s="98"/>
      <c r="AD279" s="98"/>
      <c r="AE279" s="98"/>
      <c r="AF279" s="98"/>
      <c r="AG279" s="98"/>
      <c r="AH279" s="98"/>
    </row>
    <row r="280" spans="2:34" x14ac:dyDescent="0.25">
      <c r="B280" s="73"/>
      <c r="C280" s="74"/>
      <c r="D280" s="80"/>
      <c r="E280" s="81"/>
      <c r="F280" s="81"/>
      <c r="G280" s="81"/>
      <c r="H280" s="81"/>
      <c r="I280" s="82"/>
      <c r="J280" s="88"/>
      <c r="K280" s="89"/>
      <c r="L280" s="88"/>
      <c r="M280" s="89"/>
      <c r="N280" s="80"/>
      <c r="O280" s="82"/>
      <c r="P280" s="94"/>
      <c r="Q280" s="95"/>
      <c r="S280" s="99"/>
      <c r="T280" s="99"/>
      <c r="U280" s="99"/>
      <c r="V280" s="99"/>
      <c r="W280" s="99"/>
      <c r="X280" s="99"/>
      <c r="Y280" s="99"/>
      <c r="Z280" s="99"/>
      <c r="AA280" s="99"/>
      <c r="AB280" s="99"/>
      <c r="AC280" s="98"/>
      <c r="AD280" s="98"/>
      <c r="AE280" s="98"/>
      <c r="AF280" s="98"/>
      <c r="AG280" s="98"/>
      <c r="AH280" s="98"/>
    </row>
    <row r="281" spans="2:34" x14ac:dyDescent="0.25">
      <c r="B281" s="75"/>
      <c r="C281" s="76"/>
      <c r="D281" s="83"/>
      <c r="E281" s="84"/>
      <c r="F281" s="84"/>
      <c r="G281" s="84"/>
      <c r="H281" s="84"/>
      <c r="I281" s="85"/>
      <c r="J281" s="90"/>
      <c r="K281" s="91"/>
      <c r="L281" s="90"/>
      <c r="M281" s="91"/>
      <c r="N281" s="83"/>
      <c r="O281" s="85"/>
      <c r="P281" s="96"/>
      <c r="Q281" s="97"/>
      <c r="S281" s="99"/>
      <c r="T281" s="99"/>
      <c r="U281" s="99"/>
      <c r="V281" s="99"/>
      <c r="W281" s="99"/>
      <c r="X281" s="99"/>
      <c r="Y281" s="99"/>
      <c r="Z281" s="99"/>
      <c r="AA281" s="99"/>
      <c r="AB281" s="99"/>
      <c r="AC281" s="98"/>
      <c r="AD281" s="98"/>
      <c r="AE281" s="98"/>
      <c r="AF281" s="98"/>
      <c r="AG281" s="98"/>
      <c r="AH281" s="98"/>
    </row>
    <row r="282" spans="2:34" x14ac:dyDescent="0.25">
      <c r="B282" s="71"/>
      <c r="C282" s="72"/>
      <c r="D282" s="77"/>
      <c r="E282" s="78"/>
      <c r="F282" s="78"/>
      <c r="G282" s="78"/>
      <c r="H282" s="78"/>
      <c r="I282" s="79"/>
      <c r="J282" s="86"/>
      <c r="K282" s="87"/>
      <c r="L282" s="86"/>
      <c r="M282" s="87"/>
      <c r="N282" s="77"/>
      <c r="O282" s="79"/>
      <c r="P282" s="92"/>
      <c r="Q282" s="93"/>
      <c r="S282" s="99"/>
      <c r="T282" s="99"/>
      <c r="U282" s="99"/>
      <c r="V282" s="99"/>
      <c r="W282" s="99"/>
      <c r="X282" s="99"/>
      <c r="Y282" s="99"/>
      <c r="Z282" s="99"/>
      <c r="AA282" s="99"/>
      <c r="AB282" s="99"/>
      <c r="AC282" s="98"/>
      <c r="AD282" s="98"/>
      <c r="AE282" s="98"/>
      <c r="AF282" s="98"/>
      <c r="AG282" s="98"/>
      <c r="AH282" s="98"/>
    </row>
    <row r="283" spans="2:34" x14ac:dyDescent="0.25">
      <c r="B283" s="73"/>
      <c r="C283" s="74"/>
      <c r="D283" s="80"/>
      <c r="E283" s="81"/>
      <c r="F283" s="81"/>
      <c r="G283" s="81"/>
      <c r="H283" s="81"/>
      <c r="I283" s="82"/>
      <c r="J283" s="88"/>
      <c r="K283" s="89"/>
      <c r="L283" s="88"/>
      <c r="M283" s="89"/>
      <c r="N283" s="80"/>
      <c r="O283" s="82"/>
      <c r="P283" s="94"/>
      <c r="Q283" s="95"/>
      <c r="S283" s="99"/>
      <c r="T283" s="99"/>
      <c r="U283" s="99"/>
      <c r="V283" s="99"/>
      <c r="W283" s="99"/>
      <c r="X283" s="99"/>
      <c r="Y283" s="99"/>
      <c r="Z283" s="99"/>
      <c r="AA283" s="99"/>
      <c r="AB283" s="99"/>
      <c r="AC283" s="98"/>
      <c r="AD283" s="98"/>
      <c r="AE283" s="98"/>
      <c r="AF283" s="98"/>
      <c r="AG283" s="98"/>
      <c r="AH283" s="98"/>
    </row>
    <row r="284" spans="2:34" x14ac:dyDescent="0.25">
      <c r="B284" s="75"/>
      <c r="C284" s="76"/>
      <c r="D284" s="83"/>
      <c r="E284" s="84"/>
      <c r="F284" s="84"/>
      <c r="G284" s="84"/>
      <c r="H284" s="84"/>
      <c r="I284" s="85"/>
      <c r="J284" s="90"/>
      <c r="K284" s="91"/>
      <c r="L284" s="90"/>
      <c r="M284" s="91"/>
      <c r="N284" s="83"/>
      <c r="O284" s="85"/>
      <c r="P284" s="96"/>
      <c r="Q284" s="97"/>
      <c r="S284" s="99"/>
      <c r="T284" s="99"/>
      <c r="U284" s="99"/>
      <c r="V284" s="99"/>
      <c r="W284" s="99"/>
      <c r="X284" s="99"/>
      <c r="Y284" s="99"/>
      <c r="Z284" s="99"/>
      <c r="AA284" s="99"/>
      <c r="AB284" s="99"/>
      <c r="AC284" s="98"/>
      <c r="AD284" s="98"/>
      <c r="AE284" s="98"/>
      <c r="AF284" s="98"/>
      <c r="AG284" s="98"/>
      <c r="AH284" s="98"/>
    </row>
    <row r="285" spans="2:34" x14ac:dyDescent="0.25">
      <c r="B285" s="71"/>
      <c r="C285" s="72"/>
      <c r="D285" s="77"/>
      <c r="E285" s="78"/>
      <c r="F285" s="78"/>
      <c r="G285" s="78"/>
      <c r="H285" s="78"/>
      <c r="I285" s="79"/>
      <c r="J285" s="86"/>
      <c r="K285" s="87"/>
      <c r="L285" s="86"/>
      <c r="M285" s="87"/>
      <c r="N285" s="77"/>
      <c r="O285" s="79"/>
      <c r="P285" s="92"/>
      <c r="Q285" s="93"/>
      <c r="S285" s="99"/>
      <c r="T285" s="99"/>
      <c r="U285" s="99"/>
      <c r="V285" s="99"/>
      <c r="W285" s="99"/>
      <c r="X285" s="99"/>
      <c r="Y285" s="99"/>
      <c r="Z285" s="99"/>
      <c r="AA285" s="99"/>
      <c r="AB285" s="99"/>
      <c r="AC285" s="98"/>
      <c r="AD285" s="98"/>
      <c r="AE285" s="98"/>
      <c r="AF285" s="98"/>
      <c r="AG285" s="98"/>
      <c r="AH285" s="98"/>
    </row>
    <row r="286" spans="2:34" x14ac:dyDescent="0.25">
      <c r="B286" s="73"/>
      <c r="C286" s="74"/>
      <c r="D286" s="80"/>
      <c r="E286" s="81"/>
      <c r="F286" s="81"/>
      <c r="G286" s="81"/>
      <c r="H286" s="81"/>
      <c r="I286" s="82"/>
      <c r="J286" s="88"/>
      <c r="K286" s="89"/>
      <c r="L286" s="88"/>
      <c r="M286" s="89"/>
      <c r="N286" s="80"/>
      <c r="O286" s="82"/>
      <c r="P286" s="94"/>
      <c r="Q286" s="95"/>
      <c r="S286" s="99"/>
      <c r="T286" s="99"/>
      <c r="U286" s="99"/>
      <c r="V286" s="99"/>
      <c r="W286" s="99"/>
      <c r="X286" s="99"/>
      <c r="Y286" s="99"/>
      <c r="Z286" s="99"/>
      <c r="AA286" s="99"/>
      <c r="AB286" s="99"/>
      <c r="AC286" s="98"/>
      <c r="AD286" s="98"/>
      <c r="AE286" s="98"/>
      <c r="AF286" s="98"/>
      <c r="AG286" s="98"/>
      <c r="AH286" s="98"/>
    </row>
    <row r="287" spans="2:34" x14ac:dyDescent="0.25">
      <c r="B287" s="75"/>
      <c r="C287" s="76"/>
      <c r="D287" s="83"/>
      <c r="E287" s="84"/>
      <c r="F287" s="84"/>
      <c r="G287" s="84"/>
      <c r="H287" s="84"/>
      <c r="I287" s="85"/>
      <c r="J287" s="90"/>
      <c r="K287" s="91"/>
      <c r="L287" s="90"/>
      <c r="M287" s="91"/>
      <c r="N287" s="83"/>
      <c r="O287" s="85"/>
      <c r="P287" s="96"/>
      <c r="Q287" s="97"/>
      <c r="S287" s="99"/>
      <c r="T287" s="99"/>
      <c r="U287" s="99"/>
      <c r="V287" s="99"/>
      <c r="W287" s="99"/>
      <c r="X287" s="99"/>
      <c r="Y287" s="99"/>
      <c r="Z287" s="99"/>
      <c r="AA287" s="99"/>
      <c r="AB287" s="99"/>
      <c r="AC287" s="98"/>
      <c r="AD287" s="98"/>
      <c r="AE287" s="98"/>
      <c r="AF287" s="98"/>
      <c r="AG287" s="98"/>
      <c r="AH287" s="98"/>
    </row>
    <row r="288" spans="2:34" x14ac:dyDescent="0.25">
      <c r="B288" s="71"/>
      <c r="C288" s="72"/>
      <c r="D288" s="77"/>
      <c r="E288" s="78"/>
      <c r="F288" s="78"/>
      <c r="G288" s="78"/>
      <c r="H288" s="78"/>
      <c r="I288" s="79"/>
      <c r="J288" s="86"/>
      <c r="K288" s="87"/>
      <c r="L288" s="86"/>
      <c r="M288" s="87"/>
      <c r="N288" s="77"/>
      <c r="O288" s="79"/>
      <c r="P288" s="92"/>
      <c r="Q288" s="93"/>
      <c r="S288" s="99"/>
      <c r="T288" s="99"/>
      <c r="U288" s="99"/>
      <c r="V288" s="99"/>
      <c r="W288" s="99"/>
      <c r="X288" s="99"/>
      <c r="Y288" s="99"/>
      <c r="Z288" s="99"/>
      <c r="AA288" s="99"/>
      <c r="AB288" s="99"/>
      <c r="AC288" s="98"/>
      <c r="AD288" s="98"/>
      <c r="AE288" s="98"/>
      <c r="AF288" s="98"/>
      <c r="AG288" s="98"/>
      <c r="AH288" s="98"/>
    </row>
    <row r="289" spans="2:34" x14ac:dyDescent="0.25">
      <c r="B289" s="73"/>
      <c r="C289" s="74"/>
      <c r="D289" s="80"/>
      <c r="E289" s="81"/>
      <c r="F289" s="81"/>
      <c r="G289" s="81"/>
      <c r="H289" s="81"/>
      <c r="I289" s="82"/>
      <c r="J289" s="88"/>
      <c r="K289" s="89"/>
      <c r="L289" s="88"/>
      <c r="M289" s="89"/>
      <c r="N289" s="80"/>
      <c r="O289" s="82"/>
      <c r="P289" s="94"/>
      <c r="Q289" s="95"/>
      <c r="S289" s="99"/>
      <c r="T289" s="99"/>
      <c r="U289" s="99"/>
      <c r="V289" s="99"/>
      <c r="W289" s="99"/>
      <c r="X289" s="99"/>
      <c r="Y289" s="99"/>
      <c r="Z289" s="99"/>
      <c r="AA289" s="99"/>
      <c r="AB289" s="99"/>
      <c r="AC289" s="98"/>
      <c r="AD289" s="98"/>
      <c r="AE289" s="98"/>
      <c r="AF289" s="98"/>
      <c r="AG289" s="98"/>
      <c r="AH289" s="98"/>
    </row>
    <row r="290" spans="2:34" x14ac:dyDescent="0.25">
      <c r="B290" s="75"/>
      <c r="C290" s="76"/>
      <c r="D290" s="83"/>
      <c r="E290" s="84"/>
      <c r="F290" s="84"/>
      <c r="G290" s="84"/>
      <c r="H290" s="84"/>
      <c r="I290" s="85"/>
      <c r="J290" s="90"/>
      <c r="K290" s="91"/>
      <c r="L290" s="90"/>
      <c r="M290" s="91"/>
      <c r="N290" s="83"/>
      <c r="O290" s="85"/>
      <c r="P290" s="96"/>
      <c r="Q290" s="97"/>
      <c r="S290" s="99"/>
      <c r="T290" s="99"/>
      <c r="U290" s="99"/>
      <c r="V290" s="99"/>
      <c r="W290" s="99"/>
      <c r="X290" s="99"/>
      <c r="Y290" s="99"/>
      <c r="Z290" s="99"/>
      <c r="AA290" s="99"/>
      <c r="AB290" s="99"/>
      <c r="AC290" s="98"/>
      <c r="AD290" s="98"/>
      <c r="AE290" s="98"/>
      <c r="AF290" s="98"/>
      <c r="AG290" s="98"/>
      <c r="AH290" s="98"/>
    </row>
    <row r="291" spans="2:34" x14ac:dyDescent="0.25">
      <c r="B291" s="71"/>
      <c r="C291" s="72"/>
      <c r="D291" s="77"/>
      <c r="E291" s="78"/>
      <c r="F291" s="78"/>
      <c r="G291" s="78"/>
      <c r="H291" s="78"/>
      <c r="I291" s="79"/>
      <c r="J291" s="86"/>
      <c r="K291" s="87"/>
      <c r="L291" s="86"/>
      <c r="M291" s="87"/>
      <c r="N291" s="77"/>
      <c r="O291" s="79"/>
      <c r="P291" s="92"/>
      <c r="Q291" s="93"/>
      <c r="S291" s="99"/>
      <c r="T291" s="99"/>
      <c r="U291" s="99"/>
      <c r="V291" s="99"/>
      <c r="W291" s="99"/>
      <c r="X291" s="99"/>
      <c r="Y291" s="99"/>
      <c r="Z291" s="99"/>
      <c r="AA291" s="99"/>
      <c r="AB291" s="99"/>
      <c r="AC291" s="98"/>
      <c r="AD291" s="98"/>
      <c r="AE291" s="98"/>
      <c r="AF291" s="98"/>
      <c r="AG291" s="98"/>
      <c r="AH291" s="98"/>
    </row>
    <row r="292" spans="2:34" x14ac:dyDescent="0.25">
      <c r="B292" s="73"/>
      <c r="C292" s="74"/>
      <c r="D292" s="80"/>
      <c r="E292" s="81"/>
      <c r="F292" s="81"/>
      <c r="G292" s="81"/>
      <c r="H292" s="81"/>
      <c r="I292" s="82"/>
      <c r="J292" s="88"/>
      <c r="K292" s="89"/>
      <c r="L292" s="88"/>
      <c r="M292" s="89"/>
      <c r="N292" s="80"/>
      <c r="O292" s="82"/>
      <c r="P292" s="94"/>
      <c r="Q292" s="95"/>
      <c r="S292" s="99"/>
      <c r="T292" s="99"/>
      <c r="U292" s="99"/>
      <c r="V292" s="99"/>
      <c r="W292" s="99"/>
      <c r="X292" s="99"/>
      <c r="Y292" s="99"/>
      <c r="Z292" s="99"/>
      <c r="AA292" s="99"/>
      <c r="AB292" s="99"/>
      <c r="AC292" s="98"/>
      <c r="AD292" s="98"/>
      <c r="AE292" s="98"/>
      <c r="AF292" s="98"/>
      <c r="AG292" s="98"/>
      <c r="AH292" s="98"/>
    </row>
    <row r="293" spans="2:34" x14ac:dyDescent="0.25">
      <c r="B293" s="75"/>
      <c r="C293" s="76"/>
      <c r="D293" s="83"/>
      <c r="E293" s="84"/>
      <c r="F293" s="84"/>
      <c r="G293" s="84"/>
      <c r="H293" s="84"/>
      <c r="I293" s="85"/>
      <c r="J293" s="90"/>
      <c r="K293" s="91"/>
      <c r="L293" s="90"/>
      <c r="M293" s="91"/>
      <c r="N293" s="83"/>
      <c r="O293" s="85"/>
      <c r="P293" s="96"/>
      <c r="Q293" s="97"/>
      <c r="S293" s="99"/>
      <c r="T293" s="99"/>
      <c r="U293" s="99"/>
      <c r="V293" s="99"/>
      <c r="W293" s="99"/>
      <c r="X293" s="99"/>
      <c r="Y293" s="99"/>
      <c r="Z293" s="99"/>
      <c r="AA293" s="99"/>
      <c r="AB293" s="99"/>
      <c r="AC293" s="98"/>
      <c r="AD293" s="98"/>
      <c r="AE293" s="98"/>
      <c r="AF293" s="98"/>
      <c r="AG293" s="98"/>
      <c r="AH293" s="98"/>
    </row>
    <row r="294" spans="2:34" x14ac:dyDescent="0.25">
      <c r="B294" s="71"/>
      <c r="C294" s="72"/>
      <c r="D294" s="77"/>
      <c r="E294" s="78"/>
      <c r="F294" s="78"/>
      <c r="G294" s="78"/>
      <c r="H294" s="78"/>
      <c r="I294" s="79"/>
      <c r="J294" s="86"/>
      <c r="K294" s="87"/>
      <c r="L294" s="86"/>
      <c r="M294" s="87"/>
      <c r="N294" s="77"/>
      <c r="O294" s="79"/>
      <c r="P294" s="92"/>
      <c r="Q294" s="93"/>
      <c r="S294" s="99"/>
      <c r="T294" s="99"/>
      <c r="U294" s="99"/>
      <c r="V294" s="99"/>
      <c r="W294" s="99"/>
      <c r="X294" s="99"/>
      <c r="Y294" s="99"/>
      <c r="Z294" s="99"/>
      <c r="AA294" s="99"/>
      <c r="AB294" s="99"/>
      <c r="AC294" s="98"/>
      <c r="AD294" s="98"/>
      <c r="AE294" s="98"/>
      <c r="AF294" s="98"/>
      <c r="AG294" s="98"/>
      <c r="AH294" s="98"/>
    </row>
    <row r="295" spans="2:34" x14ac:dyDescent="0.25">
      <c r="B295" s="73"/>
      <c r="C295" s="74"/>
      <c r="D295" s="80"/>
      <c r="E295" s="81"/>
      <c r="F295" s="81"/>
      <c r="G295" s="81"/>
      <c r="H295" s="81"/>
      <c r="I295" s="82"/>
      <c r="J295" s="88"/>
      <c r="K295" s="89"/>
      <c r="L295" s="88"/>
      <c r="M295" s="89"/>
      <c r="N295" s="80"/>
      <c r="O295" s="82"/>
      <c r="P295" s="94"/>
      <c r="Q295" s="95"/>
      <c r="S295" s="99"/>
      <c r="T295" s="99"/>
      <c r="U295" s="99"/>
      <c r="V295" s="99"/>
      <c r="W295" s="99"/>
      <c r="X295" s="99"/>
      <c r="Y295" s="99"/>
      <c r="Z295" s="99"/>
      <c r="AA295" s="99"/>
      <c r="AB295" s="99"/>
      <c r="AC295" s="98"/>
      <c r="AD295" s="98"/>
      <c r="AE295" s="98"/>
      <c r="AF295" s="98"/>
      <c r="AG295" s="98"/>
      <c r="AH295" s="98"/>
    </row>
    <row r="296" spans="2:34" x14ac:dyDescent="0.25">
      <c r="B296" s="75"/>
      <c r="C296" s="76"/>
      <c r="D296" s="83"/>
      <c r="E296" s="84"/>
      <c r="F296" s="84"/>
      <c r="G296" s="84"/>
      <c r="H296" s="84"/>
      <c r="I296" s="85"/>
      <c r="J296" s="90"/>
      <c r="K296" s="91"/>
      <c r="L296" s="90"/>
      <c r="M296" s="91"/>
      <c r="N296" s="83"/>
      <c r="O296" s="85"/>
      <c r="P296" s="96"/>
      <c r="Q296" s="97"/>
      <c r="S296" s="99"/>
      <c r="T296" s="99"/>
      <c r="U296" s="99"/>
      <c r="V296" s="99"/>
      <c r="W296" s="99"/>
      <c r="X296" s="99"/>
      <c r="Y296" s="99"/>
      <c r="Z296" s="99"/>
      <c r="AA296" s="99"/>
      <c r="AB296" s="99"/>
      <c r="AC296" s="98"/>
      <c r="AD296" s="98"/>
      <c r="AE296" s="98"/>
      <c r="AF296" s="98"/>
      <c r="AG296" s="98"/>
      <c r="AH296" s="98"/>
    </row>
    <row r="297" spans="2:34" x14ac:dyDescent="0.25">
      <c r="B297" s="71"/>
      <c r="C297" s="72"/>
      <c r="D297" s="77"/>
      <c r="E297" s="78"/>
      <c r="F297" s="78"/>
      <c r="G297" s="78"/>
      <c r="H297" s="78"/>
      <c r="I297" s="79"/>
      <c r="J297" s="86"/>
      <c r="K297" s="87"/>
      <c r="L297" s="86"/>
      <c r="M297" s="87"/>
      <c r="N297" s="77"/>
      <c r="O297" s="79"/>
      <c r="P297" s="92"/>
      <c r="Q297" s="93"/>
      <c r="S297" s="99"/>
      <c r="T297" s="99"/>
      <c r="U297" s="99"/>
      <c r="V297" s="99"/>
      <c r="W297" s="99"/>
      <c r="X297" s="99"/>
      <c r="Y297" s="99"/>
      <c r="Z297" s="99"/>
      <c r="AA297" s="99"/>
      <c r="AB297" s="99"/>
      <c r="AC297" s="98"/>
      <c r="AD297" s="98"/>
      <c r="AE297" s="98"/>
      <c r="AF297" s="98"/>
      <c r="AG297" s="98"/>
      <c r="AH297" s="98"/>
    </row>
    <row r="298" spans="2:34" x14ac:dyDescent="0.25">
      <c r="B298" s="73"/>
      <c r="C298" s="74"/>
      <c r="D298" s="80"/>
      <c r="E298" s="81"/>
      <c r="F298" s="81"/>
      <c r="G298" s="81"/>
      <c r="H298" s="81"/>
      <c r="I298" s="82"/>
      <c r="J298" s="88"/>
      <c r="K298" s="89"/>
      <c r="L298" s="88"/>
      <c r="M298" s="89"/>
      <c r="N298" s="80"/>
      <c r="O298" s="82"/>
      <c r="P298" s="94"/>
      <c r="Q298" s="95"/>
      <c r="S298" s="99"/>
      <c r="T298" s="99"/>
      <c r="U298" s="99"/>
      <c r="V298" s="99"/>
      <c r="W298" s="99"/>
      <c r="X298" s="99"/>
      <c r="Y298" s="99"/>
      <c r="Z298" s="99"/>
      <c r="AA298" s="99"/>
      <c r="AB298" s="99"/>
      <c r="AC298" s="98"/>
      <c r="AD298" s="98"/>
      <c r="AE298" s="98"/>
      <c r="AF298" s="98"/>
      <c r="AG298" s="98"/>
      <c r="AH298" s="98"/>
    </row>
    <row r="299" spans="2:34" x14ac:dyDescent="0.25">
      <c r="B299" s="75"/>
      <c r="C299" s="76"/>
      <c r="D299" s="83"/>
      <c r="E299" s="84"/>
      <c r="F299" s="84"/>
      <c r="G299" s="84"/>
      <c r="H299" s="84"/>
      <c r="I299" s="85"/>
      <c r="J299" s="90"/>
      <c r="K299" s="91"/>
      <c r="L299" s="90"/>
      <c r="M299" s="91"/>
      <c r="N299" s="83"/>
      <c r="O299" s="85"/>
      <c r="P299" s="96"/>
      <c r="Q299" s="97"/>
      <c r="S299" s="99"/>
      <c r="T299" s="99"/>
      <c r="U299" s="99"/>
      <c r="V299" s="99"/>
      <c r="W299" s="99"/>
      <c r="X299" s="99"/>
      <c r="Y299" s="99"/>
      <c r="Z299" s="99"/>
      <c r="AA299" s="99"/>
      <c r="AB299" s="99"/>
      <c r="AC299" s="98"/>
      <c r="AD299" s="98"/>
      <c r="AE299" s="98"/>
      <c r="AF299" s="98"/>
      <c r="AG299" s="98"/>
      <c r="AH299" s="98"/>
    </row>
    <row r="300" spans="2:34" x14ac:dyDescent="0.25">
      <c r="B300" s="71"/>
      <c r="C300" s="72"/>
      <c r="D300" s="77"/>
      <c r="E300" s="78"/>
      <c r="F300" s="78"/>
      <c r="G300" s="78"/>
      <c r="H300" s="78"/>
      <c r="I300" s="79"/>
      <c r="J300" s="86"/>
      <c r="K300" s="87"/>
      <c r="L300" s="86"/>
      <c r="M300" s="87"/>
      <c r="N300" s="77"/>
      <c r="O300" s="79"/>
      <c r="P300" s="92"/>
      <c r="Q300" s="93"/>
      <c r="S300" s="99"/>
      <c r="T300" s="99"/>
      <c r="U300" s="99"/>
      <c r="V300" s="99"/>
      <c r="W300" s="99"/>
      <c r="X300" s="99"/>
      <c r="Y300" s="99"/>
      <c r="Z300" s="99"/>
      <c r="AA300" s="99"/>
      <c r="AB300" s="99"/>
      <c r="AC300" s="98"/>
      <c r="AD300" s="98"/>
      <c r="AE300" s="98"/>
      <c r="AF300" s="98"/>
      <c r="AG300" s="98"/>
      <c r="AH300" s="98"/>
    </row>
    <row r="301" spans="2:34" x14ac:dyDescent="0.25">
      <c r="B301" s="73"/>
      <c r="C301" s="74"/>
      <c r="D301" s="80"/>
      <c r="E301" s="81"/>
      <c r="F301" s="81"/>
      <c r="G301" s="81"/>
      <c r="H301" s="81"/>
      <c r="I301" s="82"/>
      <c r="J301" s="88"/>
      <c r="K301" s="89"/>
      <c r="L301" s="88"/>
      <c r="M301" s="89"/>
      <c r="N301" s="80"/>
      <c r="O301" s="82"/>
      <c r="P301" s="94"/>
      <c r="Q301" s="95"/>
      <c r="S301" s="99"/>
      <c r="T301" s="99"/>
      <c r="U301" s="99"/>
      <c r="V301" s="99"/>
      <c r="W301" s="99"/>
      <c r="X301" s="99"/>
      <c r="Y301" s="99"/>
      <c r="Z301" s="99"/>
      <c r="AA301" s="99"/>
      <c r="AB301" s="99"/>
      <c r="AC301" s="98"/>
      <c r="AD301" s="98"/>
      <c r="AE301" s="98"/>
      <c r="AF301" s="98"/>
      <c r="AG301" s="98"/>
      <c r="AH301" s="98"/>
    </row>
    <row r="302" spans="2:34" x14ac:dyDescent="0.25">
      <c r="B302" s="75"/>
      <c r="C302" s="76"/>
      <c r="D302" s="83"/>
      <c r="E302" s="84"/>
      <c r="F302" s="84"/>
      <c r="G302" s="84"/>
      <c r="H302" s="84"/>
      <c r="I302" s="85"/>
      <c r="J302" s="90"/>
      <c r="K302" s="91"/>
      <c r="L302" s="90"/>
      <c r="M302" s="91"/>
      <c r="N302" s="83"/>
      <c r="O302" s="85"/>
      <c r="P302" s="96"/>
      <c r="Q302" s="97"/>
      <c r="S302" s="99"/>
      <c r="T302" s="99"/>
      <c r="U302" s="99"/>
      <c r="V302" s="99"/>
      <c r="W302" s="99"/>
      <c r="X302" s="99"/>
      <c r="Y302" s="99"/>
      <c r="Z302" s="99"/>
      <c r="AA302" s="99"/>
      <c r="AB302" s="99"/>
      <c r="AC302" s="98"/>
      <c r="AD302" s="98"/>
      <c r="AE302" s="98"/>
      <c r="AF302" s="98"/>
      <c r="AG302" s="98"/>
      <c r="AH302" s="98"/>
    </row>
    <row r="303" spans="2:34" x14ac:dyDescent="0.25">
      <c r="B303" s="71"/>
      <c r="C303" s="72"/>
      <c r="D303" s="77"/>
      <c r="E303" s="78"/>
      <c r="F303" s="78"/>
      <c r="G303" s="78"/>
      <c r="H303" s="78"/>
      <c r="I303" s="79"/>
      <c r="J303" s="86"/>
      <c r="K303" s="87"/>
      <c r="L303" s="86"/>
      <c r="M303" s="87"/>
      <c r="N303" s="77"/>
      <c r="O303" s="79"/>
      <c r="P303" s="92"/>
      <c r="Q303" s="93"/>
      <c r="S303" s="99"/>
      <c r="T303" s="99"/>
      <c r="U303" s="99"/>
      <c r="V303" s="99"/>
      <c r="W303" s="99"/>
      <c r="X303" s="99"/>
      <c r="Y303" s="99"/>
      <c r="Z303" s="99"/>
      <c r="AA303" s="99"/>
      <c r="AB303" s="99"/>
      <c r="AC303" s="98"/>
      <c r="AD303" s="98"/>
      <c r="AE303" s="98"/>
      <c r="AF303" s="98"/>
      <c r="AG303" s="98"/>
      <c r="AH303" s="98"/>
    </row>
    <row r="304" spans="2:34" x14ac:dyDescent="0.25">
      <c r="B304" s="73"/>
      <c r="C304" s="74"/>
      <c r="D304" s="80"/>
      <c r="E304" s="81"/>
      <c r="F304" s="81"/>
      <c r="G304" s="81"/>
      <c r="H304" s="81"/>
      <c r="I304" s="82"/>
      <c r="J304" s="88"/>
      <c r="K304" s="89"/>
      <c r="L304" s="88"/>
      <c r="M304" s="89"/>
      <c r="N304" s="80"/>
      <c r="O304" s="82"/>
      <c r="P304" s="94"/>
      <c r="Q304" s="95"/>
      <c r="S304" s="99"/>
      <c r="T304" s="99"/>
      <c r="U304" s="99"/>
      <c r="V304" s="99"/>
      <c r="W304" s="99"/>
      <c r="X304" s="99"/>
      <c r="Y304" s="99"/>
      <c r="Z304" s="99"/>
      <c r="AA304" s="99"/>
      <c r="AB304" s="99"/>
      <c r="AC304" s="98"/>
      <c r="AD304" s="98"/>
      <c r="AE304" s="98"/>
      <c r="AF304" s="98"/>
      <c r="AG304" s="98"/>
      <c r="AH304" s="98"/>
    </row>
    <row r="305" spans="2:34" x14ac:dyDescent="0.25">
      <c r="B305" s="75"/>
      <c r="C305" s="76"/>
      <c r="D305" s="83"/>
      <c r="E305" s="84"/>
      <c r="F305" s="84"/>
      <c r="G305" s="84"/>
      <c r="H305" s="84"/>
      <c r="I305" s="85"/>
      <c r="J305" s="90"/>
      <c r="K305" s="91"/>
      <c r="L305" s="90"/>
      <c r="M305" s="91"/>
      <c r="N305" s="83"/>
      <c r="O305" s="85"/>
      <c r="P305" s="96"/>
      <c r="Q305" s="97"/>
      <c r="S305" s="99"/>
      <c r="T305" s="99"/>
      <c r="U305" s="99"/>
      <c r="V305" s="99"/>
      <c r="W305" s="99"/>
      <c r="X305" s="99"/>
      <c r="Y305" s="99"/>
      <c r="Z305" s="99"/>
      <c r="AA305" s="99"/>
      <c r="AB305" s="99"/>
      <c r="AC305" s="98"/>
      <c r="AD305" s="98"/>
      <c r="AE305" s="98"/>
      <c r="AF305" s="98"/>
      <c r="AG305" s="98"/>
      <c r="AH305" s="98"/>
    </row>
    <row r="306" spans="2:34" x14ac:dyDescent="0.25">
      <c r="B306" s="71"/>
      <c r="C306" s="72"/>
      <c r="D306" s="77"/>
      <c r="E306" s="78"/>
      <c r="F306" s="78"/>
      <c r="G306" s="78"/>
      <c r="H306" s="78"/>
      <c r="I306" s="79"/>
      <c r="J306" s="86"/>
      <c r="K306" s="87"/>
      <c r="L306" s="86"/>
      <c r="M306" s="87"/>
      <c r="N306" s="77"/>
      <c r="O306" s="79"/>
      <c r="P306" s="92"/>
      <c r="Q306" s="93"/>
      <c r="S306" s="99"/>
      <c r="T306" s="99"/>
      <c r="U306" s="99"/>
      <c r="V306" s="99"/>
      <c r="W306" s="99"/>
      <c r="X306" s="99"/>
      <c r="Y306" s="99"/>
      <c r="Z306" s="99"/>
      <c r="AA306" s="99"/>
      <c r="AB306" s="99"/>
      <c r="AC306" s="98"/>
      <c r="AD306" s="98"/>
      <c r="AE306" s="98"/>
      <c r="AF306" s="98"/>
      <c r="AG306" s="98"/>
      <c r="AH306" s="98"/>
    </row>
    <row r="307" spans="2:34" x14ac:dyDescent="0.25">
      <c r="B307" s="73"/>
      <c r="C307" s="74"/>
      <c r="D307" s="80"/>
      <c r="E307" s="81"/>
      <c r="F307" s="81"/>
      <c r="G307" s="81"/>
      <c r="H307" s="81"/>
      <c r="I307" s="82"/>
      <c r="J307" s="88"/>
      <c r="K307" s="89"/>
      <c r="L307" s="88"/>
      <c r="M307" s="89"/>
      <c r="N307" s="80"/>
      <c r="O307" s="82"/>
      <c r="P307" s="94"/>
      <c r="Q307" s="95"/>
      <c r="S307" s="99"/>
      <c r="T307" s="99"/>
      <c r="U307" s="99"/>
      <c r="V307" s="99"/>
      <c r="W307" s="99"/>
      <c r="X307" s="99"/>
      <c r="Y307" s="99"/>
      <c r="Z307" s="99"/>
      <c r="AA307" s="99"/>
      <c r="AB307" s="99"/>
      <c r="AC307" s="98"/>
      <c r="AD307" s="98"/>
      <c r="AE307" s="98"/>
      <c r="AF307" s="98"/>
      <c r="AG307" s="98"/>
      <c r="AH307" s="98"/>
    </row>
    <row r="308" spans="2:34" x14ac:dyDescent="0.25">
      <c r="B308" s="75"/>
      <c r="C308" s="76"/>
      <c r="D308" s="83"/>
      <c r="E308" s="84"/>
      <c r="F308" s="84"/>
      <c r="G308" s="84"/>
      <c r="H308" s="84"/>
      <c r="I308" s="85"/>
      <c r="J308" s="90"/>
      <c r="K308" s="91"/>
      <c r="L308" s="90"/>
      <c r="M308" s="91"/>
      <c r="N308" s="83"/>
      <c r="O308" s="85"/>
      <c r="P308" s="96"/>
      <c r="Q308" s="97"/>
      <c r="S308" s="99"/>
      <c r="T308" s="99"/>
      <c r="U308" s="99"/>
      <c r="V308" s="99"/>
      <c r="W308" s="99"/>
      <c r="X308" s="99"/>
      <c r="Y308" s="99"/>
      <c r="Z308" s="99"/>
      <c r="AA308" s="99"/>
      <c r="AB308" s="99"/>
      <c r="AC308" s="98"/>
      <c r="AD308" s="98"/>
      <c r="AE308" s="98"/>
      <c r="AF308" s="98"/>
      <c r="AG308" s="98"/>
      <c r="AH308" s="98"/>
    </row>
    <row r="309" spans="2:34" x14ac:dyDescent="0.25">
      <c r="B309" s="71"/>
      <c r="C309" s="72"/>
      <c r="D309" s="77"/>
      <c r="E309" s="78"/>
      <c r="F309" s="78"/>
      <c r="G309" s="78"/>
      <c r="H309" s="78"/>
      <c r="I309" s="79"/>
      <c r="J309" s="86"/>
      <c r="K309" s="87"/>
      <c r="L309" s="86"/>
      <c r="M309" s="87"/>
      <c r="N309" s="77"/>
      <c r="O309" s="79"/>
      <c r="P309" s="92"/>
      <c r="Q309" s="93"/>
      <c r="S309" s="99"/>
      <c r="T309" s="99"/>
      <c r="U309" s="99"/>
      <c r="V309" s="99"/>
      <c r="W309" s="99"/>
      <c r="X309" s="99"/>
      <c r="Y309" s="99"/>
      <c r="Z309" s="99"/>
      <c r="AA309" s="99"/>
      <c r="AB309" s="99"/>
      <c r="AC309" s="98"/>
      <c r="AD309" s="98"/>
      <c r="AE309" s="98"/>
      <c r="AF309" s="98"/>
      <c r="AG309" s="98"/>
      <c r="AH309" s="98"/>
    </row>
    <row r="310" spans="2:34" x14ac:dyDescent="0.25">
      <c r="B310" s="73"/>
      <c r="C310" s="74"/>
      <c r="D310" s="80"/>
      <c r="E310" s="81"/>
      <c r="F310" s="81"/>
      <c r="G310" s="81"/>
      <c r="H310" s="81"/>
      <c r="I310" s="82"/>
      <c r="J310" s="88"/>
      <c r="K310" s="89"/>
      <c r="L310" s="88"/>
      <c r="M310" s="89"/>
      <c r="N310" s="80"/>
      <c r="O310" s="82"/>
      <c r="P310" s="94"/>
      <c r="Q310" s="95"/>
      <c r="S310" s="99"/>
      <c r="T310" s="99"/>
      <c r="U310" s="99"/>
      <c r="V310" s="99"/>
      <c r="W310" s="99"/>
      <c r="X310" s="99"/>
      <c r="Y310" s="99"/>
      <c r="Z310" s="99"/>
      <c r="AA310" s="99"/>
      <c r="AB310" s="99"/>
      <c r="AC310" s="98"/>
      <c r="AD310" s="98"/>
      <c r="AE310" s="98"/>
      <c r="AF310" s="98"/>
      <c r="AG310" s="98"/>
      <c r="AH310" s="98"/>
    </row>
    <row r="311" spans="2:34" x14ac:dyDescent="0.25">
      <c r="B311" s="75"/>
      <c r="C311" s="76"/>
      <c r="D311" s="83"/>
      <c r="E311" s="84"/>
      <c r="F311" s="84"/>
      <c r="G311" s="84"/>
      <c r="H311" s="84"/>
      <c r="I311" s="85"/>
      <c r="J311" s="90"/>
      <c r="K311" s="91"/>
      <c r="L311" s="90"/>
      <c r="M311" s="91"/>
      <c r="N311" s="83"/>
      <c r="O311" s="85"/>
      <c r="P311" s="96"/>
      <c r="Q311" s="97"/>
      <c r="S311" s="99"/>
      <c r="T311" s="99"/>
      <c r="U311" s="99"/>
      <c r="V311" s="99"/>
      <c r="W311" s="99"/>
      <c r="X311" s="99"/>
      <c r="Y311" s="99"/>
      <c r="Z311" s="99"/>
      <c r="AA311" s="99"/>
      <c r="AB311" s="99"/>
      <c r="AC311" s="98"/>
      <c r="AD311" s="98"/>
      <c r="AE311" s="98"/>
      <c r="AF311" s="98"/>
      <c r="AG311" s="98"/>
      <c r="AH311" s="98"/>
    </row>
    <row r="312" spans="2:34" x14ac:dyDescent="0.25">
      <c r="B312" s="71"/>
      <c r="C312" s="72"/>
      <c r="D312" s="77"/>
      <c r="E312" s="78"/>
      <c r="F312" s="78"/>
      <c r="G312" s="78"/>
      <c r="H312" s="78"/>
      <c r="I312" s="79"/>
      <c r="J312" s="86"/>
      <c r="K312" s="87"/>
      <c r="L312" s="86"/>
      <c r="M312" s="87"/>
      <c r="N312" s="77"/>
      <c r="O312" s="79"/>
      <c r="P312" s="92"/>
      <c r="Q312" s="93"/>
      <c r="S312" s="99"/>
      <c r="T312" s="99"/>
      <c r="U312" s="99"/>
      <c r="V312" s="99"/>
      <c r="W312" s="99"/>
      <c r="X312" s="99"/>
      <c r="Y312" s="99"/>
      <c r="Z312" s="99"/>
      <c r="AA312" s="99"/>
      <c r="AB312" s="99"/>
      <c r="AC312" s="98"/>
      <c r="AD312" s="98"/>
      <c r="AE312" s="98"/>
      <c r="AF312" s="98"/>
      <c r="AG312" s="98"/>
      <c r="AH312" s="98"/>
    </row>
    <row r="313" spans="2:34" x14ac:dyDescent="0.25">
      <c r="B313" s="73"/>
      <c r="C313" s="74"/>
      <c r="D313" s="80"/>
      <c r="E313" s="81"/>
      <c r="F313" s="81"/>
      <c r="G313" s="81"/>
      <c r="H313" s="81"/>
      <c r="I313" s="82"/>
      <c r="J313" s="88"/>
      <c r="K313" s="89"/>
      <c r="L313" s="88"/>
      <c r="M313" s="89"/>
      <c r="N313" s="80"/>
      <c r="O313" s="82"/>
      <c r="P313" s="94"/>
      <c r="Q313" s="95"/>
      <c r="S313" s="99"/>
      <c r="T313" s="99"/>
      <c r="U313" s="99"/>
      <c r="V313" s="99"/>
      <c r="W313" s="99"/>
      <c r="X313" s="99"/>
      <c r="Y313" s="99"/>
      <c r="Z313" s="99"/>
      <c r="AA313" s="99"/>
      <c r="AB313" s="99"/>
      <c r="AC313" s="98"/>
      <c r="AD313" s="98"/>
      <c r="AE313" s="98"/>
      <c r="AF313" s="98"/>
      <c r="AG313" s="98"/>
      <c r="AH313" s="98"/>
    </row>
    <row r="314" spans="2:34" x14ac:dyDescent="0.25">
      <c r="B314" s="75"/>
      <c r="C314" s="76"/>
      <c r="D314" s="83"/>
      <c r="E314" s="84"/>
      <c r="F314" s="84"/>
      <c r="G314" s="84"/>
      <c r="H314" s="84"/>
      <c r="I314" s="85"/>
      <c r="J314" s="90"/>
      <c r="K314" s="91"/>
      <c r="L314" s="90"/>
      <c r="M314" s="91"/>
      <c r="N314" s="83"/>
      <c r="O314" s="85"/>
      <c r="P314" s="96"/>
      <c r="Q314" s="97"/>
      <c r="S314" s="99"/>
      <c r="T314" s="99"/>
      <c r="U314" s="99"/>
      <c r="V314" s="99"/>
      <c r="W314" s="99"/>
      <c r="X314" s="99"/>
      <c r="Y314" s="99"/>
      <c r="Z314" s="99"/>
      <c r="AA314" s="99"/>
      <c r="AB314" s="99"/>
      <c r="AC314" s="98"/>
      <c r="AD314" s="98"/>
      <c r="AE314" s="98"/>
      <c r="AF314" s="98"/>
      <c r="AG314" s="98"/>
      <c r="AH314" s="98"/>
    </row>
    <row r="315" spans="2:34" x14ac:dyDescent="0.25">
      <c r="B315" s="71"/>
      <c r="C315" s="72"/>
      <c r="D315" s="77"/>
      <c r="E315" s="78"/>
      <c r="F315" s="78"/>
      <c r="G315" s="78"/>
      <c r="H315" s="78"/>
      <c r="I315" s="79"/>
      <c r="J315" s="86"/>
      <c r="K315" s="87"/>
      <c r="L315" s="86"/>
      <c r="M315" s="87"/>
      <c r="N315" s="77"/>
      <c r="O315" s="79"/>
      <c r="P315" s="92"/>
      <c r="Q315" s="93"/>
      <c r="S315" s="99"/>
      <c r="T315" s="99"/>
      <c r="U315" s="99"/>
      <c r="V315" s="99"/>
      <c r="W315" s="99"/>
      <c r="X315" s="99"/>
      <c r="Y315" s="99"/>
      <c r="Z315" s="99"/>
      <c r="AA315" s="99"/>
      <c r="AB315" s="99"/>
      <c r="AC315" s="98"/>
      <c r="AD315" s="98"/>
      <c r="AE315" s="98"/>
      <c r="AF315" s="98"/>
      <c r="AG315" s="98"/>
      <c r="AH315" s="98"/>
    </row>
    <row r="316" spans="2:34" x14ac:dyDescent="0.25">
      <c r="B316" s="73"/>
      <c r="C316" s="74"/>
      <c r="D316" s="80"/>
      <c r="E316" s="81"/>
      <c r="F316" s="81"/>
      <c r="G316" s="81"/>
      <c r="H316" s="81"/>
      <c r="I316" s="82"/>
      <c r="J316" s="88"/>
      <c r="K316" s="89"/>
      <c r="L316" s="88"/>
      <c r="M316" s="89"/>
      <c r="N316" s="80"/>
      <c r="O316" s="82"/>
      <c r="P316" s="94"/>
      <c r="Q316" s="95"/>
      <c r="S316" s="99"/>
      <c r="T316" s="99"/>
      <c r="U316" s="99"/>
      <c r="V316" s="99"/>
      <c r="W316" s="99"/>
      <c r="X316" s="99"/>
      <c r="Y316" s="99"/>
      <c r="Z316" s="99"/>
      <c r="AA316" s="99"/>
      <c r="AB316" s="99"/>
      <c r="AC316" s="98"/>
      <c r="AD316" s="98"/>
      <c r="AE316" s="98"/>
      <c r="AF316" s="98"/>
      <c r="AG316" s="98"/>
      <c r="AH316" s="98"/>
    </row>
    <row r="317" spans="2:34" x14ac:dyDescent="0.25">
      <c r="B317" s="75"/>
      <c r="C317" s="76"/>
      <c r="D317" s="83"/>
      <c r="E317" s="84"/>
      <c r="F317" s="84"/>
      <c r="G317" s="84"/>
      <c r="H317" s="84"/>
      <c r="I317" s="85"/>
      <c r="J317" s="90"/>
      <c r="K317" s="91"/>
      <c r="L317" s="90"/>
      <c r="M317" s="91"/>
      <c r="N317" s="83"/>
      <c r="O317" s="85"/>
      <c r="P317" s="96"/>
      <c r="Q317" s="97"/>
      <c r="S317" s="99"/>
      <c r="T317" s="99"/>
      <c r="U317" s="99"/>
      <c r="V317" s="99"/>
      <c r="W317" s="99"/>
      <c r="X317" s="99"/>
      <c r="Y317" s="99"/>
      <c r="Z317" s="99"/>
      <c r="AA317" s="99"/>
      <c r="AB317" s="99"/>
      <c r="AC317" s="98"/>
      <c r="AD317" s="98"/>
      <c r="AE317" s="98"/>
      <c r="AF317" s="98"/>
      <c r="AG317" s="98"/>
      <c r="AH317" s="98"/>
    </row>
    <row r="318" spans="2:34" x14ac:dyDescent="0.25">
      <c r="B318" s="71"/>
      <c r="C318" s="72"/>
      <c r="D318" s="77"/>
      <c r="E318" s="78"/>
      <c r="F318" s="78"/>
      <c r="G318" s="78"/>
      <c r="H318" s="78"/>
      <c r="I318" s="79"/>
      <c r="J318" s="86"/>
      <c r="K318" s="87"/>
      <c r="L318" s="86"/>
      <c r="M318" s="87"/>
      <c r="N318" s="77"/>
      <c r="O318" s="79"/>
      <c r="P318" s="92"/>
      <c r="Q318" s="93"/>
      <c r="S318" s="99"/>
      <c r="T318" s="99"/>
      <c r="U318" s="99"/>
      <c r="V318" s="99"/>
      <c r="W318" s="99"/>
      <c r="X318" s="99"/>
      <c r="Y318" s="99"/>
      <c r="Z318" s="99"/>
      <c r="AA318" s="99"/>
      <c r="AB318" s="99"/>
      <c r="AC318" s="98"/>
      <c r="AD318" s="98"/>
      <c r="AE318" s="98"/>
      <c r="AF318" s="98"/>
      <c r="AG318" s="98"/>
      <c r="AH318" s="98"/>
    </row>
    <row r="319" spans="2:34" x14ac:dyDescent="0.25">
      <c r="B319" s="73"/>
      <c r="C319" s="74"/>
      <c r="D319" s="80"/>
      <c r="E319" s="81"/>
      <c r="F319" s="81"/>
      <c r="G319" s="81"/>
      <c r="H319" s="81"/>
      <c r="I319" s="82"/>
      <c r="J319" s="88"/>
      <c r="K319" s="89"/>
      <c r="L319" s="88"/>
      <c r="M319" s="89"/>
      <c r="N319" s="80"/>
      <c r="O319" s="82"/>
      <c r="P319" s="94"/>
      <c r="Q319" s="95"/>
      <c r="S319" s="99"/>
      <c r="T319" s="99"/>
      <c r="U319" s="99"/>
      <c r="V319" s="99"/>
      <c r="W319" s="99"/>
      <c r="X319" s="99"/>
      <c r="Y319" s="99"/>
      <c r="Z319" s="99"/>
      <c r="AA319" s="99"/>
      <c r="AB319" s="99"/>
      <c r="AC319" s="98"/>
      <c r="AD319" s="98"/>
      <c r="AE319" s="98"/>
      <c r="AF319" s="98"/>
      <c r="AG319" s="98"/>
      <c r="AH319" s="98"/>
    </row>
    <row r="320" spans="2:34" x14ac:dyDescent="0.25">
      <c r="B320" s="75"/>
      <c r="C320" s="76"/>
      <c r="D320" s="83"/>
      <c r="E320" s="84"/>
      <c r="F320" s="84"/>
      <c r="G320" s="84"/>
      <c r="H320" s="84"/>
      <c r="I320" s="85"/>
      <c r="J320" s="90"/>
      <c r="K320" s="91"/>
      <c r="L320" s="90"/>
      <c r="M320" s="91"/>
      <c r="N320" s="83"/>
      <c r="O320" s="85"/>
      <c r="P320" s="96"/>
      <c r="Q320" s="97"/>
      <c r="S320" s="99"/>
      <c r="T320" s="99"/>
      <c r="U320" s="99"/>
      <c r="V320" s="99"/>
      <c r="W320" s="99"/>
      <c r="X320" s="99"/>
      <c r="Y320" s="99"/>
      <c r="Z320" s="99"/>
      <c r="AA320" s="99"/>
      <c r="AB320" s="99"/>
      <c r="AC320" s="98"/>
      <c r="AD320" s="98"/>
      <c r="AE320" s="98"/>
      <c r="AF320" s="98"/>
      <c r="AG320" s="98"/>
      <c r="AH320" s="98"/>
    </row>
    <row r="321" spans="2:34" x14ac:dyDescent="0.25">
      <c r="B321" s="71"/>
      <c r="C321" s="72"/>
      <c r="D321" s="77"/>
      <c r="E321" s="78"/>
      <c r="F321" s="78"/>
      <c r="G321" s="78"/>
      <c r="H321" s="78"/>
      <c r="I321" s="79"/>
      <c r="J321" s="86"/>
      <c r="K321" s="87"/>
      <c r="L321" s="86"/>
      <c r="M321" s="87"/>
      <c r="N321" s="77"/>
      <c r="O321" s="79"/>
      <c r="P321" s="92"/>
      <c r="Q321" s="93"/>
      <c r="S321" s="99"/>
      <c r="T321" s="99"/>
      <c r="U321" s="99"/>
      <c r="V321" s="99"/>
      <c r="W321" s="99"/>
      <c r="X321" s="99"/>
      <c r="Y321" s="99"/>
      <c r="Z321" s="99"/>
      <c r="AA321" s="99"/>
      <c r="AB321" s="99"/>
      <c r="AC321" s="98"/>
      <c r="AD321" s="98"/>
      <c r="AE321" s="98"/>
      <c r="AF321" s="98"/>
      <c r="AG321" s="98"/>
      <c r="AH321" s="98"/>
    </row>
    <row r="322" spans="2:34" x14ac:dyDescent="0.25">
      <c r="B322" s="73"/>
      <c r="C322" s="74"/>
      <c r="D322" s="80"/>
      <c r="E322" s="81"/>
      <c r="F322" s="81"/>
      <c r="G322" s="81"/>
      <c r="H322" s="81"/>
      <c r="I322" s="82"/>
      <c r="J322" s="88"/>
      <c r="K322" s="89"/>
      <c r="L322" s="88"/>
      <c r="M322" s="89"/>
      <c r="N322" s="80"/>
      <c r="O322" s="82"/>
      <c r="P322" s="94"/>
      <c r="Q322" s="95"/>
      <c r="S322" s="99"/>
      <c r="T322" s="99"/>
      <c r="U322" s="99"/>
      <c r="V322" s="99"/>
      <c r="W322" s="99"/>
      <c r="X322" s="99"/>
      <c r="Y322" s="99"/>
      <c r="Z322" s="99"/>
      <c r="AA322" s="99"/>
      <c r="AB322" s="99"/>
      <c r="AC322" s="98"/>
      <c r="AD322" s="98"/>
      <c r="AE322" s="98"/>
      <c r="AF322" s="98"/>
      <c r="AG322" s="98"/>
      <c r="AH322" s="98"/>
    </row>
    <row r="323" spans="2:34" x14ac:dyDescent="0.25">
      <c r="B323" s="75"/>
      <c r="C323" s="76"/>
      <c r="D323" s="83"/>
      <c r="E323" s="84"/>
      <c r="F323" s="84"/>
      <c r="G323" s="84"/>
      <c r="H323" s="84"/>
      <c r="I323" s="85"/>
      <c r="J323" s="90"/>
      <c r="K323" s="91"/>
      <c r="L323" s="90"/>
      <c r="M323" s="91"/>
      <c r="N323" s="83"/>
      <c r="O323" s="85"/>
      <c r="P323" s="96"/>
      <c r="Q323" s="97"/>
      <c r="S323" s="99"/>
      <c r="T323" s="99"/>
      <c r="U323" s="99"/>
      <c r="V323" s="99"/>
      <c r="W323" s="99"/>
      <c r="X323" s="99"/>
      <c r="Y323" s="99"/>
      <c r="Z323" s="99"/>
      <c r="AA323" s="99"/>
      <c r="AB323" s="99"/>
      <c r="AC323" s="98"/>
      <c r="AD323" s="98"/>
      <c r="AE323" s="98"/>
      <c r="AF323" s="98"/>
      <c r="AG323" s="98"/>
      <c r="AH323" s="98"/>
    </row>
    <row r="324" spans="2:34" x14ac:dyDescent="0.25">
      <c r="B324" s="71"/>
      <c r="C324" s="72"/>
      <c r="D324" s="77"/>
      <c r="E324" s="78"/>
      <c r="F324" s="78"/>
      <c r="G324" s="78"/>
      <c r="H324" s="78"/>
      <c r="I324" s="79"/>
      <c r="J324" s="86"/>
      <c r="K324" s="87"/>
      <c r="L324" s="86"/>
      <c r="M324" s="87"/>
      <c r="N324" s="77"/>
      <c r="O324" s="79"/>
      <c r="P324" s="92"/>
      <c r="Q324" s="93"/>
      <c r="S324" s="99"/>
      <c r="T324" s="99"/>
      <c r="U324" s="99"/>
      <c r="V324" s="99"/>
      <c r="W324" s="99"/>
      <c r="X324" s="99"/>
      <c r="Y324" s="99"/>
      <c r="Z324" s="99"/>
      <c r="AA324" s="99"/>
      <c r="AB324" s="99"/>
      <c r="AC324" s="98"/>
      <c r="AD324" s="98"/>
      <c r="AE324" s="98"/>
      <c r="AF324" s="98"/>
      <c r="AG324" s="98"/>
      <c r="AH324" s="98"/>
    </row>
    <row r="325" spans="2:34" x14ac:dyDescent="0.25">
      <c r="B325" s="73"/>
      <c r="C325" s="74"/>
      <c r="D325" s="80"/>
      <c r="E325" s="81"/>
      <c r="F325" s="81"/>
      <c r="G325" s="81"/>
      <c r="H325" s="81"/>
      <c r="I325" s="82"/>
      <c r="J325" s="88"/>
      <c r="K325" s="89"/>
      <c r="L325" s="88"/>
      <c r="M325" s="89"/>
      <c r="N325" s="80"/>
      <c r="O325" s="82"/>
      <c r="P325" s="94"/>
      <c r="Q325" s="95"/>
      <c r="S325" s="99"/>
      <c r="T325" s="99"/>
      <c r="U325" s="99"/>
      <c r="V325" s="99"/>
      <c r="W325" s="99"/>
      <c r="X325" s="99"/>
      <c r="Y325" s="99"/>
      <c r="Z325" s="99"/>
      <c r="AA325" s="99"/>
      <c r="AB325" s="99"/>
      <c r="AC325" s="98"/>
      <c r="AD325" s="98"/>
      <c r="AE325" s="98"/>
      <c r="AF325" s="98"/>
      <c r="AG325" s="98"/>
      <c r="AH325" s="98"/>
    </row>
    <row r="326" spans="2:34" x14ac:dyDescent="0.25">
      <c r="B326" s="75"/>
      <c r="C326" s="76"/>
      <c r="D326" s="83"/>
      <c r="E326" s="84"/>
      <c r="F326" s="84"/>
      <c r="G326" s="84"/>
      <c r="H326" s="84"/>
      <c r="I326" s="85"/>
      <c r="J326" s="90"/>
      <c r="K326" s="91"/>
      <c r="L326" s="90"/>
      <c r="M326" s="91"/>
      <c r="N326" s="83"/>
      <c r="O326" s="85"/>
      <c r="P326" s="96"/>
      <c r="Q326" s="97"/>
      <c r="S326" s="99"/>
      <c r="T326" s="99"/>
      <c r="U326" s="99"/>
      <c r="V326" s="99"/>
      <c r="W326" s="99"/>
      <c r="X326" s="99"/>
      <c r="Y326" s="99"/>
      <c r="Z326" s="99"/>
      <c r="AA326" s="99"/>
      <c r="AB326" s="99"/>
      <c r="AC326" s="98"/>
      <c r="AD326" s="98"/>
      <c r="AE326" s="98"/>
      <c r="AF326" s="98"/>
      <c r="AG326" s="98"/>
      <c r="AH326" s="98"/>
    </row>
    <row r="327" spans="2:34" x14ac:dyDescent="0.25">
      <c r="B327" s="71"/>
      <c r="C327" s="72"/>
      <c r="D327" s="77"/>
      <c r="E327" s="78"/>
      <c r="F327" s="78"/>
      <c r="G327" s="78"/>
      <c r="H327" s="78"/>
      <c r="I327" s="79"/>
      <c r="J327" s="86"/>
      <c r="K327" s="87"/>
      <c r="L327" s="86"/>
      <c r="M327" s="87"/>
      <c r="N327" s="77"/>
      <c r="O327" s="79"/>
      <c r="P327" s="92"/>
      <c r="Q327" s="93"/>
      <c r="S327" s="99"/>
      <c r="T327" s="99"/>
      <c r="U327" s="99"/>
      <c r="V327" s="99"/>
      <c r="W327" s="99"/>
      <c r="X327" s="99"/>
      <c r="Y327" s="99"/>
      <c r="Z327" s="99"/>
      <c r="AA327" s="99"/>
      <c r="AB327" s="99"/>
      <c r="AC327" s="98"/>
      <c r="AD327" s="98"/>
      <c r="AE327" s="98"/>
      <c r="AF327" s="98"/>
      <c r="AG327" s="98"/>
      <c r="AH327" s="98"/>
    </row>
    <row r="328" spans="2:34" x14ac:dyDescent="0.25">
      <c r="B328" s="73"/>
      <c r="C328" s="74"/>
      <c r="D328" s="80"/>
      <c r="E328" s="81"/>
      <c r="F328" s="81"/>
      <c r="G328" s="81"/>
      <c r="H328" s="81"/>
      <c r="I328" s="82"/>
      <c r="J328" s="88"/>
      <c r="K328" s="89"/>
      <c r="L328" s="88"/>
      <c r="M328" s="89"/>
      <c r="N328" s="80"/>
      <c r="O328" s="82"/>
      <c r="P328" s="94"/>
      <c r="Q328" s="95"/>
      <c r="S328" s="99"/>
      <c r="T328" s="99"/>
      <c r="U328" s="99"/>
      <c r="V328" s="99"/>
      <c r="W328" s="99"/>
      <c r="X328" s="99"/>
      <c r="Y328" s="99"/>
      <c r="Z328" s="99"/>
      <c r="AA328" s="99"/>
      <c r="AB328" s="99"/>
      <c r="AC328" s="98"/>
      <c r="AD328" s="98"/>
      <c r="AE328" s="98"/>
      <c r="AF328" s="98"/>
      <c r="AG328" s="98"/>
      <c r="AH328" s="98"/>
    </row>
    <row r="329" spans="2:34" x14ac:dyDescent="0.25">
      <c r="B329" s="75"/>
      <c r="C329" s="76"/>
      <c r="D329" s="83"/>
      <c r="E329" s="84"/>
      <c r="F329" s="84"/>
      <c r="G329" s="84"/>
      <c r="H329" s="84"/>
      <c r="I329" s="85"/>
      <c r="J329" s="90"/>
      <c r="K329" s="91"/>
      <c r="L329" s="90"/>
      <c r="M329" s="91"/>
      <c r="N329" s="83"/>
      <c r="O329" s="85"/>
      <c r="P329" s="96"/>
      <c r="Q329" s="97"/>
      <c r="S329" s="99"/>
      <c r="T329" s="99"/>
      <c r="U329" s="99"/>
      <c r="V329" s="99"/>
      <c r="W329" s="99"/>
      <c r="X329" s="99"/>
      <c r="Y329" s="99"/>
      <c r="Z329" s="99"/>
      <c r="AA329" s="99"/>
      <c r="AB329" s="99"/>
      <c r="AC329" s="98"/>
      <c r="AD329" s="98"/>
      <c r="AE329" s="98"/>
      <c r="AF329" s="98"/>
      <c r="AG329" s="98"/>
      <c r="AH329" s="98"/>
    </row>
    <row r="330" spans="2:34" x14ac:dyDescent="0.25">
      <c r="B330" s="71"/>
      <c r="C330" s="72"/>
      <c r="D330" s="77"/>
      <c r="E330" s="78"/>
      <c r="F330" s="78"/>
      <c r="G330" s="78"/>
      <c r="H330" s="78"/>
      <c r="I330" s="79"/>
      <c r="J330" s="86"/>
      <c r="K330" s="87"/>
      <c r="L330" s="86"/>
      <c r="M330" s="87"/>
      <c r="N330" s="77"/>
      <c r="O330" s="79"/>
      <c r="P330" s="92"/>
      <c r="Q330" s="93"/>
      <c r="S330" s="99"/>
      <c r="T330" s="99"/>
      <c r="U330" s="99"/>
      <c r="V330" s="99"/>
      <c r="W330" s="99"/>
      <c r="X330" s="99"/>
      <c r="Y330" s="99"/>
      <c r="Z330" s="99"/>
      <c r="AA330" s="99"/>
      <c r="AB330" s="99"/>
      <c r="AC330" s="98"/>
      <c r="AD330" s="98"/>
      <c r="AE330" s="98"/>
      <c r="AF330" s="98"/>
      <c r="AG330" s="98"/>
      <c r="AH330" s="98"/>
    </row>
    <row r="331" spans="2:34" x14ac:dyDescent="0.25">
      <c r="B331" s="73"/>
      <c r="C331" s="74"/>
      <c r="D331" s="80"/>
      <c r="E331" s="81"/>
      <c r="F331" s="81"/>
      <c r="G331" s="81"/>
      <c r="H331" s="81"/>
      <c r="I331" s="82"/>
      <c r="J331" s="88"/>
      <c r="K331" s="89"/>
      <c r="L331" s="88"/>
      <c r="M331" s="89"/>
      <c r="N331" s="80"/>
      <c r="O331" s="82"/>
      <c r="P331" s="94"/>
      <c r="Q331" s="95"/>
      <c r="S331" s="99"/>
      <c r="T331" s="99"/>
      <c r="U331" s="99"/>
      <c r="V331" s="99"/>
      <c r="W331" s="99"/>
      <c r="X331" s="99"/>
      <c r="Y331" s="99"/>
      <c r="Z331" s="99"/>
      <c r="AA331" s="99"/>
      <c r="AB331" s="99"/>
      <c r="AC331" s="98"/>
      <c r="AD331" s="98"/>
      <c r="AE331" s="98"/>
      <c r="AF331" s="98"/>
      <c r="AG331" s="98"/>
      <c r="AH331" s="98"/>
    </row>
    <row r="332" spans="2:34" x14ac:dyDescent="0.25">
      <c r="B332" s="75"/>
      <c r="C332" s="76"/>
      <c r="D332" s="83"/>
      <c r="E332" s="84"/>
      <c r="F332" s="84"/>
      <c r="G332" s="84"/>
      <c r="H332" s="84"/>
      <c r="I332" s="85"/>
      <c r="J332" s="90"/>
      <c r="K332" s="91"/>
      <c r="L332" s="90"/>
      <c r="M332" s="91"/>
      <c r="N332" s="83"/>
      <c r="O332" s="85"/>
      <c r="P332" s="96"/>
      <c r="Q332" s="97"/>
      <c r="S332" s="99"/>
      <c r="T332" s="99"/>
      <c r="U332" s="99"/>
      <c r="V332" s="99"/>
      <c r="W332" s="99"/>
      <c r="X332" s="99"/>
      <c r="Y332" s="99"/>
      <c r="Z332" s="99"/>
      <c r="AA332" s="99"/>
      <c r="AB332" s="99"/>
      <c r="AC332" s="98"/>
      <c r="AD332" s="98"/>
      <c r="AE332" s="98"/>
      <c r="AF332" s="98"/>
      <c r="AG332" s="98"/>
      <c r="AH332" s="98"/>
    </row>
    <row r="333" spans="2:34" x14ac:dyDescent="0.25">
      <c r="B333" s="71"/>
      <c r="C333" s="72"/>
      <c r="D333" s="77"/>
      <c r="E333" s="78"/>
      <c r="F333" s="78"/>
      <c r="G333" s="78"/>
      <c r="H333" s="78"/>
      <c r="I333" s="79"/>
      <c r="J333" s="86"/>
      <c r="K333" s="87"/>
      <c r="L333" s="86"/>
      <c r="M333" s="87"/>
      <c r="N333" s="77"/>
      <c r="O333" s="79"/>
      <c r="P333" s="92"/>
      <c r="Q333" s="93"/>
      <c r="S333" s="99"/>
      <c r="T333" s="99"/>
      <c r="U333" s="99"/>
      <c r="V333" s="99"/>
      <c r="W333" s="99"/>
      <c r="X333" s="99"/>
      <c r="Y333" s="99"/>
      <c r="Z333" s="99"/>
      <c r="AA333" s="99"/>
      <c r="AB333" s="99"/>
      <c r="AC333" s="98"/>
      <c r="AD333" s="98"/>
      <c r="AE333" s="98"/>
      <c r="AF333" s="98"/>
      <c r="AG333" s="98"/>
      <c r="AH333" s="98"/>
    </row>
    <row r="334" spans="2:34" x14ac:dyDescent="0.25">
      <c r="B334" s="73"/>
      <c r="C334" s="74"/>
      <c r="D334" s="80"/>
      <c r="E334" s="81"/>
      <c r="F334" s="81"/>
      <c r="G334" s="81"/>
      <c r="H334" s="81"/>
      <c r="I334" s="82"/>
      <c r="J334" s="88"/>
      <c r="K334" s="89"/>
      <c r="L334" s="88"/>
      <c r="M334" s="89"/>
      <c r="N334" s="80"/>
      <c r="O334" s="82"/>
      <c r="P334" s="94"/>
      <c r="Q334" s="95"/>
      <c r="S334" s="99"/>
      <c r="T334" s="99"/>
      <c r="U334" s="99"/>
      <c r="V334" s="99"/>
      <c r="W334" s="99"/>
      <c r="X334" s="99"/>
      <c r="Y334" s="99"/>
      <c r="Z334" s="99"/>
      <c r="AA334" s="99"/>
      <c r="AB334" s="99"/>
      <c r="AC334" s="98"/>
      <c r="AD334" s="98"/>
      <c r="AE334" s="98"/>
      <c r="AF334" s="98"/>
      <c r="AG334" s="98"/>
      <c r="AH334" s="98"/>
    </row>
    <row r="335" spans="2:34" x14ac:dyDescent="0.25">
      <c r="B335" s="75"/>
      <c r="C335" s="76"/>
      <c r="D335" s="83"/>
      <c r="E335" s="84"/>
      <c r="F335" s="84"/>
      <c r="G335" s="84"/>
      <c r="H335" s="84"/>
      <c r="I335" s="85"/>
      <c r="J335" s="90"/>
      <c r="K335" s="91"/>
      <c r="L335" s="90"/>
      <c r="M335" s="91"/>
      <c r="N335" s="83"/>
      <c r="O335" s="85"/>
      <c r="P335" s="96"/>
      <c r="Q335" s="97"/>
      <c r="S335" s="99"/>
      <c r="T335" s="99"/>
      <c r="U335" s="99"/>
      <c r="V335" s="99"/>
      <c r="W335" s="99"/>
      <c r="X335" s="99"/>
      <c r="Y335" s="99"/>
      <c r="Z335" s="99"/>
      <c r="AA335" s="99"/>
      <c r="AB335" s="99"/>
      <c r="AC335" s="98"/>
      <c r="AD335" s="98"/>
      <c r="AE335" s="98"/>
      <c r="AF335" s="98"/>
      <c r="AG335" s="98"/>
      <c r="AH335" s="98"/>
    </row>
    <row r="336" spans="2:34" x14ac:dyDescent="0.25">
      <c r="B336" s="71"/>
      <c r="C336" s="72"/>
      <c r="D336" s="77"/>
      <c r="E336" s="78"/>
      <c r="F336" s="78"/>
      <c r="G336" s="78"/>
      <c r="H336" s="78"/>
      <c r="I336" s="79"/>
      <c r="J336" s="86"/>
      <c r="K336" s="87"/>
      <c r="L336" s="86"/>
      <c r="M336" s="87"/>
      <c r="N336" s="77"/>
      <c r="O336" s="79"/>
      <c r="P336" s="92"/>
      <c r="Q336" s="93"/>
      <c r="S336" s="99"/>
      <c r="T336" s="99"/>
      <c r="U336" s="99"/>
      <c r="V336" s="99"/>
      <c r="W336" s="99"/>
      <c r="X336" s="99"/>
      <c r="Y336" s="99"/>
      <c r="Z336" s="99"/>
      <c r="AA336" s="99"/>
      <c r="AB336" s="99"/>
      <c r="AC336" s="98"/>
      <c r="AD336" s="98"/>
      <c r="AE336" s="98"/>
      <c r="AF336" s="98"/>
      <c r="AG336" s="98"/>
      <c r="AH336" s="98"/>
    </row>
    <row r="337" spans="2:34" x14ac:dyDescent="0.25">
      <c r="B337" s="73"/>
      <c r="C337" s="74"/>
      <c r="D337" s="80"/>
      <c r="E337" s="81"/>
      <c r="F337" s="81"/>
      <c r="G337" s="81"/>
      <c r="H337" s="81"/>
      <c r="I337" s="82"/>
      <c r="J337" s="88"/>
      <c r="K337" s="89"/>
      <c r="L337" s="88"/>
      <c r="M337" s="89"/>
      <c r="N337" s="80"/>
      <c r="O337" s="82"/>
      <c r="P337" s="94"/>
      <c r="Q337" s="95"/>
      <c r="S337" s="99"/>
      <c r="T337" s="99"/>
      <c r="U337" s="99"/>
      <c r="V337" s="99"/>
      <c r="W337" s="99"/>
      <c r="X337" s="99"/>
      <c r="Y337" s="99"/>
      <c r="Z337" s="99"/>
      <c r="AA337" s="99"/>
      <c r="AB337" s="99"/>
      <c r="AC337" s="98"/>
      <c r="AD337" s="98"/>
      <c r="AE337" s="98"/>
      <c r="AF337" s="98"/>
      <c r="AG337" s="98"/>
      <c r="AH337" s="98"/>
    </row>
    <row r="338" spans="2:34" x14ac:dyDescent="0.25">
      <c r="B338" s="75"/>
      <c r="C338" s="76"/>
      <c r="D338" s="83"/>
      <c r="E338" s="84"/>
      <c r="F338" s="84"/>
      <c r="G338" s="84"/>
      <c r="H338" s="84"/>
      <c r="I338" s="85"/>
      <c r="J338" s="90"/>
      <c r="K338" s="91"/>
      <c r="L338" s="90"/>
      <c r="M338" s="91"/>
      <c r="N338" s="83"/>
      <c r="O338" s="85"/>
      <c r="P338" s="96"/>
      <c r="Q338" s="97"/>
      <c r="S338" s="99"/>
      <c r="T338" s="99"/>
      <c r="U338" s="99"/>
      <c r="V338" s="99"/>
      <c r="W338" s="99"/>
      <c r="X338" s="99"/>
      <c r="Y338" s="99"/>
      <c r="Z338" s="99"/>
      <c r="AA338" s="99"/>
      <c r="AB338" s="99"/>
      <c r="AC338" s="98"/>
      <c r="AD338" s="98"/>
      <c r="AE338" s="98"/>
      <c r="AF338" s="98"/>
      <c r="AG338" s="98"/>
      <c r="AH338" s="98"/>
    </row>
    <row r="339" spans="2:34" x14ac:dyDescent="0.25">
      <c r="B339" s="71"/>
      <c r="C339" s="72"/>
      <c r="D339" s="77"/>
      <c r="E339" s="78"/>
      <c r="F339" s="78"/>
      <c r="G339" s="78"/>
      <c r="H339" s="78"/>
      <c r="I339" s="79"/>
      <c r="J339" s="86"/>
      <c r="K339" s="87"/>
      <c r="L339" s="86"/>
      <c r="M339" s="87"/>
      <c r="N339" s="77"/>
      <c r="O339" s="79"/>
      <c r="P339" s="92"/>
      <c r="Q339" s="93"/>
      <c r="S339" s="99"/>
      <c r="T339" s="99"/>
      <c r="U339" s="99"/>
      <c r="V339" s="99"/>
      <c r="W339" s="99"/>
      <c r="X339" s="99"/>
      <c r="Y339" s="99"/>
      <c r="Z339" s="99"/>
      <c r="AA339" s="99"/>
      <c r="AB339" s="99"/>
      <c r="AC339" s="98"/>
      <c r="AD339" s="98"/>
      <c r="AE339" s="98"/>
      <c r="AF339" s="98"/>
      <c r="AG339" s="98"/>
      <c r="AH339" s="98"/>
    </row>
    <row r="340" spans="2:34" x14ac:dyDescent="0.25">
      <c r="B340" s="73"/>
      <c r="C340" s="74"/>
      <c r="D340" s="80"/>
      <c r="E340" s="81"/>
      <c r="F340" s="81"/>
      <c r="G340" s="81"/>
      <c r="H340" s="81"/>
      <c r="I340" s="82"/>
      <c r="J340" s="88"/>
      <c r="K340" s="89"/>
      <c r="L340" s="88"/>
      <c r="M340" s="89"/>
      <c r="N340" s="80"/>
      <c r="O340" s="82"/>
      <c r="P340" s="94"/>
      <c r="Q340" s="95"/>
      <c r="S340" s="99"/>
      <c r="T340" s="99"/>
      <c r="U340" s="99"/>
      <c r="V340" s="99"/>
      <c r="W340" s="99"/>
      <c r="X340" s="99"/>
      <c r="Y340" s="99"/>
      <c r="Z340" s="99"/>
      <c r="AA340" s="99"/>
      <c r="AB340" s="99"/>
      <c r="AC340" s="98"/>
      <c r="AD340" s="98"/>
      <c r="AE340" s="98"/>
      <c r="AF340" s="98"/>
      <c r="AG340" s="98"/>
      <c r="AH340" s="98"/>
    </row>
    <row r="341" spans="2:34" x14ac:dyDescent="0.25">
      <c r="B341" s="75"/>
      <c r="C341" s="76"/>
      <c r="D341" s="83"/>
      <c r="E341" s="84"/>
      <c r="F341" s="84"/>
      <c r="G341" s="84"/>
      <c r="H341" s="84"/>
      <c r="I341" s="85"/>
      <c r="J341" s="90"/>
      <c r="K341" s="91"/>
      <c r="L341" s="90"/>
      <c r="M341" s="91"/>
      <c r="N341" s="83"/>
      <c r="O341" s="85"/>
      <c r="P341" s="96"/>
      <c r="Q341" s="97"/>
      <c r="S341" s="99"/>
      <c r="T341" s="99"/>
      <c r="U341" s="99"/>
      <c r="V341" s="99"/>
      <c r="W341" s="99"/>
      <c r="X341" s="99"/>
      <c r="Y341" s="99"/>
      <c r="Z341" s="99"/>
      <c r="AA341" s="99"/>
      <c r="AB341" s="99"/>
      <c r="AC341" s="98"/>
      <c r="AD341" s="98"/>
      <c r="AE341" s="98"/>
      <c r="AF341" s="98"/>
      <c r="AG341" s="98"/>
      <c r="AH341" s="98"/>
    </row>
    <row r="342" spans="2:34" x14ac:dyDescent="0.25">
      <c r="B342" s="71"/>
      <c r="C342" s="72"/>
      <c r="D342" s="77"/>
      <c r="E342" s="78"/>
      <c r="F342" s="78"/>
      <c r="G342" s="78"/>
      <c r="H342" s="78"/>
      <c r="I342" s="79"/>
      <c r="J342" s="86"/>
      <c r="K342" s="87"/>
      <c r="L342" s="86"/>
      <c r="M342" s="87"/>
      <c r="N342" s="77"/>
      <c r="O342" s="79"/>
      <c r="P342" s="92"/>
      <c r="Q342" s="93"/>
      <c r="S342" s="99"/>
      <c r="T342" s="99"/>
      <c r="U342" s="99"/>
      <c r="V342" s="99"/>
      <c r="W342" s="99"/>
      <c r="X342" s="99"/>
      <c r="Y342" s="99"/>
      <c r="Z342" s="99"/>
      <c r="AA342" s="99"/>
      <c r="AB342" s="99"/>
      <c r="AC342" s="98"/>
      <c r="AD342" s="98"/>
      <c r="AE342" s="98"/>
      <c r="AF342" s="98"/>
      <c r="AG342" s="98"/>
      <c r="AH342" s="98"/>
    </row>
    <row r="343" spans="2:34" x14ac:dyDescent="0.25">
      <c r="B343" s="73"/>
      <c r="C343" s="74"/>
      <c r="D343" s="80"/>
      <c r="E343" s="81"/>
      <c r="F343" s="81"/>
      <c r="G343" s="81"/>
      <c r="H343" s="81"/>
      <c r="I343" s="82"/>
      <c r="J343" s="88"/>
      <c r="K343" s="89"/>
      <c r="L343" s="88"/>
      <c r="M343" s="89"/>
      <c r="N343" s="80"/>
      <c r="O343" s="82"/>
      <c r="P343" s="94"/>
      <c r="Q343" s="95"/>
      <c r="S343" s="99"/>
      <c r="T343" s="99"/>
      <c r="U343" s="99"/>
      <c r="V343" s="99"/>
      <c r="W343" s="99"/>
      <c r="X343" s="99"/>
      <c r="Y343" s="99"/>
      <c r="Z343" s="99"/>
      <c r="AA343" s="99"/>
      <c r="AB343" s="99"/>
      <c r="AC343" s="98"/>
      <c r="AD343" s="98"/>
      <c r="AE343" s="98"/>
      <c r="AF343" s="98"/>
      <c r="AG343" s="98"/>
      <c r="AH343" s="98"/>
    </row>
    <row r="344" spans="2:34" x14ac:dyDescent="0.25">
      <c r="B344" s="75"/>
      <c r="C344" s="76"/>
      <c r="D344" s="83"/>
      <c r="E344" s="84"/>
      <c r="F344" s="84"/>
      <c r="G344" s="84"/>
      <c r="H344" s="84"/>
      <c r="I344" s="85"/>
      <c r="J344" s="90"/>
      <c r="K344" s="91"/>
      <c r="L344" s="90"/>
      <c r="M344" s="91"/>
      <c r="N344" s="83"/>
      <c r="O344" s="85"/>
      <c r="P344" s="96"/>
      <c r="Q344" s="97"/>
      <c r="S344" s="99"/>
      <c r="T344" s="99"/>
      <c r="U344" s="99"/>
      <c r="V344" s="99"/>
      <c r="W344" s="99"/>
      <c r="X344" s="99"/>
      <c r="Y344" s="99"/>
      <c r="Z344" s="99"/>
      <c r="AA344" s="99"/>
      <c r="AB344" s="99"/>
      <c r="AC344" s="98"/>
      <c r="AD344" s="98"/>
      <c r="AE344" s="98"/>
      <c r="AF344" s="98"/>
      <c r="AG344" s="98"/>
      <c r="AH344" s="98"/>
    </row>
    <row r="345" spans="2:34" x14ac:dyDescent="0.25">
      <c r="B345" s="71"/>
      <c r="C345" s="72"/>
      <c r="D345" s="77"/>
      <c r="E345" s="78"/>
      <c r="F345" s="78"/>
      <c r="G345" s="78"/>
      <c r="H345" s="78"/>
      <c r="I345" s="79"/>
      <c r="J345" s="86"/>
      <c r="K345" s="87"/>
      <c r="L345" s="86"/>
      <c r="M345" s="87"/>
      <c r="N345" s="77"/>
      <c r="O345" s="79"/>
      <c r="P345" s="92"/>
      <c r="Q345" s="93"/>
      <c r="S345" s="99"/>
      <c r="T345" s="99"/>
      <c r="U345" s="99"/>
      <c r="V345" s="99"/>
      <c r="W345" s="99"/>
      <c r="X345" s="99"/>
      <c r="Y345" s="99"/>
      <c r="Z345" s="99"/>
      <c r="AA345" s="99"/>
      <c r="AB345" s="99"/>
      <c r="AC345" s="98"/>
      <c r="AD345" s="98"/>
      <c r="AE345" s="98"/>
      <c r="AF345" s="98"/>
      <c r="AG345" s="98"/>
      <c r="AH345" s="98"/>
    </row>
    <row r="346" spans="2:34" x14ac:dyDescent="0.25">
      <c r="B346" s="73"/>
      <c r="C346" s="74"/>
      <c r="D346" s="80"/>
      <c r="E346" s="81"/>
      <c r="F346" s="81"/>
      <c r="G346" s="81"/>
      <c r="H346" s="81"/>
      <c r="I346" s="82"/>
      <c r="J346" s="88"/>
      <c r="K346" s="89"/>
      <c r="L346" s="88"/>
      <c r="M346" s="89"/>
      <c r="N346" s="80"/>
      <c r="O346" s="82"/>
      <c r="P346" s="94"/>
      <c r="Q346" s="95"/>
      <c r="S346" s="99"/>
      <c r="T346" s="99"/>
      <c r="U346" s="99"/>
      <c r="V346" s="99"/>
      <c r="W346" s="99"/>
      <c r="X346" s="99"/>
      <c r="Y346" s="99"/>
      <c r="Z346" s="99"/>
      <c r="AA346" s="99"/>
      <c r="AB346" s="99"/>
      <c r="AC346" s="98"/>
      <c r="AD346" s="98"/>
      <c r="AE346" s="98"/>
      <c r="AF346" s="98"/>
      <c r="AG346" s="98"/>
      <c r="AH346" s="98"/>
    </row>
    <row r="347" spans="2:34" x14ac:dyDescent="0.25">
      <c r="B347" s="75"/>
      <c r="C347" s="76"/>
      <c r="D347" s="83"/>
      <c r="E347" s="84"/>
      <c r="F347" s="84"/>
      <c r="G347" s="84"/>
      <c r="H347" s="84"/>
      <c r="I347" s="85"/>
      <c r="J347" s="90"/>
      <c r="K347" s="91"/>
      <c r="L347" s="90"/>
      <c r="M347" s="91"/>
      <c r="N347" s="83"/>
      <c r="O347" s="85"/>
      <c r="P347" s="96"/>
      <c r="Q347" s="97"/>
      <c r="S347" s="99"/>
      <c r="T347" s="99"/>
      <c r="U347" s="99"/>
      <c r="V347" s="99"/>
      <c r="W347" s="99"/>
      <c r="X347" s="99"/>
      <c r="Y347" s="99"/>
      <c r="Z347" s="99"/>
      <c r="AA347" s="99"/>
      <c r="AB347" s="99"/>
      <c r="AC347" s="98"/>
      <c r="AD347" s="98"/>
      <c r="AE347" s="98"/>
      <c r="AF347" s="98"/>
      <c r="AG347" s="98"/>
      <c r="AH347" s="98"/>
    </row>
    <row r="348" spans="2:34" x14ac:dyDescent="0.25">
      <c r="B348" s="71"/>
      <c r="C348" s="72"/>
      <c r="D348" s="77"/>
      <c r="E348" s="78"/>
      <c r="F348" s="78"/>
      <c r="G348" s="78"/>
      <c r="H348" s="78"/>
      <c r="I348" s="79"/>
      <c r="J348" s="86"/>
      <c r="K348" s="87"/>
      <c r="L348" s="86"/>
      <c r="M348" s="87"/>
      <c r="N348" s="77"/>
      <c r="O348" s="79"/>
      <c r="P348" s="92"/>
      <c r="Q348" s="93"/>
      <c r="S348" s="99"/>
      <c r="T348" s="99"/>
      <c r="U348" s="99"/>
      <c r="V348" s="99"/>
      <c r="W348" s="99"/>
      <c r="X348" s="99"/>
      <c r="Y348" s="99"/>
      <c r="Z348" s="99"/>
      <c r="AA348" s="99"/>
      <c r="AB348" s="99"/>
      <c r="AC348" s="98"/>
      <c r="AD348" s="98"/>
      <c r="AE348" s="98"/>
      <c r="AF348" s="98"/>
      <c r="AG348" s="98"/>
      <c r="AH348" s="98"/>
    </row>
    <row r="349" spans="2:34" x14ac:dyDescent="0.25">
      <c r="B349" s="73"/>
      <c r="C349" s="74"/>
      <c r="D349" s="80"/>
      <c r="E349" s="81"/>
      <c r="F349" s="81"/>
      <c r="G349" s="81"/>
      <c r="H349" s="81"/>
      <c r="I349" s="82"/>
      <c r="J349" s="88"/>
      <c r="K349" s="89"/>
      <c r="L349" s="88"/>
      <c r="M349" s="89"/>
      <c r="N349" s="80"/>
      <c r="O349" s="82"/>
      <c r="P349" s="94"/>
      <c r="Q349" s="95"/>
      <c r="S349" s="99"/>
      <c r="T349" s="99"/>
      <c r="U349" s="99"/>
      <c r="V349" s="99"/>
      <c r="W349" s="99"/>
      <c r="X349" s="99"/>
      <c r="Y349" s="99"/>
      <c r="Z349" s="99"/>
      <c r="AA349" s="99"/>
      <c r="AB349" s="99"/>
      <c r="AC349" s="98"/>
      <c r="AD349" s="98"/>
      <c r="AE349" s="98"/>
      <c r="AF349" s="98"/>
      <c r="AG349" s="98"/>
      <c r="AH349" s="98"/>
    </row>
    <row r="350" spans="2:34" x14ac:dyDescent="0.25">
      <c r="B350" s="75"/>
      <c r="C350" s="76"/>
      <c r="D350" s="83"/>
      <c r="E350" s="84"/>
      <c r="F350" s="84"/>
      <c r="G350" s="84"/>
      <c r="H350" s="84"/>
      <c r="I350" s="85"/>
      <c r="J350" s="90"/>
      <c r="K350" s="91"/>
      <c r="L350" s="90"/>
      <c r="M350" s="91"/>
      <c r="N350" s="83"/>
      <c r="O350" s="85"/>
      <c r="P350" s="96"/>
      <c r="Q350" s="97"/>
      <c r="S350" s="99"/>
      <c r="T350" s="99"/>
      <c r="U350" s="99"/>
      <c r="V350" s="99"/>
      <c r="W350" s="99"/>
      <c r="X350" s="99"/>
      <c r="Y350" s="99"/>
      <c r="Z350" s="99"/>
      <c r="AA350" s="99"/>
      <c r="AB350" s="99"/>
      <c r="AC350" s="98"/>
      <c r="AD350" s="98"/>
      <c r="AE350" s="98"/>
      <c r="AF350" s="98"/>
      <c r="AG350" s="98"/>
      <c r="AH350" s="98"/>
    </row>
    <row r="351" spans="2:34" x14ac:dyDescent="0.25">
      <c r="B351" s="71"/>
      <c r="C351" s="72"/>
      <c r="D351" s="77"/>
      <c r="E351" s="78"/>
      <c r="F351" s="78"/>
      <c r="G351" s="78"/>
      <c r="H351" s="78"/>
      <c r="I351" s="79"/>
      <c r="J351" s="86"/>
      <c r="K351" s="87"/>
      <c r="L351" s="86"/>
      <c r="M351" s="87"/>
      <c r="N351" s="77"/>
      <c r="O351" s="79"/>
      <c r="P351" s="92"/>
      <c r="Q351" s="93"/>
      <c r="S351" s="99"/>
      <c r="T351" s="99"/>
      <c r="U351" s="99"/>
      <c r="V351" s="99"/>
      <c r="W351" s="99"/>
      <c r="X351" s="99"/>
      <c r="Y351" s="99"/>
      <c r="Z351" s="99"/>
      <c r="AA351" s="99"/>
      <c r="AB351" s="99"/>
      <c r="AC351" s="98"/>
      <c r="AD351" s="98"/>
      <c r="AE351" s="98"/>
      <c r="AF351" s="98"/>
      <c r="AG351" s="98"/>
      <c r="AH351" s="98"/>
    </row>
    <row r="352" spans="2:34" x14ac:dyDescent="0.25">
      <c r="B352" s="73"/>
      <c r="C352" s="74"/>
      <c r="D352" s="80"/>
      <c r="E352" s="81"/>
      <c r="F352" s="81"/>
      <c r="G352" s="81"/>
      <c r="H352" s="81"/>
      <c r="I352" s="82"/>
      <c r="J352" s="88"/>
      <c r="K352" s="89"/>
      <c r="L352" s="88"/>
      <c r="M352" s="89"/>
      <c r="N352" s="80"/>
      <c r="O352" s="82"/>
      <c r="P352" s="94"/>
      <c r="Q352" s="95"/>
      <c r="S352" s="99"/>
      <c r="T352" s="99"/>
      <c r="U352" s="99"/>
      <c r="V352" s="99"/>
      <c r="W352" s="99"/>
      <c r="X352" s="99"/>
      <c r="Y352" s="99"/>
      <c r="Z352" s="99"/>
      <c r="AA352" s="99"/>
      <c r="AB352" s="99"/>
      <c r="AC352" s="98"/>
      <c r="AD352" s="98"/>
      <c r="AE352" s="98"/>
      <c r="AF352" s="98"/>
      <c r="AG352" s="98"/>
      <c r="AH352" s="98"/>
    </row>
    <row r="353" spans="2:34" x14ac:dyDescent="0.25">
      <c r="B353" s="75"/>
      <c r="C353" s="76"/>
      <c r="D353" s="83"/>
      <c r="E353" s="84"/>
      <c r="F353" s="84"/>
      <c r="G353" s="84"/>
      <c r="H353" s="84"/>
      <c r="I353" s="85"/>
      <c r="J353" s="90"/>
      <c r="K353" s="91"/>
      <c r="L353" s="90"/>
      <c r="M353" s="91"/>
      <c r="N353" s="83"/>
      <c r="O353" s="85"/>
      <c r="P353" s="96"/>
      <c r="Q353" s="97"/>
      <c r="S353" s="99"/>
      <c r="T353" s="99"/>
      <c r="U353" s="99"/>
      <c r="V353" s="99"/>
      <c r="W353" s="99"/>
      <c r="X353" s="99"/>
      <c r="Y353" s="99"/>
      <c r="Z353" s="99"/>
      <c r="AA353" s="99"/>
      <c r="AB353" s="99"/>
      <c r="AC353" s="98"/>
      <c r="AD353" s="98"/>
      <c r="AE353" s="98"/>
      <c r="AF353" s="98"/>
      <c r="AG353" s="98"/>
      <c r="AH353" s="98"/>
    </row>
    <row r="354" spans="2:34" x14ac:dyDescent="0.25">
      <c r="B354" s="71"/>
      <c r="C354" s="72"/>
      <c r="D354" s="77"/>
      <c r="E354" s="78"/>
      <c r="F354" s="78"/>
      <c r="G354" s="78"/>
      <c r="H354" s="78"/>
      <c r="I354" s="79"/>
      <c r="J354" s="86"/>
      <c r="K354" s="87"/>
      <c r="L354" s="86"/>
      <c r="M354" s="87"/>
      <c r="N354" s="77"/>
      <c r="O354" s="79"/>
      <c r="P354" s="92"/>
      <c r="Q354" s="93"/>
      <c r="S354" s="99"/>
      <c r="T354" s="99"/>
      <c r="U354" s="99"/>
      <c r="V354" s="99"/>
      <c r="W354" s="99"/>
      <c r="X354" s="99"/>
      <c r="Y354" s="99"/>
      <c r="Z354" s="99"/>
      <c r="AA354" s="99"/>
      <c r="AB354" s="99"/>
      <c r="AC354" s="98"/>
      <c r="AD354" s="98"/>
      <c r="AE354" s="98"/>
      <c r="AF354" s="98"/>
      <c r="AG354" s="98"/>
      <c r="AH354" s="98"/>
    </row>
    <row r="355" spans="2:34" x14ac:dyDescent="0.25">
      <c r="B355" s="73"/>
      <c r="C355" s="74"/>
      <c r="D355" s="80"/>
      <c r="E355" s="81"/>
      <c r="F355" s="81"/>
      <c r="G355" s="81"/>
      <c r="H355" s="81"/>
      <c r="I355" s="82"/>
      <c r="J355" s="88"/>
      <c r="K355" s="89"/>
      <c r="L355" s="88"/>
      <c r="M355" s="89"/>
      <c r="N355" s="80"/>
      <c r="O355" s="82"/>
      <c r="P355" s="94"/>
      <c r="Q355" s="95"/>
      <c r="S355" s="99"/>
      <c r="T355" s="99"/>
      <c r="U355" s="99"/>
      <c r="V355" s="99"/>
      <c r="W355" s="99"/>
      <c r="X355" s="99"/>
      <c r="Y355" s="99"/>
      <c r="Z355" s="99"/>
      <c r="AA355" s="99"/>
      <c r="AB355" s="99"/>
      <c r="AC355" s="98"/>
      <c r="AD355" s="98"/>
      <c r="AE355" s="98"/>
      <c r="AF355" s="98"/>
      <c r="AG355" s="98"/>
      <c r="AH355" s="98"/>
    </row>
    <row r="356" spans="2:34" x14ac:dyDescent="0.25">
      <c r="B356" s="75"/>
      <c r="C356" s="76"/>
      <c r="D356" s="83"/>
      <c r="E356" s="84"/>
      <c r="F356" s="84"/>
      <c r="G356" s="84"/>
      <c r="H356" s="84"/>
      <c r="I356" s="85"/>
      <c r="J356" s="90"/>
      <c r="K356" s="91"/>
      <c r="L356" s="90"/>
      <c r="M356" s="91"/>
      <c r="N356" s="83"/>
      <c r="O356" s="85"/>
      <c r="P356" s="96"/>
      <c r="Q356" s="97"/>
      <c r="S356" s="99"/>
      <c r="T356" s="99"/>
      <c r="U356" s="99"/>
      <c r="V356" s="99"/>
      <c r="W356" s="99"/>
      <c r="X356" s="99"/>
      <c r="Y356" s="99"/>
      <c r="Z356" s="99"/>
      <c r="AA356" s="99"/>
      <c r="AB356" s="99"/>
      <c r="AC356" s="98"/>
      <c r="AD356" s="98"/>
      <c r="AE356" s="98"/>
      <c r="AF356" s="98"/>
      <c r="AG356" s="98"/>
      <c r="AH356" s="98"/>
    </row>
    <row r="357" spans="2:34" x14ac:dyDescent="0.25">
      <c r="B357" s="71"/>
      <c r="C357" s="72"/>
      <c r="D357" s="77"/>
      <c r="E357" s="78"/>
      <c r="F357" s="78"/>
      <c r="G357" s="78"/>
      <c r="H357" s="78"/>
      <c r="I357" s="79"/>
      <c r="J357" s="86"/>
      <c r="K357" s="87"/>
      <c r="L357" s="86"/>
      <c r="M357" s="87"/>
      <c r="N357" s="77"/>
      <c r="O357" s="79"/>
      <c r="P357" s="92"/>
      <c r="Q357" s="93"/>
      <c r="S357" s="99"/>
      <c r="T357" s="99"/>
      <c r="U357" s="99"/>
      <c r="V357" s="99"/>
      <c r="W357" s="99"/>
      <c r="X357" s="99"/>
      <c r="Y357" s="99"/>
      <c r="Z357" s="99"/>
      <c r="AA357" s="99"/>
      <c r="AB357" s="99"/>
      <c r="AC357" s="98"/>
      <c r="AD357" s="98"/>
      <c r="AE357" s="98"/>
      <c r="AF357" s="98"/>
      <c r="AG357" s="98"/>
      <c r="AH357" s="98"/>
    </row>
    <row r="358" spans="2:34" x14ac:dyDescent="0.25">
      <c r="B358" s="73"/>
      <c r="C358" s="74"/>
      <c r="D358" s="80"/>
      <c r="E358" s="81"/>
      <c r="F358" s="81"/>
      <c r="G358" s="81"/>
      <c r="H358" s="81"/>
      <c r="I358" s="82"/>
      <c r="J358" s="88"/>
      <c r="K358" s="89"/>
      <c r="L358" s="88"/>
      <c r="M358" s="89"/>
      <c r="N358" s="80"/>
      <c r="O358" s="82"/>
      <c r="P358" s="94"/>
      <c r="Q358" s="95"/>
      <c r="S358" s="99"/>
      <c r="T358" s="99"/>
      <c r="U358" s="99"/>
      <c r="V358" s="99"/>
      <c r="W358" s="99"/>
      <c r="X358" s="99"/>
      <c r="Y358" s="99"/>
      <c r="Z358" s="99"/>
      <c r="AA358" s="99"/>
      <c r="AB358" s="99"/>
      <c r="AC358" s="98"/>
      <c r="AD358" s="98"/>
      <c r="AE358" s="98"/>
      <c r="AF358" s="98"/>
      <c r="AG358" s="98"/>
      <c r="AH358" s="98"/>
    </row>
    <row r="359" spans="2:34" x14ac:dyDescent="0.25">
      <c r="B359" s="75"/>
      <c r="C359" s="76"/>
      <c r="D359" s="83"/>
      <c r="E359" s="84"/>
      <c r="F359" s="84"/>
      <c r="G359" s="84"/>
      <c r="H359" s="84"/>
      <c r="I359" s="85"/>
      <c r="J359" s="90"/>
      <c r="K359" s="91"/>
      <c r="L359" s="90"/>
      <c r="M359" s="91"/>
      <c r="N359" s="83"/>
      <c r="O359" s="85"/>
      <c r="P359" s="96"/>
      <c r="Q359" s="97"/>
      <c r="S359" s="99"/>
      <c r="T359" s="99"/>
      <c r="U359" s="99"/>
      <c r="V359" s="99"/>
      <c r="W359" s="99"/>
      <c r="X359" s="99"/>
      <c r="Y359" s="99"/>
      <c r="Z359" s="99"/>
      <c r="AA359" s="99"/>
      <c r="AB359" s="99"/>
      <c r="AC359" s="98"/>
      <c r="AD359" s="98"/>
      <c r="AE359" s="98"/>
      <c r="AF359" s="98"/>
      <c r="AG359" s="98"/>
      <c r="AH359" s="98"/>
    </row>
    <row r="360" spans="2:34" x14ac:dyDescent="0.25">
      <c r="B360" s="71"/>
      <c r="C360" s="72"/>
      <c r="D360" s="77"/>
      <c r="E360" s="78"/>
      <c r="F360" s="78"/>
      <c r="G360" s="78"/>
      <c r="H360" s="78"/>
      <c r="I360" s="79"/>
      <c r="J360" s="86"/>
      <c r="K360" s="87"/>
      <c r="L360" s="86"/>
      <c r="M360" s="87"/>
      <c r="N360" s="77"/>
      <c r="O360" s="79"/>
      <c r="P360" s="92"/>
      <c r="Q360" s="93"/>
      <c r="S360" s="99"/>
      <c r="T360" s="99"/>
      <c r="U360" s="99"/>
      <c r="V360" s="99"/>
      <c r="W360" s="99"/>
      <c r="X360" s="99"/>
      <c r="Y360" s="99"/>
      <c r="Z360" s="99"/>
      <c r="AA360" s="99"/>
      <c r="AB360" s="99"/>
      <c r="AC360" s="98"/>
      <c r="AD360" s="98"/>
      <c r="AE360" s="98"/>
      <c r="AF360" s="98"/>
      <c r="AG360" s="98"/>
      <c r="AH360" s="98"/>
    </row>
    <row r="361" spans="2:34" x14ac:dyDescent="0.25">
      <c r="B361" s="73"/>
      <c r="C361" s="74"/>
      <c r="D361" s="80"/>
      <c r="E361" s="81"/>
      <c r="F361" s="81"/>
      <c r="G361" s="81"/>
      <c r="H361" s="81"/>
      <c r="I361" s="82"/>
      <c r="J361" s="88"/>
      <c r="K361" s="89"/>
      <c r="L361" s="88"/>
      <c r="M361" s="89"/>
      <c r="N361" s="80"/>
      <c r="O361" s="82"/>
      <c r="P361" s="94"/>
      <c r="Q361" s="95"/>
      <c r="S361" s="99"/>
      <c r="T361" s="99"/>
      <c r="U361" s="99"/>
      <c r="V361" s="99"/>
      <c r="W361" s="99"/>
      <c r="X361" s="99"/>
      <c r="Y361" s="99"/>
      <c r="Z361" s="99"/>
      <c r="AA361" s="99"/>
      <c r="AB361" s="99"/>
      <c r="AC361" s="98"/>
      <c r="AD361" s="98"/>
      <c r="AE361" s="98"/>
      <c r="AF361" s="98"/>
      <c r="AG361" s="98"/>
      <c r="AH361" s="98"/>
    </row>
    <row r="362" spans="2:34" x14ac:dyDescent="0.25">
      <c r="B362" s="75"/>
      <c r="C362" s="76"/>
      <c r="D362" s="83"/>
      <c r="E362" s="84"/>
      <c r="F362" s="84"/>
      <c r="G362" s="84"/>
      <c r="H362" s="84"/>
      <c r="I362" s="85"/>
      <c r="J362" s="90"/>
      <c r="K362" s="91"/>
      <c r="L362" s="90"/>
      <c r="M362" s="91"/>
      <c r="N362" s="83"/>
      <c r="O362" s="85"/>
      <c r="P362" s="96"/>
      <c r="Q362" s="97"/>
      <c r="S362" s="99"/>
      <c r="T362" s="99"/>
      <c r="U362" s="99"/>
      <c r="V362" s="99"/>
      <c r="W362" s="99"/>
      <c r="X362" s="99"/>
      <c r="Y362" s="99"/>
      <c r="Z362" s="99"/>
      <c r="AA362" s="99"/>
      <c r="AB362" s="99"/>
      <c r="AC362" s="98"/>
      <c r="AD362" s="98"/>
      <c r="AE362" s="98"/>
      <c r="AF362" s="98"/>
      <c r="AG362" s="98"/>
      <c r="AH362" s="98"/>
    </row>
    <row r="363" spans="2:34" x14ac:dyDescent="0.25">
      <c r="B363" s="71"/>
      <c r="C363" s="72"/>
      <c r="D363" s="77"/>
      <c r="E363" s="78"/>
      <c r="F363" s="78"/>
      <c r="G363" s="78"/>
      <c r="H363" s="78"/>
      <c r="I363" s="79"/>
      <c r="J363" s="86"/>
      <c r="K363" s="87"/>
      <c r="L363" s="86"/>
      <c r="M363" s="87"/>
      <c r="N363" s="77"/>
      <c r="O363" s="79"/>
      <c r="P363" s="92"/>
      <c r="Q363" s="93"/>
      <c r="S363" s="99"/>
      <c r="T363" s="99"/>
      <c r="U363" s="99"/>
      <c r="V363" s="99"/>
      <c r="W363" s="99"/>
      <c r="X363" s="99"/>
      <c r="Y363" s="99"/>
      <c r="Z363" s="99"/>
      <c r="AA363" s="99"/>
      <c r="AB363" s="99"/>
      <c r="AC363" s="98"/>
      <c r="AD363" s="98"/>
      <c r="AE363" s="98"/>
      <c r="AF363" s="98"/>
      <c r="AG363" s="98"/>
      <c r="AH363" s="98"/>
    </row>
    <row r="364" spans="2:34" x14ac:dyDescent="0.25">
      <c r="B364" s="73"/>
      <c r="C364" s="74"/>
      <c r="D364" s="80"/>
      <c r="E364" s="81"/>
      <c r="F364" s="81"/>
      <c r="G364" s="81"/>
      <c r="H364" s="81"/>
      <c r="I364" s="82"/>
      <c r="J364" s="88"/>
      <c r="K364" s="89"/>
      <c r="L364" s="88"/>
      <c r="M364" s="89"/>
      <c r="N364" s="80"/>
      <c r="O364" s="82"/>
      <c r="P364" s="94"/>
      <c r="Q364" s="95"/>
      <c r="S364" s="99"/>
      <c r="T364" s="99"/>
      <c r="U364" s="99"/>
      <c r="V364" s="99"/>
      <c r="W364" s="99"/>
      <c r="X364" s="99"/>
      <c r="Y364" s="99"/>
      <c r="Z364" s="99"/>
      <c r="AA364" s="99"/>
      <c r="AB364" s="99"/>
      <c r="AC364" s="98"/>
      <c r="AD364" s="98"/>
      <c r="AE364" s="98"/>
      <c r="AF364" s="98"/>
      <c r="AG364" s="98"/>
      <c r="AH364" s="98"/>
    </row>
    <row r="365" spans="2:34" x14ac:dyDescent="0.25">
      <c r="B365" s="75"/>
      <c r="C365" s="76"/>
      <c r="D365" s="83"/>
      <c r="E365" s="84"/>
      <c r="F365" s="84"/>
      <c r="G365" s="84"/>
      <c r="H365" s="84"/>
      <c r="I365" s="85"/>
      <c r="J365" s="90"/>
      <c r="K365" s="91"/>
      <c r="L365" s="90"/>
      <c r="M365" s="91"/>
      <c r="N365" s="83"/>
      <c r="O365" s="85"/>
      <c r="P365" s="96"/>
      <c r="Q365" s="97"/>
      <c r="S365" s="99"/>
      <c r="T365" s="99"/>
      <c r="U365" s="99"/>
      <c r="V365" s="99"/>
      <c r="W365" s="99"/>
      <c r="X365" s="99"/>
      <c r="Y365" s="99"/>
      <c r="Z365" s="99"/>
      <c r="AA365" s="99"/>
      <c r="AB365" s="99"/>
      <c r="AC365" s="98"/>
      <c r="AD365" s="98"/>
      <c r="AE365" s="98"/>
      <c r="AF365" s="98"/>
      <c r="AG365" s="98"/>
      <c r="AH365" s="98"/>
    </row>
    <row r="366" spans="2:34" x14ac:dyDescent="0.25">
      <c r="B366" s="71"/>
      <c r="C366" s="72"/>
      <c r="D366" s="77"/>
      <c r="E366" s="78"/>
      <c r="F366" s="78"/>
      <c r="G366" s="78"/>
      <c r="H366" s="78"/>
      <c r="I366" s="79"/>
      <c r="J366" s="86"/>
      <c r="K366" s="87"/>
      <c r="L366" s="86"/>
      <c r="M366" s="87"/>
      <c r="N366" s="77"/>
      <c r="O366" s="79"/>
      <c r="P366" s="92"/>
      <c r="Q366" s="93"/>
      <c r="S366" s="99"/>
      <c r="T366" s="99"/>
      <c r="U366" s="99"/>
      <c r="V366" s="99"/>
      <c r="W366" s="99"/>
      <c r="X366" s="99"/>
      <c r="Y366" s="99"/>
      <c r="Z366" s="99"/>
      <c r="AA366" s="99"/>
      <c r="AB366" s="99"/>
      <c r="AC366" s="98"/>
      <c r="AD366" s="98"/>
      <c r="AE366" s="98"/>
      <c r="AF366" s="98"/>
      <c r="AG366" s="98"/>
      <c r="AH366" s="98"/>
    </row>
    <row r="367" spans="2:34" x14ac:dyDescent="0.25">
      <c r="B367" s="73"/>
      <c r="C367" s="74"/>
      <c r="D367" s="80"/>
      <c r="E367" s="81"/>
      <c r="F367" s="81"/>
      <c r="G367" s="81"/>
      <c r="H367" s="81"/>
      <c r="I367" s="82"/>
      <c r="J367" s="88"/>
      <c r="K367" s="89"/>
      <c r="L367" s="88"/>
      <c r="M367" s="89"/>
      <c r="N367" s="80"/>
      <c r="O367" s="82"/>
      <c r="P367" s="94"/>
      <c r="Q367" s="95"/>
      <c r="S367" s="99"/>
      <c r="T367" s="99"/>
      <c r="U367" s="99"/>
      <c r="V367" s="99"/>
      <c r="W367" s="99"/>
      <c r="X367" s="99"/>
      <c r="Y367" s="99"/>
      <c r="Z367" s="99"/>
      <c r="AA367" s="99"/>
      <c r="AB367" s="99"/>
      <c r="AC367" s="98"/>
      <c r="AD367" s="98"/>
      <c r="AE367" s="98"/>
      <c r="AF367" s="98"/>
      <c r="AG367" s="98"/>
      <c r="AH367" s="98"/>
    </row>
    <row r="368" spans="2:34" x14ac:dyDescent="0.25">
      <c r="B368" s="75"/>
      <c r="C368" s="76"/>
      <c r="D368" s="83"/>
      <c r="E368" s="84"/>
      <c r="F368" s="84"/>
      <c r="G368" s="84"/>
      <c r="H368" s="84"/>
      <c r="I368" s="85"/>
      <c r="J368" s="90"/>
      <c r="K368" s="91"/>
      <c r="L368" s="90"/>
      <c r="M368" s="91"/>
      <c r="N368" s="83"/>
      <c r="O368" s="85"/>
      <c r="P368" s="96"/>
      <c r="Q368" s="97"/>
      <c r="S368" s="99"/>
      <c r="T368" s="99"/>
      <c r="U368" s="99"/>
      <c r="V368" s="99"/>
      <c r="W368" s="99"/>
      <c r="X368" s="99"/>
      <c r="Y368" s="99"/>
      <c r="Z368" s="99"/>
      <c r="AA368" s="99"/>
      <c r="AB368" s="99"/>
      <c r="AC368" s="98"/>
      <c r="AD368" s="98"/>
      <c r="AE368" s="98"/>
      <c r="AF368" s="98"/>
      <c r="AG368" s="98"/>
      <c r="AH368" s="98"/>
    </row>
    <row r="369" spans="2:34" x14ac:dyDescent="0.25">
      <c r="B369" s="71"/>
      <c r="C369" s="72"/>
      <c r="D369" s="77"/>
      <c r="E369" s="78"/>
      <c r="F369" s="78"/>
      <c r="G369" s="78"/>
      <c r="H369" s="78"/>
      <c r="I369" s="79"/>
      <c r="J369" s="86"/>
      <c r="K369" s="87"/>
      <c r="L369" s="86"/>
      <c r="M369" s="87"/>
      <c r="N369" s="77"/>
      <c r="O369" s="79"/>
      <c r="P369" s="92"/>
      <c r="Q369" s="93"/>
      <c r="S369" s="99"/>
      <c r="T369" s="99"/>
      <c r="U369" s="99"/>
      <c r="V369" s="99"/>
      <c r="W369" s="99"/>
      <c r="X369" s="99"/>
      <c r="Y369" s="99"/>
      <c r="Z369" s="99"/>
      <c r="AA369" s="99"/>
      <c r="AB369" s="99"/>
      <c r="AC369" s="98"/>
      <c r="AD369" s="98"/>
      <c r="AE369" s="98"/>
      <c r="AF369" s="98"/>
      <c r="AG369" s="98"/>
      <c r="AH369" s="98"/>
    </row>
    <row r="370" spans="2:34" x14ac:dyDescent="0.25">
      <c r="B370" s="73"/>
      <c r="C370" s="74"/>
      <c r="D370" s="80"/>
      <c r="E370" s="81"/>
      <c r="F370" s="81"/>
      <c r="G370" s="81"/>
      <c r="H370" s="81"/>
      <c r="I370" s="82"/>
      <c r="J370" s="88"/>
      <c r="K370" s="89"/>
      <c r="L370" s="88"/>
      <c r="M370" s="89"/>
      <c r="N370" s="80"/>
      <c r="O370" s="82"/>
      <c r="P370" s="94"/>
      <c r="Q370" s="95"/>
      <c r="S370" s="99"/>
      <c r="T370" s="99"/>
      <c r="U370" s="99"/>
      <c r="V370" s="99"/>
      <c r="W370" s="99"/>
      <c r="X370" s="99"/>
      <c r="Y370" s="99"/>
      <c r="Z370" s="99"/>
      <c r="AA370" s="99"/>
      <c r="AB370" s="99"/>
      <c r="AC370" s="98"/>
      <c r="AD370" s="98"/>
      <c r="AE370" s="98"/>
      <c r="AF370" s="98"/>
      <c r="AG370" s="98"/>
      <c r="AH370" s="98"/>
    </row>
    <row r="371" spans="2:34" x14ac:dyDescent="0.25">
      <c r="B371" s="75"/>
      <c r="C371" s="76"/>
      <c r="D371" s="83"/>
      <c r="E371" s="84"/>
      <c r="F371" s="84"/>
      <c r="G371" s="84"/>
      <c r="H371" s="84"/>
      <c r="I371" s="85"/>
      <c r="J371" s="90"/>
      <c r="K371" s="91"/>
      <c r="L371" s="90"/>
      <c r="M371" s="91"/>
      <c r="N371" s="83"/>
      <c r="O371" s="85"/>
      <c r="P371" s="96"/>
      <c r="Q371" s="97"/>
      <c r="S371" s="99"/>
      <c r="T371" s="99"/>
      <c r="U371" s="99"/>
      <c r="V371" s="99"/>
      <c r="W371" s="99"/>
      <c r="X371" s="99"/>
      <c r="Y371" s="99"/>
      <c r="Z371" s="99"/>
      <c r="AA371" s="99"/>
      <c r="AB371" s="99"/>
      <c r="AC371" s="98"/>
      <c r="AD371" s="98"/>
      <c r="AE371" s="98"/>
      <c r="AF371" s="98"/>
      <c r="AG371" s="98"/>
      <c r="AH371" s="98"/>
    </row>
    <row r="372" spans="2:34" x14ac:dyDescent="0.25">
      <c r="B372" s="71"/>
      <c r="C372" s="72"/>
      <c r="D372" s="77"/>
      <c r="E372" s="78"/>
      <c r="F372" s="78"/>
      <c r="G372" s="78"/>
      <c r="H372" s="78"/>
      <c r="I372" s="79"/>
      <c r="J372" s="86"/>
      <c r="K372" s="87"/>
      <c r="L372" s="86"/>
      <c r="M372" s="87"/>
      <c r="N372" s="77"/>
      <c r="O372" s="79"/>
      <c r="P372" s="92"/>
      <c r="Q372" s="93"/>
      <c r="S372" s="99"/>
      <c r="T372" s="99"/>
      <c r="U372" s="99"/>
      <c r="V372" s="99"/>
      <c r="W372" s="99"/>
      <c r="X372" s="99"/>
      <c r="Y372" s="99"/>
      <c r="Z372" s="99"/>
      <c r="AA372" s="99"/>
      <c r="AB372" s="99"/>
      <c r="AC372" s="98"/>
      <c r="AD372" s="98"/>
      <c r="AE372" s="98"/>
      <c r="AF372" s="98"/>
      <c r="AG372" s="98"/>
      <c r="AH372" s="98"/>
    </row>
    <row r="373" spans="2:34" x14ac:dyDescent="0.25">
      <c r="B373" s="73"/>
      <c r="C373" s="74"/>
      <c r="D373" s="80"/>
      <c r="E373" s="81"/>
      <c r="F373" s="81"/>
      <c r="G373" s="81"/>
      <c r="H373" s="81"/>
      <c r="I373" s="82"/>
      <c r="J373" s="88"/>
      <c r="K373" s="89"/>
      <c r="L373" s="88"/>
      <c r="M373" s="89"/>
      <c r="N373" s="80"/>
      <c r="O373" s="82"/>
      <c r="P373" s="94"/>
      <c r="Q373" s="95"/>
      <c r="S373" s="99"/>
      <c r="T373" s="99"/>
      <c r="U373" s="99"/>
      <c r="V373" s="99"/>
      <c r="W373" s="99"/>
      <c r="X373" s="99"/>
      <c r="Y373" s="99"/>
      <c r="Z373" s="99"/>
      <c r="AA373" s="99"/>
      <c r="AB373" s="99"/>
      <c r="AC373" s="98"/>
      <c r="AD373" s="98"/>
      <c r="AE373" s="98"/>
      <c r="AF373" s="98"/>
      <c r="AG373" s="98"/>
      <c r="AH373" s="98"/>
    </row>
    <row r="374" spans="2:34" x14ac:dyDescent="0.25">
      <c r="B374" s="75"/>
      <c r="C374" s="76"/>
      <c r="D374" s="83"/>
      <c r="E374" s="84"/>
      <c r="F374" s="84"/>
      <c r="G374" s="84"/>
      <c r="H374" s="84"/>
      <c r="I374" s="85"/>
      <c r="J374" s="90"/>
      <c r="K374" s="91"/>
      <c r="L374" s="90"/>
      <c r="M374" s="91"/>
      <c r="N374" s="83"/>
      <c r="O374" s="85"/>
      <c r="P374" s="96"/>
      <c r="Q374" s="97"/>
      <c r="S374" s="99"/>
      <c r="T374" s="99"/>
      <c r="U374" s="99"/>
      <c r="V374" s="99"/>
      <c r="W374" s="99"/>
      <c r="X374" s="99"/>
      <c r="Y374" s="99"/>
      <c r="Z374" s="99"/>
      <c r="AA374" s="99"/>
      <c r="AB374" s="99"/>
      <c r="AC374" s="98"/>
      <c r="AD374" s="98"/>
      <c r="AE374" s="98"/>
      <c r="AF374" s="98"/>
      <c r="AG374" s="98"/>
      <c r="AH374" s="98"/>
    </row>
    <row r="375" spans="2:34" x14ac:dyDescent="0.25">
      <c r="B375" s="71"/>
      <c r="C375" s="72"/>
      <c r="D375" s="77"/>
      <c r="E375" s="78"/>
      <c r="F375" s="78"/>
      <c r="G375" s="78"/>
      <c r="H375" s="78"/>
      <c r="I375" s="79"/>
      <c r="J375" s="86"/>
      <c r="K375" s="87"/>
      <c r="L375" s="86"/>
      <c r="M375" s="87"/>
      <c r="N375" s="77"/>
      <c r="O375" s="79"/>
      <c r="P375" s="92"/>
      <c r="Q375" s="93"/>
      <c r="S375" s="99"/>
      <c r="T375" s="99"/>
      <c r="U375" s="99"/>
      <c r="V375" s="99"/>
      <c r="W375" s="99"/>
      <c r="X375" s="99"/>
      <c r="Y375" s="99"/>
      <c r="Z375" s="99"/>
      <c r="AA375" s="99"/>
      <c r="AB375" s="99"/>
      <c r="AC375" s="98"/>
      <c r="AD375" s="98"/>
      <c r="AE375" s="98"/>
      <c r="AF375" s="98"/>
      <c r="AG375" s="98"/>
      <c r="AH375" s="98"/>
    </row>
    <row r="376" spans="2:34" x14ac:dyDescent="0.25">
      <c r="B376" s="73"/>
      <c r="C376" s="74"/>
      <c r="D376" s="80"/>
      <c r="E376" s="81"/>
      <c r="F376" s="81"/>
      <c r="G376" s="81"/>
      <c r="H376" s="81"/>
      <c r="I376" s="82"/>
      <c r="J376" s="88"/>
      <c r="K376" s="89"/>
      <c r="L376" s="88"/>
      <c r="M376" s="89"/>
      <c r="N376" s="80"/>
      <c r="O376" s="82"/>
      <c r="P376" s="94"/>
      <c r="Q376" s="95"/>
      <c r="S376" s="99"/>
      <c r="T376" s="99"/>
      <c r="U376" s="99"/>
      <c r="V376" s="99"/>
      <c r="W376" s="99"/>
      <c r="X376" s="99"/>
      <c r="Y376" s="99"/>
      <c r="Z376" s="99"/>
      <c r="AA376" s="99"/>
      <c r="AB376" s="99"/>
      <c r="AC376" s="98"/>
      <c r="AD376" s="98"/>
      <c r="AE376" s="98"/>
      <c r="AF376" s="98"/>
      <c r="AG376" s="98"/>
      <c r="AH376" s="98"/>
    </row>
    <row r="377" spans="2:34" x14ac:dyDescent="0.25">
      <c r="B377" s="75"/>
      <c r="C377" s="76"/>
      <c r="D377" s="83"/>
      <c r="E377" s="84"/>
      <c r="F377" s="84"/>
      <c r="G377" s="84"/>
      <c r="H377" s="84"/>
      <c r="I377" s="85"/>
      <c r="J377" s="90"/>
      <c r="K377" s="91"/>
      <c r="L377" s="90"/>
      <c r="M377" s="91"/>
      <c r="N377" s="83"/>
      <c r="O377" s="85"/>
      <c r="P377" s="96"/>
      <c r="Q377" s="97"/>
      <c r="S377" s="99"/>
      <c r="T377" s="99"/>
      <c r="U377" s="99"/>
      <c r="V377" s="99"/>
      <c r="W377" s="99"/>
      <c r="X377" s="99"/>
      <c r="Y377" s="99"/>
      <c r="Z377" s="99"/>
      <c r="AA377" s="99"/>
      <c r="AB377" s="99"/>
      <c r="AC377" s="98"/>
      <c r="AD377" s="98"/>
      <c r="AE377" s="98"/>
      <c r="AF377" s="98"/>
      <c r="AG377" s="98"/>
      <c r="AH377" s="98"/>
    </row>
    <row r="378" spans="2:34" x14ac:dyDescent="0.25">
      <c r="B378" s="71"/>
      <c r="C378" s="72"/>
      <c r="D378" s="77"/>
      <c r="E378" s="78"/>
      <c r="F378" s="78"/>
      <c r="G378" s="78"/>
      <c r="H378" s="78"/>
      <c r="I378" s="79"/>
      <c r="J378" s="86"/>
      <c r="K378" s="87"/>
      <c r="L378" s="86"/>
      <c r="M378" s="87"/>
      <c r="N378" s="77"/>
      <c r="O378" s="79"/>
      <c r="P378" s="92"/>
      <c r="Q378" s="93"/>
      <c r="S378" s="99"/>
      <c r="T378" s="99"/>
      <c r="U378" s="99"/>
      <c r="V378" s="99"/>
      <c r="W378" s="99"/>
      <c r="X378" s="99"/>
      <c r="Y378" s="99"/>
      <c r="Z378" s="99"/>
      <c r="AA378" s="99"/>
      <c r="AB378" s="99"/>
      <c r="AC378" s="98"/>
      <c r="AD378" s="98"/>
      <c r="AE378" s="98"/>
      <c r="AF378" s="98"/>
      <c r="AG378" s="98"/>
      <c r="AH378" s="98"/>
    </row>
    <row r="379" spans="2:34" x14ac:dyDescent="0.25">
      <c r="B379" s="73"/>
      <c r="C379" s="74"/>
      <c r="D379" s="80"/>
      <c r="E379" s="81"/>
      <c r="F379" s="81"/>
      <c r="G379" s="81"/>
      <c r="H379" s="81"/>
      <c r="I379" s="82"/>
      <c r="J379" s="88"/>
      <c r="K379" s="89"/>
      <c r="L379" s="88"/>
      <c r="M379" s="89"/>
      <c r="N379" s="80"/>
      <c r="O379" s="82"/>
      <c r="P379" s="94"/>
      <c r="Q379" s="95"/>
      <c r="S379" s="99"/>
      <c r="T379" s="99"/>
      <c r="U379" s="99"/>
      <c r="V379" s="99"/>
      <c r="W379" s="99"/>
      <c r="X379" s="99"/>
      <c r="Y379" s="99"/>
      <c r="Z379" s="99"/>
      <c r="AA379" s="99"/>
      <c r="AB379" s="99"/>
      <c r="AC379" s="98"/>
      <c r="AD379" s="98"/>
      <c r="AE379" s="98"/>
      <c r="AF379" s="98"/>
      <c r="AG379" s="98"/>
      <c r="AH379" s="98"/>
    </row>
    <row r="380" spans="2:34" x14ac:dyDescent="0.25">
      <c r="B380" s="75"/>
      <c r="C380" s="76"/>
      <c r="D380" s="83"/>
      <c r="E380" s="84"/>
      <c r="F380" s="84"/>
      <c r="G380" s="84"/>
      <c r="H380" s="84"/>
      <c r="I380" s="85"/>
      <c r="J380" s="90"/>
      <c r="K380" s="91"/>
      <c r="L380" s="90"/>
      <c r="M380" s="91"/>
      <c r="N380" s="83"/>
      <c r="O380" s="85"/>
      <c r="P380" s="96"/>
      <c r="Q380" s="97"/>
      <c r="S380" s="99"/>
      <c r="T380" s="99"/>
      <c r="U380" s="99"/>
      <c r="V380" s="99"/>
      <c r="W380" s="99"/>
      <c r="X380" s="99"/>
      <c r="Y380" s="99"/>
      <c r="Z380" s="99"/>
      <c r="AA380" s="99"/>
      <c r="AB380" s="99"/>
      <c r="AC380" s="98"/>
      <c r="AD380" s="98"/>
      <c r="AE380" s="98"/>
      <c r="AF380" s="98"/>
      <c r="AG380" s="98"/>
      <c r="AH380" s="98"/>
    </row>
    <row r="381" spans="2:34" x14ac:dyDescent="0.25">
      <c r="B381" s="71"/>
      <c r="C381" s="72"/>
      <c r="D381" s="77"/>
      <c r="E381" s="78"/>
      <c r="F381" s="78"/>
      <c r="G381" s="78"/>
      <c r="H381" s="78"/>
      <c r="I381" s="79"/>
      <c r="J381" s="86"/>
      <c r="K381" s="87"/>
      <c r="L381" s="86"/>
      <c r="M381" s="87"/>
      <c r="N381" s="77"/>
      <c r="O381" s="79"/>
      <c r="P381" s="92"/>
      <c r="Q381" s="93"/>
      <c r="S381" s="99"/>
      <c r="T381" s="99"/>
      <c r="U381" s="99"/>
      <c r="V381" s="99"/>
      <c r="W381" s="99"/>
      <c r="X381" s="99"/>
      <c r="Y381" s="99"/>
      <c r="Z381" s="99"/>
      <c r="AA381" s="99"/>
      <c r="AB381" s="99"/>
      <c r="AC381" s="98"/>
      <c r="AD381" s="98"/>
      <c r="AE381" s="98"/>
      <c r="AF381" s="98"/>
      <c r="AG381" s="98"/>
      <c r="AH381" s="98"/>
    </row>
    <row r="382" spans="2:34" x14ac:dyDescent="0.25">
      <c r="B382" s="73"/>
      <c r="C382" s="74"/>
      <c r="D382" s="80"/>
      <c r="E382" s="81"/>
      <c r="F382" s="81"/>
      <c r="G382" s="81"/>
      <c r="H382" s="81"/>
      <c r="I382" s="82"/>
      <c r="J382" s="88"/>
      <c r="K382" s="89"/>
      <c r="L382" s="88"/>
      <c r="M382" s="89"/>
      <c r="N382" s="80"/>
      <c r="O382" s="82"/>
      <c r="P382" s="94"/>
      <c r="Q382" s="95"/>
      <c r="S382" s="99"/>
      <c r="T382" s="99"/>
      <c r="U382" s="99"/>
      <c r="V382" s="99"/>
      <c r="W382" s="99"/>
      <c r="X382" s="99"/>
      <c r="Y382" s="99"/>
      <c r="Z382" s="99"/>
      <c r="AA382" s="99"/>
      <c r="AB382" s="99"/>
      <c r="AC382" s="98"/>
      <c r="AD382" s="98"/>
      <c r="AE382" s="98"/>
      <c r="AF382" s="98"/>
      <c r="AG382" s="98"/>
      <c r="AH382" s="98"/>
    </row>
    <row r="383" spans="2:34" x14ac:dyDescent="0.25">
      <c r="B383" s="75"/>
      <c r="C383" s="76"/>
      <c r="D383" s="83"/>
      <c r="E383" s="84"/>
      <c r="F383" s="84"/>
      <c r="G383" s="84"/>
      <c r="H383" s="84"/>
      <c r="I383" s="85"/>
      <c r="J383" s="90"/>
      <c r="K383" s="91"/>
      <c r="L383" s="90"/>
      <c r="M383" s="91"/>
      <c r="N383" s="83"/>
      <c r="O383" s="85"/>
      <c r="P383" s="96"/>
      <c r="Q383" s="97"/>
      <c r="S383" s="99"/>
      <c r="T383" s="99"/>
      <c r="U383" s="99"/>
      <c r="V383" s="99"/>
      <c r="W383" s="99"/>
      <c r="X383" s="99"/>
      <c r="Y383" s="99"/>
      <c r="Z383" s="99"/>
      <c r="AA383" s="99"/>
      <c r="AB383" s="99"/>
      <c r="AC383" s="98"/>
      <c r="AD383" s="98"/>
      <c r="AE383" s="98"/>
      <c r="AF383" s="98"/>
      <c r="AG383" s="98"/>
      <c r="AH383" s="98"/>
    </row>
    <row r="384" spans="2:34" x14ac:dyDescent="0.25">
      <c r="B384" s="71"/>
      <c r="C384" s="72"/>
      <c r="D384" s="77"/>
      <c r="E384" s="78"/>
      <c r="F384" s="78"/>
      <c r="G384" s="78"/>
      <c r="H384" s="78"/>
      <c r="I384" s="79"/>
      <c r="J384" s="86"/>
      <c r="K384" s="87"/>
      <c r="L384" s="86"/>
      <c r="M384" s="87"/>
      <c r="N384" s="77"/>
      <c r="O384" s="79"/>
      <c r="P384" s="92"/>
      <c r="Q384" s="93"/>
      <c r="S384" s="99"/>
      <c r="T384" s="99"/>
      <c r="U384" s="99"/>
      <c r="V384" s="99"/>
      <c r="W384" s="99"/>
      <c r="X384" s="99"/>
      <c r="Y384" s="99"/>
      <c r="Z384" s="99"/>
      <c r="AA384" s="99"/>
      <c r="AB384" s="99"/>
      <c r="AC384" s="98"/>
      <c r="AD384" s="98"/>
      <c r="AE384" s="98"/>
      <c r="AF384" s="98"/>
      <c r="AG384" s="98"/>
      <c r="AH384" s="98"/>
    </row>
    <row r="385" spans="2:34" x14ac:dyDescent="0.25">
      <c r="B385" s="73"/>
      <c r="C385" s="74"/>
      <c r="D385" s="80"/>
      <c r="E385" s="81"/>
      <c r="F385" s="81"/>
      <c r="G385" s="81"/>
      <c r="H385" s="81"/>
      <c r="I385" s="82"/>
      <c r="J385" s="88"/>
      <c r="K385" s="89"/>
      <c r="L385" s="88"/>
      <c r="M385" s="89"/>
      <c r="N385" s="80"/>
      <c r="O385" s="82"/>
      <c r="P385" s="94"/>
      <c r="Q385" s="95"/>
      <c r="S385" s="99"/>
      <c r="T385" s="99"/>
      <c r="U385" s="99"/>
      <c r="V385" s="99"/>
      <c r="W385" s="99"/>
      <c r="X385" s="99"/>
      <c r="Y385" s="99"/>
      <c r="Z385" s="99"/>
      <c r="AA385" s="99"/>
      <c r="AB385" s="99"/>
      <c r="AC385" s="98"/>
      <c r="AD385" s="98"/>
      <c r="AE385" s="98"/>
      <c r="AF385" s="98"/>
      <c r="AG385" s="98"/>
      <c r="AH385" s="98"/>
    </row>
    <row r="386" spans="2:34" x14ac:dyDescent="0.25">
      <c r="B386" s="75"/>
      <c r="C386" s="76"/>
      <c r="D386" s="83"/>
      <c r="E386" s="84"/>
      <c r="F386" s="84"/>
      <c r="G386" s="84"/>
      <c r="H386" s="84"/>
      <c r="I386" s="85"/>
      <c r="J386" s="90"/>
      <c r="K386" s="91"/>
      <c r="L386" s="90"/>
      <c r="M386" s="91"/>
      <c r="N386" s="83"/>
      <c r="O386" s="85"/>
      <c r="P386" s="96"/>
      <c r="Q386" s="97"/>
      <c r="S386" s="99"/>
      <c r="T386" s="99"/>
      <c r="U386" s="99"/>
      <c r="V386" s="99"/>
      <c r="W386" s="99"/>
      <c r="X386" s="99"/>
      <c r="Y386" s="99"/>
      <c r="Z386" s="99"/>
      <c r="AA386" s="99"/>
      <c r="AB386" s="99"/>
      <c r="AC386" s="98"/>
      <c r="AD386" s="98"/>
      <c r="AE386" s="98"/>
      <c r="AF386" s="98"/>
      <c r="AG386" s="98"/>
      <c r="AH386" s="98"/>
    </row>
    <row r="387" spans="2:34" x14ac:dyDescent="0.25">
      <c r="B387" s="71"/>
      <c r="C387" s="72"/>
      <c r="D387" s="77"/>
      <c r="E387" s="78"/>
      <c r="F387" s="78"/>
      <c r="G387" s="78"/>
      <c r="H387" s="78"/>
      <c r="I387" s="79"/>
      <c r="J387" s="86"/>
      <c r="K387" s="87"/>
      <c r="L387" s="86"/>
      <c r="M387" s="87"/>
      <c r="N387" s="77"/>
      <c r="O387" s="79"/>
      <c r="P387" s="92"/>
      <c r="Q387" s="93"/>
      <c r="S387" s="99"/>
      <c r="T387" s="99"/>
      <c r="U387" s="99"/>
      <c r="V387" s="99"/>
      <c r="W387" s="99"/>
      <c r="X387" s="99"/>
      <c r="Y387" s="99"/>
      <c r="Z387" s="99"/>
      <c r="AA387" s="99"/>
      <c r="AB387" s="99"/>
      <c r="AC387" s="98"/>
      <c r="AD387" s="98"/>
      <c r="AE387" s="98"/>
      <c r="AF387" s="98"/>
      <c r="AG387" s="98"/>
      <c r="AH387" s="98"/>
    </row>
    <row r="388" spans="2:34" x14ac:dyDescent="0.25">
      <c r="B388" s="73"/>
      <c r="C388" s="74"/>
      <c r="D388" s="80"/>
      <c r="E388" s="81"/>
      <c r="F388" s="81"/>
      <c r="G388" s="81"/>
      <c r="H388" s="81"/>
      <c r="I388" s="82"/>
      <c r="J388" s="88"/>
      <c r="K388" s="89"/>
      <c r="L388" s="88"/>
      <c r="M388" s="89"/>
      <c r="N388" s="80"/>
      <c r="O388" s="82"/>
      <c r="P388" s="94"/>
      <c r="Q388" s="95"/>
      <c r="S388" s="99"/>
      <c r="T388" s="99"/>
      <c r="U388" s="99"/>
      <c r="V388" s="99"/>
      <c r="W388" s="99"/>
      <c r="X388" s="99"/>
      <c r="Y388" s="99"/>
      <c r="Z388" s="99"/>
      <c r="AA388" s="99"/>
      <c r="AB388" s="99"/>
      <c r="AC388" s="98"/>
      <c r="AD388" s="98"/>
      <c r="AE388" s="98"/>
      <c r="AF388" s="98"/>
      <c r="AG388" s="98"/>
      <c r="AH388" s="98"/>
    </row>
    <row r="389" spans="2:34" x14ac:dyDescent="0.25">
      <c r="B389" s="75"/>
      <c r="C389" s="76"/>
      <c r="D389" s="83"/>
      <c r="E389" s="84"/>
      <c r="F389" s="84"/>
      <c r="G389" s="84"/>
      <c r="H389" s="84"/>
      <c r="I389" s="85"/>
      <c r="J389" s="90"/>
      <c r="K389" s="91"/>
      <c r="L389" s="90"/>
      <c r="M389" s="91"/>
      <c r="N389" s="83"/>
      <c r="O389" s="85"/>
      <c r="P389" s="96"/>
      <c r="Q389" s="97"/>
      <c r="S389" s="99"/>
      <c r="T389" s="99"/>
      <c r="U389" s="99"/>
      <c r="V389" s="99"/>
      <c r="W389" s="99"/>
      <c r="X389" s="99"/>
      <c r="Y389" s="99"/>
      <c r="Z389" s="99"/>
      <c r="AA389" s="99"/>
      <c r="AB389" s="99"/>
      <c r="AC389" s="98"/>
      <c r="AD389" s="98"/>
      <c r="AE389" s="98"/>
      <c r="AF389" s="98"/>
      <c r="AG389" s="98"/>
      <c r="AH389" s="98"/>
    </row>
    <row r="390" spans="2:34" x14ac:dyDescent="0.25">
      <c r="B390" s="71"/>
      <c r="C390" s="72"/>
      <c r="D390" s="77"/>
      <c r="E390" s="78"/>
      <c r="F390" s="78"/>
      <c r="G390" s="78"/>
      <c r="H390" s="78"/>
      <c r="I390" s="79"/>
      <c r="J390" s="86"/>
      <c r="K390" s="87"/>
      <c r="L390" s="86"/>
      <c r="M390" s="87"/>
      <c r="N390" s="77"/>
      <c r="O390" s="79"/>
      <c r="P390" s="92"/>
      <c r="Q390" s="93"/>
      <c r="S390" s="99"/>
      <c r="T390" s="99"/>
      <c r="U390" s="99"/>
      <c r="V390" s="99"/>
      <c r="W390" s="99"/>
      <c r="X390" s="99"/>
      <c r="Y390" s="99"/>
      <c r="Z390" s="99"/>
      <c r="AA390" s="99"/>
      <c r="AB390" s="99"/>
      <c r="AC390" s="98"/>
      <c r="AD390" s="98"/>
      <c r="AE390" s="98"/>
      <c r="AF390" s="98"/>
      <c r="AG390" s="98"/>
      <c r="AH390" s="98"/>
    </row>
    <row r="391" spans="2:34" x14ac:dyDescent="0.25">
      <c r="B391" s="73"/>
      <c r="C391" s="74"/>
      <c r="D391" s="80"/>
      <c r="E391" s="81"/>
      <c r="F391" s="81"/>
      <c r="G391" s="81"/>
      <c r="H391" s="81"/>
      <c r="I391" s="82"/>
      <c r="J391" s="88"/>
      <c r="K391" s="89"/>
      <c r="L391" s="88"/>
      <c r="M391" s="89"/>
      <c r="N391" s="80"/>
      <c r="O391" s="82"/>
      <c r="P391" s="94"/>
      <c r="Q391" s="95"/>
      <c r="S391" s="99"/>
      <c r="T391" s="99"/>
      <c r="U391" s="99"/>
      <c r="V391" s="99"/>
      <c r="W391" s="99"/>
      <c r="X391" s="99"/>
      <c r="Y391" s="99"/>
      <c r="Z391" s="99"/>
      <c r="AA391" s="99"/>
      <c r="AB391" s="99"/>
      <c r="AC391" s="98"/>
      <c r="AD391" s="98"/>
      <c r="AE391" s="98"/>
      <c r="AF391" s="98"/>
      <c r="AG391" s="98"/>
      <c r="AH391" s="98"/>
    </row>
    <row r="392" spans="2:34" x14ac:dyDescent="0.25">
      <c r="B392" s="75"/>
      <c r="C392" s="76"/>
      <c r="D392" s="83"/>
      <c r="E392" s="84"/>
      <c r="F392" s="84"/>
      <c r="G392" s="84"/>
      <c r="H392" s="84"/>
      <c r="I392" s="85"/>
      <c r="J392" s="90"/>
      <c r="K392" s="91"/>
      <c r="L392" s="90"/>
      <c r="M392" s="91"/>
      <c r="N392" s="83"/>
      <c r="O392" s="85"/>
      <c r="P392" s="96"/>
      <c r="Q392" s="97"/>
      <c r="S392" s="99"/>
      <c r="T392" s="99"/>
      <c r="U392" s="99"/>
      <c r="V392" s="99"/>
      <c r="W392" s="99"/>
      <c r="X392" s="99"/>
      <c r="Y392" s="99"/>
      <c r="Z392" s="99"/>
      <c r="AA392" s="99"/>
      <c r="AB392" s="99"/>
      <c r="AC392" s="98"/>
      <c r="AD392" s="98"/>
      <c r="AE392" s="98"/>
      <c r="AF392" s="98"/>
      <c r="AG392" s="98"/>
      <c r="AH392" s="98"/>
    </row>
    <row r="393" spans="2:34" x14ac:dyDescent="0.25">
      <c r="B393" s="71"/>
      <c r="C393" s="72"/>
      <c r="D393" s="77"/>
      <c r="E393" s="78"/>
      <c r="F393" s="78"/>
      <c r="G393" s="78"/>
      <c r="H393" s="78"/>
      <c r="I393" s="79"/>
      <c r="J393" s="86"/>
      <c r="K393" s="87"/>
      <c r="L393" s="86"/>
      <c r="M393" s="87"/>
      <c r="N393" s="77"/>
      <c r="O393" s="79"/>
      <c r="P393" s="92"/>
      <c r="Q393" s="93"/>
      <c r="S393" s="99"/>
      <c r="T393" s="99"/>
      <c r="U393" s="99"/>
      <c r="V393" s="99"/>
      <c r="W393" s="99"/>
      <c r="X393" s="99"/>
      <c r="Y393" s="99"/>
      <c r="Z393" s="99"/>
      <c r="AA393" s="99"/>
      <c r="AB393" s="99"/>
      <c r="AC393" s="98"/>
      <c r="AD393" s="98"/>
      <c r="AE393" s="98"/>
      <c r="AF393" s="98"/>
      <c r="AG393" s="98"/>
      <c r="AH393" s="98"/>
    </row>
    <row r="394" spans="2:34" x14ac:dyDescent="0.25">
      <c r="B394" s="73"/>
      <c r="C394" s="74"/>
      <c r="D394" s="80"/>
      <c r="E394" s="81"/>
      <c r="F394" s="81"/>
      <c r="G394" s="81"/>
      <c r="H394" s="81"/>
      <c r="I394" s="82"/>
      <c r="J394" s="88"/>
      <c r="K394" s="89"/>
      <c r="L394" s="88"/>
      <c r="M394" s="89"/>
      <c r="N394" s="80"/>
      <c r="O394" s="82"/>
      <c r="P394" s="94"/>
      <c r="Q394" s="95"/>
      <c r="S394" s="99"/>
      <c r="T394" s="99"/>
      <c r="U394" s="99"/>
      <c r="V394" s="99"/>
      <c r="W394" s="99"/>
      <c r="X394" s="99"/>
      <c r="Y394" s="99"/>
      <c r="Z394" s="99"/>
      <c r="AA394" s="99"/>
      <c r="AB394" s="99"/>
      <c r="AC394" s="98"/>
      <c r="AD394" s="98"/>
      <c r="AE394" s="98"/>
      <c r="AF394" s="98"/>
      <c r="AG394" s="98"/>
      <c r="AH394" s="98"/>
    </row>
    <row r="395" spans="2:34" x14ac:dyDescent="0.25">
      <c r="B395" s="75"/>
      <c r="C395" s="76"/>
      <c r="D395" s="83"/>
      <c r="E395" s="84"/>
      <c r="F395" s="84"/>
      <c r="G395" s="84"/>
      <c r="H395" s="84"/>
      <c r="I395" s="85"/>
      <c r="J395" s="90"/>
      <c r="K395" s="91"/>
      <c r="L395" s="90"/>
      <c r="M395" s="91"/>
      <c r="N395" s="83"/>
      <c r="O395" s="85"/>
      <c r="P395" s="96"/>
      <c r="Q395" s="97"/>
      <c r="S395" s="99"/>
      <c r="T395" s="99"/>
      <c r="U395" s="99"/>
      <c r="V395" s="99"/>
      <c r="W395" s="99"/>
      <c r="X395" s="99"/>
      <c r="Y395" s="99"/>
      <c r="Z395" s="99"/>
      <c r="AA395" s="99"/>
      <c r="AB395" s="99"/>
      <c r="AC395" s="98"/>
      <c r="AD395" s="98"/>
      <c r="AE395" s="98"/>
      <c r="AF395" s="98"/>
      <c r="AG395" s="98"/>
      <c r="AH395" s="98"/>
    </row>
    <row r="396" spans="2:34" x14ac:dyDescent="0.25">
      <c r="B396" s="71"/>
      <c r="C396" s="72"/>
      <c r="D396" s="77"/>
      <c r="E396" s="78"/>
      <c r="F396" s="78"/>
      <c r="G396" s="78"/>
      <c r="H396" s="78"/>
      <c r="I396" s="79"/>
      <c r="J396" s="86"/>
      <c r="K396" s="87"/>
      <c r="L396" s="86"/>
      <c r="M396" s="87"/>
      <c r="N396" s="77"/>
      <c r="O396" s="79"/>
      <c r="P396" s="92"/>
      <c r="Q396" s="93"/>
      <c r="S396" s="99"/>
      <c r="T396" s="99"/>
      <c r="U396" s="99"/>
      <c r="V396" s="99"/>
      <c r="W396" s="99"/>
      <c r="X396" s="99"/>
      <c r="Y396" s="99"/>
      <c r="Z396" s="99"/>
      <c r="AA396" s="99"/>
      <c r="AB396" s="99"/>
      <c r="AC396" s="98"/>
      <c r="AD396" s="98"/>
      <c r="AE396" s="98"/>
      <c r="AF396" s="98"/>
      <c r="AG396" s="98"/>
      <c r="AH396" s="98"/>
    </row>
    <row r="397" spans="2:34" x14ac:dyDescent="0.25">
      <c r="B397" s="73"/>
      <c r="C397" s="74"/>
      <c r="D397" s="80"/>
      <c r="E397" s="81"/>
      <c r="F397" s="81"/>
      <c r="G397" s="81"/>
      <c r="H397" s="81"/>
      <c r="I397" s="82"/>
      <c r="J397" s="88"/>
      <c r="K397" s="89"/>
      <c r="L397" s="88"/>
      <c r="M397" s="89"/>
      <c r="N397" s="80"/>
      <c r="O397" s="82"/>
      <c r="P397" s="94"/>
      <c r="Q397" s="95"/>
      <c r="S397" s="99"/>
      <c r="T397" s="99"/>
      <c r="U397" s="99"/>
      <c r="V397" s="99"/>
      <c r="W397" s="99"/>
      <c r="X397" s="99"/>
      <c r="Y397" s="99"/>
      <c r="Z397" s="99"/>
      <c r="AA397" s="99"/>
      <c r="AB397" s="99"/>
      <c r="AC397" s="98"/>
      <c r="AD397" s="98"/>
      <c r="AE397" s="98"/>
      <c r="AF397" s="98"/>
      <c r="AG397" s="98"/>
      <c r="AH397" s="98"/>
    </row>
    <row r="398" spans="2:34" x14ac:dyDescent="0.25">
      <c r="B398" s="75"/>
      <c r="C398" s="76"/>
      <c r="D398" s="83"/>
      <c r="E398" s="84"/>
      <c r="F398" s="84"/>
      <c r="G398" s="84"/>
      <c r="H398" s="84"/>
      <c r="I398" s="85"/>
      <c r="J398" s="90"/>
      <c r="K398" s="91"/>
      <c r="L398" s="90"/>
      <c r="M398" s="91"/>
      <c r="N398" s="83"/>
      <c r="O398" s="85"/>
      <c r="P398" s="96"/>
      <c r="Q398" s="97"/>
      <c r="S398" s="99"/>
      <c r="T398" s="99"/>
      <c r="U398" s="99"/>
      <c r="V398" s="99"/>
      <c r="W398" s="99"/>
      <c r="X398" s="99"/>
      <c r="Y398" s="99"/>
      <c r="Z398" s="99"/>
      <c r="AA398" s="99"/>
      <c r="AB398" s="99"/>
      <c r="AC398" s="98"/>
      <c r="AD398" s="98"/>
      <c r="AE398" s="98"/>
      <c r="AF398" s="98"/>
      <c r="AG398" s="98"/>
      <c r="AH398" s="98"/>
    </row>
    <row r="399" spans="2:34" x14ac:dyDescent="0.25">
      <c r="B399" s="71"/>
      <c r="C399" s="72"/>
      <c r="D399" s="77"/>
      <c r="E399" s="78"/>
      <c r="F399" s="78"/>
      <c r="G399" s="78"/>
      <c r="H399" s="78"/>
      <c r="I399" s="79"/>
      <c r="J399" s="86"/>
      <c r="K399" s="87"/>
      <c r="L399" s="86"/>
      <c r="M399" s="87"/>
      <c r="N399" s="77"/>
      <c r="O399" s="79"/>
      <c r="P399" s="92"/>
      <c r="Q399" s="93"/>
      <c r="S399" s="99"/>
      <c r="T399" s="99"/>
      <c r="U399" s="99"/>
      <c r="V399" s="99"/>
      <c r="W399" s="99"/>
      <c r="X399" s="99"/>
      <c r="Y399" s="99"/>
      <c r="Z399" s="99"/>
      <c r="AA399" s="99"/>
      <c r="AB399" s="99"/>
      <c r="AC399" s="98"/>
      <c r="AD399" s="98"/>
      <c r="AE399" s="98"/>
      <c r="AF399" s="98"/>
      <c r="AG399" s="98"/>
      <c r="AH399" s="98"/>
    </row>
    <row r="400" spans="2:34" x14ac:dyDescent="0.25">
      <c r="B400" s="73"/>
      <c r="C400" s="74"/>
      <c r="D400" s="80"/>
      <c r="E400" s="81"/>
      <c r="F400" s="81"/>
      <c r="G400" s="81"/>
      <c r="H400" s="81"/>
      <c r="I400" s="82"/>
      <c r="J400" s="88"/>
      <c r="K400" s="89"/>
      <c r="L400" s="88"/>
      <c r="M400" s="89"/>
      <c r="N400" s="80"/>
      <c r="O400" s="82"/>
      <c r="P400" s="94"/>
      <c r="Q400" s="95"/>
      <c r="S400" s="99"/>
      <c r="T400" s="99"/>
      <c r="U400" s="99"/>
      <c r="V400" s="99"/>
      <c r="W400" s="99"/>
      <c r="X400" s="99"/>
      <c r="Y400" s="99"/>
      <c r="Z400" s="99"/>
      <c r="AA400" s="99"/>
      <c r="AB400" s="99"/>
      <c r="AC400" s="98"/>
      <c r="AD400" s="98"/>
      <c r="AE400" s="98"/>
      <c r="AF400" s="98"/>
      <c r="AG400" s="98"/>
      <c r="AH400" s="98"/>
    </row>
    <row r="401" spans="2:34" x14ac:dyDescent="0.25">
      <c r="B401" s="75"/>
      <c r="C401" s="76"/>
      <c r="D401" s="83"/>
      <c r="E401" s="84"/>
      <c r="F401" s="84"/>
      <c r="G401" s="84"/>
      <c r="H401" s="84"/>
      <c r="I401" s="85"/>
      <c r="J401" s="90"/>
      <c r="K401" s="91"/>
      <c r="L401" s="90"/>
      <c r="M401" s="91"/>
      <c r="N401" s="83"/>
      <c r="O401" s="85"/>
      <c r="P401" s="96"/>
      <c r="Q401" s="97"/>
      <c r="S401" s="99"/>
      <c r="T401" s="99"/>
      <c r="U401" s="99"/>
      <c r="V401" s="99"/>
      <c r="W401" s="99"/>
      <c r="X401" s="99"/>
      <c r="Y401" s="99"/>
      <c r="Z401" s="99"/>
      <c r="AA401" s="99"/>
      <c r="AB401" s="99"/>
      <c r="AC401" s="98"/>
      <c r="AD401" s="98"/>
      <c r="AE401" s="98"/>
      <c r="AF401" s="98"/>
      <c r="AG401" s="98"/>
      <c r="AH401" s="98"/>
    </row>
    <row r="402" spans="2:34" x14ac:dyDescent="0.25">
      <c r="B402" s="71"/>
      <c r="C402" s="72"/>
      <c r="D402" s="77"/>
      <c r="E402" s="78"/>
      <c r="F402" s="78"/>
      <c r="G402" s="78"/>
      <c r="H402" s="78"/>
      <c r="I402" s="79"/>
      <c r="J402" s="86"/>
      <c r="K402" s="87"/>
      <c r="L402" s="86"/>
      <c r="M402" s="87"/>
      <c r="N402" s="77"/>
      <c r="O402" s="79"/>
      <c r="P402" s="92"/>
      <c r="Q402" s="93"/>
      <c r="S402" s="99"/>
      <c r="T402" s="99"/>
      <c r="U402" s="99"/>
      <c r="V402" s="99"/>
      <c r="W402" s="99"/>
      <c r="X402" s="99"/>
      <c r="Y402" s="99"/>
      <c r="Z402" s="99"/>
      <c r="AA402" s="99"/>
      <c r="AB402" s="99"/>
      <c r="AC402" s="98"/>
      <c r="AD402" s="98"/>
      <c r="AE402" s="98"/>
      <c r="AF402" s="98"/>
      <c r="AG402" s="98"/>
      <c r="AH402" s="98"/>
    </row>
    <row r="403" spans="2:34" x14ac:dyDescent="0.25">
      <c r="B403" s="73"/>
      <c r="C403" s="74"/>
      <c r="D403" s="80"/>
      <c r="E403" s="81"/>
      <c r="F403" s="81"/>
      <c r="G403" s="81"/>
      <c r="H403" s="81"/>
      <c r="I403" s="82"/>
      <c r="J403" s="88"/>
      <c r="K403" s="89"/>
      <c r="L403" s="88"/>
      <c r="M403" s="89"/>
      <c r="N403" s="80"/>
      <c r="O403" s="82"/>
      <c r="P403" s="94"/>
      <c r="Q403" s="95"/>
      <c r="S403" s="99"/>
      <c r="T403" s="99"/>
      <c r="U403" s="99"/>
      <c r="V403" s="99"/>
      <c r="W403" s="99"/>
      <c r="X403" s="99"/>
      <c r="Y403" s="99"/>
      <c r="Z403" s="99"/>
      <c r="AA403" s="99"/>
      <c r="AB403" s="99"/>
      <c r="AC403" s="98"/>
      <c r="AD403" s="98"/>
      <c r="AE403" s="98"/>
      <c r="AF403" s="98"/>
      <c r="AG403" s="98"/>
      <c r="AH403" s="98"/>
    </row>
    <row r="404" spans="2:34" x14ac:dyDescent="0.25">
      <c r="B404" s="75"/>
      <c r="C404" s="76"/>
      <c r="D404" s="83"/>
      <c r="E404" s="84"/>
      <c r="F404" s="84"/>
      <c r="G404" s="84"/>
      <c r="H404" s="84"/>
      <c r="I404" s="85"/>
      <c r="J404" s="90"/>
      <c r="K404" s="91"/>
      <c r="L404" s="90"/>
      <c r="M404" s="91"/>
      <c r="N404" s="83"/>
      <c r="O404" s="85"/>
      <c r="P404" s="96"/>
      <c r="Q404" s="97"/>
      <c r="S404" s="99"/>
      <c r="T404" s="99"/>
      <c r="U404" s="99"/>
      <c r="V404" s="99"/>
      <c r="W404" s="99"/>
      <c r="X404" s="99"/>
      <c r="Y404" s="99"/>
      <c r="Z404" s="99"/>
      <c r="AA404" s="99"/>
      <c r="AB404" s="99"/>
      <c r="AC404" s="98"/>
      <c r="AD404" s="98"/>
      <c r="AE404" s="98"/>
      <c r="AF404" s="98"/>
      <c r="AG404" s="98"/>
      <c r="AH404" s="98"/>
    </row>
    <row r="405" spans="2:34" x14ac:dyDescent="0.25">
      <c r="B405" s="71"/>
      <c r="C405" s="72"/>
      <c r="D405" s="77"/>
      <c r="E405" s="78"/>
      <c r="F405" s="78"/>
      <c r="G405" s="78"/>
      <c r="H405" s="78"/>
      <c r="I405" s="79"/>
      <c r="J405" s="86"/>
      <c r="K405" s="87"/>
      <c r="L405" s="86"/>
      <c r="M405" s="87"/>
      <c r="N405" s="77"/>
      <c r="O405" s="79"/>
      <c r="P405" s="92"/>
      <c r="Q405" s="93"/>
      <c r="S405" s="99"/>
      <c r="T405" s="99"/>
      <c r="U405" s="99"/>
      <c r="V405" s="99"/>
      <c r="W405" s="99"/>
      <c r="X405" s="99"/>
      <c r="Y405" s="99"/>
      <c r="Z405" s="99"/>
      <c r="AA405" s="99"/>
      <c r="AB405" s="99"/>
      <c r="AC405" s="98"/>
      <c r="AD405" s="98"/>
      <c r="AE405" s="98"/>
      <c r="AF405" s="98"/>
      <c r="AG405" s="98"/>
      <c r="AH405" s="98"/>
    </row>
    <row r="406" spans="2:34" x14ac:dyDescent="0.25">
      <c r="B406" s="73"/>
      <c r="C406" s="74"/>
      <c r="D406" s="80"/>
      <c r="E406" s="81"/>
      <c r="F406" s="81"/>
      <c r="G406" s="81"/>
      <c r="H406" s="81"/>
      <c r="I406" s="82"/>
      <c r="J406" s="88"/>
      <c r="K406" s="89"/>
      <c r="L406" s="88"/>
      <c r="M406" s="89"/>
      <c r="N406" s="80"/>
      <c r="O406" s="82"/>
      <c r="P406" s="94"/>
      <c r="Q406" s="95"/>
      <c r="S406" s="99"/>
      <c r="T406" s="99"/>
      <c r="U406" s="99"/>
      <c r="V406" s="99"/>
      <c r="W406" s="99"/>
      <c r="X406" s="99"/>
      <c r="Y406" s="99"/>
      <c r="Z406" s="99"/>
      <c r="AA406" s="99"/>
      <c r="AB406" s="99"/>
      <c r="AC406" s="98"/>
      <c r="AD406" s="98"/>
      <c r="AE406" s="98"/>
      <c r="AF406" s="98"/>
      <c r="AG406" s="98"/>
      <c r="AH406" s="98"/>
    </row>
    <row r="407" spans="2:34" x14ac:dyDescent="0.25">
      <c r="B407" s="75"/>
      <c r="C407" s="76"/>
      <c r="D407" s="83"/>
      <c r="E407" s="84"/>
      <c r="F407" s="84"/>
      <c r="G407" s="84"/>
      <c r="H407" s="84"/>
      <c r="I407" s="85"/>
      <c r="J407" s="90"/>
      <c r="K407" s="91"/>
      <c r="L407" s="90"/>
      <c r="M407" s="91"/>
      <c r="N407" s="83"/>
      <c r="O407" s="85"/>
      <c r="P407" s="96"/>
      <c r="Q407" s="97"/>
      <c r="S407" s="99"/>
      <c r="T407" s="99"/>
      <c r="U407" s="99"/>
      <c r="V407" s="99"/>
      <c r="W407" s="99"/>
      <c r="X407" s="99"/>
      <c r="Y407" s="99"/>
      <c r="Z407" s="99"/>
      <c r="AA407" s="99"/>
      <c r="AB407" s="99"/>
      <c r="AC407" s="98"/>
      <c r="AD407" s="98"/>
      <c r="AE407" s="98"/>
      <c r="AF407" s="98"/>
      <c r="AG407" s="98"/>
      <c r="AH407" s="98"/>
    </row>
    <row r="408" spans="2:34" x14ac:dyDescent="0.25">
      <c r="B408" s="71"/>
      <c r="C408" s="72"/>
      <c r="D408" s="77"/>
      <c r="E408" s="78"/>
      <c r="F408" s="78"/>
      <c r="G408" s="78"/>
      <c r="H408" s="78"/>
      <c r="I408" s="79"/>
      <c r="J408" s="86"/>
      <c r="K408" s="87"/>
      <c r="L408" s="86"/>
      <c r="M408" s="87"/>
      <c r="N408" s="77"/>
      <c r="O408" s="79"/>
      <c r="P408" s="92"/>
      <c r="Q408" s="93"/>
      <c r="S408" s="99"/>
      <c r="T408" s="99"/>
      <c r="U408" s="99"/>
      <c r="V408" s="99"/>
      <c r="W408" s="99"/>
      <c r="X408" s="99"/>
      <c r="Y408" s="99"/>
      <c r="Z408" s="99"/>
      <c r="AA408" s="99"/>
      <c r="AB408" s="99"/>
      <c r="AC408" s="98"/>
      <c r="AD408" s="98"/>
      <c r="AE408" s="98"/>
      <c r="AF408" s="98"/>
      <c r="AG408" s="98"/>
      <c r="AH408" s="98"/>
    </row>
    <row r="409" spans="2:34" x14ac:dyDescent="0.25">
      <c r="B409" s="73"/>
      <c r="C409" s="74"/>
      <c r="D409" s="80"/>
      <c r="E409" s="81"/>
      <c r="F409" s="81"/>
      <c r="G409" s="81"/>
      <c r="H409" s="81"/>
      <c r="I409" s="82"/>
      <c r="J409" s="88"/>
      <c r="K409" s="89"/>
      <c r="L409" s="88"/>
      <c r="M409" s="89"/>
      <c r="N409" s="80"/>
      <c r="O409" s="82"/>
      <c r="P409" s="94"/>
      <c r="Q409" s="95"/>
      <c r="S409" s="99"/>
      <c r="T409" s="99"/>
      <c r="U409" s="99"/>
      <c r="V409" s="99"/>
      <c r="W409" s="99"/>
      <c r="X409" s="99"/>
      <c r="Y409" s="99"/>
      <c r="Z409" s="99"/>
      <c r="AA409" s="99"/>
      <c r="AB409" s="99"/>
      <c r="AC409" s="98"/>
      <c r="AD409" s="98"/>
      <c r="AE409" s="98"/>
      <c r="AF409" s="98"/>
      <c r="AG409" s="98"/>
      <c r="AH409" s="98"/>
    </row>
    <row r="410" spans="2:34" x14ac:dyDescent="0.25">
      <c r="B410" s="75"/>
      <c r="C410" s="76"/>
      <c r="D410" s="83"/>
      <c r="E410" s="84"/>
      <c r="F410" s="84"/>
      <c r="G410" s="84"/>
      <c r="H410" s="84"/>
      <c r="I410" s="85"/>
      <c r="J410" s="90"/>
      <c r="K410" s="91"/>
      <c r="L410" s="90"/>
      <c r="M410" s="91"/>
      <c r="N410" s="83"/>
      <c r="O410" s="85"/>
      <c r="P410" s="96"/>
      <c r="Q410" s="97"/>
      <c r="S410" s="99"/>
      <c r="T410" s="99"/>
      <c r="U410" s="99"/>
      <c r="V410" s="99"/>
      <c r="W410" s="99"/>
      <c r="X410" s="99"/>
      <c r="Y410" s="99"/>
      <c r="Z410" s="99"/>
      <c r="AA410" s="99"/>
      <c r="AB410" s="99"/>
      <c r="AC410" s="98"/>
      <c r="AD410" s="98"/>
      <c r="AE410" s="98"/>
      <c r="AF410" s="98"/>
      <c r="AG410" s="98"/>
      <c r="AH410" s="98"/>
    </row>
    <row r="411" spans="2:34" x14ac:dyDescent="0.25">
      <c r="B411" s="71"/>
      <c r="C411" s="72"/>
      <c r="D411" s="77"/>
      <c r="E411" s="78"/>
      <c r="F411" s="78"/>
      <c r="G411" s="78"/>
      <c r="H411" s="78"/>
      <c r="I411" s="79"/>
      <c r="J411" s="86"/>
      <c r="K411" s="87"/>
      <c r="L411" s="86"/>
      <c r="M411" s="87"/>
      <c r="N411" s="77"/>
      <c r="O411" s="79"/>
      <c r="P411" s="92"/>
      <c r="Q411" s="93"/>
      <c r="S411" s="99"/>
      <c r="T411" s="99"/>
      <c r="U411" s="99"/>
      <c r="V411" s="99"/>
      <c r="W411" s="99"/>
      <c r="X411" s="99"/>
      <c r="Y411" s="99"/>
      <c r="Z411" s="99"/>
      <c r="AA411" s="99"/>
      <c r="AB411" s="99"/>
      <c r="AC411" s="98"/>
      <c r="AD411" s="98"/>
      <c r="AE411" s="98"/>
      <c r="AF411" s="98"/>
      <c r="AG411" s="98"/>
      <c r="AH411" s="98"/>
    </row>
    <row r="412" spans="2:34" x14ac:dyDescent="0.25">
      <c r="B412" s="73"/>
      <c r="C412" s="74"/>
      <c r="D412" s="80"/>
      <c r="E412" s="81"/>
      <c r="F412" s="81"/>
      <c r="G412" s="81"/>
      <c r="H412" s="81"/>
      <c r="I412" s="82"/>
      <c r="J412" s="88"/>
      <c r="K412" s="89"/>
      <c r="L412" s="88"/>
      <c r="M412" s="89"/>
      <c r="N412" s="80"/>
      <c r="O412" s="82"/>
      <c r="P412" s="94"/>
      <c r="Q412" s="95"/>
      <c r="S412" s="99"/>
      <c r="T412" s="99"/>
      <c r="U412" s="99"/>
      <c r="V412" s="99"/>
      <c r="W412" s="99"/>
      <c r="X412" s="99"/>
      <c r="Y412" s="99"/>
      <c r="Z412" s="99"/>
      <c r="AA412" s="99"/>
      <c r="AB412" s="99"/>
      <c r="AC412" s="98"/>
      <c r="AD412" s="98"/>
      <c r="AE412" s="98"/>
      <c r="AF412" s="98"/>
      <c r="AG412" s="98"/>
      <c r="AH412" s="98"/>
    </row>
    <row r="413" spans="2:34" x14ac:dyDescent="0.25">
      <c r="B413" s="75"/>
      <c r="C413" s="76"/>
      <c r="D413" s="83"/>
      <c r="E413" s="84"/>
      <c r="F413" s="84"/>
      <c r="G413" s="84"/>
      <c r="H413" s="84"/>
      <c r="I413" s="85"/>
      <c r="J413" s="90"/>
      <c r="K413" s="91"/>
      <c r="L413" s="90"/>
      <c r="M413" s="91"/>
      <c r="N413" s="83"/>
      <c r="O413" s="85"/>
      <c r="P413" s="96"/>
      <c r="Q413" s="97"/>
      <c r="S413" s="99"/>
      <c r="T413" s="99"/>
      <c r="U413" s="99"/>
      <c r="V413" s="99"/>
      <c r="W413" s="99"/>
      <c r="X413" s="99"/>
      <c r="Y413" s="99"/>
      <c r="Z413" s="99"/>
      <c r="AA413" s="99"/>
      <c r="AB413" s="99"/>
      <c r="AC413" s="98"/>
      <c r="AD413" s="98"/>
      <c r="AE413" s="98"/>
      <c r="AF413" s="98"/>
      <c r="AG413" s="98"/>
      <c r="AH413" s="98"/>
    </row>
    <row r="414" spans="2:34" x14ac:dyDescent="0.25">
      <c r="B414" s="71"/>
      <c r="C414" s="72"/>
      <c r="D414" s="77"/>
      <c r="E414" s="78"/>
      <c r="F414" s="78"/>
      <c r="G414" s="78"/>
      <c r="H414" s="78"/>
      <c r="I414" s="79"/>
      <c r="J414" s="86"/>
      <c r="K414" s="87"/>
      <c r="L414" s="86"/>
      <c r="M414" s="87"/>
      <c r="N414" s="77"/>
      <c r="O414" s="79"/>
      <c r="P414" s="92"/>
      <c r="Q414" s="93"/>
      <c r="S414" s="99"/>
      <c r="T414" s="99"/>
      <c r="U414" s="99"/>
      <c r="V414" s="99"/>
      <c r="W414" s="99"/>
      <c r="X414" s="99"/>
      <c r="Y414" s="99"/>
      <c r="Z414" s="99"/>
      <c r="AA414" s="99"/>
      <c r="AB414" s="99"/>
      <c r="AC414" s="98"/>
      <c r="AD414" s="98"/>
      <c r="AE414" s="98"/>
      <c r="AF414" s="98"/>
      <c r="AG414" s="98"/>
      <c r="AH414" s="98"/>
    </row>
    <row r="415" spans="2:34" x14ac:dyDescent="0.25">
      <c r="B415" s="73"/>
      <c r="C415" s="74"/>
      <c r="D415" s="80"/>
      <c r="E415" s="81"/>
      <c r="F415" s="81"/>
      <c r="G415" s="81"/>
      <c r="H415" s="81"/>
      <c r="I415" s="82"/>
      <c r="J415" s="88"/>
      <c r="K415" s="89"/>
      <c r="L415" s="88"/>
      <c r="M415" s="89"/>
      <c r="N415" s="80"/>
      <c r="O415" s="82"/>
      <c r="P415" s="94"/>
      <c r="Q415" s="95"/>
      <c r="S415" s="99"/>
      <c r="T415" s="99"/>
      <c r="U415" s="99"/>
      <c r="V415" s="99"/>
      <c r="W415" s="99"/>
      <c r="X415" s="99"/>
      <c r="Y415" s="99"/>
      <c r="Z415" s="99"/>
      <c r="AA415" s="99"/>
      <c r="AB415" s="99"/>
      <c r="AC415" s="98"/>
      <c r="AD415" s="98"/>
      <c r="AE415" s="98"/>
      <c r="AF415" s="98"/>
      <c r="AG415" s="98"/>
      <c r="AH415" s="98"/>
    </row>
    <row r="416" spans="2:34" x14ac:dyDescent="0.25">
      <c r="B416" s="75"/>
      <c r="C416" s="76"/>
      <c r="D416" s="83"/>
      <c r="E416" s="84"/>
      <c r="F416" s="84"/>
      <c r="G416" s="84"/>
      <c r="H416" s="84"/>
      <c r="I416" s="85"/>
      <c r="J416" s="90"/>
      <c r="K416" s="91"/>
      <c r="L416" s="90"/>
      <c r="M416" s="91"/>
      <c r="N416" s="83"/>
      <c r="O416" s="85"/>
      <c r="P416" s="96"/>
      <c r="Q416" s="97"/>
      <c r="S416" s="99"/>
      <c r="T416" s="99"/>
      <c r="U416" s="99"/>
      <c r="V416" s="99"/>
      <c r="W416" s="99"/>
      <c r="X416" s="99"/>
      <c r="Y416" s="99"/>
      <c r="Z416" s="99"/>
      <c r="AA416" s="99"/>
      <c r="AB416" s="99"/>
      <c r="AC416" s="98"/>
      <c r="AD416" s="98"/>
      <c r="AE416" s="98"/>
      <c r="AF416" s="98"/>
      <c r="AG416" s="98"/>
      <c r="AH416" s="98"/>
    </row>
    <row r="417" spans="2:34" x14ac:dyDescent="0.25">
      <c r="B417" s="71"/>
      <c r="C417" s="72"/>
      <c r="D417" s="77"/>
      <c r="E417" s="78"/>
      <c r="F417" s="78"/>
      <c r="G417" s="78"/>
      <c r="H417" s="78"/>
      <c r="I417" s="79"/>
      <c r="J417" s="86"/>
      <c r="K417" s="87"/>
      <c r="L417" s="86"/>
      <c r="M417" s="87"/>
      <c r="N417" s="77"/>
      <c r="O417" s="79"/>
      <c r="P417" s="92"/>
      <c r="Q417" s="93"/>
      <c r="S417" s="99"/>
      <c r="T417" s="99"/>
      <c r="U417" s="99"/>
      <c r="V417" s="99"/>
      <c r="W417" s="99"/>
      <c r="X417" s="99"/>
      <c r="Y417" s="99"/>
      <c r="Z417" s="99"/>
      <c r="AA417" s="99"/>
      <c r="AB417" s="99"/>
      <c r="AC417" s="98"/>
      <c r="AD417" s="98"/>
      <c r="AE417" s="98"/>
      <c r="AF417" s="98"/>
      <c r="AG417" s="98"/>
      <c r="AH417" s="98"/>
    </row>
    <row r="418" spans="2:34" x14ac:dyDescent="0.25">
      <c r="B418" s="73"/>
      <c r="C418" s="74"/>
      <c r="D418" s="80"/>
      <c r="E418" s="81"/>
      <c r="F418" s="81"/>
      <c r="G418" s="81"/>
      <c r="H418" s="81"/>
      <c r="I418" s="82"/>
      <c r="J418" s="88"/>
      <c r="K418" s="89"/>
      <c r="L418" s="88"/>
      <c r="M418" s="89"/>
      <c r="N418" s="80"/>
      <c r="O418" s="82"/>
      <c r="P418" s="94"/>
      <c r="Q418" s="95"/>
      <c r="S418" s="99"/>
      <c r="T418" s="99"/>
      <c r="U418" s="99"/>
      <c r="V418" s="99"/>
      <c r="W418" s="99"/>
      <c r="X418" s="99"/>
      <c r="Y418" s="99"/>
      <c r="Z418" s="99"/>
      <c r="AA418" s="99"/>
      <c r="AB418" s="99"/>
      <c r="AC418" s="98"/>
      <c r="AD418" s="98"/>
      <c r="AE418" s="98"/>
      <c r="AF418" s="98"/>
      <c r="AG418" s="98"/>
      <c r="AH418" s="98"/>
    </row>
    <row r="419" spans="2:34" x14ac:dyDescent="0.25">
      <c r="B419" s="75"/>
      <c r="C419" s="76"/>
      <c r="D419" s="83"/>
      <c r="E419" s="84"/>
      <c r="F419" s="84"/>
      <c r="G419" s="84"/>
      <c r="H419" s="84"/>
      <c r="I419" s="85"/>
      <c r="J419" s="90"/>
      <c r="K419" s="91"/>
      <c r="L419" s="90"/>
      <c r="M419" s="91"/>
      <c r="N419" s="83"/>
      <c r="O419" s="85"/>
      <c r="P419" s="96"/>
      <c r="Q419" s="97"/>
      <c r="S419" s="99"/>
      <c r="T419" s="99"/>
      <c r="U419" s="99"/>
      <c r="V419" s="99"/>
      <c r="W419" s="99"/>
      <c r="X419" s="99"/>
      <c r="Y419" s="99"/>
      <c r="Z419" s="99"/>
      <c r="AA419" s="99"/>
      <c r="AB419" s="99"/>
      <c r="AC419" s="98"/>
      <c r="AD419" s="98"/>
      <c r="AE419" s="98"/>
      <c r="AF419" s="98"/>
      <c r="AG419" s="98"/>
      <c r="AH419" s="98"/>
    </row>
    <row r="420" spans="2:34" x14ac:dyDescent="0.25">
      <c r="B420" s="71"/>
      <c r="C420" s="72"/>
      <c r="D420" s="77"/>
      <c r="E420" s="78"/>
      <c r="F420" s="78"/>
      <c r="G420" s="78"/>
      <c r="H420" s="78"/>
      <c r="I420" s="79"/>
      <c r="J420" s="86"/>
      <c r="K420" s="87"/>
      <c r="L420" s="86"/>
      <c r="M420" s="87"/>
      <c r="N420" s="77"/>
      <c r="O420" s="79"/>
      <c r="P420" s="92"/>
      <c r="Q420" s="93"/>
      <c r="S420" s="99"/>
      <c r="T420" s="99"/>
      <c r="U420" s="99"/>
      <c r="V420" s="99"/>
      <c r="W420" s="99"/>
      <c r="X420" s="99"/>
      <c r="Y420" s="99"/>
      <c r="Z420" s="99"/>
      <c r="AA420" s="99"/>
      <c r="AB420" s="99"/>
      <c r="AC420" s="98"/>
      <c r="AD420" s="98"/>
      <c r="AE420" s="98"/>
      <c r="AF420" s="98"/>
      <c r="AG420" s="98"/>
      <c r="AH420" s="98"/>
    </row>
    <row r="421" spans="2:34" x14ac:dyDescent="0.25">
      <c r="B421" s="73"/>
      <c r="C421" s="74"/>
      <c r="D421" s="80"/>
      <c r="E421" s="81"/>
      <c r="F421" s="81"/>
      <c r="G421" s="81"/>
      <c r="H421" s="81"/>
      <c r="I421" s="82"/>
      <c r="J421" s="88"/>
      <c r="K421" s="89"/>
      <c r="L421" s="88"/>
      <c r="M421" s="89"/>
      <c r="N421" s="80"/>
      <c r="O421" s="82"/>
      <c r="P421" s="94"/>
      <c r="Q421" s="95"/>
      <c r="S421" s="99"/>
      <c r="T421" s="99"/>
      <c r="U421" s="99"/>
      <c r="V421" s="99"/>
      <c r="W421" s="99"/>
      <c r="X421" s="99"/>
      <c r="Y421" s="99"/>
      <c r="Z421" s="99"/>
      <c r="AA421" s="99"/>
      <c r="AB421" s="99"/>
      <c r="AC421" s="98"/>
      <c r="AD421" s="98"/>
      <c r="AE421" s="98"/>
      <c r="AF421" s="98"/>
      <c r="AG421" s="98"/>
      <c r="AH421" s="98"/>
    </row>
    <row r="422" spans="2:34" x14ac:dyDescent="0.25">
      <c r="B422" s="75"/>
      <c r="C422" s="76"/>
      <c r="D422" s="83"/>
      <c r="E422" s="84"/>
      <c r="F422" s="84"/>
      <c r="G422" s="84"/>
      <c r="H422" s="84"/>
      <c r="I422" s="85"/>
      <c r="J422" s="90"/>
      <c r="K422" s="91"/>
      <c r="L422" s="90"/>
      <c r="M422" s="91"/>
      <c r="N422" s="83"/>
      <c r="O422" s="85"/>
      <c r="P422" s="96"/>
      <c r="Q422" s="97"/>
      <c r="S422" s="99"/>
      <c r="T422" s="99"/>
      <c r="U422" s="99"/>
      <c r="V422" s="99"/>
      <c r="W422" s="99"/>
      <c r="X422" s="99"/>
      <c r="Y422" s="99"/>
      <c r="Z422" s="99"/>
      <c r="AA422" s="99"/>
      <c r="AB422" s="99"/>
      <c r="AC422" s="98"/>
      <c r="AD422" s="98"/>
      <c r="AE422" s="98"/>
      <c r="AF422" s="98"/>
      <c r="AG422" s="98"/>
      <c r="AH422" s="98"/>
    </row>
    <row r="423" spans="2:34" x14ac:dyDescent="0.25">
      <c r="B423" s="71"/>
      <c r="C423" s="72"/>
      <c r="D423" s="77"/>
      <c r="E423" s="78"/>
      <c r="F423" s="78"/>
      <c r="G423" s="78"/>
      <c r="H423" s="78"/>
      <c r="I423" s="79"/>
      <c r="J423" s="86"/>
      <c r="K423" s="87"/>
      <c r="L423" s="86"/>
      <c r="M423" s="87"/>
      <c r="N423" s="77"/>
      <c r="O423" s="79"/>
      <c r="P423" s="92"/>
      <c r="Q423" s="93"/>
      <c r="S423" s="99"/>
      <c r="T423" s="99"/>
      <c r="U423" s="99"/>
      <c r="V423" s="99"/>
      <c r="W423" s="99"/>
      <c r="X423" s="99"/>
      <c r="Y423" s="99"/>
      <c r="Z423" s="99"/>
      <c r="AA423" s="99"/>
      <c r="AB423" s="99"/>
      <c r="AC423" s="98"/>
      <c r="AD423" s="98"/>
      <c r="AE423" s="98"/>
      <c r="AF423" s="98"/>
      <c r="AG423" s="98"/>
      <c r="AH423" s="98"/>
    </row>
    <row r="424" spans="2:34" x14ac:dyDescent="0.25">
      <c r="B424" s="73"/>
      <c r="C424" s="74"/>
      <c r="D424" s="80"/>
      <c r="E424" s="81"/>
      <c r="F424" s="81"/>
      <c r="G424" s="81"/>
      <c r="H424" s="81"/>
      <c r="I424" s="82"/>
      <c r="J424" s="88"/>
      <c r="K424" s="89"/>
      <c r="L424" s="88"/>
      <c r="M424" s="89"/>
      <c r="N424" s="80"/>
      <c r="O424" s="82"/>
      <c r="P424" s="94"/>
      <c r="Q424" s="95"/>
      <c r="S424" s="99"/>
      <c r="T424" s="99"/>
      <c r="U424" s="99"/>
      <c r="V424" s="99"/>
      <c r="W424" s="99"/>
      <c r="X424" s="99"/>
      <c r="Y424" s="99"/>
      <c r="Z424" s="99"/>
      <c r="AA424" s="99"/>
      <c r="AB424" s="99"/>
      <c r="AC424" s="98"/>
      <c r="AD424" s="98"/>
      <c r="AE424" s="98"/>
      <c r="AF424" s="98"/>
      <c r="AG424" s="98"/>
      <c r="AH424" s="98"/>
    </row>
    <row r="425" spans="2:34" x14ac:dyDescent="0.25">
      <c r="B425" s="75"/>
      <c r="C425" s="76"/>
      <c r="D425" s="83"/>
      <c r="E425" s="84"/>
      <c r="F425" s="84"/>
      <c r="G425" s="84"/>
      <c r="H425" s="84"/>
      <c r="I425" s="85"/>
      <c r="J425" s="90"/>
      <c r="K425" s="91"/>
      <c r="L425" s="90"/>
      <c r="M425" s="91"/>
      <c r="N425" s="83"/>
      <c r="O425" s="85"/>
      <c r="P425" s="96"/>
      <c r="Q425" s="97"/>
      <c r="S425" s="99"/>
      <c r="T425" s="99"/>
      <c r="U425" s="99"/>
      <c r="V425" s="99"/>
      <c r="W425" s="99"/>
      <c r="X425" s="99"/>
      <c r="Y425" s="99"/>
      <c r="Z425" s="99"/>
      <c r="AA425" s="99"/>
      <c r="AB425" s="99"/>
      <c r="AC425" s="98"/>
      <c r="AD425" s="98"/>
      <c r="AE425" s="98"/>
      <c r="AF425" s="98"/>
      <c r="AG425" s="98"/>
      <c r="AH425" s="98"/>
    </row>
    <row r="426" spans="2:34" x14ac:dyDescent="0.25">
      <c r="B426" s="71"/>
      <c r="C426" s="72"/>
      <c r="D426" s="77"/>
      <c r="E426" s="78"/>
      <c r="F426" s="78"/>
      <c r="G426" s="78"/>
      <c r="H426" s="78"/>
      <c r="I426" s="79"/>
      <c r="J426" s="86"/>
      <c r="K426" s="87"/>
      <c r="L426" s="86"/>
      <c r="M426" s="87"/>
      <c r="N426" s="77"/>
      <c r="O426" s="79"/>
      <c r="P426" s="92"/>
      <c r="Q426" s="93"/>
      <c r="S426" s="99"/>
      <c r="T426" s="99"/>
      <c r="U426" s="99"/>
      <c r="V426" s="99"/>
      <c r="W426" s="99"/>
      <c r="X426" s="99"/>
      <c r="Y426" s="99"/>
      <c r="Z426" s="99"/>
      <c r="AA426" s="99"/>
      <c r="AB426" s="99"/>
      <c r="AC426" s="98"/>
      <c r="AD426" s="98"/>
      <c r="AE426" s="98"/>
      <c r="AF426" s="98"/>
      <c r="AG426" s="98"/>
      <c r="AH426" s="98"/>
    </row>
    <row r="427" spans="2:34" x14ac:dyDescent="0.25">
      <c r="B427" s="73"/>
      <c r="C427" s="74"/>
      <c r="D427" s="80"/>
      <c r="E427" s="81"/>
      <c r="F427" s="81"/>
      <c r="G427" s="81"/>
      <c r="H427" s="81"/>
      <c r="I427" s="82"/>
      <c r="J427" s="88"/>
      <c r="K427" s="89"/>
      <c r="L427" s="88"/>
      <c r="M427" s="89"/>
      <c r="N427" s="80"/>
      <c r="O427" s="82"/>
      <c r="P427" s="94"/>
      <c r="Q427" s="95"/>
      <c r="S427" s="99"/>
      <c r="T427" s="99"/>
      <c r="U427" s="99"/>
      <c r="V427" s="99"/>
      <c r="W427" s="99"/>
      <c r="X427" s="99"/>
      <c r="Y427" s="99"/>
      <c r="Z427" s="99"/>
      <c r="AA427" s="99"/>
      <c r="AB427" s="99"/>
      <c r="AC427" s="98"/>
      <c r="AD427" s="98"/>
      <c r="AE427" s="98"/>
      <c r="AF427" s="98"/>
      <c r="AG427" s="98"/>
      <c r="AH427" s="98"/>
    </row>
    <row r="428" spans="2:34" x14ac:dyDescent="0.25">
      <c r="B428" s="75"/>
      <c r="C428" s="76"/>
      <c r="D428" s="83"/>
      <c r="E428" s="84"/>
      <c r="F428" s="84"/>
      <c r="G428" s="84"/>
      <c r="H428" s="84"/>
      <c r="I428" s="85"/>
      <c r="J428" s="90"/>
      <c r="K428" s="91"/>
      <c r="L428" s="90"/>
      <c r="M428" s="91"/>
      <c r="N428" s="83"/>
      <c r="O428" s="85"/>
      <c r="P428" s="96"/>
      <c r="Q428" s="97"/>
      <c r="S428" s="99"/>
      <c r="T428" s="99"/>
      <c r="U428" s="99"/>
      <c r="V428" s="99"/>
      <c r="W428" s="99"/>
      <c r="X428" s="99"/>
      <c r="Y428" s="99"/>
      <c r="Z428" s="99"/>
      <c r="AA428" s="99"/>
      <c r="AB428" s="99"/>
      <c r="AC428" s="98"/>
      <c r="AD428" s="98"/>
      <c r="AE428" s="98"/>
      <c r="AF428" s="98"/>
      <c r="AG428" s="98"/>
      <c r="AH428" s="98"/>
    </row>
    <row r="429" spans="2:34" x14ac:dyDescent="0.25">
      <c r="B429" s="71"/>
      <c r="C429" s="72"/>
      <c r="D429" s="77"/>
      <c r="E429" s="78"/>
      <c r="F429" s="78"/>
      <c r="G429" s="78"/>
      <c r="H429" s="78"/>
      <c r="I429" s="79"/>
      <c r="J429" s="86"/>
      <c r="K429" s="87"/>
      <c r="L429" s="86"/>
      <c r="M429" s="87"/>
      <c r="N429" s="77"/>
      <c r="O429" s="79"/>
      <c r="P429" s="92"/>
      <c r="Q429" s="93"/>
      <c r="S429" s="99"/>
      <c r="T429" s="99"/>
      <c r="U429" s="99"/>
      <c r="V429" s="99"/>
      <c r="W429" s="99"/>
      <c r="X429" s="99"/>
      <c r="Y429" s="99"/>
      <c r="Z429" s="99"/>
      <c r="AA429" s="99"/>
      <c r="AB429" s="99"/>
      <c r="AC429" s="98"/>
      <c r="AD429" s="98"/>
      <c r="AE429" s="98"/>
      <c r="AF429" s="98"/>
      <c r="AG429" s="98"/>
      <c r="AH429" s="98"/>
    </row>
    <row r="430" spans="2:34" x14ac:dyDescent="0.25">
      <c r="B430" s="73"/>
      <c r="C430" s="74"/>
      <c r="D430" s="80"/>
      <c r="E430" s="81"/>
      <c r="F430" s="81"/>
      <c r="G430" s="81"/>
      <c r="H430" s="81"/>
      <c r="I430" s="82"/>
      <c r="J430" s="88"/>
      <c r="K430" s="89"/>
      <c r="L430" s="88"/>
      <c r="M430" s="89"/>
      <c r="N430" s="80"/>
      <c r="O430" s="82"/>
      <c r="P430" s="94"/>
      <c r="Q430" s="95"/>
      <c r="S430" s="99"/>
      <c r="T430" s="99"/>
      <c r="U430" s="99"/>
      <c r="V430" s="99"/>
      <c r="W430" s="99"/>
      <c r="X430" s="99"/>
      <c r="Y430" s="99"/>
      <c r="Z430" s="99"/>
      <c r="AA430" s="99"/>
      <c r="AB430" s="99"/>
      <c r="AC430" s="98"/>
      <c r="AD430" s="98"/>
      <c r="AE430" s="98"/>
      <c r="AF430" s="98"/>
      <c r="AG430" s="98"/>
      <c r="AH430" s="98"/>
    </row>
    <row r="431" spans="2:34" x14ac:dyDescent="0.25">
      <c r="B431" s="75"/>
      <c r="C431" s="76"/>
      <c r="D431" s="83"/>
      <c r="E431" s="84"/>
      <c r="F431" s="84"/>
      <c r="G431" s="84"/>
      <c r="H431" s="84"/>
      <c r="I431" s="85"/>
      <c r="J431" s="90"/>
      <c r="K431" s="91"/>
      <c r="L431" s="90"/>
      <c r="M431" s="91"/>
      <c r="N431" s="83"/>
      <c r="O431" s="85"/>
      <c r="P431" s="96"/>
      <c r="Q431" s="97"/>
      <c r="S431" s="99"/>
      <c r="T431" s="99"/>
      <c r="U431" s="99"/>
      <c r="V431" s="99"/>
      <c r="W431" s="99"/>
      <c r="X431" s="99"/>
      <c r="Y431" s="99"/>
      <c r="Z431" s="99"/>
      <c r="AA431" s="99"/>
      <c r="AB431" s="99"/>
      <c r="AC431" s="98"/>
      <c r="AD431" s="98"/>
      <c r="AE431" s="98"/>
      <c r="AF431" s="98"/>
      <c r="AG431" s="98"/>
      <c r="AH431" s="98"/>
    </row>
    <row r="432" spans="2:34" x14ac:dyDescent="0.25">
      <c r="B432" s="71"/>
      <c r="C432" s="72"/>
      <c r="D432" s="77"/>
      <c r="E432" s="78"/>
      <c r="F432" s="78"/>
      <c r="G432" s="78"/>
      <c r="H432" s="78"/>
      <c r="I432" s="79"/>
      <c r="J432" s="86"/>
      <c r="K432" s="87"/>
      <c r="L432" s="86"/>
      <c r="M432" s="87"/>
      <c r="N432" s="77"/>
      <c r="O432" s="79"/>
      <c r="P432" s="92"/>
      <c r="Q432" s="93"/>
      <c r="S432" s="99"/>
      <c r="T432" s="99"/>
      <c r="U432" s="99"/>
      <c r="V432" s="99"/>
      <c r="W432" s="99"/>
      <c r="X432" s="99"/>
      <c r="Y432" s="99"/>
      <c r="Z432" s="99"/>
      <c r="AA432" s="99"/>
      <c r="AB432" s="99"/>
      <c r="AC432" s="98"/>
      <c r="AD432" s="98"/>
      <c r="AE432" s="98"/>
      <c r="AF432" s="98"/>
      <c r="AG432" s="98"/>
      <c r="AH432" s="98"/>
    </row>
    <row r="433" spans="2:34" x14ac:dyDescent="0.25">
      <c r="B433" s="73"/>
      <c r="C433" s="74"/>
      <c r="D433" s="80"/>
      <c r="E433" s="81"/>
      <c r="F433" s="81"/>
      <c r="G433" s="81"/>
      <c r="H433" s="81"/>
      <c r="I433" s="82"/>
      <c r="J433" s="88"/>
      <c r="K433" s="89"/>
      <c r="L433" s="88"/>
      <c r="M433" s="89"/>
      <c r="N433" s="80"/>
      <c r="O433" s="82"/>
      <c r="P433" s="94"/>
      <c r="Q433" s="95"/>
      <c r="S433" s="99"/>
      <c r="T433" s="99"/>
      <c r="U433" s="99"/>
      <c r="V433" s="99"/>
      <c r="W433" s="99"/>
      <c r="X433" s="99"/>
      <c r="Y433" s="99"/>
      <c r="Z433" s="99"/>
      <c r="AA433" s="99"/>
      <c r="AB433" s="99"/>
      <c r="AC433" s="98"/>
      <c r="AD433" s="98"/>
      <c r="AE433" s="98"/>
      <c r="AF433" s="98"/>
      <c r="AG433" s="98"/>
      <c r="AH433" s="98"/>
    </row>
    <row r="434" spans="2:34" x14ac:dyDescent="0.25">
      <c r="B434" s="75"/>
      <c r="C434" s="76"/>
      <c r="D434" s="83"/>
      <c r="E434" s="84"/>
      <c r="F434" s="84"/>
      <c r="G434" s="84"/>
      <c r="H434" s="84"/>
      <c r="I434" s="85"/>
      <c r="J434" s="90"/>
      <c r="K434" s="91"/>
      <c r="L434" s="90"/>
      <c r="M434" s="91"/>
      <c r="N434" s="83"/>
      <c r="O434" s="85"/>
      <c r="P434" s="96"/>
      <c r="Q434" s="97"/>
      <c r="S434" s="99"/>
      <c r="T434" s="99"/>
      <c r="U434" s="99"/>
      <c r="V434" s="99"/>
      <c r="W434" s="99"/>
      <c r="X434" s="99"/>
      <c r="Y434" s="99"/>
      <c r="Z434" s="99"/>
      <c r="AA434" s="99"/>
      <c r="AB434" s="99"/>
      <c r="AC434" s="98"/>
      <c r="AD434" s="98"/>
      <c r="AE434" s="98"/>
      <c r="AF434" s="98"/>
      <c r="AG434" s="98"/>
      <c r="AH434" s="98"/>
    </row>
    <row r="435" spans="2:34" x14ac:dyDescent="0.25">
      <c r="B435" s="71"/>
      <c r="C435" s="72"/>
      <c r="D435" s="77"/>
      <c r="E435" s="78"/>
      <c r="F435" s="78"/>
      <c r="G435" s="78"/>
      <c r="H435" s="78"/>
      <c r="I435" s="79"/>
      <c r="J435" s="86"/>
      <c r="K435" s="87"/>
      <c r="L435" s="86"/>
      <c r="M435" s="87"/>
      <c r="N435" s="77"/>
      <c r="O435" s="79"/>
      <c r="P435" s="92"/>
      <c r="Q435" s="93"/>
      <c r="S435" s="99"/>
      <c r="T435" s="99"/>
      <c r="U435" s="99"/>
      <c r="V435" s="99"/>
      <c r="W435" s="99"/>
      <c r="X435" s="99"/>
      <c r="Y435" s="99"/>
      <c r="Z435" s="99"/>
      <c r="AA435" s="99"/>
      <c r="AB435" s="99"/>
      <c r="AC435" s="98"/>
      <c r="AD435" s="98"/>
      <c r="AE435" s="98"/>
      <c r="AF435" s="98"/>
      <c r="AG435" s="98"/>
      <c r="AH435" s="98"/>
    </row>
    <row r="436" spans="2:34" x14ac:dyDescent="0.25">
      <c r="B436" s="73"/>
      <c r="C436" s="74"/>
      <c r="D436" s="80"/>
      <c r="E436" s="81"/>
      <c r="F436" s="81"/>
      <c r="G436" s="81"/>
      <c r="H436" s="81"/>
      <c r="I436" s="82"/>
      <c r="J436" s="88"/>
      <c r="K436" s="89"/>
      <c r="L436" s="88"/>
      <c r="M436" s="89"/>
      <c r="N436" s="80"/>
      <c r="O436" s="82"/>
      <c r="P436" s="94"/>
      <c r="Q436" s="95"/>
      <c r="S436" s="99"/>
      <c r="T436" s="99"/>
      <c r="U436" s="99"/>
      <c r="V436" s="99"/>
      <c r="W436" s="99"/>
      <c r="X436" s="99"/>
      <c r="Y436" s="99"/>
      <c r="Z436" s="99"/>
      <c r="AA436" s="99"/>
      <c r="AB436" s="99"/>
      <c r="AC436" s="98"/>
      <c r="AD436" s="98"/>
      <c r="AE436" s="98"/>
      <c r="AF436" s="98"/>
      <c r="AG436" s="98"/>
      <c r="AH436" s="98"/>
    </row>
    <row r="437" spans="2:34" x14ac:dyDescent="0.25">
      <c r="B437" s="75"/>
      <c r="C437" s="76"/>
      <c r="D437" s="83"/>
      <c r="E437" s="84"/>
      <c r="F437" s="84"/>
      <c r="G437" s="84"/>
      <c r="H437" s="84"/>
      <c r="I437" s="85"/>
      <c r="J437" s="90"/>
      <c r="K437" s="91"/>
      <c r="L437" s="90"/>
      <c r="M437" s="91"/>
      <c r="N437" s="83"/>
      <c r="O437" s="85"/>
      <c r="P437" s="96"/>
      <c r="Q437" s="97"/>
      <c r="S437" s="99"/>
      <c r="T437" s="99"/>
      <c r="U437" s="99"/>
      <c r="V437" s="99"/>
      <c r="W437" s="99"/>
      <c r="X437" s="99"/>
      <c r="Y437" s="99"/>
      <c r="Z437" s="99"/>
      <c r="AA437" s="99"/>
      <c r="AB437" s="99"/>
      <c r="AC437" s="98"/>
      <c r="AD437" s="98"/>
      <c r="AE437" s="98"/>
      <c r="AF437" s="98"/>
      <c r="AG437" s="98"/>
      <c r="AH437" s="98"/>
    </row>
    <row r="438" spans="2:34" x14ac:dyDescent="0.25">
      <c r="B438" s="71"/>
      <c r="C438" s="72"/>
      <c r="D438" s="77"/>
      <c r="E438" s="78"/>
      <c r="F438" s="78"/>
      <c r="G438" s="78"/>
      <c r="H438" s="78"/>
      <c r="I438" s="79"/>
      <c r="J438" s="86"/>
      <c r="K438" s="87"/>
      <c r="L438" s="86"/>
      <c r="M438" s="87"/>
      <c r="N438" s="77"/>
      <c r="O438" s="79"/>
      <c r="P438" s="92"/>
      <c r="Q438" s="93"/>
      <c r="S438" s="99"/>
      <c r="T438" s="99"/>
      <c r="U438" s="99"/>
      <c r="V438" s="99"/>
      <c r="W438" s="99"/>
      <c r="X438" s="99"/>
      <c r="Y438" s="99"/>
      <c r="Z438" s="99"/>
      <c r="AA438" s="99"/>
      <c r="AB438" s="99"/>
      <c r="AC438" s="98"/>
      <c r="AD438" s="98"/>
      <c r="AE438" s="98"/>
      <c r="AF438" s="98"/>
      <c r="AG438" s="98"/>
      <c r="AH438" s="98"/>
    </row>
    <row r="439" spans="2:34" x14ac:dyDescent="0.25">
      <c r="B439" s="73"/>
      <c r="C439" s="74"/>
      <c r="D439" s="80"/>
      <c r="E439" s="81"/>
      <c r="F439" s="81"/>
      <c r="G439" s="81"/>
      <c r="H439" s="81"/>
      <c r="I439" s="82"/>
      <c r="J439" s="88"/>
      <c r="K439" s="89"/>
      <c r="L439" s="88"/>
      <c r="M439" s="89"/>
      <c r="N439" s="80"/>
      <c r="O439" s="82"/>
      <c r="P439" s="94"/>
      <c r="Q439" s="95"/>
      <c r="S439" s="99"/>
      <c r="T439" s="99"/>
      <c r="U439" s="99"/>
      <c r="V439" s="99"/>
      <c r="W439" s="99"/>
      <c r="X439" s="99"/>
      <c r="Y439" s="99"/>
      <c r="Z439" s="99"/>
      <c r="AA439" s="99"/>
      <c r="AB439" s="99"/>
      <c r="AC439" s="98"/>
      <c r="AD439" s="98"/>
      <c r="AE439" s="98"/>
      <c r="AF439" s="98"/>
      <c r="AG439" s="98"/>
      <c r="AH439" s="98"/>
    </row>
    <row r="440" spans="2:34" x14ac:dyDescent="0.25">
      <c r="B440" s="75"/>
      <c r="C440" s="76"/>
      <c r="D440" s="83"/>
      <c r="E440" s="84"/>
      <c r="F440" s="84"/>
      <c r="G440" s="84"/>
      <c r="H440" s="84"/>
      <c r="I440" s="85"/>
      <c r="J440" s="90"/>
      <c r="K440" s="91"/>
      <c r="L440" s="90"/>
      <c r="M440" s="91"/>
      <c r="N440" s="83"/>
      <c r="O440" s="85"/>
      <c r="P440" s="96"/>
      <c r="Q440" s="97"/>
      <c r="S440" s="99"/>
      <c r="T440" s="99"/>
      <c r="U440" s="99"/>
      <c r="V440" s="99"/>
      <c r="W440" s="99"/>
      <c r="X440" s="99"/>
      <c r="Y440" s="99"/>
      <c r="Z440" s="99"/>
      <c r="AA440" s="99"/>
      <c r="AB440" s="99"/>
      <c r="AC440" s="98"/>
      <c r="AD440" s="98"/>
      <c r="AE440" s="98"/>
      <c r="AF440" s="98"/>
      <c r="AG440" s="98"/>
      <c r="AH440" s="98"/>
    </row>
    <row r="441" spans="2:34" x14ac:dyDescent="0.25">
      <c r="B441" s="71"/>
      <c r="C441" s="72"/>
      <c r="D441" s="77"/>
      <c r="E441" s="78"/>
      <c r="F441" s="78"/>
      <c r="G441" s="78"/>
      <c r="H441" s="78"/>
      <c r="I441" s="79"/>
      <c r="J441" s="86"/>
      <c r="K441" s="87"/>
      <c r="L441" s="86"/>
      <c r="M441" s="87"/>
      <c r="N441" s="77"/>
      <c r="O441" s="79"/>
      <c r="P441" s="92"/>
      <c r="Q441" s="93"/>
      <c r="S441" s="99"/>
      <c r="T441" s="99"/>
      <c r="U441" s="99"/>
      <c r="V441" s="99"/>
      <c r="W441" s="99"/>
      <c r="X441" s="99"/>
      <c r="Y441" s="99"/>
      <c r="Z441" s="99"/>
      <c r="AA441" s="99"/>
      <c r="AB441" s="99"/>
      <c r="AC441" s="98"/>
      <c r="AD441" s="98"/>
      <c r="AE441" s="98"/>
      <c r="AF441" s="98"/>
      <c r="AG441" s="98"/>
      <c r="AH441" s="98"/>
    </row>
    <row r="442" spans="2:34" x14ac:dyDescent="0.25">
      <c r="B442" s="73"/>
      <c r="C442" s="74"/>
      <c r="D442" s="80"/>
      <c r="E442" s="81"/>
      <c r="F442" s="81"/>
      <c r="G442" s="81"/>
      <c r="H442" s="81"/>
      <c r="I442" s="82"/>
      <c r="J442" s="88"/>
      <c r="K442" s="89"/>
      <c r="L442" s="88"/>
      <c r="M442" s="89"/>
      <c r="N442" s="80"/>
      <c r="O442" s="82"/>
      <c r="P442" s="94"/>
      <c r="Q442" s="95"/>
      <c r="S442" s="99"/>
      <c r="T442" s="99"/>
      <c r="U442" s="99"/>
      <c r="V442" s="99"/>
      <c r="W442" s="99"/>
      <c r="X442" s="99"/>
      <c r="Y442" s="99"/>
      <c r="Z442" s="99"/>
      <c r="AA442" s="99"/>
      <c r="AB442" s="99"/>
      <c r="AC442" s="98"/>
      <c r="AD442" s="98"/>
      <c r="AE442" s="98"/>
      <c r="AF442" s="98"/>
      <c r="AG442" s="98"/>
      <c r="AH442" s="98"/>
    </row>
    <row r="443" spans="2:34" x14ac:dyDescent="0.25">
      <c r="B443" s="75"/>
      <c r="C443" s="76"/>
      <c r="D443" s="83"/>
      <c r="E443" s="84"/>
      <c r="F443" s="84"/>
      <c r="G443" s="84"/>
      <c r="H443" s="84"/>
      <c r="I443" s="85"/>
      <c r="J443" s="90"/>
      <c r="K443" s="91"/>
      <c r="L443" s="90"/>
      <c r="M443" s="91"/>
      <c r="N443" s="83"/>
      <c r="O443" s="85"/>
      <c r="P443" s="96"/>
      <c r="Q443" s="97"/>
      <c r="S443" s="99"/>
      <c r="T443" s="99"/>
      <c r="U443" s="99"/>
      <c r="V443" s="99"/>
      <c r="W443" s="99"/>
      <c r="X443" s="99"/>
      <c r="Y443" s="99"/>
      <c r="Z443" s="99"/>
      <c r="AA443" s="99"/>
      <c r="AB443" s="99"/>
      <c r="AC443" s="98"/>
      <c r="AD443" s="98"/>
      <c r="AE443" s="98"/>
      <c r="AF443" s="98"/>
      <c r="AG443" s="98"/>
      <c r="AH443" s="98"/>
    </row>
    <row r="444" spans="2:34" x14ac:dyDescent="0.25">
      <c r="B444" s="71"/>
      <c r="C444" s="72"/>
      <c r="D444" s="77"/>
      <c r="E444" s="78"/>
      <c r="F444" s="78"/>
      <c r="G444" s="78"/>
      <c r="H444" s="78"/>
      <c r="I444" s="79"/>
      <c r="J444" s="86"/>
      <c r="K444" s="87"/>
      <c r="L444" s="86"/>
      <c r="M444" s="87"/>
      <c r="N444" s="77"/>
      <c r="O444" s="79"/>
      <c r="P444" s="92"/>
      <c r="Q444" s="93"/>
      <c r="S444" s="99"/>
      <c r="T444" s="99"/>
      <c r="U444" s="99"/>
      <c r="V444" s="99"/>
      <c r="W444" s="99"/>
      <c r="X444" s="99"/>
      <c r="Y444" s="99"/>
      <c r="Z444" s="99"/>
      <c r="AA444" s="99"/>
      <c r="AB444" s="99"/>
      <c r="AC444" s="98"/>
      <c r="AD444" s="98"/>
      <c r="AE444" s="98"/>
      <c r="AF444" s="98"/>
      <c r="AG444" s="98"/>
      <c r="AH444" s="98"/>
    </row>
    <row r="445" spans="2:34" x14ac:dyDescent="0.25">
      <c r="B445" s="73"/>
      <c r="C445" s="74"/>
      <c r="D445" s="80"/>
      <c r="E445" s="81"/>
      <c r="F445" s="81"/>
      <c r="G445" s="81"/>
      <c r="H445" s="81"/>
      <c r="I445" s="82"/>
      <c r="J445" s="88"/>
      <c r="K445" s="89"/>
      <c r="L445" s="88"/>
      <c r="M445" s="89"/>
      <c r="N445" s="80"/>
      <c r="O445" s="82"/>
      <c r="P445" s="94"/>
      <c r="Q445" s="95"/>
      <c r="S445" s="99"/>
      <c r="T445" s="99"/>
      <c r="U445" s="99"/>
      <c r="V445" s="99"/>
      <c r="W445" s="99"/>
      <c r="X445" s="99"/>
      <c r="Y445" s="99"/>
      <c r="Z445" s="99"/>
      <c r="AA445" s="99"/>
      <c r="AB445" s="99"/>
      <c r="AC445" s="98"/>
      <c r="AD445" s="98"/>
      <c r="AE445" s="98"/>
      <c r="AF445" s="98"/>
      <c r="AG445" s="98"/>
      <c r="AH445" s="98"/>
    </row>
    <row r="446" spans="2:34" x14ac:dyDescent="0.25">
      <c r="B446" s="75"/>
      <c r="C446" s="76"/>
      <c r="D446" s="83"/>
      <c r="E446" s="84"/>
      <c r="F446" s="84"/>
      <c r="G446" s="84"/>
      <c r="H446" s="84"/>
      <c r="I446" s="85"/>
      <c r="J446" s="90"/>
      <c r="K446" s="91"/>
      <c r="L446" s="90"/>
      <c r="M446" s="91"/>
      <c r="N446" s="83"/>
      <c r="O446" s="85"/>
      <c r="P446" s="96"/>
      <c r="Q446" s="97"/>
      <c r="S446" s="99"/>
      <c r="T446" s="99"/>
      <c r="U446" s="99"/>
      <c r="V446" s="99"/>
      <c r="W446" s="99"/>
      <c r="X446" s="99"/>
      <c r="Y446" s="99"/>
      <c r="Z446" s="99"/>
      <c r="AA446" s="99"/>
      <c r="AB446" s="99"/>
      <c r="AC446" s="98"/>
      <c r="AD446" s="98"/>
      <c r="AE446" s="98"/>
      <c r="AF446" s="98"/>
      <c r="AG446" s="98"/>
      <c r="AH446" s="98"/>
    </row>
    <row r="447" spans="2:34" x14ac:dyDescent="0.25">
      <c r="B447" s="71"/>
      <c r="C447" s="72"/>
      <c r="D447" s="77"/>
      <c r="E447" s="78"/>
      <c r="F447" s="78"/>
      <c r="G447" s="78"/>
      <c r="H447" s="78"/>
      <c r="I447" s="79"/>
      <c r="J447" s="86"/>
      <c r="K447" s="87"/>
      <c r="L447" s="86"/>
      <c r="M447" s="87"/>
      <c r="N447" s="77"/>
      <c r="O447" s="79"/>
      <c r="P447" s="92"/>
      <c r="Q447" s="93"/>
      <c r="S447" s="99"/>
      <c r="T447" s="99"/>
      <c r="U447" s="99"/>
      <c r="V447" s="99"/>
      <c r="W447" s="99"/>
      <c r="X447" s="99"/>
      <c r="Y447" s="99"/>
      <c r="Z447" s="99"/>
      <c r="AA447" s="99"/>
      <c r="AB447" s="99"/>
      <c r="AC447" s="98"/>
      <c r="AD447" s="98"/>
      <c r="AE447" s="98"/>
      <c r="AF447" s="98"/>
      <c r="AG447" s="98"/>
      <c r="AH447" s="98"/>
    </row>
    <row r="448" spans="2:34" x14ac:dyDescent="0.25">
      <c r="B448" s="73"/>
      <c r="C448" s="74"/>
      <c r="D448" s="80"/>
      <c r="E448" s="81"/>
      <c r="F448" s="81"/>
      <c r="G448" s="81"/>
      <c r="H448" s="81"/>
      <c r="I448" s="82"/>
      <c r="J448" s="88"/>
      <c r="K448" s="89"/>
      <c r="L448" s="88"/>
      <c r="M448" s="89"/>
      <c r="N448" s="80"/>
      <c r="O448" s="82"/>
      <c r="P448" s="94"/>
      <c r="Q448" s="95"/>
      <c r="S448" s="99"/>
      <c r="T448" s="99"/>
      <c r="U448" s="99"/>
      <c r="V448" s="99"/>
      <c r="W448" s="99"/>
      <c r="X448" s="99"/>
      <c r="Y448" s="99"/>
      <c r="Z448" s="99"/>
      <c r="AA448" s="99"/>
      <c r="AB448" s="99"/>
      <c r="AC448" s="98"/>
      <c r="AD448" s="98"/>
      <c r="AE448" s="98"/>
      <c r="AF448" s="98"/>
      <c r="AG448" s="98"/>
      <c r="AH448" s="98"/>
    </row>
    <row r="449" spans="2:34" x14ac:dyDescent="0.25">
      <c r="B449" s="75"/>
      <c r="C449" s="76"/>
      <c r="D449" s="83"/>
      <c r="E449" s="84"/>
      <c r="F449" s="84"/>
      <c r="G449" s="84"/>
      <c r="H449" s="84"/>
      <c r="I449" s="85"/>
      <c r="J449" s="90"/>
      <c r="K449" s="91"/>
      <c r="L449" s="90"/>
      <c r="M449" s="91"/>
      <c r="N449" s="83"/>
      <c r="O449" s="85"/>
      <c r="P449" s="96"/>
      <c r="Q449" s="97"/>
      <c r="S449" s="99"/>
      <c r="T449" s="99"/>
      <c r="U449" s="99"/>
      <c r="V449" s="99"/>
      <c r="W449" s="99"/>
      <c r="X449" s="99"/>
      <c r="Y449" s="99"/>
      <c r="Z449" s="99"/>
      <c r="AA449" s="99"/>
      <c r="AB449" s="99"/>
      <c r="AC449" s="98"/>
      <c r="AD449" s="98"/>
      <c r="AE449" s="98"/>
      <c r="AF449" s="98"/>
      <c r="AG449" s="98"/>
      <c r="AH449" s="98"/>
    </row>
    <row r="450" spans="2:34" x14ac:dyDescent="0.25">
      <c r="B450" s="71"/>
      <c r="C450" s="72"/>
      <c r="D450" s="77"/>
      <c r="E450" s="78"/>
      <c r="F450" s="78"/>
      <c r="G450" s="78"/>
      <c r="H450" s="78"/>
      <c r="I450" s="79"/>
      <c r="J450" s="86"/>
      <c r="K450" s="87"/>
      <c r="L450" s="86"/>
      <c r="M450" s="87"/>
      <c r="N450" s="77"/>
      <c r="O450" s="79"/>
      <c r="P450" s="92"/>
      <c r="Q450" s="93"/>
      <c r="S450" s="99"/>
      <c r="T450" s="99"/>
      <c r="U450" s="99"/>
      <c r="V450" s="99"/>
      <c r="W450" s="99"/>
      <c r="X450" s="99"/>
      <c r="Y450" s="99"/>
      <c r="Z450" s="99"/>
      <c r="AA450" s="99"/>
      <c r="AB450" s="99"/>
      <c r="AC450" s="98"/>
      <c r="AD450" s="98"/>
      <c r="AE450" s="98"/>
      <c r="AF450" s="98"/>
      <c r="AG450" s="98"/>
      <c r="AH450" s="98"/>
    </row>
    <row r="451" spans="2:34" x14ac:dyDescent="0.25">
      <c r="B451" s="73"/>
      <c r="C451" s="74"/>
      <c r="D451" s="80"/>
      <c r="E451" s="81"/>
      <c r="F451" s="81"/>
      <c r="G451" s="81"/>
      <c r="H451" s="81"/>
      <c r="I451" s="82"/>
      <c r="J451" s="88"/>
      <c r="K451" s="89"/>
      <c r="L451" s="88"/>
      <c r="M451" s="89"/>
      <c r="N451" s="80"/>
      <c r="O451" s="82"/>
      <c r="P451" s="94"/>
      <c r="Q451" s="95"/>
      <c r="S451" s="99"/>
      <c r="T451" s="99"/>
      <c r="U451" s="99"/>
      <c r="V451" s="99"/>
      <c r="W451" s="99"/>
      <c r="X451" s="99"/>
      <c r="Y451" s="99"/>
      <c r="Z451" s="99"/>
      <c r="AA451" s="99"/>
      <c r="AB451" s="99"/>
      <c r="AC451" s="98"/>
      <c r="AD451" s="98"/>
      <c r="AE451" s="98"/>
      <c r="AF451" s="98"/>
      <c r="AG451" s="98"/>
      <c r="AH451" s="98"/>
    </row>
    <row r="452" spans="2:34" x14ac:dyDescent="0.25">
      <c r="B452" s="75"/>
      <c r="C452" s="76"/>
      <c r="D452" s="83"/>
      <c r="E452" s="84"/>
      <c r="F452" s="84"/>
      <c r="G452" s="84"/>
      <c r="H452" s="84"/>
      <c r="I452" s="85"/>
      <c r="J452" s="90"/>
      <c r="K452" s="91"/>
      <c r="L452" s="90"/>
      <c r="M452" s="91"/>
      <c r="N452" s="83"/>
      <c r="O452" s="85"/>
      <c r="P452" s="96"/>
      <c r="Q452" s="97"/>
      <c r="S452" s="99"/>
      <c r="T452" s="99"/>
      <c r="U452" s="99"/>
      <c r="V452" s="99"/>
      <c r="W452" s="99"/>
      <c r="X452" s="99"/>
      <c r="Y452" s="99"/>
      <c r="Z452" s="99"/>
      <c r="AA452" s="99"/>
      <c r="AB452" s="99"/>
      <c r="AC452" s="98"/>
      <c r="AD452" s="98"/>
      <c r="AE452" s="98"/>
      <c r="AF452" s="98"/>
      <c r="AG452" s="98"/>
      <c r="AH452" s="98"/>
    </row>
    <row r="453" spans="2:34" x14ac:dyDescent="0.25">
      <c r="B453" s="71"/>
      <c r="C453" s="72"/>
      <c r="D453" s="77"/>
      <c r="E453" s="78"/>
      <c r="F453" s="78"/>
      <c r="G453" s="78"/>
      <c r="H453" s="78"/>
      <c r="I453" s="79"/>
      <c r="J453" s="86"/>
      <c r="K453" s="87"/>
      <c r="L453" s="86"/>
      <c r="M453" s="87"/>
      <c r="N453" s="77"/>
      <c r="O453" s="79"/>
      <c r="P453" s="92"/>
      <c r="Q453" s="93"/>
      <c r="S453" s="99"/>
      <c r="T453" s="99"/>
      <c r="U453" s="99"/>
      <c r="V453" s="99"/>
      <c r="W453" s="99"/>
      <c r="X453" s="99"/>
      <c r="Y453" s="99"/>
      <c r="Z453" s="99"/>
      <c r="AA453" s="99"/>
      <c r="AB453" s="99"/>
      <c r="AC453" s="98"/>
      <c r="AD453" s="98"/>
      <c r="AE453" s="98"/>
      <c r="AF453" s="98"/>
      <c r="AG453" s="98"/>
      <c r="AH453" s="98"/>
    </row>
    <row r="454" spans="2:34" x14ac:dyDescent="0.25">
      <c r="B454" s="73"/>
      <c r="C454" s="74"/>
      <c r="D454" s="80"/>
      <c r="E454" s="81"/>
      <c r="F454" s="81"/>
      <c r="G454" s="81"/>
      <c r="H454" s="81"/>
      <c r="I454" s="82"/>
      <c r="J454" s="88"/>
      <c r="K454" s="89"/>
      <c r="L454" s="88"/>
      <c r="M454" s="89"/>
      <c r="N454" s="80"/>
      <c r="O454" s="82"/>
      <c r="P454" s="94"/>
      <c r="Q454" s="95"/>
      <c r="S454" s="99"/>
      <c r="T454" s="99"/>
      <c r="U454" s="99"/>
      <c r="V454" s="99"/>
      <c r="W454" s="99"/>
      <c r="X454" s="99"/>
      <c r="Y454" s="99"/>
      <c r="Z454" s="99"/>
      <c r="AA454" s="99"/>
      <c r="AB454" s="99"/>
      <c r="AC454" s="98"/>
      <c r="AD454" s="98"/>
      <c r="AE454" s="98"/>
      <c r="AF454" s="98"/>
      <c r="AG454" s="98"/>
      <c r="AH454" s="98"/>
    </row>
    <row r="455" spans="2:34" x14ac:dyDescent="0.25">
      <c r="B455" s="75"/>
      <c r="C455" s="76"/>
      <c r="D455" s="83"/>
      <c r="E455" s="84"/>
      <c r="F455" s="84"/>
      <c r="G455" s="84"/>
      <c r="H455" s="84"/>
      <c r="I455" s="85"/>
      <c r="J455" s="90"/>
      <c r="K455" s="91"/>
      <c r="L455" s="90"/>
      <c r="M455" s="91"/>
      <c r="N455" s="83"/>
      <c r="O455" s="85"/>
      <c r="P455" s="96"/>
      <c r="Q455" s="97"/>
      <c r="S455" s="99"/>
      <c r="T455" s="99"/>
      <c r="U455" s="99"/>
      <c r="V455" s="99"/>
      <c r="W455" s="99"/>
      <c r="X455" s="99"/>
      <c r="Y455" s="99"/>
      <c r="Z455" s="99"/>
      <c r="AA455" s="99"/>
      <c r="AB455" s="99"/>
      <c r="AC455" s="98"/>
      <c r="AD455" s="98"/>
      <c r="AE455" s="98"/>
      <c r="AF455" s="98"/>
      <c r="AG455" s="98"/>
      <c r="AH455" s="98"/>
    </row>
    <row r="456" spans="2:34" x14ac:dyDescent="0.25">
      <c r="B456" s="71"/>
      <c r="C456" s="72"/>
      <c r="D456" s="77"/>
      <c r="E456" s="78"/>
      <c r="F456" s="78"/>
      <c r="G456" s="78"/>
      <c r="H456" s="78"/>
      <c r="I456" s="79"/>
      <c r="J456" s="86"/>
      <c r="K456" s="87"/>
      <c r="L456" s="86"/>
      <c r="M456" s="87"/>
      <c r="N456" s="77"/>
      <c r="O456" s="79"/>
      <c r="P456" s="92"/>
      <c r="Q456" s="93"/>
      <c r="S456" s="99"/>
      <c r="T456" s="99"/>
      <c r="U456" s="99"/>
      <c r="V456" s="99"/>
      <c r="W456" s="99"/>
      <c r="X456" s="99"/>
      <c r="Y456" s="99"/>
      <c r="Z456" s="99"/>
      <c r="AA456" s="99"/>
      <c r="AB456" s="99"/>
      <c r="AC456" s="98"/>
      <c r="AD456" s="98"/>
      <c r="AE456" s="98"/>
      <c r="AF456" s="98"/>
      <c r="AG456" s="98"/>
      <c r="AH456" s="98"/>
    </row>
    <row r="457" spans="2:34" x14ac:dyDescent="0.25">
      <c r="B457" s="73"/>
      <c r="C457" s="74"/>
      <c r="D457" s="80"/>
      <c r="E457" s="81"/>
      <c r="F457" s="81"/>
      <c r="G457" s="81"/>
      <c r="H457" s="81"/>
      <c r="I457" s="82"/>
      <c r="J457" s="88"/>
      <c r="K457" s="89"/>
      <c r="L457" s="88"/>
      <c r="M457" s="89"/>
      <c r="N457" s="80"/>
      <c r="O457" s="82"/>
      <c r="P457" s="94"/>
      <c r="Q457" s="95"/>
      <c r="S457" s="99"/>
      <c r="T457" s="99"/>
      <c r="U457" s="99"/>
      <c r="V457" s="99"/>
      <c r="W457" s="99"/>
      <c r="X457" s="99"/>
      <c r="Y457" s="99"/>
      <c r="Z457" s="99"/>
      <c r="AA457" s="99"/>
      <c r="AB457" s="99"/>
      <c r="AC457" s="98"/>
      <c r="AD457" s="98"/>
      <c r="AE457" s="98"/>
      <c r="AF457" s="98"/>
      <c r="AG457" s="98"/>
      <c r="AH457" s="98"/>
    </row>
    <row r="458" spans="2:34" x14ac:dyDescent="0.25">
      <c r="B458" s="75"/>
      <c r="C458" s="76"/>
      <c r="D458" s="83"/>
      <c r="E458" s="84"/>
      <c r="F458" s="84"/>
      <c r="G458" s="84"/>
      <c r="H458" s="84"/>
      <c r="I458" s="85"/>
      <c r="J458" s="90"/>
      <c r="K458" s="91"/>
      <c r="L458" s="90"/>
      <c r="M458" s="91"/>
      <c r="N458" s="83"/>
      <c r="O458" s="85"/>
      <c r="P458" s="96"/>
      <c r="Q458" s="97"/>
      <c r="S458" s="99"/>
      <c r="T458" s="99"/>
      <c r="U458" s="99"/>
      <c r="V458" s="99"/>
      <c r="W458" s="99"/>
      <c r="X458" s="99"/>
      <c r="Y458" s="99"/>
      <c r="Z458" s="99"/>
      <c r="AA458" s="99"/>
      <c r="AB458" s="99"/>
      <c r="AC458" s="98"/>
      <c r="AD458" s="98"/>
      <c r="AE458" s="98"/>
      <c r="AF458" s="98"/>
      <c r="AG458" s="98"/>
      <c r="AH458" s="98"/>
    </row>
    <row r="459" spans="2:34" x14ac:dyDescent="0.25">
      <c r="B459" s="71"/>
      <c r="C459" s="72"/>
      <c r="D459" s="77"/>
      <c r="E459" s="78"/>
      <c r="F459" s="78"/>
      <c r="G459" s="78"/>
      <c r="H459" s="78"/>
      <c r="I459" s="79"/>
      <c r="J459" s="86"/>
      <c r="K459" s="87"/>
      <c r="L459" s="86"/>
      <c r="M459" s="87"/>
      <c r="N459" s="77"/>
      <c r="O459" s="79"/>
      <c r="P459" s="92"/>
      <c r="Q459" s="93"/>
      <c r="S459" s="99"/>
      <c r="T459" s="99"/>
      <c r="U459" s="99"/>
      <c r="V459" s="99"/>
      <c r="W459" s="99"/>
      <c r="X459" s="99"/>
      <c r="Y459" s="99"/>
      <c r="Z459" s="99"/>
      <c r="AA459" s="99"/>
      <c r="AB459" s="99"/>
      <c r="AC459" s="98"/>
      <c r="AD459" s="98"/>
      <c r="AE459" s="98"/>
      <c r="AF459" s="98"/>
      <c r="AG459" s="98"/>
      <c r="AH459" s="98"/>
    </row>
    <row r="460" spans="2:34" x14ac:dyDescent="0.25">
      <c r="B460" s="73"/>
      <c r="C460" s="74"/>
      <c r="D460" s="80"/>
      <c r="E460" s="81"/>
      <c r="F460" s="81"/>
      <c r="G460" s="81"/>
      <c r="H460" s="81"/>
      <c r="I460" s="82"/>
      <c r="J460" s="88"/>
      <c r="K460" s="89"/>
      <c r="L460" s="88"/>
      <c r="M460" s="89"/>
      <c r="N460" s="80"/>
      <c r="O460" s="82"/>
      <c r="P460" s="94"/>
      <c r="Q460" s="95"/>
      <c r="S460" s="99"/>
      <c r="T460" s="99"/>
      <c r="U460" s="99"/>
      <c r="V460" s="99"/>
      <c r="W460" s="99"/>
      <c r="X460" s="99"/>
      <c r="Y460" s="99"/>
      <c r="Z460" s="99"/>
      <c r="AA460" s="99"/>
      <c r="AB460" s="99"/>
      <c r="AC460" s="98"/>
      <c r="AD460" s="98"/>
      <c r="AE460" s="98"/>
      <c r="AF460" s="98"/>
      <c r="AG460" s="98"/>
      <c r="AH460" s="98"/>
    </row>
    <row r="461" spans="2:34" x14ac:dyDescent="0.25">
      <c r="B461" s="75"/>
      <c r="C461" s="76"/>
      <c r="D461" s="83"/>
      <c r="E461" s="84"/>
      <c r="F461" s="84"/>
      <c r="G461" s="84"/>
      <c r="H461" s="84"/>
      <c r="I461" s="85"/>
      <c r="J461" s="90"/>
      <c r="K461" s="91"/>
      <c r="L461" s="90"/>
      <c r="M461" s="91"/>
      <c r="N461" s="83"/>
      <c r="O461" s="85"/>
      <c r="P461" s="96"/>
      <c r="Q461" s="97"/>
      <c r="S461" s="99"/>
      <c r="T461" s="99"/>
      <c r="U461" s="99"/>
      <c r="V461" s="99"/>
      <c r="W461" s="99"/>
      <c r="X461" s="99"/>
      <c r="Y461" s="99"/>
      <c r="Z461" s="99"/>
      <c r="AA461" s="99"/>
      <c r="AB461" s="99"/>
      <c r="AC461" s="98"/>
      <c r="AD461" s="98"/>
      <c r="AE461" s="98"/>
      <c r="AF461" s="98"/>
      <c r="AG461" s="98"/>
      <c r="AH461" s="98"/>
    </row>
    <row r="462" spans="2:34" x14ac:dyDescent="0.25">
      <c r="B462" s="71"/>
      <c r="C462" s="72"/>
      <c r="D462" s="77"/>
      <c r="E462" s="78"/>
      <c r="F462" s="78"/>
      <c r="G462" s="78"/>
      <c r="H462" s="78"/>
      <c r="I462" s="79"/>
      <c r="J462" s="86"/>
      <c r="K462" s="87"/>
      <c r="L462" s="86"/>
      <c r="M462" s="87"/>
      <c r="N462" s="77"/>
      <c r="O462" s="79"/>
      <c r="P462" s="92"/>
      <c r="Q462" s="93"/>
      <c r="S462" s="99"/>
      <c r="T462" s="99"/>
      <c r="U462" s="99"/>
      <c r="V462" s="99"/>
      <c r="W462" s="99"/>
      <c r="X462" s="99"/>
      <c r="Y462" s="99"/>
      <c r="Z462" s="99"/>
      <c r="AA462" s="99"/>
      <c r="AB462" s="99"/>
      <c r="AC462" s="98"/>
      <c r="AD462" s="98"/>
      <c r="AE462" s="98"/>
      <c r="AF462" s="98"/>
      <c r="AG462" s="98"/>
      <c r="AH462" s="98"/>
    </row>
    <row r="463" spans="2:34" x14ac:dyDescent="0.25">
      <c r="B463" s="73"/>
      <c r="C463" s="74"/>
      <c r="D463" s="80"/>
      <c r="E463" s="81"/>
      <c r="F463" s="81"/>
      <c r="G463" s="81"/>
      <c r="H463" s="81"/>
      <c r="I463" s="82"/>
      <c r="J463" s="88"/>
      <c r="K463" s="89"/>
      <c r="L463" s="88"/>
      <c r="M463" s="89"/>
      <c r="N463" s="80"/>
      <c r="O463" s="82"/>
      <c r="P463" s="94"/>
      <c r="Q463" s="95"/>
      <c r="S463" s="99"/>
      <c r="T463" s="99"/>
      <c r="U463" s="99"/>
      <c r="V463" s="99"/>
      <c r="W463" s="99"/>
      <c r="X463" s="99"/>
      <c r="Y463" s="99"/>
      <c r="Z463" s="99"/>
      <c r="AA463" s="99"/>
      <c r="AB463" s="99"/>
      <c r="AC463" s="98"/>
      <c r="AD463" s="98"/>
      <c r="AE463" s="98"/>
      <c r="AF463" s="98"/>
      <c r="AG463" s="98"/>
      <c r="AH463" s="98"/>
    </row>
    <row r="464" spans="2:34" x14ac:dyDescent="0.25">
      <c r="B464" s="75"/>
      <c r="C464" s="76"/>
      <c r="D464" s="83"/>
      <c r="E464" s="84"/>
      <c r="F464" s="84"/>
      <c r="G464" s="84"/>
      <c r="H464" s="84"/>
      <c r="I464" s="85"/>
      <c r="J464" s="90"/>
      <c r="K464" s="91"/>
      <c r="L464" s="90"/>
      <c r="M464" s="91"/>
      <c r="N464" s="83"/>
      <c r="O464" s="85"/>
      <c r="P464" s="96"/>
      <c r="Q464" s="97"/>
      <c r="S464" s="99"/>
      <c r="T464" s="99"/>
      <c r="U464" s="99"/>
      <c r="V464" s="99"/>
      <c r="W464" s="99"/>
      <c r="X464" s="99"/>
      <c r="Y464" s="99"/>
      <c r="Z464" s="99"/>
      <c r="AA464" s="99"/>
      <c r="AB464" s="99"/>
      <c r="AC464" s="98"/>
      <c r="AD464" s="98"/>
      <c r="AE464" s="98"/>
      <c r="AF464" s="98"/>
      <c r="AG464" s="98"/>
      <c r="AH464" s="98"/>
    </row>
    <row r="465" spans="2:34" x14ac:dyDescent="0.25">
      <c r="B465" s="71"/>
      <c r="C465" s="72"/>
      <c r="D465" s="77"/>
      <c r="E465" s="78"/>
      <c r="F465" s="78"/>
      <c r="G465" s="78"/>
      <c r="H465" s="78"/>
      <c r="I465" s="79"/>
      <c r="J465" s="86"/>
      <c r="K465" s="87"/>
      <c r="L465" s="86"/>
      <c r="M465" s="87"/>
      <c r="N465" s="77"/>
      <c r="O465" s="79"/>
      <c r="P465" s="92"/>
      <c r="Q465" s="93"/>
      <c r="S465" s="99"/>
      <c r="T465" s="99"/>
      <c r="U465" s="99"/>
      <c r="V465" s="99"/>
      <c r="W465" s="99"/>
      <c r="X465" s="99"/>
      <c r="Y465" s="99"/>
      <c r="Z465" s="99"/>
      <c r="AA465" s="99"/>
      <c r="AB465" s="99"/>
      <c r="AC465" s="98"/>
      <c r="AD465" s="98"/>
      <c r="AE465" s="98"/>
      <c r="AF465" s="98"/>
      <c r="AG465" s="98"/>
      <c r="AH465" s="98"/>
    </row>
    <row r="466" spans="2:34" x14ac:dyDescent="0.25">
      <c r="B466" s="73"/>
      <c r="C466" s="74"/>
      <c r="D466" s="80"/>
      <c r="E466" s="81"/>
      <c r="F466" s="81"/>
      <c r="G466" s="81"/>
      <c r="H466" s="81"/>
      <c r="I466" s="82"/>
      <c r="J466" s="88"/>
      <c r="K466" s="89"/>
      <c r="L466" s="88"/>
      <c r="M466" s="89"/>
      <c r="N466" s="80"/>
      <c r="O466" s="82"/>
      <c r="P466" s="94"/>
      <c r="Q466" s="95"/>
      <c r="S466" s="99"/>
      <c r="T466" s="99"/>
      <c r="U466" s="99"/>
      <c r="V466" s="99"/>
      <c r="W466" s="99"/>
      <c r="X466" s="99"/>
      <c r="Y466" s="99"/>
      <c r="Z466" s="99"/>
      <c r="AA466" s="99"/>
      <c r="AB466" s="99"/>
      <c r="AC466" s="98"/>
      <c r="AD466" s="98"/>
      <c r="AE466" s="98"/>
      <c r="AF466" s="98"/>
      <c r="AG466" s="98"/>
      <c r="AH466" s="98"/>
    </row>
    <row r="467" spans="2:34" x14ac:dyDescent="0.25">
      <c r="B467" s="75"/>
      <c r="C467" s="76"/>
      <c r="D467" s="83"/>
      <c r="E467" s="84"/>
      <c r="F467" s="84"/>
      <c r="G467" s="84"/>
      <c r="H467" s="84"/>
      <c r="I467" s="85"/>
      <c r="J467" s="90"/>
      <c r="K467" s="91"/>
      <c r="L467" s="90"/>
      <c r="M467" s="91"/>
      <c r="N467" s="83"/>
      <c r="O467" s="85"/>
      <c r="P467" s="96"/>
      <c r="Q467" s="97"/>
      <c r="S467" s="99"/>
      <c r="T467" s="99"/>
      <c r="U467" s="99"/>
      <c r="V467" s="99"/>
      <c r="W467" s="99"/>
      <c r="X467" s="99"/>
      <c r="Y467" s="99"/>
      <c r="Z467" s="99"/>
      <c r="AA467" s="99"/>
      <c r="AB467" s="99"/>
      <c r="AC467" s="98"/>
      <c r="AD467" s="98"/>
      <c r="AE467" s="98"/>
      <c r="AF467" s="98"/>
      <c r="AG467" s="98"/>
      <c r="AH467" s="98"/>
    </row>
    <row r="468" spans="2:34" x14ac:dyDescent="0.25">
      <c r="B468" s="71"/>
      <c r="C468" s="72"/>
      <c r="D468" s="77"/>
      <c r="E468" s="78"/>
      <c r="F468" s="78"/>
      <c r="G468" s="78"/>
      <c r="H468" s="78"/>
      <c r="I468" s="79"/>
      <c r="J468" s="86"/>
      <c r="K468" s="87"/>
      <c r="L468" s="86"/>
      <c r="M468" s="87"/>
      <c r="N468" s="77"/>
      <c r="O468" s="79"/>
      <c r="P468" s="92"/>
      <c r="Q468" s="93"/>
      <c r="S468" s="99"/>
      <c r="T468" s="99"/>
      <c r="U468" s="99"/>
      <c r="V468" s="99"/>
      <c r="W468" s="99"/>
      <c r="X468" s="99"/>
      <c r="Y468" s="99"/>
      <c r="Z468" s="99"/>
      <c r="AA468" s="99"/>
      <c r="AB468" s="99"/>
      <c r="AC468" s="98"/>
      <c r="AD468" s="98"/>
      <c r="AE468" s="98"/>
      <c r="AF468" s="98"/>
      <c r="AG468" s="98"/>
      <c r="AH468" s="98"/>
    </row>
    <row r="469" spans="2:34" x14ac:dyDescent="0.25">
      <c r="B469" s="73"/>
      <c r="C469" s="74"/>
      <c r="D469" s="80"/>
      <c r="E469" s="81"/>
      <c r="F469" s="81"/>
      <c r="G469" s="81"/>
      <c r="H469" s="81"/>
      <c r="I469" s="82"/>
      <c r="J469" s="88"/>
      <c r="K469" s="89"/>
      <c r="L469" s="88"/>
      <c r="M469" s="89"/>
      <c r="N469" s="80"/>
      <c r="O469" s="82"/>
      <c r="P469" s="94"/>
      <c r="Q469" s="95"/>
      <c r="S469" s="99"/>
      <c r="T469" s="99"/>
      <c r="U469" s="99"/>
      <c r="V469" s="99"/>
      <c r="W469" s="99"/>
      <c r="X469" s="99"/>
      <c r="Y469" s="99"/>
      <c r="Z469" s="99"/>
      <c r="AA469" s="99"/>
      <c r="AB469" s="99"/>
      <c r="AC469" s="98"/>
      <c r="AD469" s="98"/>
      <c r="AE469" s="98"/>
      <c r="AF469" s="98"/>
      <c r="AG469" s="98"/>
      <c r="AH469" s="98"/>
    </row>
    <row r="470" spans="2:34" x14ac:dyDescent="0.25">
      <c r="B470" s="75"/>
      <c r="C470" s="76"/>
      <c r="D470" s="83"/>
      <c r="E470" s="84"/>
      <c r="F470" s="84"/>
      <c r="G470" s="84"/>
      <c r="H470" s="84"/>
      <c r="I470" s="85"/>
      <c r="J470" s="90"/>
      <c r="K470" s="91"/>
      <c r="L470" s="90"/>
      <c r="M470" s="91"/>
      <c r="N470" s="83"/>
      <c r="O470" s="85"/>
      <c r="P470" s="96"/>
      <c r="Q470" s="97"/>
      <c r="S470" s="99"/>
      <c r="T470" s="99"/>
      <c r="U470" s="99"/>
      <c r="V470" s="99"/>
      <c r="W470" s="99"/>
      <c r="X470" s="99"/>
      <c r="Y470" s="99"/>
      <c r="Z470" s="99"/>
      <c r="AA470" s="99"/>
      <c r="AB470" s="99"/>
      <c r="AC470" s="98"/>
      <c r="AD470" s="98"/>
      <c r="AE470" s="98"/>
      <c r="AF470" s="98"/>
      <c r="AG470" s="98"/>
      <c r="AH470" s="98"/>
    </row>
    <row r="471" spans="2:34" x14ac:dyDescent="0.25">
      <c r="B471" s="71"/>
      <c r="C471" s="72"/>
      <c r="D471" s="77"/>
      <c r="E471" s="78"/>
      <c r="F471" s="78"/>
      <c r="G471" s="78"/>
      <c r="H471" s="78"/>
      <c r="I471" s="79"/>
      <c r="J471" s="86"/>
      <c r="K471" s="87"/>
      <c r="L471" s="86"/>
      <c r="M471" s="87"/>
      <c r="N471" s="77"/>
      <c r="O471" s="79"/>
      <c r="P471" s="92"/>
      <c r="Q471" s="93"/>
      <c r="S471" s="99"/>
      <c r="T471" s="99"/>
      <c r="U471" s="99"/>
      <c r="V471" s="99"/>
      <c r="W471" s="99"/>
      <c r="X471" s="99"/>
      <c r="Y471" s="99"/>
      <c r="Z471" s="99"/>
      <c r="AA471" s="99"/>
      <c r="AB471" s="99"/>
      <c r="AC471" s="98"/>
      <c r="AD471" s="98"/>
      <c r="AE471" s="98"/>
      <c r="AF471" s="98"/>
      <c r="AG471" s="98"/>
      <c r="AH471" s="98"/>
    </row>
    <row r="472" spans="2:34" x14ac:dyDescent="0.25">
      <c r="B472" s="73"/>
      <c r="C472" s="74"/>
      <c r="D472" s="80"/>
      <c r="E472" s="81"/>
      <c r="F472" s="81"/>
      <c r="G472" s="81"/>
      <c r="H472" s="81"/>
      <c r="I472" s="82"/>
      <c r="J472" s="88"/>
      <c r="K472" s="89"/>
      <c r="L472" s="88"/>
      <c r="M472" s="89"/>
      <c r="N472" s="80"/>
      <c r="O472" s="82"/>
      <c r="P472" s="94"/>
      <c r="Q472" s="95"/>
      <c r="S472" s="99"/>
      <c r="T472" s="99"/>
      <c r="U472" s="99"/>
      <c r="V472" s="99"/>
      <c r="W472" s="99"/>
      <c r="X472" s="99"/>
      <c r="Y472" s="99"/>
      <c r="Z472" s="99"/>
      <c r="AA472" s="99"/>
      <c r="AB472" s="99"/>
      <c r="AC472" s="98"/>
      <c r="AD472" s="98"/>
      <c r="AE472" s="98"/>
      <c r="AF472" s="98"/>
      <c r="AG472" s="98"/>
      <c r="AH472" s="98"/>
    </row>
    <row r="473" spans="2:34" x14ac:dyDescent="0.25">
      <c r="B473" s="75"/>
      <c r="C473" s="76"/>
      <c r="D473" s="83"/>
      <c r="E473" s="84"/>
      <c r="F473" s="84"/>
      <c r="G473" s="84"/>
      <c r="H473" s="84"/>
      <c r="I473" s="85"/>
      <c r="J473" s="90"/>
      <c r="K473" s="91"/>
      <c r="L473" s="90"/>
      <c r="M473" s="91"/>
      <c r="N473" s="83"/>
      <c r="O473" s="85"/>
      <c r="P473" s="96"/>
      <c r="Q473" s="97"/>
      <c r="S473" s="99"/>
      <c r="T473" s="99"/>
      <c r="U473" s="99"/>
      <c r="V473" s="99"/>
      <c r="W473" s="99"/>
      <c r="X473" s="99"/>
      <c r="Y473" s="99"/>
      <c r="Z473" s="99"/>
      <c r="AA473" s="99"/>
      <c r="AB473" s="99"/>
      <c r="AC473" s="98"/>
      <c r="AD473" s="98"/>
      <c r="AE473" s="98"/>
      <c r="AF473" s="98"/>
      <c r="AG473" s="98"/>
      <c r="AH473" s="98"/>
    </row>
    <row r="474" spans="2:34" x14ac:dyDescent="0.25">
      <c r="B474" s="71"/>
      <c r="C474" s="72"/>
      <c r="D474" s="77"/>
      <c r="E474" s="78"/>
      <c r="F474" s="78"/>
      <c r="G474" s="78"/>
      <c r="H474" s="78"/>
      <c r="I474" s="79"/>
      <c r="J474" s="86"/>
      <c r="K474" s="87"/>
      <c r="L474" s="86"/>
      <c r="M474" s="87"/>
      <c r="N474" s="77"/>
      <c r="O474" s="79"/>
      <c r="P474" s="92"/>
      <c r="Q474" s="93"/>
      <c r="S474" s="99"/>
      <c r="T474" s="99"/>
      <c r="U474" s="99"/>
      <c r="V474" s="99"/>
      <c r="W474" s="99"/>
      <c r="X474" s="99"/>
      <c r="Y474" s="99"/>
      <c r="Z474" s="99"/>
      <c r="AA474" s="99"/>
      <c r="AB474" s="99"/>
      <c r="AC474" s="98"/>
      <c r="AD474" s="98"/>
      <c r="AE474" s="98"/>
      <c r="AF474" s="98"/>
      <c r="AG474" s="98"/>
      <c r="AH474" s="98"/>
    </row>
    <row r="475" spans="2:34" x14ac:dyDescent="0.25">
      <c r="B475" s="73"/>
      <c r="C475" s="74"/>
      <c r="D475" s="80"/>
      <c r="E475" s="81"/>
      <c r="F475" s="81"/>
      <c r="G475" s="81"/>
      <c r="H475" s="81"/>
      <c r="I475" s="82"/>
      <c r="J475" s="88"/>
      <c r="K475" s="89"/>
      <c r="L475" s="88"/>
      <c r="M475" s="89"/>
      <c r="N475" s="80"/>
      <c r="O475" s="82"/>
      <c r="P475" s="94"/>
      <c r="Q475" s="95"/>
      <c r="S475" s="99"/>
      <c r="T475" s="99"/>
      <c r="U475" s="99"/>
      <c r="V475" s="99"/>
      <c r="W475" s="99"/>
      <c r="X475" s="99"/>
      <c r="Y475" s="99"/>
      <c r="Z475" s="99"/>
      <c r="AA475" s="99"/>
      <c r="AB475" s="99"/>
      <c r="AC475" s="98"/>
      <c r="AD475" s="98"/>
      <c r="AE475" s="98"/>
      <c r="AF475" s="98"/>
      <c r="AG475" s="98"/>
      <c r="AH475" s="98"/>
    </row>
    <row r="476" spans="2:34" x14ac:dyDescent="0.25">
      <c r="B476" s="75"/>
      <c r="C476" s="76"/>
      <c r="D476" s="83"/>
      <c r="E476" s="84"/>
      <c r="F476" s="84"/>
      <c r="G476" s="84"/>
      <c r="H476" s="84"/>
      <c r="I476" s="85"/>
      <c r="J476" s="90"/>
      <c r="K476" s="91"/>
      <c r="L476" s="90"/>
      <c r="M476" s="91"/>
      <c r="N476" s="83"/>
      <c r="O476" s="85"/>
      <c r="P476" s="96"/>
      <c r="Q476" s="97"/>
      <c r="S476" s="99"/>
      <c r="T476" s="99"/>
      <c r="U476" s="99"/>
      <c r="V476" s="99"/>
      <c r="W476" s="99"/>
      <c r="X476" s="99"/>
      <c r="Y476" s="99"/>
      <c r="Z476" s="99"/>
      <c r="AA476" s="99"/>
      <c r="AB476" s="99"/>
      <c r="AC476" s="98"/>
      <c r="AD476" s="98"/>
      <c r="AE476" s="98"/>
      <c r="AF476" s="98"/>
      <c r="AG476" s="98"/>
      <c r="AH476" s="98"/>
    </row>
    <row r="477" spans="2:34" x14ac:dyDescent="0.25">
      <c r="B477" s="71"/>
      <c r="C477" s="72"/>
      <c r="D477" s="77"/>
      <c r="E477" s="78"/>
      <c r="F477" s="78"/>
      <c r="G477" s="78"/>
      <c r="H477" s="78"/>
      <c r="I477" s="79"/>
      <c r="J477" s="86"/>
      <c r="K477" s="87"/>
      <c r="L477" s="86"/>
      <c r="M477" s="87"/>
      <c r="N477" s="77"/>
      <c r="O477" s="79"/>
      <c r="P477" s="92"/>
      <c r="Q477" s="93"/>
      <c r="S477" s="99"/>
      <c r="T477" s="99"/>
      <c r="U477" s="99"/>
      <c r="V477" s="99"/>
      <c r="W477" s="99"/>
      <c r="X477" s="99"/>
      <c r="Y477" s="99"/>
      <c r="Z477" s="99"/>
      <c r="AA477" s="99"/>
      <c r="AB477" s="99"/>
      <c r="AC477" s="98"/>
      <c r="AD477" s="98"/>
      <c r="AE477" s="98"/>
      <c r="AF477" s="98"/>
      <c r="AG477" s="98"/>
      <c r="AH477" s="98"/>
    </row>
    <row r="478" spans="2:34" x14ac:dyDescent="0.25">
      <c r="B478" s="73"/>
      <c r="C478" s="74"/>
      <c r="D478" s="80"/>
      <c r="E478" s="81"/>
      <c r="F478" s="81"/>
      <c r="G478" s="81"/>
      <c r="H478" s="81"/>
      <c r="I478" s="82"/>
      <c r="J478" s="88"/>
      <c r="K478" s="89"/>
      <c r="L478" s="88"/>
      <c r="M478" s="89"/>
      <c r="N478" s="80"/>
      <c r="O478" s="82"/>
      <c r="P478" s="94"/>
      <c r="Q478" s="95"/>
      <c r="S478" s="99"/>
      <c r="T478" s="99"/>
      <c r="U478" s="99"/>
      <c r="V478" s="99"/>
      <c r="W478" s="99"/>
      <c r="X478" s="99"/>
      <c r="Y478" s="99"/>
      <c r="Z478" s="99"/>
      <c r="AA478" s="99"/>
      <c r="AB478" s="99"/>
      <c r="AC478" s="98"/>
      <c r="AD478" s="98"/>
      <c r="AE478" s="98"/>
      <c r="AF478" s="98"/>
      <c r="AG478" s="98"/>
      <c r="AH478" s="98"/>
    </row>
    <row r="479" spans="2:34" x14ac:dyDescent="0.25">
      <c r="B479" s="75"/>
      <c r="C479" s="76"/>
      <c r="D479" s="83"/>
      <c r="E479" s="84"/>
      <c r="F479" s="84"/>
      <c r="G479" s="84"/>
      <c r="H479" s="84"/>
      <c r="I479" s="85"/>
      <c r="J479" s="90"/>
      <c r="K479" s="91"/>
      <c r="L479" s="90"/>
      <c r="M479" s="91"/>
      <c r="N479" s="83"/>
      <c r="O479" s="85"/>
      <c r="P479" s="96"/>
      <c r="Q479" s="97"/>
      <c r="S479" s="99"/>
      <c r="T479" s="99"/>
      <c r="U479" s="99"/>
      <c r="V479" s="99"/>
      <c r="W479" s="99"/>
      <c r="X479" s="99"/>
      <c r="Y479" s="99"/>
      <c r="Z479" s="99"/>
      <c r="AA479" s="99"/>
      <c r="AB479" s="99"/>
      <c r="AC479" s="98"/>
      <c r="AD479" s="98"/>
      <c r="AE479" s="98"/>
      <c r="AF479" s="98"/>
      <c r="AG479" s="98"/>
      <c r="AH479" s="98"/>
    </row>
    <row r="480" spans="2:34" x14ac:dyDescent="0.25">
      <c r="B480" s="71"/>
      <c r="C480" s="72"/>
      <c r="D480" s="77"/>
      <c r="E480" s="78"/>
      <c r="F480" s="78"/>
      <c r="G480" s="78"/>
      <c r="H480" s="78"/>
      <c r="I480" s="79"/>
      <c r="J480" s="86"/>
      <c r="K480" s="87"/>
      <c r="L480" s="86"/>
      <c r="M480" s="87"/>
      <c r="N480" s="77"/>
      <c r="O480" s="79"/>
      <c r="P480" s="92"/>
      <c r="Q480" s="93"/>
      <c r="S480" s="99"/>
      <c r="T480" s="99"/>
      <c r="U480" s="99"/>
      <c r="V480" s="99"/>
      <c r="W480" s="99"/>
      <c r="X480" s="99"/>
      <c r="Y480" s="99"/>
      <c r="Z480" s="99"/>
      <c r="AA480" s="99"/>
      <c r="AB480" s="99"/>
      <c r="AC480" s="98"/>
      <c r="AD480" s="98"/>
      <c r="AE480" s="98"/>
      <c r="AF480" s="98"/>
      <c r="AG480" s="98"/>
      <c r="AH480" s="98"/>
    </row>
    <row r="481" spans="2:34" x14ac:dyDescent="0.25">
      <c r="B481" s="73"/>
      <c r="C481" s="74"/>
      <c r="D481" s="80"/>
      <c r="E481" s="81"/>
      <c r="F481" s="81"/>
      <c r="G481" s="81"/>
      <c r="H481" s="81"/>
      <c r="I481" s="82"/>
      <c r="J481" s="88"/>
      <c r="K481" s="89"/>
      <c r="L481" s="88"/>
      <c r="M481" s="89"/>
      <c r="N481" s="80"/>
      <c r="O481" s="82"/>
      <c r="P481" s="94"/>
      <c r="Q481" s="95"/>
      <c r="S481" s="99"/>
      <c r="T481" s="99"/>
      <c r="U481" s="99"/>
      <c r="V481" s="99"/>
      <c r="W481" s="99"/>
      <c r="X481" s="99"/>
      <c r="Y481" s="99"/>
      <c r="Z481" s="99"/>
      <c r="AA481" s="99"/>
      <c r="AB481" s="99"/>
      <c r="AC481" s="98"/>
      <c r="AD481" s="98"/>
      <c r="AE481" s="98"/>
      <c r="AF481" s="98"/>
      <c r="AG481" s="98"/>
      <c r="AH481" s="98"/>
    </row>
    <row r="482" spans="2:34" x14ac:dyDescent="0.25">
      <c r="B482" s="75"/>
      <c r="C482" s="76"/>
      <c r="D482" s="83"/>
      <c r="E482" s="84"/>
      <c r="F482" s="84"/>
      <c r="G482" s="84"/>
      <c r="H482" s="84"/>
      <c r="I482" s="85"/>
      <c r="J482" s="90"/>
      <c r="K482" s="91"/>
      <c r="L482" s="90"/>
      <c r="M482" s="91"/>
      <c r="N482" s="83"/>
      <c r="O482" s="85"/>
      <c r="P482" s="96"/>
      <c r="Q482" s="97"/>
      <c r="S482" s="99"/>
      <c r="T482" s="99"/>
      <c r="U482" s="99"/>
      <c r="V482" s="99"/>
      <c r="W482" s="99"/>
      <c r="X482" s="99"/>
      <c r="Y482" s="99"/>
      <c r="Z482" s="99"/>
      <c r="AA482" s="99"/>
      <c r="AB482" s="99"/>
      <c r="AC482" s="98"/>
      <c r="AD482" s="98"/>
      <c r="AE482" s="98"/>
      <c r="AF482" s="98"/>
      <c r="AG482" s="98"/>
      <c r="AH482" s="98"/>
    </row>
    <row r="483" spans="2:34" x14ac:dyDescent="0.25">
      <c r="B483" s="71"/>
      <c r="C483" s="72"/>
      <c r="D483" s="77"/>
      <c r="E483" s="78"/>
      <c r="F483" s="78"/>
      <c r="G483" s="78"/>
      <c r="H483" s="78"/>
      <c r="I483" s="79"/>
      <c r="J483" s="86"/>
      <c r="K483" s="87"/>
      <c r="L483" s="86"/>
      <c r="M483" s="87"/>
      <c r="N483" s="77"/>
      <c r="O483" s="79"/>
      <c r="P483" s="92"/>
      <c r="Q483" s="93"/>
      <c r="S483" s="99"/>
      <c r="T483" s="99"/>
      <c r="U483" s="99"/>
      <c r="V483" s="99"/>
      <c r="W483" s="99"/>
      <c r="X483" s="99"/>
      <c r="Y483" s="99"/>
      <c r="Z483" s="99"/>
      <c r="AA483" s="99"/>
      <c r="AB483" s="99"/>
      <c r="AC483" s="98"/>
      <c r="AD483" s="98"/>
      <c r="AE483" s="98"/>
      <c r="AF483" s="98"/>
      <c r="AG483" s="98"/>
      <c r="AH483" s="98"/>
    </row>
    <row r="484" spans="2:34" x14ac:dyDescent="0.25">
      <c r="B484" s="73"/>
      <c r="C484" s="74"/>
      <c r="D484" s="80"/>
      <c r="E484" s="81"/>
      <c r="F484" s="81"/>
      <c r="G484" s="81"/>
      <c r="H484" s="81"/>
      <c r="I484" s="82"/>
      <c r="J484" s="88"/>
      <c r="K484" s="89"/>
      <c r="L484" s="88"/>
      <c r="M484" s="89"/>
      <c r="N484" s="80"/>
      <c r="O484" s="82"/>
      <c r="P484" s="94"/>
      <c r="Q484" s="95"/>
      <c r="S484" s="99"/>
      <c r="T484" s="99"/>
      <c r="U484" s="99"/>
      <c r="V484" s="99"/>
      <c r="W484" s="99"/>
      <c r="X484" s="99"/>
      <c r="Y484" s="99"/>
      <c r="Z484" s="99"/>
      <c r="AA484" s="99"/>
      <c r="AB484" s="99"/>
      <c r="AC484" s="98"/>
      <c r="AD484" s="98"/>
      <c r="AE484" s="98"/>
      <c r="AF484" s="98"/>
      <c r="AG484" s="98"/>
      <c r="AH484" s="98"/>
    </row>
    <row r="485" spans="2:34" x14ac:dyDescent="0.25">
      <c r="B485" s="75"/>
      <c r="C485" s="76"/>
      <c r="D485" s="83"/>
      <c r="E485" s="84"/>
      <c r="F485" s="84"/>
      <c r="G485" s="84"/>
      <c r="H485" s="84"/>
      <c r="I485" s="85"/>
      <c r="J485" s="90"/>
      <c r="K485" s="91"/>
      <c r="L485" s="90"/>
      <c r="M485" s="91"/>
      <c r="N485" s="83"/>
      <c r="O485" s="85"/>
      <c r="P485" s="96"/>
      <c r="Q485" s="97"/>
      <c r="S485" s="99"/>
      <c r="T485" s="99"/>
      <c r="U485" s="99"/>
      <c r="V485" s="99"/>
      <c r="W485" s="99"/>
      <c r="X485" s="99"/>
      <c r="Y485" s="99"/>
      <c r="Z485" s="99"/>
      <c r="AA485" s="99"/>
      <c r="AB485" s="99"/>
      <c r="AC485" s="98"/>
      <c r="AD485" s="98"/>
      <c r="AE485" s="98"/>
      <c r="AF485" s="98"/>
      <c r="AG485" s="98"/>
      <c r="AH485" s="98"/>
    </row>
    <row r="486" spans="2:34" x14ac:dyDescent="0.25">
      <c r="B486" s="71"/>
      <c r="C486" s="72"/>
      <c r="D486" s="77"/>
      <c r="E486" s="78"/>
      <c r="F486" s="78"/>
      <c r="G486" s="78"/>
      <c r="H486" s="78"/>
      <c r="I486" s="79"/>
      <c r="J486" s="86"/>
      <c r="K486" s="87"/>
      <c r="L486" s="86"/>
      <c r="M486" s="87"/>
      <c r="N486" s="77"/>
      <c r="O486" s="79"/>
      <c r="P486" s="92"/>
      <c r="Q486" s="93"/>
      <c r="S486" s="99"/>
      <c r="T486" s="99"/>
      <c r="U486" s="99"/>
      <c r="V486" s="99"/>
      <c r="W486" s="99"/>
      <c r="X486" s="99"/>
      <c r="Y486" s="99"/>
      <c r="Z486" s="99"/>
      <c r="AA486" s="99"/>
      <c r="AB486" s="99"/>
      <c r="AC486" s="98"/>
      <c r="AD486" s="98"/>
      <c r="AE486" s="98"/>
      <c r="AF486" s="98"/>
      <c r="AG486" s="98"/>
      <c r="AH486" s="98"/>
    </row>
    <row r="487" spans="2:34" x14ac:dyDescent="0.25">
      <c r="B487" s="73"/>
      <c r="C487" s="74"/>
      <c r="D487" s="80"/>
      <c r="E487" s="81"/>
      <c r="F487" s="81"/>
      <c r="G487" s="81"/>
      <c r="H487" s="81"/>
      <c r="I487" s="82"/>
      <c r="J487" s="88"/>
      <c r="K487" s="89"/>
      <c r="L487" s="88"/>
      <c r="M487" s="89"/>
      <c r="N487" s="80"/>
      <c r="O487" s="82"/>
      <c r="P487" s="94"/>
      <c r="Q487" s="95"/>
      <c r="S487" s="99"/>
      <c r="T487" s="99"/>
      <c r="U487" s="99"/>
      <c r="V487" s="99"/>
      <c r="W487" s="99"/>
      <c r="X487" s="99"/>
      <c r="Y487" s="99"/>
      <c r="Z487" s="99"/>
      <c r="AA487" s="99"/>
      <c r="AB487" s="99"/>
      <c r="AC487" s="98"/>
      <c r="AD487" s="98"/>
      <c r="AE487" s="98"/>
      <c r="AF487" s="98"/>
      <c r="AG487" s="98"/>
      <c r="AH487" s="98"/>
    </row>
    <row r="488" spans="2:34" x14ac:dyDescent="0.25">
      <c r="B488" s="75"/>
      <c r="C488" s="76"/>
      <c r="D488" s="83"/>
      <c r="E488" s="84"/>
      <c r="F488" s="84"/>
      <c r="G488" s="84"/>
      <c r="H488" s="84"/>
      <c r="I488" s="85"/>
      <c r="J488" s="90"/>
      <c r="K488" s="91"/>
      <c r="L488" s="90"/>
      <c r="M488" s="91"/>
      <c r="N488" s="83"/>
      <c r="O488" s="85"/>
      <c r="P488" s="96"/>
      <c r="Q488" s="97"/>
      <c r="S488" s="99"/>
      <c r="T488" s="99"/>
      <c r="U488" s="99"/>
      <c r="V488" s="99"/>
      <c r="W488" s="99"/>
      <c r="X488" s="99"/>
      <c r="Y488" s="99"/>
      <c r="Z488" s="99"/>
      <c r="AA488" s="99"/>
      <c r="AB488" s="99"/>
      <c r="AC488" s="98"/>
      <c r="AD488" s="98"/>
      <c r="AE488" s="98"/>
      <c r="AF488" s="98"/>
      <c r="AG488" s="98"/>
      <c r="AH488" s="98"/>
    </row>
    <row r="489" spans="2:34" x14ac:dyDescent="0.25">
      <c r="B489" s="71"/>
      <c r="C489" s="72"/>
      <c r="D489" s="77"/>
      <c r="E489" s="78"/>
      <c r="F489" s="78"/>
      <c r="G489" s="78"/>
      <c r="H489" s="78"/>
      <c r="I489" s="79"/>
      <c r="J489" s="86"/>
      <c r="K489" s="87"/>
      <c r="L489" s="86"/>
      <c r="M489" s="87"/>
      <c r="N489" s="77"/>
      <c r="O489" s="79"/>
      <c r="P489" s="92"/>
      <c r="Q489" s="93"/>
      <c r="S489" s="99"/>
      <c r="T489" s="99"/>
      <c r="U489" s="99"/>
      <c r="V489" s="99"/>
      <c r="W489" s="99"/>
      <c r="X489" s="99"/>
      <c r="Y489" s="99"/>
      <c r="Z489" s="99"/>
      <c r="AA489" s="99"/>
      <c r="AB489" s="99"/>
      <c r="AC489" s="98"/>
      <c r="AD489" s="98"/>
      <c r="AE489" s="98"/>
      <c r="AF489" s="98"/>
      <c r="AG489" s="98"/>
      <c r="AH489" s="98"/>
    </row>
    <row r="490" spans="2:34" x14ac:dyDescent="0.25">
      <c r="B490" s="73"/>
      <c r="C490" s="74"/>
      <c r="D490" s="80"/>
      <c r="E490" s="81"/>
      <c r="F490" s="81"/>
      <c r="G490" s="81"/>
      <c r="H490" s="81"/>
      <c r="I490" s="82"/>
      <c r="J490" s="88"/>
      <c r="K490" s="89"/>
      <c r="L490" s="88"/>
      <c r="M490" s="89"/>
      <c r="N490" s="80"/>
      <c r="O490" s="82"/>
      <c r="P490" s="94"/>
      <c r="Q490" s="95"/>
      <c r="S490" s="99"/>
      <c r="T490" s="99"/>
      <c r="U490" s="99"/>
      <c r="V490" s="99"/>
      <c r="W490" s="99"/>
      <c r="X490" s="99"/>
      <c r="Y490" s="99"/>
      <c r="Z490" s="99"/>
      <c r="AA490" s="99"/>
      <c r="AB490" s="99"/>
      <c r="AC490" s="98"/>
      <c r="AD490" s="98"/>
      <c r="AE490" s="98"/>
      <c r="AF490" s="98"/>
      <c r="AG490" s="98"/>
      <c r="AH490" s="98"/>
    </row>
    <row r="491" spans="2:34" x14ac:dyDescent="0.25">
      <c r="B491" s="75"/>
      <c r="C491" s="76"/>
      <c r="D491" s="83"/>
      <c r="E491" s="84"/>
      <c r="F491" s="84"/>
      <c r="G491" s="84"/>
      <c r="H491" s="84"/>
      <c r="I491" s="85"/>
      <c r="J491" s="90"/>
      <c r="K491" s="91"/>
      <c r="L491" s="90"/>
      <c r="M491" s="91"/>
      <c r="N491" s="83"/>
      <c r="O491" s="85"/>
      <c r="P491" s="96"/>
      <c r="Q491" s="97"/>
      <c r="S491" s="99"/>
      <c r="T491" s="99"/>
      <c r="U491" s="99"/>
      <c r="V491" s="99"/>
      <c r="W491" s="99"/>
      <c r="X491" s="99"/>
      <c r="Y491" s="99"/>
      <c r="Z491" s="99"/>
      <c r="AA491" s="99"/>
      <c r="AB491" s="99"/>
      <c r="AC491" s="98"/>
      <c r="AD491" s="98"/>
      <c r="AE491" s="98"/>
      <c r="AF491" s="98"/>
      <c r="AG491" s="98"/>
      <c r="AH491" s="98"/>
    </row>
    <row r="492" spans="2:34" x14ac:dyDescent="0.25">
      <c r="B492" s="71"/>
      <c r="C492" s="72"/>
      <c r="D492" s="77"/>
      <c r="E492" s="78"/>
      <c r="F492" s="78"/>
      <c r="G492" s="78"/>
      <c r="H492" s="78"/>
      <c r="I492" s="79"/>
      <c r="J492" s="86"/>
      <c r="K492" s="87"/>
      <c r="L492" s="86"/>
      <c r="M492" s="87"/>
      <c r="N492" s="77"/>
      <c r="O492" s="79"/>
      <c r="P492" s="92"/>
      <c r="Q492" s="93"/>
      <c r="S492" s="99"/>
      <c r="T492" s="99"/>
      <c r="U492" s="99"/>
      <c r="V492" s="99"/>
      <c r="W492" s="99"/>
      <c r="X492" s="99"/>
      <c r="Y492" s="99"/>
      <c r="Z492" s="99"/>
      <c r="AA492" s="99"/>
      <c r="AB492" s="99"/>
      <c r="AC492" s="98"/>
      <c r="AD492" s="98"/>
      <c r="AE492" s="98"/>
      <c r="AF492" s="98"/>
      <c r="AG492" s="98"/>
      <c r="AH492" s="98"/>
    </row>
    <row r="493" spans="2:34" x14ac:dyDescent="0.25">
      <c r="B493" s="73"/>
      <c r="C493" s="74"/>
      <c r="D493" s="80"/>
      <c r="E493" s="81"/>
      <c r="F493" s="81"/>
      <c r="G493" s="81"/>
      <c r="H493" s="81"/>
      <c r="I493" s="82"/>
      <c r="J493" s="88"/>
      <c r="K493" s="89"/>
      <c r="L493" s="88"/>
      <c r="M493" s="89"/>
      <c r="N493" s="80"/>
      <c r="O493" s="82"/>
      <c r="P493" s="94"/>
      <c r="Q493" s="95"/>
      <c r="S493" s="99"/>
      <c r="T493" s="99"/>
      <c r="U493" s="99"/>
      <c r="V493" s="99"/>
      <c r="W493" s="99"/>
      <c r="X493" s="99"/>
      <c r="Y493" s="99"/>
      <c r="Z493" s="99"/>
      <c r="AA493" s="99"/>
      <c r="AB493" s="99"/>
      <c r="AC493" s="98"/>
      <c r="AD493" s="98"/>
      <c r="AE493" s="98"/>
      <c r="AF493" s="98"/>
      <c r="AG493" s="98"/>
      <c r="AH493" s="98"/>
    </row>
    <row r="494" spans="2:34" x14ac:dyDescent="0.25">
      <c r="B494" s="75"/>
      <c r="C494" s="76"/>
      <c r="D494" s="83"/>
      <c r="E494" s="84"/>
      <c r="F494" s="84"/>
      <c r="G494" s="84"/>
      <c r="H494" s="84"/>
      <c r="I494" s="85"/>
      <c r="J494" s="90"/>
      <c r="K494" s="91"/>
      <c r="L494" s="90"/>
      <c r="M494" s="91"/>
      <c r="N494" s="83"/>
      <c r="O494" s="85"/>
      <c r="P494" s="96"/>
      <c r="Q494" s="97"/>
      <c r="S494" s="99"/>
      <c r="T494" s="99"/>
      <c r="U494" s="99"/>
      <c r="V494" s="99"/>
      <c r="W494" s="99"/>
      <c r="X494" s="99"/>
      <c r="Y494" s="99"/>
      <c r="Z494" s="99"/>
      <c r="AA494" s="99"/>
      <c r="AB494" s="99"/>
      <c r="AC494" s="98"/>
      <c r="AD494" s="98"/>
      <c r="AE494" s="98"/>
      <c r="AF494" s="98"/>
      <c r="AG494" s="98"/>
      <c r="AH494" s="98"/>
    </row>
    <row r="495" spans="2:34" x14ac:dyDescent="0.25">
      <c r="B495" s="71"/>
      <c r="C495" s="72"/>
      <c r="D495" s="77"/>
      <c r="E495" s="78"/>
      <c r="F495" s="78"/>
      <c r="G495" s="78"/>
      <c r="H495" s="78"/>
      <c r="I495" s="79"/>
      <c r="J495" s="86"/>
      <c r="K495" s="87"/>
      <c r="L495" s="86"/>
      <c r="M495" s="87"/>
      <c r="N495" s="77"/>
      <c r="O495" s="79"/>
      <c r="P495" s="92"/>
      <c r="Q495" s="93"/>
      <c r="S495" s="99"/>
      <c r="T495" s="99"/>
      <c r="U495" s="99"/>
      <c r="V495" s="99"/>
      <c r="W495" s="99"/>
      <c r="X495" s="99"/>
      <c r="Y495" s="99"/>
      <c r="Z495" s="99"/>
      <c r="AA495" s="99"/>
      <c r="AB495" s="99"/>
      <c r="AC495" s="98"/>
      <c r="AD495" s="98"/>
      <c r="AE495" s="98"/>
      <c r="AF495" s="98"/>
      <c r="AG495" s="98"/>
      <c r="AH495" s="98"/>
    </row>
    <row r="496" spans="2:34" x14ac:dyDescent="0.25">
      <c r="B496" s="73"/>
      <c r="C496" s="74"/>
      <c r="D496" s="80"/>
      <c r="E496" s="81"/>
      <c r="F496" s="81"/>
      <c r="G496" s="81"/>
      <c r="H496" s="81"/>
      <c r="I496" s="82"/>
      <c r="J496" s="88"/>
      <c r="K496" s="89"/>
      <c r="L496" s="88"/>
      <c r="M496" s="89"/>
      <c r="N496" s="80"/>
      <c r="O496" s="82"/>
      <c r="P496" s="94"/>
      <c r="Q496" s="95"/>
      <c r="S496" s="99"/>
      <c r="T496" s="99"/>
      <c r="U496" s="99"/>
      <c r="V496" s="99"/>
      <c r="W496" s="99"/>
      <c r="X496" s="99"/>
      <c r="Y496" s="99"/>
      <c r="Z496" s="99"/>
      <c r="AA496" s="99"/>
      <c r="AB496" s="99"/>
      <c r="AC496" s="98"/>
      <c r="AD496" s="98"/>
      <c r="AE496" s="98"/>
      <c r="AF496" s="98"/>
      <c r="AG496" s="98"/>
      <c r="AH496" s="98"/>
    </row>
    <row r="497" spans="2:34" x14ac:dyDescent="0.25">
      <c r="B497" s="75"/>
      <c r="C497" s="76"/>
      <c r="D497" s="83"/>
      <c r="E497" s="84"/>
      <c r="F497" s="84"/>
      <c r="G497" s="84"/>
      <c r="H497" s="84"/>
      <c r="I497" s="85"/>
      <c r="J497" s="90"/>
      <c r="K497" s="91"/>
      <c r="L497" s="90"/>
      <c r="M497" s="91"/>
      <c r="N497" s="83"/>
      <c r="O497" s="85"/>
      <c r="P497" s="96"/>
      <c r="Q497" s="97"/>
      <c r="S497" s="99"/>
      <c r="T497" s="99"/>
      <c r="U497" s="99"/>
      <c r="V497" s="99"/>
      <c r="W497" s="99"/>
      <c r="X497" s="99"/>
      <c r="Y497" s="99"/>
      <c r="Z497" s="99"/>
      <c r="AA497" s="99"/>
      <c r="AB497" s="99"/>
      <c r="AC497" s="98"/>
      <c r="AD497" s="98"/>
      <c r="AE497" s="98"/>
      <c r="AF497" s="98"/>
      <c r="AG497" s="98"/>
      <c r="AH497" s="98"/>
    </row>
    <row r="498" spans="2:34" x14ac:dyDescent="0.25">
      <c r="B498" s="71"/>
      <c r="C498" s="72"/>
      <c r="D498" s="77"/>
      <c r="E498" s="78"/>
      <c r="F498" s="78"/>
      <c r="G498" s="78"/>
      <c r="H498" s="78"/>
      <c r="I498" s="79"/>
      <c r="J498" s="86"/>
      <c r="K498" s="87"/>
      <c r="L498" s="86"/>
      <c r="M498" s="87"/>
      <c r="N498" s="77"/>
      <c r="O498" s="79"/>
      <c r="P498" s="92"/>
      <c r="Q498" s="93"/>
      <c r="S498" s="99"/>
      <c r="T498" s="99"/>
      <c r="U498" s="99"/>
      <c r="V498" s="99"/>
      <c r="W498" s="99"/>
      <c r="X498" s="99"/>
      <c r="Y498" s="99"/>
      <c r="Z498" s="99"/>
      <c r="AA498" s="99"/>
      <c r="AB498" s="99"/>
      <c r="AC498" s="98"/>
      <c r="AD498" s="98"/>
      <c r="AE498" s="98"/>
      <c r="AF498" s="98"/>
      <c r="AG498" s="98"/>
      <c r="AH498" s="98"/>
    </row>
    <row r="499" spans="2:34" x14ac:dyDescent="0.25">
      <c r="B499" s="73"/>
      <c r="C499" s="74"/>
      <c r="D499" s="80"/>
      <c r="E499" s="81"/>
      <c r="F499" s="81"/>
      <c r="G499" s="81"/>
      <c r="H499" s="81"/>
      <c r="I499" s="82"/>
      <c r="J499" s="88"/>
      <c r="K499" s="89"/>
      <c r="L499" s="88"/>
      <c r="M499" s="89"/>
      <c r="N499" s="80"/>
      <c r="O499" s="82"/>
      <c r="P499" s="94"/>
      <c r="Q499" s="95"/>
      <c r="S499" s="99"/>
      <c r="T499" s="99"/>
      <c r="U499" s="99"/>
      <c r="V499" s="99"/>
      <c r="W499" s="99"/>
      <c r="X499" s="99"/>
      <c r="Y499" s="99"/>
      <c r="Z499" s="99"/>
      <c r="AA499" s="99"/>
      <c r="AB499" s="99"/>
      <c r="AC499" s="98"/>
      <c r="AD499" s="98"/>
      <c r="AE499" s="98"/>
      <c r="AF499" s="98"/>
      <c r="AG499" s="98"/>
      <c r="AH499" s="98"/>
    </row>
    <row r="500" spans="2:34" x14ac:dyDescent="0.25">
      <c r="B500" s="75"/>
      <c r="C500" s="76"/>
      <c r="D500" s="83"/>
      <c r="E500" s="84"/>
      <c r="F500" s="84"/>
      <c r="G500" s="84"/>
      <c r="H500" s="84"/>
      <c r="I500" s="85"/>
      <c r="J500" s="90"/>
      <c r="K500" s="91"/>
      <c r="L500" s="90"/>
      <c r="M500" s="91"/>
      <c r="N500" s="83"/>
      <c r="O500" s="85"/>
      <c r="P500" s="96"/>
      <c r="Q500" s="97"/>
      <c r="S500" s="99"/>
      <c r="T500" s="99"/>
      <c r="U500" s="99"/>
      <c r="V500" s="99"/>
      <c r="W500" s="99"/>
      <c r="X500" s="99"/>
      <c r="Y500" s="99"/>
      <c r="Z500" s="99"/>
      <c r="AA500" s="99"/>
      <c r="AB500" s="99"/>
      <c r="AC500" s="98"/>
      <c r="AD500" s="98"/>
      <c r="AE500" s="98"/>
      <c r="AF500" s="98"/>
      <c r="AG500" s="98"/>
      <c r="AH500" s="98"/>
    </row>
    <row r="501" spans="2:34" x14ac:dyDescent="0.25">
      <c r="B501" s="71"/>
      <c r="C501" s="72"/>
      <c r="D501" s="77"/>
      <c r="E501" s="78"/>
      <c r="F501" s="78"/>
      <c r="G501" s="78"/>
      <c r="H501" s="78"/>
      <c r="I501" s="79"/>
      <c r="J501" s="86"/>
      <c r="K501" s="87"/>
      <c r="L501" s="86"/>
      <c r="M501" s="87"/>
      <c r="N501" s="77"/>
      <c r="O501" s="79"/>
      <c r="P501" s="92"/>
      <c r="Q501" s="93"/>
      <c r="S501" s="99"/>
      <c r="T501" s="99"/>
      <c r="U501" s="99"/>
      <c r="V501" s="99"/>
      <c r="W501" s="99"/>
      <c r="X501" s="99"/>
      <c r="Y501" s="99"/>
      <c r="Z501" s="99"/>
      <c r="AA501" s="99"/>
      <c r="AB501" s="99"/>
      <c r="AC501" s="98"/>
      <c r="AD501" s="98"/>
      <c r="AE501" s="98"/>
      <c r="AF501" s="98"/>
      <c r="AG501" s="98"/>
      <c r="AH501" s="98"/>
    </row>
    <row r="502" spans="2:34" x14ac:dyDescent="0.25">
      <c r="B502" s="73"/>
      <c r="C502" s="74"/>
      <c r="D502" s="80"/>
      <c r="E502" s="81"/>
      <c r="F502" s="81"/>
      <c r="G502" s="81"/>
      <c r="H502" s="81"/>
      <c r="I502" s="82"/>
      <c r="J502" s="88"/>
      <c r="K502" s="89"/>
      <c r="L502" s="88"/>
      <c r="M502" s="89"/>
      <c r="N502" s="80"/>
      <c r="O502" s="82"/>
      <c r="P502" s="94"/>
      <c r="Q502" s="95"/>
      <c r="S502" s="99"/>
      <c r="T502" s="99"/>
      <c r="U502" s="99"/>
      <c r="V502" s="99"/>
      <c r="W502" s="99"/>
      <c r="X502" s="99"/>
      <c r="Y502" s="99"/>
      <c r="Z502" s="99"/>
      <c r="AA502" s="99"/>
      <c r="AB502" s="99"/>
      <c r="AC502" s="98"/>
      <c r="AD502" s="98"/>
      <c r="AE502" s="98"/>
      <c r="AF502" s="98"/>
      <c r="AG502" s="98"/>
      <c r="AH502" s="98"/>
    </row>
    <row r="503" spans="2:34" x14ac:dyDescent="0.25">
      <c r="B503" s="75"/>
      <c r="C503" s="76"/>
      <c r="D503" s="83"/>
      <c r="E503" s="84"/>
      <c r="F503" s="84"/>
      <c r="G503" s="84"/>
      <c r="H503" s="84"/>
      <c r="I503" s="85"/>
      <c r="J503" s="90"/>
      <c r="K503" s="91"/>
      <c r="L503" s="90"/>
      <c r="M503" s="91"/>
      <c r="N503" s="83"/>
      <c r="O503" s="85"/>
      <c r="P503" s="96"/>
      <c r="Q503" s="97"/>
      <c r="S503" s="99"/>
      <c r="T503" s="99"/>
      <c r="U503" s="99"/>
      <c r="V503" s="99"/>
      <c r="W503" s="99"/>
      <c r="X503" s="99"/>
      <c r="Y503" s="99"/>
      <c r="Z503" s="99"/>
      <c r="AA503" s="99"/>
      <c r="AB503" s="99"/>
      <c r="AC503" s="98"/>
      <c r="AD503" s="98"/>
      <c r="AE503" s="98"/>
      <c r="AF503" s="98"/>
      <c r="AG503" s="98"/>
      <c r="AH503" s="98"/>
    </row>
    <row r="504" spans="2:34" x14ac:dyDescent="0.25">
      <c r="B504" s="71"/>
      <c r="C504" s="72"/>
      <c r="D504" s="77"/>
      <c r="E504" s="78"/>
      <c r="F504" s="78"/>
      <c r="G504" s="78"/>
      <c r="H504" s="78"/>
      <c r="I504" s="79"/>
      <c r="J504" s="86"/>
      <c r="K504" s="87"/>
      <c r="L504" s="86"/>
      <c r="M504" s="87"/>
      <c r="N504" s="77"/>
      <c r="O504" s="79"/>
      <c r="P504" s="92"/>
      <c r="Q504" s="93"/>
      <c r="S504" s="99"/>
      <c r="T504" s="99"/>
      <c r="U504" s="99"/>
      <c r="V504" s="99"/>
      <c r="W504" s="99"/>
      <c r="X504" s="99"/>
      <c r="Y504" s="99"/>
      <c r="Z504" s="99"/>
      <c r="AA504" s="99"/>
      <c r="AB504" s="99"/>
      <c r="AC504" s="98"/>
      <c r="AD504" s="98"/>
      <c r="AE504" s="98"/>
      <c r="AF504" s="98"/>
      <c r="AG504" s="98"/>
      <c r="AH504" s="98"/>
    </row>
    <row r="505" spans="2:34" x14ac:dyDescent="0.25">
      <c r="B505" s="73"/>
      <c r="C505" s="74"/>
      <c r="D505" s="80"/>
      <c r="E505" s="81"/>
      <c r="F505" s="81"/>
      <c r="G505" s="81"/>
      <c r="H505" s="81"/>
      <c r="I505" s="82"/>
      <c r="J505" s="88"/>
      <c r="K505" s="89"/>
      <c r="L505" s="88"/>
      <c r="M505" s="89"/>
      <c r="N505" s="80"/>
      <c r="O505" s="82"/>
      <c r="P505" s="94"/>
      <c r="Q505" s="95"/>
      <c r="S505" s="99"/>
      <c r="T505" s="99"/>
      <c r="U505" s="99"/>
      <c r="V505" s="99"/>
      <c r="W505" s="99"/>
      <c r="X505" s="99"/>
      <c r="Y505" s="99"/>
      <c r="Z505" s="99"/>
      <c r="AA505" s="99"/>
      <c r="AB505" s="99"/>
      <c r="AC505" s="98"/>
      <c r="AD505" s="98"/>
      <c r="AE505" s="98"/>
      <c r="AF505" s="98"/>
      <c r="AG505" s="98"/>
      <c r="AH505" s="98"/>
    </row>
    <row r="506" spans="2:34" x14ac:dyDescent="0.25">
      <c r="B506" s="75"/>
      <c r="C506" s="76"/>
      <c r="D506" s="83"/>
      <c r="E506" s="84"/>
      <c r="F506" s="84"/>
      <c r="G506" s="84"/>
      <c r="H506" s="84"/>
      <c r="I506" s="85"/>
      <c r="J506" s="90"/>
      <c r="K506" s="91"/>
      <c r="L506" s="90"/>
      <c r="M506" s="91"/>
      <c r="N506" s="83"/>
      <c r="O506" s="85"/>
      <c r="P506" s="96"/>
      <c r="Q506" s="97"/>
      <c r="S506" s="99"/>
      <c r="T506" s="99"/>
      <c r="U506" s="99"/>
      <c r="V506" s="99"/>
      <c r="W506" s="99"/>
      <c r="X506" s="99"/>
      <c r="Y506" s="99"/>
      <c r="Z506" s="99"/>
      <c r="AA506" s="99"/>
      <c r="AB506" s="99"/>
      <c r="AC506" s="98"/>
      <c r="AD506" s="98"/>
      <c r="AE506" s="98"/>
      <c r="AF506" s="98"/>
      <c r="AG506" s="98"/>
      <c r="AH506" s="98"/>
    </row>
    <row r="507" spans="2:34" x14ac:dyDescent="0.25">
      <c r="B507" s="71"/>
      <c r="C507" s="72"/>
      <c r="D507" s="77"/>
      <c r="E507" s="78"/>
      <c r="F507" s="78"/>
      <c r="G507" s="78"/>
      <c r="H507" s="78"/>
      <c r="I507" s="79"/>
      <c r="J507" s="86"/>
      <c r="K507" s="87"/>
      <c r="L507" s="86"/>
      <c r="M507" s="87"/>
      <c r="N507" s="77"/>
      <c r="O507" s="79"/>
      <c r="P507" s="92"/>
      <c r="Q507" s="93"/>
      <c r="S507" s="99"/>
      <c r="T507" s="99"/>
      <c r="U507" s="99"/>
      <c r="V507" s="99"/>
      <c r="W507" s="99"/>
      <c r="X507" s="99"/>
      <c r="Y507" s="99"/>
      <c r="Z507" s="99"/>
      <c r="AA507" s="99"/>
      <c r="AB507" s="99"/>
      <c r="AC507" s="98"/>
      <c r="AD507" s="98"/>
      <c r="AE507" s="98"/>
      <c r="AF507" s="98"/>
      <c r="AG507" s="98"/>
      <c r="AH507" s="98"/>
    </row>
    <row r="508" spans="2:34" x14ac:dyDescent="0.25">
      <c r="B508" s="73"/>
      <c r="C508" s="74"/>
      <c r="D508" s="80"/>
      <c r="E508" s="81"/>
      <c r="F508" s="81"/>
      <c r="G508" s="81"/>
      <c r="H508" s="81"/>
      <c r="I508" s="82"/>
      <c r="J508" s="88"/>
      <c r="K508" s="89"/>
      <c r="L508" s="88"/>
      <c r="M508" s="89"/>
      <c r="N508" s="80"/>
      <c r="O508" s="82"/>
      <c r="P508" s="94"/>
      <c r="Q508" s="95"/>
      <c r="S508" s="99"/>
      <c r="T508" s="99"/>
      <c r="U508" s="99"/>
      <c r="V508" s="99"/>
      <c r="W508" s="99"/>
      <c r="X508" s="99"/>
      <c r="Y508" s="99"/>
      <c r="Z508" s="99"/>
      <c r="AA508" s="99"/>
      <c r="AB508" s="99"/>
      <c r="AC508" s="98"/>
      <c r="AD508" s="98"/>
      <c r="AE508" s="98"/>
      <c r="AF508" s="98"/>
      <c r="AG508" s="98"/>
      <c r="AH508" s="98"/>
    </row>
    <row r="509" spans="2:34" x14ac:dyDescent="0.25">
      <c r="B509" s="75"/>
      <c r="C509" s="76"/>
      <c r="D509" s="83"/>
      <c r="E509" s="84"/>
      <c r="F509" s="84"/>
      <c r="G509" s="84"/>
      <c r="H509" s="84"/>
      <c r="I509" s="85"/>
      <c r="J509" s="90"/>
      <c r="K509" s="91"/>
      <c r="L509" s="90"/>
      <c r="M509" s="91"/>
      <c r="N509" s="83"/>
      <c r="O509" s="85"/>
      <c r="P509" s="96"/>
      <c r="Q509" s="97"/>
      <c r="S509" s="99"/>
      <c r="T509" s="99"/>
      <c r="U509" s="99"/>
      <c r="V509" s="99"/>
      <c r="W509" s="99"/>
      <c r="X509" s="99"/>
      <c r="Y509" s="99"/>
      <c r="Z509" s="99"/>
      <c r="AA509" s="99"/>
      <c r="AB509" s="99"/>
      <c r="AC509" s="98"/>
      <c r="AD509" s="98"/>
      <c r="AE509" s="98"/>
      <c r="AF509" s="98"/>
      <c r="AG509" s="98"/>
      <c r="AH509" s="98"/>
    </row>
    <row r="510" spans="2:34" x14ac:dyDescent="0.25">
      <c r="B510" s="71"/>
      <c r="C510" s="72"/>
      <c r="D510" s="77"/>
      <c r="E510" s="78"/>
      <c r="F510" s="78"/>
      <c r="G510" s="78"/>
      <c r="H510" s="78"/>
      <c r="I510" s="79"/>
      <c r="J510" s="86"/>
      <c r="K510" s="87"/>
      <c r="L510" s="86"/>
      <c r="M510" s="87"/>
      <c r="N510" s="77"/>
      <c r="O510" s="79"/>
      <c r="P510" s="92"/>
      <c r="Q510" s="93"/>
      <c r="S510" s="99"/>
      <c r="T510" s="99"/>
      <c r="U510" s="99"/>
      <c r="V510" s="99"/>
      <c r="W510" s="99"/>
      <c r="X510" s="99"/>
      <c r="Y510" s="99"/>
      <c r="Z510" s="99"/>
      <c r="AA510" s="99"/>
      <c r="AB510" s="99"/>
      <c r="AC510" s="98"/>
      <c r="AD510" s="98"/>
      <c r="AE510" s="98"/>
      <c r="AF510" s="98"/>
      <c r="AG510" s="98"/>
      <c r="AH510" s="98"/>
    </row>
    <row r="511" spans="2:34" x14ac:dyDescent="0.25">
      <c r="B511" s="73"/>
      <c r="C511" s="74"/>
      <c r="D511" s="80"/>
      <c r="E511" s="81"/>
      <c r="F511" s="81"/>
      <c r="G511" s="81"/>
      <c r="H511" s="81"/>
      <c r="I511" s="82"/>
      <c r="J511" s="88"/>
      <c r="K511" s="89"/>
      <c r="L511" s="88"/>
      <c r="M511" s="89"/>
      <c r="N511" s="80"/>
      <c r="O511" s="82"/>
      <c r="P511" s="94"/>
      <c r="Q511" s="95"/>
      <c r="S511" s="99"/>
      <c r="T511" s="99"/>
      <c r="U511" s="99"/>
      <c r="V511" s="99"/>
      <c r="W511" s="99"/>
      <c r="X511" s="99"/>
      <c r="Y511" s="99"/>
      <c r="Z511" s="99"/>
      <c r="AA511" s="99"/>
      <c r="AB511" s="99"/>
      <c r="AC511" s="98"/>
      <c r="AD511" s="98"/>
      <c r="AE511" s="98"/>
      <c r="AF511" s="98"/>
      <c r="AG511" s="98"/>
      <c r="AH511" s="98"/>
    </row>
    <row r="512" spans="2:34" x14ac:dyDescent="0.25">
      <c r="B512" s="75"/>
      <c r="C512" s="76"/>
      <c r="D512" s="83"/>
      <c r="E512" s="84"/>
      <c r="F512" s="84"/>
      <c r="G512" s="84"/>
      <c r="H512" s="84"/>
      <c r="I512" s="85"/>
      <c r="J512" s="90"/>
      <c r="K512" s="91"/>
      <c r="L512" s="90"/>
      <c r="M512" s="91"/>
      <c r="N512" s="83"/>
      <c r="O512" s="85"/>
      <c r="P512" s="96"/>
      <c r="Q512" s="97"/>
      <c r="S512" s="99"/>
      <c r="T512" s="99"/>
      <c r="U512" s="99"/>
      <c r="V512" s="99"/>
      <c r="W512" s="99"/>
      <c r="X512" s="99"/>
      <c r="Y512" s="99"/>
      <c r="Z512" s="99"/>
      <c r="AA512" s="99"/>
      <c r="AB512" s="99"/>
      <c r="AC512" s="98"/>
      <c r="AD512" s="98"/>
      <c r="AE512" s="98"/>
      <c r="AF512" s="98"/>
      <c r="AG512" s="98"/>
      <c r="AH512" s="98"/>
    </row>
    <row r="513" spans="2:34" x14ac:dyDescent="0.25">
      <c r="B513" s="71"/>
      <c r="C513" s="72"/>
      <c r="D513" s="77"/>
      <c r="E513" s="78"/>
      <c r="F513" s="78"/>
      <c r="G513" s="78"/>
      <c r="H513" s="78"/>
      <c r="I513" s="79"/>
      <c r="J513" s="86"/>
      <c r="K513" s="87"/>
      <c r="L513" s="86"/>
      <c r="M513" s="87"/>
      <c r="N513" s="77"/>
      <c r="O513" s="79"/>
      <c r="P513" s="92"/>
      <c r="Q513" s="93"/>
      <c r="S513" s="99"/>
      <c r="T513" s="99"/>
      <c r="U513" s="99"/>
      <c r="V513" s="99"/>
      <c r="W513" s="99"/>
      <c r="X513" s="99"/>
      <c r="Y513" s="99"/>
      <c r="Z513" s="99"/>
      <c r="AA513" s="99"/>
      <c r="AB513" s="99"/>
      <c r="AC513" s="98"/>
      <c r="AD513" s="98"/>
      <c r="AE513" s="98"/>
      <c r="AF513" s="98"/>
      <c r="AG513" s="98"/>
      <c r="AH513" s="98"/>
    </row>
    <row r="514" spans="2:34" x14ac:dyDescent="0.25">
      <c r="B514" s="73"/>
      <c r="C514" s="74"/>
      <c r="D514" s="80"/>
      <c r="E514" s="81"/>
      <c r="F514" s="81"/>
      <c r="G514" s="81"/>
      <c r="H514" s="81"/>
      <c r="I514" s="82"/>
      <c r="J514" s="88"/>
      <c r="K514" s="89"/>
      <c r="L514" s="88"/>
      <c r="M514" s="89"/>
      <c r="N514" s="80"/>
      <c r="O514" s="82"/>
      <c r="P514" s="94"/>
      <c r="Q514" s="95"/>
      <c r="S514" s="99"/>
      <c r="T514" s="99"/>
      <c r="U514" s="99"/>
      <c r="V514" s="99"/>
      <c r="W514" s="99"/>
      <c r="X514" s="99"/>
      <c r="Y514" s="99"/>
      <c r="Z514" s="99"/>
      <c r="AA514" s="99"/>
      <c r="AB514" s="99"/>
      <c r="AC514" s="98"/>
      <c r="AD514" s="98"/>
      <c r="AE514" s="98"/>
      <c r="AF514" s="98"/>
      <c r="AG514" s="98"/>
      <c r="AH514" s="98"/>
    </row>
    <row r="515" spans="2:34" x14ac:dyDescent="0.25">
      <c r="B515" s="75"/>
      <c r="C515" s="76"/>
      <c r="D515" s="83"/>
      <c r="E515" s="84"/>
      <c r="F515" s="84"/>
      <c r="G515" s="84"/>
      <c r="H515" s="84"/>
      <c r="I515" s="85"/>
      <c r="J515" s="90"/>
      <c r="K515" s="91"/>
      <c r="L515" s="90"/>
      <c r="M515" s="91"/>
      <c r="N515" s="83"/>
      <c r="O515" s="85"/>
      <c r="P515" s="96"/>
      <c r="Q515" s="97"/>
      <c r="S515" s="99"/>
      <c r="T515" s="99"/>
      <c r="U515" s="99"/>
      <c r="V515" s="99"/>
      <c r="W515" s="99"/>
      <c r="X515" s="99"/>
      <c r="Y515" s="99"/>
      <c r="Z515" s="99"/>
      <c r="AA515" s="99"/>
      <c r="AB515" s="99"/>
      <c r="AC515" s="98"/>
      <c r="AD515" s="98"/>
      <c r="AE515" s="98"/>
      <c r="AF515" s="98"/>
      <c r="AG515" s="98"/>
      <c r="AH515" s="98"/>
    </row>
    <row r="516" spans="2:34" x14ac:dyDescent="0.25">
      <c r="B516" s="71"/>
      <c r="C516" s="72"/>
      <c r="D516" s="77"/>
      <c r="E516" s="78"/>
      <c r="F516" s="78"/>
      <c r="G516" s="78"/>
      <c r="H516" s="78"/>
      <c r="I516" s="79"/>
      <c r="J516" s="86"/>
      <c r="K516" s="87"/>
      <c r="L516" s="86"/>
      <c r="M516" s="87"/>
      <c r="N516" s="77"/>
      <c r="O516" s="79"/>
      <c r="P516" s="92"/>
      <c r="Q516" s="93"/>
      <c r="S516" s="99"/>
      <c r="T516" s="99"/>
      <c r="U516" s="99"/>
      <c r="V516" s="99"/>
      <c r="W516" s="99"/>
      <c r="X516" s="99"/>
      <c r="Y516" s="99"/>
      <c r="Z516" s="99"/>
      <c r="AA516" s="99"/>
      <c r="AB516" s="99"/>
      <c r="AC516" s="98"/>
      <c r="AD516" s="98"/>
      <c r="AE516" s="98"/>
      <c r="AF516" s="98"/>
      <c r="AG516" s="98"/>
      <c r="AH516" s="98"/>
    </row>
    <row r="517" spans="2:34" x14ac:dyDescent="0.25">
      <c r="B517" s="73"/>
      <c r="C517" s="74"/>
      <c r="D517" s="80"/>
      <c r="E517" s="81"/>
      <c r="F517" s="81"/>
      <c r="G517" s="81"/>
      <c r="H517" s="81"/>
      <c r="I517" s="82"/>
      <c r="J517" s="88"/>
      <c r="K517" s="89"/>
      <c r="L517" s="88"/>
      <c r="M517" s="89"/>
      <c r="N517" s="80"/>
      <c r="O517" s="82"/>
      <c r="P517" s="94"/>
      <c r="Q517" s="95"/>
      <c r="S517" s="99"/>
      <c r="T517" s="99"/>
      <c r="U517" s="99"/>
      <c r="V517" s="99"/>
      <c r="W517" s="99"/>
      <c r="X517" s="99"/>
      <c r="Y517" s="99"/>
      <c r="Z517" s="99"/>
      <c r="AA517" s="99"/>
      <c r="AB517" s="99"/>
      <c r="AC517" s="98"/>
      <c r="AD517" s="98"/>
      <c r="AE517" s="98"/>
      <c r="AF517" s="98"/>
      <c r="AG517" s="98"/>
      <c r="AH517" s="98"/>
    </row>
    <row r="518" spans="2:34" x14ac:dyDescent="0.25">
      <c r="B518" s="75"/>
      <c r="C518" s="76"/>
      <c r="D518" s="83"/>
      <c r="E518" s="84"/>
      <c r="F518" s="84"/>
      <c r="G518" s="84"/>
      <c r="H518" s="84"/>
      <c r="I518" s="85"/>
      <c r="J518" s="90"/>
      <c r="K518" s="91"/>
      <c r="L518" s="90"/>
      <c r="M518" s="91"/>
      <c r="N518" s="83"/>
      <c r="O518" s="85"/>
      <c r="P518" s="96"/>
      <c r="Q518" s="97"/>
      <c r="S518" s="99"/>
      <c r="T518" s="99"/>
      <c r="U518" s="99"/>
      <c r="V518" s="99"/>
      <c r="W518" s="99"/>
      <c r="X518" s="99"/>
      <c r="Y518" s="99"/>
      <c r="Z518" s="99"/>
      <c r="AA518" s="99"/>
      <c r="AB518" s="99"/>
      <c r="AC518" s="98"/>
      <c r="AD518" s="98"/>
      <c r="AE518" s="98"/>
      <c r="AF518" s="98"/>
      <c r="AG518" s="98"/>
      <c r="AH518" s="98"/>
    </row>
    <row r="519" spans="2:34" x14ac:dyDescent="0.25">
      <c r="B519" s="71"/>
      <c r="C519" s="72"/>
      <c r="D519" s="77"/>
      <c r="E519" s="78"/>
      <c r="F519" s="78"/>
      <c r="G519" s="78"/>
      <c r="H519" s="78"/>
      <c r="I519" s="79"/>
      <c r="J519" s="86"/>
      <c r="K519" s="87"/>
      <c r="L519" s="86"/>
      <c r="M519" s="87"/>
      <c r="N519" s="77"/>
      <c r="O519" s="79"/>
      <c r="P519" s="92"/>
      <c r="Q519" s="93"/>
      <c r="S519" s="99"/>
      <c r="T519" s="99"/>
      <c r="U519" s="99"/>
      <c r="V519" s="99"/>
      <c r="W519" s="99"/>
      <c r="X519" s="99"/>
      <c r="Y519" s="99"/>
      <c r="Z519" s="99"/>
      <c r="AA519" s="99"/>
      <c r="AB519" s="99"/>
      <c r="AC519" s="98"/>
      <c r="AD519" s="98"/>
      <c r="AE519" s="98"/>
      <c r="AF519" s="98"/>
      <c r="AG519" s="98"/>
      <c r="AH519" s="98"/>
    </row>
    <row r="520" spans="2:34" x14ac:dyDescent="0.25">
      <c r="B520" s="73"/>
      <c r="C520" s="74"/>
      <c r="D520" s="80"/>
      <c r="E520" s="81"/>
      <c r="F520" s="81"/>
      <c r="G520" s="81"/>
      <c r="H520" s="81"/>
      <c r="I520" s="82"/>
      <c r="J520" s="88"/>
      <c r="K520" s="89"/>
      <c r="L520" s="88"/>
      <c r="M520" s="89"/>
      <c r="N520" s="80"/>
      <c r="O520" s="82"/>
      <c r="P520" s="94"/>
      <c r="Q520" s="95"/>
      <c r="S520" s="99"/>
      <c r="T520" s="99"/>
      <c r="U520" s="99"/>
      <c r="V520" s="99"/>
      <c r="W520" s="99"/>
      <c r="X520" s="99"/>
      <c r="Y520" s="99"/>
      <c r="Z520" s="99"/>
      <c r="AA520" s="99"/>
      <c r="AB520" s="99"/>
      <c r="AC520" s="98"/>
      <c r="AD520" s="98"/>
      <c r="AE520" s="98"/>
      <c r="AF520" s="98"/>
      <c r="AG520" s="98"/>
      <c r="AH520" s="98"/>
    </row>
    <row r="521" spans="2:34" x14ac:dyDescent="0.25">
      <c r="B521" s="75"/>
      <c r="C521" s="76"/>
      <c r="D521" s="83"/>
      <c r="E521" s="84"/>
      <c r="F521" s="84"/>
      <c r="G521" s="84"/>
      <c r="H521" s="84"/>
      <c r="I521" s="85"/>
      <c r="J521" s="90"/>
      <c r="K521" s="91"/>
      <c r="L521" s="90"/>
      <c r="M521" s="91"/>
      <c r="N521" s="83"/>
      <c r="O521" s="85"/>
      <c r="P521" s="96"/>
      <c r="Q521" s="97"/>
      <c r="S521" s="99"/>
      <c r="T521" s="99"/>
      <c r="U521" s="99"/>
      <c r="V521" s="99"/>
      <c r="W521" s="99"/>
      <c r="X521" s="99"/>
      <c r="Y521" s="99"/>
      <c r="Z521" s="99"/>
      <c r="AA521" s="99"/>
      <c r="AB521" s="99"/>
      <c r="AC521" s="98"/>
      <c r="AD521" s="98"/>
      <c r="AE521" s="98"/>
      <c r="AF521" s="98"/>
      <c r="AG521" s="98"/>
      <c r="AH521" s="98"/>
    </row>
    <row r="522" spans="2:34" x14ac:dyDescent="0.25">
      <c r="B522" s="71"/>
      <c r="C522" s="72"/>
      <c r="D522" s="77"/>
      <c r="E522" s="78"/>
      <c r="F522" s="78"/>
      <c r="G522" s="78"/>
      <c r="H522" s="78"/>
      <c r="I522" s="79"/>
      <c r="J522" s="86"/>
      <c r="K522" s="87"/>
      <c r="L522" s="86"/>
      <c r="M522" s="87"/>
      <c r="N522" s="77"/>
      <c r="O522" s="79"/>
      <c r="P522" s="92"/>
      <c r="Q522" s="93"/>
      <c r="S522" s="99"/>
      <c r="T522" s="99"/>
      <c r="U522" s="99"/>
      <c r="V522" s="99"/>
      <c r="W522" s="99"/>
      <c r="X522" s="99"/>
      <c r="Y522" s="99"/>
      <c r="Z522" s="99"/>
      <c r="AA522" s="99"/>
      <c r="AB522" s="99"/>
      <c r="AC522" s="98"/>
      <c r="AD522" s="98"/>
      <c r="AE522" s="98"/>
      <c r="AF522" s="98"/>
      <c r="AG522" s="98"/>
      <c r="AH522" s="98"/>
    </row>
    <row r="523" spans="2:34" x14ac:dyDescent="0.25">
      <c r="B523" s="73"/>
      <c r="C523" s="74"/>
      <c r="D523" s="80"/>
      <c r="E523" s="81"/>
      <c r="F523" s="81"/>
      <c r="G523" s="81"/>
      <c r="H523" s="81"/>
      <c r="I523" s="82"/>
      <c r="J523" s="88"/>
      <c r="K523" s="89"/>
      <c r="L523" s="88"/>
      <c r="M523" s="89"/>
      <c r="N523" s="80"/>
      <c r="O523" s="82"/>
      <c r="P523" s="94"/>
      <c r="Q523" s="95"/>
      <c r="S523" s="99"/>
      <c r="T523" s="99"/>
      <c r="U523" s="99"/>
      <c r="V523" s="99"/>
      <c r="W523" s="99"/>
      <c r="X523" s="99"/>
      <c r="Y523" s="99"/>
      <c r="Z523" s="99"/>
      <c r="AA523" s="99"/>
      <c r="AB523" s="99"/>
      <c r="AC523" s="98"/>
      <c r="AD523" s="98"/>
      <c r="AE523" s="98"/>
      <c r="AF523" s="98"/>
      <c r="AG523" s="98"/>
      <c r="AH523" s="98"/>
    </row>
    <row r="524" spans="2:34" x14ac:dyDescent="0.25">
      <c r="B524" s="75"/>
      <c r="C524" s="76"/>
      <c r="D524" s="83"/>
      <c r="E524" s="84"/>
      <c r="F524" s="84"/>
      <c r="G524" s="84"/>
      <c r="H524" s="84"/>
      <c r="I524" s="85"/>
      <c r="J524" s="90"/>
      <c r="K524" s="91"/>
      <c r="L524" s="90"/>
      <c r="M524" s="91"/>
      <c r="N524" s="83"/>
      <c r="O524" s="85"/>
      <c r="P524" s="96"/>
      <c r="Q524" s="97"/>
      <c r="S524" s="99"/>
      <c r="T524" s="99"/>
      <c r="U524" s="99"/>
      <c r="V524" s="99"/>
      <c r="W524" s="99"/>
      <c r="X524" s="99"/>
      <c r="Y524" s="99"/>
      <c r="Z524" s="99"/>
      <c r="AA524" s="99"/>
      <c r="AB524" s="99"/>
      <c r="AC524" s="98"/>
      <c r="AD524" s="98"/>
      <c r="AE524" s="98"/>
      <c r="AF524" s="98"/>
      <c r="AG524" s="98"/>
      <c r="AH524" s="98"/>
    </row>
    <row r="525" spans="2:34" x14ac:dyDescent="0.25">
      <c r="B525" s="71"/>
      <c r="C525" s="72"/>
      <c r="D525" s="77"/>
      <c r="E525" s="78"/>
      <c r="F525" s="78"/>
      <c r="G525" s="78"/>
      <c r="H525" s="78"/>
      <c r="I525" s="79"/>
      <c r="J525" s="86"/>
      <c r="K525" s="87"/>
      <c r="L525" s="86"/>
      <c r="M525" s="87"/>
      <c r="N525" s="77"/>
      <c r="O525" s="79"/>
      <c r="P525" s="92"/>
      <c r="Q525" s="93"/>
      <c r="S525" s="99"/>
      <c r="T525" s="99"/>
      <c r="U525" s="99"/>
      <c r="V525" s="99"/>
      <c r="W525" s="99"/>
      <c r="X525" s="99"/>
      <c r="Y525" s="99"/>
      <c r="Z525" s="99"/>
      <c r="AA525" s="99"/>
      <c r="AB525" s="99"/>
      <c r="AC525" s="98"/>
      <c r="AD525" s="98"/>
      <c r="AE525" s="98"/>
      <c r="AF525" s="98"/>
      <c r="AG525" s="98"/>
      <c r="AH525" s="98"/>
    </row>
    <row r="526" spans="2:34" x14ac:dyDescent="0.25">
      <c r="B526" s="73"/>
      <c r="C526" s="74"/>
      <c r="D526" s="80"/>
      <c r="E526" s="81"/>
      <c r="F526" s="81"/>
      <c r="G526" s="81"/>
      <c r="H526" s="81"/>
      <c r="I526" s="82"/>
      <c r="J526" s="88"/>
      <c r="K526" s="89"/>
      <c r="L526" s="88"/>
      <c r="M526" s="89"/>
      <c r="N526" s="80"/>
      <c r="O526" s="82"/>
      <c r="P526" s="94"/>
      <c r="Q526" s="95"/>
      <c r="S526" s="99"/>
      <c r="T526" s="99"/>
      <c r="U526" s="99"/>
      <c r="V526" s="99"/>
      <c r="W526" s="99"/>
      <c r="X526" s="99"/>
      <c r="Y526" s="99"/>
      <c r="Z526" s="99"/>
      <c r="AA526" s="99"/>
      <c r="AB526" s="99"/>
      <c r="AC526" s="98"/>
      <c r="AD526" s="98"/>
      <c r="AE526" s="98"/>
      <c r="AF526" s="98"/>
      <c r="AG526" s="98"/>
      <c r="AH526" s="98"/>
    </row>
    <row r="527" spans="2:34" x14ac:dyDescent="0.25">
      <c r="B527" s="75"/>
      <c r="C527" s="76"/>
      <c r="D527" s="83"/>
      <c r="E527" s="84"/>
      <c r="F527" s="84"/>
      <c r="G527" s="84"/>
      <c r="H527" s="84"/>
      <c r="I527" s="85"/>
      <c r="J527" s="90"/>
      <c r="K527" s="91"/>
      <c r="L527" s="90"/>
      <c r="M527" s="91"/>
      <c r="N527" s="83"/>
      <c r="O527" s="85"/>
      <c r="P527" s="96"/>
      <c r="Q527" s="97"/>
      <c r="S527" s="99"/>
      <c r="T527" s="99"/>
      <c r="U527" s="99"/>
      <c r="V527" s="99"/>
      <c r="W527" s="99"/>
      <c r="X527" s="99"/>
      <c r="Y527" s="99"/>
      <c r="Z527" s="99"/>
      <c r="AA527" s="99"/>
      <c r="AB527" s="99"/>
      <c r="AC527" s="98"/>
      <c r="AD527" s="98"/>
      <c r="AE527" s="98"/>
      <c r="AF527" s="98"/>
      <c r="AG527" s="98"/>
      <c r="AH527" s="98"/>
    </row>
    <row r="528" spans="2:34" x14ac:dyDescent="0.25">
      <c r="B528" s="71"/>
      <c r="C528" s="72"/>
      <c r="D528" s="77"/>
      <c r="E528" s="78"/>
      <c r="F528" s="78"/>
      <c r="G528" s="78"/>
      <c r="H528" s="78"/>
      <c r="I528" s="79"/>
      <c r="J528" s="86"/>
      <c r="K528" s="87"/>
      <c r="L528" s="86"/>
      <c r="M528" s="87"/>
      <c r="N528" s="77"/>
      <c r="O528" s="79"/>
      <c r="P528" s="92"/>
      <c r="Q528" s="93"/>
      <c r="S528" s="99"/>
      <c r="T528" s="99"/>
      <c r="U528" s="99"/>
      <c r="V528" s="99"/>
      <c r="W528" s="99"/>
      <c r="X528" s="99"/>
      <c r="Y528" s="99"/>
      <c r="Z528" s="99"/>
      <c r="AA528" s="99"/>
      <c r="AB528" s="99"/>
      <c r="AC528" s="98"/>
      <c r="AD528" s="98"/>
      <c r="AE528" s="98"/>
      <c r="AF528" s="98"/>
      <c r="AG528" s="98"/>
      <c r="AH528" s="98"/>
    </row>
    <row r="529" spans="2:34" x14ac:dyDescent="0.25">
      <c r="B529" s="73"/>
      <c r="C529" s="74"/>
      <c r="D529" s="80"/>
      <c r="E529" s="81"/>
      <c r="F529" s="81"/>
      <c r="G529" s="81"/>
      <c r="H529" s="81"/>
      <c r="I529" s="82"/>
      <c r="J529" s="88"/>
      <c r="K529" s="89"/>
      <c r="L529" s="88"/>
      <c r="M529" s="89"/>
      <c r="N529" s="80"/>
      <c r="O529" s="82"/>
      <c r="P529" s="94"/>
      <c r="Q529" s="95"/>
      <c r="S529" s="99"/>
      <c r="T529" s="99"/>
      <c r="U529" s="99"/>
      <c r="V529" s="99"/>
      <c r="W529" s="99"/>
      <c r="X529" s="99"/>
      <c r="Y529" s="99"/>
      <c r="Z529" s="99"/>
      <c r="AA529" s="99"/>
      <c r="AB529" s="99"/>
      <c r="AC529" s="98"/>
      <c r="AD529" s="98"/>
      <c r="AE529" s="98"/>
      <c r="AF529" s="98"/>
      <c r="AG529" s="98"/>
      <c r="AH529" s="98"/>
    </row>
    <row r="530" spans="2:34" x14ac:dyDescent="0.25">
      <c r="B530" s="75"/>
      <c r="C530" s="76"/>
      <c r="D530" s="83"/>
      <c r="E530" s="84"/>
      <c r="F530" s="84"/>
      <c r="G530" s="84"/>
      <c r="H530" s="84"/>
      <c r="I530" s="85"/>
      <c r="J530" s="90"/>
      <c r="K530" s="91"/>
      <c r="L530" s="90"/>
      <c r="M530" s="91"/>
      <c r="N530" s="83"/>
      <c r="O530" s="85"/>
      <c r="P530" s="96"/>
      <c r="Q530" s="97"/>
      <c r="S530" s="99"/>
      <c r="T530" s="99"/>
      <c r="U530" s="99"/>
      <c r="V530" s="99"/>
      <c r="W530" s="99"/>
      <c r="X530" s="99"/>
      <c r="Y530" s="99"/>
      <c r="Z530" s="99"/>
      <c r="AA530" s="99"/>
      <c r="AB530" s="99"/>
      <c r="AC530" s="98"/>
      <c r="AD530" s="98"/>
      <c r="AE530" s="98"/>
      <c r="AF530" s="98"/>
      <c r="AG530" s="98"/>
      <c r="AH530" s="98"/>
    </row>
    <row r="531" spans="2:34" x14ac:dyDescent="0.25">
      <c r="B531" s="71"/>
      <c r="C531" s="72"/>
      <c r="D531" s="77"/>
      <c r="E531" s="78"/>
      <c r="F531" s="78"/>
      <c r="G531" s="78"/>
      <c r="H531" s="78"/>
      <c r="I531" s="79"/>
      <c r="J531" s="86"/>
      <c r="K531" s="87"/>
      <c r="L531" s="86"/>
      <c r="M531" s="87"/>
      <c r="N531" s="77"/>
      <c r="O531" s="79"/>
      <c r="P531" s="92"/>
      <c r="Q531" s="93"/>
      <c r="S531" s="99"/>
      <c r="T531" s="99"/>
      <c r="U531" s="99"/>
      <c r="V531" s="99"/>
      <c r="W531" s="99"/>
      <c r="X531" s="99"/>
      <c r="Y531" s="99"/>
      <c r="Z531" s="99"/>
      <c r="AA531" s="99"/>
      <c r="AB531" s="99"/>
      <c r="AC531" s="98"/>
      <c r="AD531" s="98"/>
      <c r="AE531" s="98"/>
      <c r="AF531" s="98"/>
      <c r="AG531" s="98"/>
      <c r="AH531" s="98"/>
    </row>
    <row r="532" spans="2:34" x14ac:dyDescent="0.25">
      <c r="B532" s="73"/>
      <c r="C532" s="74"/>
      <c r="D532" s="80"/>
      <c r="E532" s="81"/>
      <c r="F532" s="81"/>
      <c r="G532" s="81"/>
      <c r="H532" s="81"/>
      <c r="I532" s="82"/>
      <c r="J532" s="88"/>
      <c r="K532" s="89"/>
      <c r="L532" s="88"/>
      <c r="M532" s="89"/>
      <c r="N532" s="80"/>
      <c r="O532" s="82"/>
      <c r="P532" s="94"/>
      <c r="Q532" s="95"/>
      <c r="S532" s="99"/>
      <c r="T532" s="99"/>
      <c r="U532" s="99"/>
      <c r="V532" s="99"/>
      <c r="W532" s="99"/>
      <c r="X532" s="99"/>
      <c r="Y532" s="99"/>
      <c r="Z532" s="99"/>
      <c r="AA532" s="99"/>
      <c r="AB532" s="99"/>
      <c r="AC532" s="98"/>
      <c r="AD532" s="98"/>
      <c r="AE532" s="98"/>
      <c r="AF532" s="98"/>
      <c r="AG532" s="98"/>
      <c r="AH532" s="98"/>
    </row>
    <row r="533" spans="2:34" x14ac:dyDescent="0.25">
      <c r="B533" s="75"/>
      <c r="C533" s="76"/>
      <c r="D533" s="83"/>
      <c r="E533" s="84"/>
      <c r="F533" s="84"/>
      <c r="G533" s="84"/>
      <c r="H533" s="84"/>
      <c r="I533" s="85"/>
      <c r="J533" s="90"/>
      <c r="K533" s="91"/>
      <c r="L533" s="90"/>
      <c r="M533" s="91"/>
      <c r="N533" s="83"/>
      <c r="O533" s="85"/>
      <c r="P533" s="96"/>
      <c r="Q533" s="97"/>
      <c r="S533" s="99"/>
      <c r="T533" s="99"/>
      <c r="U533" s="99"/>
      <c r="V533" s="99"/>
      <c r="W533" s="99"/>
      <c r="X533" s="99"/>
      <c r="Y533" s="99"/>
      <c r="Z533" s="99"/>
      <c r="AA533" s="99"/>
      <c r="AB533" s="99"/>
      <c r="AC533" s="98"/>
      <c r="AD533" s="98"/>
      <c r="AE533" s="98"/>
      <c r="AF533" s="98"/>
      <c r="AG533" s="98"/>
      <c r="AH533" s="98"/>
    </row>
    <row r="534" spans="2:34" x14ac:dyDescent="0.25">
      <c r="B534" s="71"/>
      <c r="C534" s="72"/>
      <c r="D534" s="77"/>
      <c r="E534" s="78"/>
      <c r="F534" s="78"/>
      <c r="G534" s="78"/>
      <c r="H534" s="78"/>
      <c r="I534" s="79"/>
      <c r="J534" s="86"/>
      <c r="K534" s="87"/>
      <c r="L534" s="86"/>
      <c r="M534" s="87"/>
      <c r="N534" s="77"/>
      <c r="O534" s="79"/>
      <c r="P534" s="92"/>
      <c r="Q534" s="93"/>
      <c r="S534" s="99"/>
      <c r="T534" s="99"/>
      <c r="U534" s="99"/>
      <c r="V534" s="99"/>
      <c r="W534" s="99"/>
      <c r="X534" s="99"/>
      <c r="Y534" s="99"/>
      <c r="Z534" s="99"/>
      <c r="AA534" s="99"/>
      <c r="AB534" s="99"/>
      <c r="AC534" s="98"/>
      <c r="AD534" s="98"/>
      <c r="AE534" s="98"/>
      <c r="AF534" s="98"/>
      <c r="AG534" s="98"/>
      <c r="AH534" s="98"/>
    </row>
    <row r="535" spans="2:34" x14ac:dyDescent="0.25">
      <c r="B535" s="73"/>
      <c r="C535" s="74"/>
      <c r="D535" s="80"/>
      <c r="E535" s="81"/>
      <c r="F535" s="81"/>
      <c r="G535" s="81"/>
      <c r="H535" s="81"/>
      <c r="I535" s="82"/>
      <c r="J535" s="88"/>
      <c r="K535" s="89"/>
      <c r="L535" s="88"/>
      <c r="M535" s="89"/>
      <c r="N535" s="80"/>
      <c r="O535" s="82"/>
      <c r="P535" s="94"/>
      <c r="Q535" s="95"/>
      <c r="S535" s="99"/>
      <c r="T535" s="99"/>
      <c r="U535" s="99"/>
      <c r="V535" s="99"/>
      <c r="W535" s="99"/>
      <c r="X535" s="99"/>
      <c r="Y535" s="99"/>
      <c r="Z535" s="99"/>
      <c r="AA535" s="99"/>
      <c r="AB535" s="99"/>
      <c r="AC535" s="98"/>
      <c r="AD535" s="98"/>
      <c r="AE535" s="98"/>
      <c r="AF535" s="98"/>
      <c r="AG535" s="98"/>
      <c r="AH535" s="98"/>
    </row>
    <row r="536" spans="2:34" x14ac:dyDescent="0.25">
      <c r="B536" s="75"/>
      <c r="C536" s="76"/>
      <c r="D536" s="83"/>
      <c r="E536" s="84"/>
      <c r="F536" s="84"/>
      <c r="G536" s="84"/>
      <c r="H536" s="84"/>
      <c r="I536" s="85"/>
      <c r="J536" s="90"/>
      <c r="K536" s="91"/>
      <c r="L536" s="90"/>
      <c r="M536" s="91"/>
      <c r="N536" s="83"/>
      <c r="O536" s="85"/>
      <c r="P536" s="96"/>
      <c r="Q536" s="97"/>
      <c r="S536" s="99"/>
      <c r="T536" s="99"/>
      <c r="U536" s="99"/>
      <c r="V536" s="99"/>
      <c r="W536" s="99"/>
      <c r="X536" s="99"/>
      <c r="Y536" s="99"/>
      <c r="Z536" s="99"/>
      <c r="AA536" s="99"/>
      <c r="AB536" s="99"/>
      <c r="AC536" s="98"/>
      <c r="AD536" s="98"/>
      <c r="AE536" s="98"/>
      <c r="AF536" s="98"/>
      <c r="AG536" s="98"/>
      <c r="AH536" s="98"/>
    </row>
    <row r="537" spans="2:34" x14ac:dyDescent="0.25">
      <c r="B537" s="71"/>
      <c r="C537" s="72"/>
      <c r="D537" s="77"/>
      <c r="E537" s="78"/>
      <c r="F537" s="78"/>
      <c r="G537" s="78"/>
      <c r="H537" s="78"/>
      <c r="I537" s="79"/>
      <c r="J537" s="86"/>
      <c r="K537" s="87"/>
      <c r="L537" s="86"/>
      <c r="M537" s="87"/>
      <c r="N537" s="77"/>
      <c r="O537" s="79"/>
      <c r="P537" s="92"/>
      <c r="Q537" s="93"/>
      <c r="S537" s="99"/>
      <c r="T537" s="99"/>
      <c r="U537" s="99"/>
      <c r="V537" s="99"/>
      <c r="W537" s="99"/>
      <c r="X537" s="99"/>
      <c r="Y537" s="99"/>
      <c r="Z537" s="99"/>
      <c r="AA537" s="99"/>
      <c r="AB537" s="99"/>
      <c r="AC537" s="98"/>
      <c r="AD537" s="98"/>
      <c r="AE537" s="98"/>
      <c r="AF537" s="98"/>
      <c r="AG537" s="98"/>
      <c r="AH537" s="98"/>
    </row>
    <row r="538" spans="2:34" x14ac:dyDescent="0.25">
      <c r="B538" s="73"/>
      <c r="C538" s="74"/>
      <c r="D538" s="80"/>
      <c r="E538" s="81"/>
      <c r="F538" s="81"/>
      <c r="G538" s="81"/>
      <c r="H538" s="81"/>
      <c r="I538" s="82"/>
      <c r="J538" s="88"/>
      <c r="K538" s="89"/>
      <c r="L538" s="88"/>
      <c r="M538" s="89"/>
      <c r="N538" s="80"/>
      <c r="O538" s="82"/>
      <c r="P538" s="94"/>
      <c r="Q538" s="95"/>
      <c r="S538" s="99"/>
      <c r="T538" s="99"/>
      <c r="U538" s="99"/>
      <c r="V538" s="99"/>
      <c r="W538" s="99"/>
      <c r="X538" s="99"/>
      <c r="Y538" s="99"/>
      <c r="Z538" s="99"/>
      <c r="AA538" s="99"/>
      <c r="AB538" s="99"/>
      <c r="AC538" s="98"/>
      <c r="AD538" s="98"/>
      <c r="AE538" s="98"/>
      <c r="AF538" s="98"/>
      <c r="AG538" s="98"/>
      <c r="AH538" s="98"/>
    </row>
    <row r="539" spans="2:34" x14ac:dyDescent="0.25">
      <c r="B539" s="75"/>
      <c r="C539" s="76"/>
      <c r="D539" s="83"/>
      <c r="E539" s="84"/>
      <c r="F539" s="84"/>
      <c r="G539" s="84"/>
      <c r="H539" s="84"/>
      <c r="I539" s="85"/>
      <c r="J539" s="90"/>
      <c r="K539" s="91"/>
      <c r="L539" s="90"/>
      <c r="M539" s="91"/>
      <c r="N539" s="83"/>
      <c r="O539" s="85"/>
      <c r="P539" s="96"/>
      <c r="Q539" s="97"/>
      <c r="S539" s="99"/>
      <c r="T539" s="99"/>
      <c r="U539" s="99"/>
      <c r="V539" s="99"/>
      <c r="W539" s="99"/>
      <c r="X539" s="99"/>
      <c r="Y539" s="99"/>
      <c r="Z539" s="99"/>
      <c r="AA539" s="99"/>
      <c r="AB539" s="99"/>
      <c r="AC539" s="98"/>
      <c r="AD539" s="98"/>
      <c r="AE539" s="98"/>
      <c r="AF539" s="98"/>
      <c r="AG539" s="98"/>
      <c r="AH539" s="98"/>
    </row>
    <row r="540" spans="2:34" x14ac:dyDescent="0.25">
      <c r="B540" s="71"/>
      <c r="C540" s="72"/>
      <c r="D540" s="77"/>
      <c r="E540" s="78"/>
      <c r="F540" s="78"/>
      <c r="G540" s="78"/>
      <c r="H540" s="78"/>
      <c r="I540" s="79"/>
      <c r="J540" s="86"/>
      <c r="K540" s="87"/>
      <c r="L540" s="86"/>
      <c r="M540" s="87"/>
      <c r="N540" s="77"/>
      <c r="O540" s="79"/>
      <c r="P540" s="92"/>
      <c r="Q540" s="93"/>
      <c r="S540" s="99"/>
      <c r="T540" s="99"/>
      <c r="U540" s="99"/>
      <c r="V540" s="99"/>
      <c r="W540" s="99"/>
      <c r="X540" s="99"/>
      <c r="Y540" s="99"/>
      <c r="Z540" s="99"/>
      <c r="AA540" s="99"/>
      <c r="AB540" s="99"/>
      <c r="AC540" s="98"/>
      <c r="AD540" s="98"/>
      <c r="AE540" s="98"/>
      <c r="AF540" s="98"/>
      <c r="AG540" s="98"/>
      <c r="AH540" s="98"/>
    </row>
    <row r="541" spans="2:34" x14ac:dyDescent="0.25">
      <c r="B541" s="73"/>
      <c r="C541" s="74"/>
      <c r="D541" s="80"/>
      <c r="E541" s="81"/>
      <c r="F541" s="81"/>
      <c r="G541" s="81"/>
      <c r="H541" s="81"/>
      <c r="I541" s="82"/>
      <c r="J541" s="88"/>
      <c r="K541" s="89"/>
      <c r="L541" s="88"/>
      <c r="M541" s="89"/>
      <c r="N541" s="80"/>
      <c r="O541" s="82"/>
      <c r="P541" s="94"/>
      <c r="Q541" s="95"/>
      <c r="S541" s="99"/>
      <c r="T541" s="99"/>
      <c r="U541" s="99"/>
      <c r="V541" s="99"/>
      <c r="W541" s="99"/>
      <c r="X541" s="99"/>
      <c r="Y541" s="99"/>
      <c r="Z541" s="99"/>
      <c r="AA541" s="99"/>
      <c r="AB541" s="99"/>
      <c r="AC541" s="98"/>
      <c r="AD541" s="98"/>
      <c r="AE541" s="98"/>
      <c r="AF541" s="98"/>
      <c r="AG541" s="98"/>
      <c r="AH541" s="98"/>
    </row>
    <row r="542" spans="2:34" x14ac:dyDescent="0.25">
      <c r="B542" s="75"/>
      <c r="C542" s="76"/>
      <c r="D542" s="83"/>
      <c r="E542" s="84"/>
      <c r="F542" s="84"/>
      <c r="G542" s="84"/>
      <c r="H542" s="84"/>
      <c r="I542" s="85"/>
      <c r="J542" s="90"/>
      <c r="K542" s="91"/>
      <c r="L542" s="90"/>
      <c r="M542" s="91"/>
      <c r="N542" s="83"/>
      <c r="O542" s="85"/>
      <c r="P542" s="96"/>
      <c r="Q542" s="97"/>
      <c r="S542" s="99"/>
      <c r="T542" s="99"/>
      <c r="U542" s="99"/>
      <c r="V542" s="99"/>
      <c r="W542" s="99"/>
      <c r="X542" s="99"/>
      <c r="Y542" s="99"/>
      <c r="Z542" s="99"/>
      <c r="AA542" s="99"/>
      <c r="AB542" s="99"/>
      <c r="AC542" s="98"/>
      <c r="AD542" s="98"/>
      <c r="AE542" s="98"/>
      <c r="AF542" s="98"/>
      <c r="AG542" s="98"/>
      <c r="AH542" s="98"/>
    </row>
    <row r="543" spans="2:34" x14ac:dyDescent="0.25">
      <c r="B543" s="71"/>
      <c r="C543" s="72"/>
      <c r="D543" s="77"/>
      <c r="E543" s="78"/>
      <c r="F543" s="78"/>
      <c r="G543" s="78"/>
      <c r="H543" s="78"/>
      <c r="I543" s="79"/>
      <c r="J543" s="86"/>
      <c r="K543" s="87"/>
      <c r="L543" s="86"/>
      <c r="M543" s="87"/>
      <c r="N543" s="77"/>
      <c r="O543" s="79"/>
      <c r="P543" s="92"/>
      <c r="Q543" s="93"/>
      <c r="S543" s="99"/>
      <c r="T543" s="99"/>
      <c r="U543" s="99"/>
      <c r="V543" s="99"/>
      <c r="W543" s="99"/>
      <c r="X543" s="99"/>
      <c r="Y543" s="99"/>
      <c r="Z543" s="99"/>
      <c r="AA543" s="99"/>
      <c r="AB543" s="99"/>
      <c r="AC543" s="98"/>
      <c r="AD543" s="98"/>
      <c r="AE543" s="98"/>
      <c r="AF543" s="98"/>
      <c r="AG543" s="98"/>
      <c r="AH543" s="98"/>
    </row>
    <row r="544" spans="2:34" x14ac:dyDescent="0.25">
      <c r="B544" s="73"/>
      <c r="C544" s="74"/>
      <c r="D544" s="80"/>
      <c r="E544" s="81"/>
      <c r="F544" s="81"/>
      <c r="G544" s="81"/>
      <c r="H544" s="81"/>
      <c r="I544" s="82"/>
      <c r="J544" s="88"/>
      <c r="K544" s="89"/>
      <c r="L544" s="88"/>
      <c r="M544" s="89"/>
      <c r="N544" s="80"/>
      <c r="O544" s="82"/>
      <c r="P544" s="94"/>
      <c r="Q544" s="95"/>
      <c r="S544" s="99"/>
      <c r="T544" s="99"/>
      <c r="U544" s="99"/>
      <c r="V544" s="99"/>
      <c r="W544" s="99"/>
      <c r="X544" s="99"/>
      <c r="Y544" s="99"/>
      <c r="Z544" s="99"/>
      <c r="AA544" s="99"/>
      <c r="AB544" s="99"/>
      <c r="AC544" s="98"/>
      <c r="AD544" s="98"/>
      <c r="AE544" s="98"/>
      <c r="AF544" s="98"/>
      <c r="AG544" s="98"/>
      <c r="AH544" s="98"/>
    </row>
    <row r="545" spans="2:34" x14ac:dyDescent="0.25">
      <c r="B545" s="75"/>
      <c r="C545" s="76"/>
      <c r="D545" s="83"/>
      <c r="E545" s="84"/>
      <c r="F545" s="84"/>
      <c r="G545" s="84"/>
      <c r="H545" s="84"/>
      <c r="I545" s="85"/>
      <c r="J545" s="90"/>
      <c r="K545" s="91"/>
      <c r="L545" s="90"/>
      <c r="M545" s="91"/>
      <c r="N545" s="83"/>
      <c r="O545" s="85"/>
      <c r="P545" s="96"/>
      <c r="Q545" s="97"/>
      <c r="S545" s="99"/>
      <c r="T545" s="99"/>
      <c r="U545" s="99"/>
      <c r="V545" s="99"/>
      <c r="W545" s="99"/>
      <c r="X545" s="99"/>
      <c r="Y545" s="99"/>
      <c r="Z545" s="99"/>
      <c r="AA545" s="99"/>
      <c r="AB545" s="99"/>
      <c r="AC545" s="98"/>
      <c r="AD545" s="98"/>
      <c r="AE545" s="98"/>
      <c r="AF545" s="98"/>
      <c r="AG545" s="98"/>
      <c r="AH545" s="98"/>
    </row>
    <row r="546" spans="2:34" x14ac:dyDescent="0.25">
      <c r="B546" s="71"/>
      <c r="C546" s="72"/>
      <c r="D546" s="77"/>
      <c r="E546" s="78"/>
      <c r="F546" s="78"/>
      <c r="G546" s="78"/>
      <c r="H546" s="78"/>
      <c r="I546" s="79"/>
      <c r="J546" s="86"/>
      <c r="K546" s="87"/>
      <c r="L546" s="86"/>
      <c r="M546" s="87"/>
      <c r="N546" s="77"/>
      <c r="O546" s="79"/>
      <c r="P546" s="92"/>
      <c r="Q546" s="93"/>
      <c r="S546" s="99"/>
      <c r="T546" s="99"/>
      <c r="U546" s="99"/>
      <c r="V546" s="99"/>
      <c r="W546" s="99"/>
      <c r="X546" s="99"/>
      <c r="Y546" s="99"/>
      <c r="Z546" s="99"/>
      <c r="AA546" s="99"/>
      <c r="AB546" s="99"/>
      <c r="AC546" s="98"/>
      <c r="AD546" s="98"/>
      <c r="AE546" s="98"/>
      <c r="AF546" s="98"/>
      <c r="AG546" s="98"/>
      <c r="AH546" s="98"/>
    </row>
    <row r="547" spans="2:34" x14ac:dyDescent="0.25">
      <c r="B547" s="73"/>
      <c r="C547" s="74"/>
      <c r="D547" s="80"/>
      <c r="E547" s="81"/>
      <c r="F547" s="81"/>
      <c r="G547" s="81"/>
      <c r="H547" s="81"/>
      <c r="I547" s="82"/>
      <c r="J547" s="88"/>
      <c r="K547" s="89"/>
      <c r="L547" s="88"/>
      <c r="M547" s="89"/>
      <c r="N547" s="80"/>
      <c r="O547" s="82"/>
      <c r="P547" s="94"/>
      <c r="Q547" s="95"/>
      <c r="S547" s="99"/>
      <c r="T547" s="99"/>
      <c r="U547" s="99"/>
      <c r="V547" s="99"/>
      <c r="W547" s="99"/>
      <c r="X547" s="99"/>
      <c r="Y547" s="99"/>
      <c r="Z547" s="99"/>
      <c r="AA547" s="99"/>
      <c r="AB547" s="99"/>
      <c r="AC547" s="98"/>
      <c r="AD547" s="98"/>
      <c r="AE547" s="98"/>
      <c r="AF547" s="98"/>
      <c r="AG547" s="98"/>
      <c r="AH547" s="98"/>
    </row>
    <row r="548" spans="2:34" x14ac:dyDescent="0.25">
      <c r="B548" s="75"/>
      <c r="C548" s="76"/>
      <c r="D548" s="83"/>
      <c r="E548" s="84"/>
      <c r="F548" s="84"/>
      <c r="G548" s="84"/>
      <c r="H548" s="84"/>
      <c r="I548" s="85"/>
      <c r="J548" s="90"/>
      <c r="K548" s="91"/>
      <c r="L548" s="90"/>
      <c r="M548" s="91"/>
      <c r="N548" s="83"/>
      <c r="O548" s="85"/>
      <c r="P548" s="96"/>
      <c r="Q548" s="97"/>
      <c r="S548" s="99"/>
      <c r="T548" s="99"/>
      <c r="U548" s="99"/>
      <c r="V548" s="99"/>
      <c r="W548" s="99"/>
      <c r="X548" s="99"/>
      <c r="Y548" s="99"/>
      <c r="Z548" s="99"/>
      <c r="AA548" s="99"/>
      <c r="AB548" s="99"/>
      <c r="AC548" s="98"/>
      <c r="AD548" s="98"/>
      <c r="AE548" s="98"/>
      <c r="AF548" s="98"/>
      <c r="AG548" s="98"/>
      <c r="AH548" s="98"/>
    </row>
    <row r="549" spans="2:34" x14ac:dyDescent="0.25">
      <c r="B549" s="71"/>
      <c r="C549" s="72"/>
      <c r="D549" s="77"/>
      <c r="E549" s="78"/>
      <c r="F549" s="78"/>
      <c r="G549" s="78"/>
      <c r="H549" s="78"/>
      <c r="I549" s="79"/>
      <c r="J549" s="86"/>
      <c r="K549" s="87"/>
      <c r="L549" s="86"/>
      <c r="M549" s="87"/>
      <c r="N549" s="77"/>
      <c r="O549" s="79"/>
      <c r="P549" s="92"/>
      <c r="Q549" s="93"/>
      <c r="S549" s="99"/>
      <c r="T549" s="99"/>
      <c r="U549" s="99"/>
      <c r="V549" s="99"/>
      <c r="W549" s="99"/>
      <c r="X549" s="99"/>
      <c r="Y549" s="99"/>
      <c r="Z549" s="99"/>
      <c r="AA549" s="99"/>
      <c r="AB549" s="99"/>
      <c r="AC549" s="98"/>
      <c r="AD549" s="98"/>
      <c r="AE549" s="98"/>
      <c r="AF549" s="98"/>
      <c r="AG549" s="98"/>
      <c r="AH549" s="98"/>
    </row>
    <row r="550" spans="2:34" x14ac:dyDescent="0.25">
      <c r="B550" s="73"/>
      <c r="C550" s="74"/>
      <c r="D550" s="80"/>
      <c r="E550" s="81"/>
      <c r="F550" s="81"/>
      <c r="G550" s="81"/>
      <c r="H550" s="81"/>
      <c r="I550" s="82"/>
      <c r="J550" s="88"/>
      <c r="K550" s="89"/>
      <c r="L550" s="88"/>
      <c r="M550" s="89"/>
      <c r="N550" s="80"/>
      <c r="O550" s="82"/>
      <c r="P550" s="94"/>
      <c r="Q550" s="95"/>
      <c r="S550" s="99"/>
      <c r="T550" s="99"/>
      <c r="U550" s="99"/>
      <c r="V550" s="99"/>
      <c r="W550" s="99"/>
      <c r="X550" s="99"/>
      <c r="Y550" s="99"/>
      <c r="Z550" s="99"/>
      <c r="AA550" s="99"/>
      <c r="AB550" s="99"/>
      <c r="AC550" s="98"/>
      <c r="AD550" s="98"/>
      <c r="AE550" s="98"/>
      <c r="AF550" s="98"/>
      <c r="AG550" s="98"/>
      <c r="AH550" s="98"/>
    </row>
    <row r="551" spans="2:34" x14ac:dyDescent="0.25">
      <c r="B551" s="75"/>
      <c r="C551" s="76"/>
      <c r="D551" s="83"/>
      <c r="E551" s="84"/>
      <c r="F551" s="84"/>
      <c r="G551" s="84"/>
      <c r="H551" s="84"/>
      <c r="I551" s="85"/>
      <c r="J551" s="90"/>
      <c r="K551" s="91"/>
      <c r="L551" s="90"/>
      <c r="M551" s="91"/>
      <c r="N551" s="83"/>
      <c r="O551" s="85"/>
      <c r="P551" s="96"/>
      <c r="Q551" s="97"/>
      <c r="S551" s="99"/>
      <c r="T551" s="99"/>
      <c r="U551" s="99"/>
      <c r="V551" s="99"/>
      <c r="W551" s="99"/>
      <c r="X551" s="99"/>
      <c r="Y551" s="99"/>
      <c r="Z551" s="99"/>
      <c r="AA551" s="99"/>
      <c r="AB551" s="99"/>
      <c r="AC551" s="98"/>
      <c r="AD551" s="98"/>
      <c r="AE551" s="98"/>
      <c r="AF551" s="98"/>
      <c r="AG551" s="98"/>
      <c r="AH551" s="98"/>
    </row>
    <row r="552" spans="2:34" x14ac:dyDescent="0.25">
      <c r="B552" s="71"/>
      <c r="C552" s="72"/>
      <c r="D552" s="77"/>
      <c r="E552" s="78"/>
      <c r="F552" s="78"/>
      <c r="G552" s="78"/>
      <c r="H552" s="78"/>
      <c r="I552" s="79"/>
      <c r="J552" s="86"/>
      <c r="K552" s="87"/>
      <c r="L552" s="86"/>
      <c r="M552" s="87"/>
      <c r="N552" s="77"/>
      <c r="O552" s="79"/>
      <c r="P552" s="92"/>
      <c r="Q552" s="93"/>
      <c r="S552" s="99"/>
      <c r="T552" s="99"/>
      <c r="U552" s="99"/>
      <c r="V552" s="99"/>
      <c r="W552" s="99"/>
      <c r="X552" s="99"/>
      <c r="Y552" s="99"/>
      <c r="Z552" s="99"/>
      <c r="AA552" s="99"/>
      <c r="AB552" s="99"/>
      <c r="AC552" s="98"/>
      <c r="AD552" s="98"/>
      <c r="AE552" s="98"/>
      <c r="AF552" s="98"/>
      <c r="AG552" s="98"/>
      <c r="AH552" s="98"/>
    </row>
    <row r="553" spans="2:34" x14ac:dyDescent="0.25">
      <c r="B553" s="73"/>
      <c r="C553" s="74"/>
      <c r="D553" s="80"/>
      <c r="E553" s="81"/>
      <c r="F553" s="81"/>
      <c r="G553" s="81"/>
      <c r="H553" s="81"/>
      <c r="I553" s="82"/>
      <c r="J553" s="88"/>
      <c r="K553" s="89"/>
      <c r="L553" s="88"/>
      <c r="M553" s="89"/>
      <c r="N553" s="80"/>
      <c r="O553" s="82"/>
      <c r="P553" s="94"/>
      <c r="Q553" s="95"/>
      <c r="S553" s="99"/>
      <c r="T553" s="99"/>
      <c r="U553" s="99"/>
      <c r="V553" s="99"/>
      <c r="W553" s="99"/>
      <c r="X553" s="99"/>
      <c r="Y553" s="99"/>
      <c r="Z553" s="99"/>
      <c r="AA553" s="99"/>
      <c r="AB553" s="99"/>
      <c r="AC553" s="98"/>
      <c r="AD553" s="98"/>
      <c r="AE553" s="98"/>
      <c r="AF553" s="98"/>
      <c r="AG553" s="98"/>
      <c r="AH553" s="98"/>
    </row>
    <row r="554" spans="2:34" x14ac:dyDescent="0.25">
      <c r="B554" s="75"/>
      <c r="C554" s="76"/>
      <c r="D554" s="83"/>
      <c r="E554" s="84"/>
      <c r="F554" s="84"/>
      <c r="G554" s="84"/>
      <c r="H554" s="84"/>
      <c r="I554" s="85"/>
      <c r="J554" s="90"/>
      <c r="K554" s="91"/>
      <c r="L554" s="90"/>
      <c r="M554" s="91"/>
      <c r="N554" s="83"/>
      <c r="O554" s="85"/>
      <c r="P554" s="96"/>
      <c r="Q554" s="97"/>
      <c r="S554" s="99"/>
      <c r="T554" s="99"/>
      <c r="U554" s="99"/>
      <c r="V554" s="99"/>
      <c r="W554" s="99"/>
      <c r="X554" s="99"/>
      <c r="Y554" s="99"/>
      <c r="Z554" s="99"/>
      <c r="AA554" s="99"/>
      <c r="AB554" s="99"/>
      <c r="AC554" s="98"/>
      <c r="AD554" s="98"/>
      <c r="AE554" s="98"/>
      <c r="AF554" s="98"/>
      <c r="AG554" s="98"/>
      <c r="AH554" s="98"/>
    </row>
    <row r="555" spans="2:34" x14ac:dyDescent="0.25">
      <c r="B555" s="71"/>
      <c r="C555" s="72"/>
      <c r="D555" s="77"/>
      <c r="E555" s="78"/>
      <c r="F555" s="78"/>
      <c r="G555" s="78"/>
      <c r="H555" s="78"/>
      <c r="I555" s="79"/>
      <c r="J555" s="86"/>
      <c r="K555" s="87"/>
      <c r="L555" s="86"/>
      <c r="M555" s="87"/>
      <c r="N555" s="77"/>
      <c r="O555" s="79"/>
      <c r="P555" s="92"/>
      <c r="Q555" s="93"/>
      <c r="S555" s="99"/>
      <c r="T555" s="99"/>
      <c r="U555" s="99"/>
      <c r="V555" s="99"/>
      <c r="W555" s="99"/>
      <c r="X555" s="99"/>
      <c r="Y555" s="99"/>
      <c r="Z555" s="99"/>
      <c r="AA555" s="99"/>
      <c r="AB555" s="99"/>
      <c r="AC555" s="98"/>
      <c r="AD555" s="98"/>
      <c r="AE555" s="98"/>
      <c r="AF555" s="98"/>
      <c r="AG555" s="98"/>
      <c r="AH555" s="98"/>
    </row>
    <row r="556" spans="2:34" x14ac:dyDescent="0.25">
      <c r="B556" s="73"/>
      <c r="C556" s="74"/>
      <c r="D556" s="80"/>
      <c r="E556" s="81"/>
      <c r="F556" s="81"/>
      <c r="G556" s="81"/>
      <c r="H556" s="81"/>
      <c r="I556" s="82"/>
      <c r="J556" s="88"/>
      <c r="K556" s="89"/>
      <c r="L556" s="88"/>
      <c r="M556" s="89"/>
      <c r="N556" s="80"/>
      <c r="O556" s="82"/>
      <c r="P556" s="94"/>
      <c r="Q556" s="95"/>
      <c r="S556" s="99"/>
      <c r="T556" s="99"/>
      <c r="U556" s="99"/>
      <c r="V556" s="99"/>
      <c r="W556" s="99"/>
      <c r="X556" s="99"/>
      <c r="Y556" s="99"/>
      <c r="Z556" s="99"/>
      <c r="AA556" s="99"/>
      <c r="AB556" s="99"/>
      <c r="AC556" s="98"/>
      <c r="AD556" s="98"/>
      <c r="AE556" s="98"/>
      <c r="AF556" s="98"/>
      <c r="AG556" s="98"/>
      <c r="AH556" s="98"/>
    </row>
    <row r="557" spans="2:34" x14ac:dyDescent="0.25">
      <c r="B557" s="75"/>
      <c r="C557" s="76"/>
      <c r="D557" s="83"/>
      <c r="E557" s="84"/>
      <c r="F557" s="84"/>
      <c r="G557" s="84"/>
      <c r="H557" s="84"/>
      <c r="I557" s="85"/>
      <c r="J557" s="90"/>
      <c r="K557" s="91"/>
      <c r="L557" s="90"/>
      <c r="M557" s="91"/>
      <c r="N557" s="83"/>
      <c r="O557" s="85"/>
      <c r="P557" s="96"/>
      <c r="Q557" s="97"/>
      <c r="S557" s="99"/>
      <c r="T557" s="99"/>
      <c r="U557" s="99"/>
      <c r="V557" s="99"/>
      <c r="W557" s="99"/>
      <c r="X557" s="99"/>
      <c r="Y557" s="99"/>
      <c r="Z557" s="99"/>
      <c r="AA557" s="99"/>
      <c r="AB557" s="99"/>
      <c r="AC557" s="98"/>
      <c r="AD557" s="98"/>
      <c r="AE557" s="98"/>
      <c r="AF557" s="98"/>
      <c r="AG557" s="98"/>
      <c r="AH557" s="98"/>
    </row>
    <row r="558" spans="2:34" x14ac:dyDescent="0.25">
      <c r="B558" s="71"/>
      <c r="C558" s="72"/>
      <c r="D558" s="77"/>
      <c r="E558" s="78"/>
      <c r="F558" s="78"/>
      <c r="G558" s="78"/>
      <c r="H558" s="78"/>
      <c r="I558" s="79"/>
      <c r="J558" s="86"/>
      <c r="K558" s="87"/>
      <c r="L558" s="86"/>
      <c r="M558" s="87"/>
      <c r="N558" s="77"/>
      <c r="O558" s="79"/>
      <c r="P558" s="92"/>
      <c r="Q558" s="93"/>
      <c r="S558" s="99"/>
      <c r="T558" s="99"/>
      <c r="U558" s="99"/>
      <c r="V558" s="99"/>
      <c r="W558" s="99"/>
      <c r="X558" s="99"/>
      <c r="Y558" s="99"/>
      <c r="Z558" s="99"/>
      <c r="AA558" s="99"/>
      <c r="AB558" s="99"/>
      <c r="AC558" s="98"/>
      <c r="AD558" s="98"/>
      <c r="AE558" s="98"/>
      <c r="AF558" s="98"/>
      <c r="AG558" s="98"/>
      <c r="AH558" s="98"/>
    </row>
    <row r="559" spans="2:34" x14ac:dyDescent="0.25">
      <c r="B559" s="73"/>
      <c r="C559" s="74"/>
      <c r="D559" s="80"/>
      <c r="E559" s="81"/>
      <c r="F559" s="81"/>
      <c r="G559" s="81"/>
      <c r="H559" s="81"/>
      <c r="I559" s="82"/>
      <c r="J559" s="88"/>
      <c r="K559" s="89"/>
      <c r="L559" s="88"/>
      <c r="M559" s="89"/>
      <c r="N559" s="80"/>
      <c r="O559" s="82"/>
      <c r="P559" s="94"/>
      <c r="Q559" s="95"/>
      <c r="S559" s="99"/>
      <c r="T559" s="99"/>
      <c r="U559" s="99"/>
      <c r="V559" s="99"/>
      <c r="W559" s="99"/>
      <c r="X559" s="99"/>
      <c r="Y559" s="99"/>
      <c r="Z559" s="99"/>
      <c r="AA559" s="99"/>
      <c r="AB559" s="99"/>
      <c r="AC559" s="98"/>
      <c r="AD559" s="98"/>
      <c r="AE559" s="98"/>
      <c r="AF559" s="98"/>
      <c r="AG559" s="98"/>
      <c r="AH559" s="98"/>
    </row>
    <row r="560" spans="2:34" x14ac:dyDescent="0.25">
      <c r="B560" s="75"/>
      <c r="C560" s="76"/>
      <c r="D560" s="83"/>
      <c r="E560" s="84"/>
      <c r="F560" s="84"/>
      <c r="G560" s="84"/>
      <c r="H560" s="84"/>
      <c r="I560" s="85"/>
      <c r="J560" s="90"/>
      <c r="K560" s="91"/>
      <c r="L560" s="90"/>
      <c r="M560" s="91"/>
      <c r="N560" s="83"/>
      <c r="O560" s="85"/>
      <c r="P560" s="96"/>
      <c r="Q560" s="97"/>
      <c r="S560" s="99"/>
      <c r="T560" s="99"/>
      <c r="U560" s="99"/>
      <c r="V560" s="99"/>
      <c r="W560" s="99"/>
      <c r="X560" s="99"/>
      <c r="Y560" s="99"/>
      <c r="Z560" s="99"/>
      <c r="AA560" s="99"/>
      <c r="AB560" s="99"/>
      <c r="AC560" s="98"/>
      <c r="AD560" s="98"/>
      <c r="AE560" s="98"/>
      <c r="AF560" s="98"/>
      <c r="AG560" s="98"/>
      <c r="AH560" s="98"/>
    </row>
    <row r="561" spans="2:34" x14ac:dyDescent="0.25">
      <c r="B561" s="71"/>
      <c r="C561" s="72"/>
      <c r="D561" s="77"/>
      <c r="E561" s="78"/>
      <c r="F561" s="78"/>
      <c r="G561" s="78"/>
      <c r="H561" s="78"/>
      <c r="I561" s="79"/>
      <c r="J561" s="86"/>
      <c r="K561" s="87"/>
      <c r="L561" s="86"/>
      <c r="M561" s="87"/>
      <c r="N561" s="77"/>
      <c r="O561" s="79"/>
      <c r="P561" s="92"/>
      <c r="Q561" s="93"/>
      <c r="S561" s="99"/>
      <c r="T561" s="99"/>
      <c r="U561" s="99"/>
      <c r="V561" s="99"/>
      <c r="W561" s="99"/>
      <c r="X561" s="99"/>
      <c r="Y561" s="99"/>
      <c r="Z561" s="99"/>
      <c r="AA561" s="99"/>
      <c r="AB561" s="99"/>
      <c r="AC561" s="98"/>
      <c r="AD561" s="98"/>
      <c r="AE561" s="98"/>
      <c r="AF561" s="98"/>
      <c r="AG561" s="98"/>
      <c r="AH561" s="98"/>
    </row>
    <row r="562" spans="2:34" x14ac:dyDescent="0.25">
      <c r="B562" s="73"/>
      <c r="C562" s="74"/>
      <c r="D562" s="80"/>
      <c r="E562" s="81"/>
      <c r="F562" s="81"/>
      <c r="G562" s="81"/>
      <c r="H562" s="81"/>
      <c r="I562" s="82"/>
      <c r="J562" s="88"/>
      <c r="K562" s="89"/>
      <c r="L562" s="88"/>
      <c r="M562" s="89"/>
      <c r="N562" s="80"/>
      <c r="O562" s="82"/>
      <c r="P562" s="94"/>
      <c r="Q562" s="95"/>
      <c r="S562" s="99"/>
      <c r="T562" s="99"/>
      <c r="U562" s="99"/>
      <c r="V562" s="99"/>
      <c r="W562" s="99"/>
      <c r="X562" s="99"/>
      <c r="Y562" s="99"/>
      <c r="Z562" s="99"/>
      <c r="AA562" s="99"/>
      <c r="AB562" s="99"/>
      <c r="AC562" s="98"/>
      <c r="AD562" s="98"/>
      <c r="AE562" s="98"/>
      <c r="AF562" s="98"/>
      <c r="AG562" s="98"/>
      <c r="AH562" s="98"/>
    </row>
    <row r="563" spans="2:34" x14ac:dyDescent="0.25">
      <c r="B563" s="75"/>
      <c r="C563" s="76"/>
      <c r="D563" s="83"/>
      <c r="E563" s="84"/>
      <c r="F563" s="84"/>
      <c r="G563" s="84"/>
      <c r="H563" s="84"/>
      <c r="I563" s="85"/>
      <c r="J563" s="90"/>
      <c r="K563" s="91"/>
      <c r="L563" s="90"/>
      <c r="M563" s="91"/>
      <c r="N563" s="83"/>
      <c r="O563" s="85"/>
      <c r="P563" s="96"/>
      <c r="Q563" s="97"/>
      <c r="S563" s="99"/>
      <c r="T563" s="99"/>
      <c r="U563" s="99"/>
      <c r="V563" s="99"/>
      <c r="W563" s="99"/>
      <c r="X563" s="99"/>
      <c r="Y563" s="99"/>
      <c r="Z563" s="99"/>
      <c r="AA563" s="99"/>
      <c r="AB563" s="99"/>
      <c r="AC563" s="98"/>
      <c r="AD563" s="98"/>
      <c r="AE563" s="98"/>
      <c r="AF563" s="98"/>
      <c r="AG563" s="98"/>
      <c r="AH563" s="98"/>
    </row>
    <row r="564" spans="2:34" x14ac:dyDescent="0.25">
      <c r="B564" s="71"/>
      <c r="C564" s="72"/>
      <c r="D564" s="77"/>
      <c r="E564" s="78"/>
      <c r="F564" s="78"/>
      <c r="G564" s="78"/>
      <c r="H564" s="78"/>
      <c r="I564" s="79"/>
      <c r="J564" s="86"/>
      <c r="K564" s="87"/>
      <c r="L564" s="86"/>
      <c r="M564" s="87"/>
      <c r="N564" s="77"/>
      <c r="O564" s="79"/>
      <c r="P564" s="92"/>
      <c r="Q564" s="93"/>
      <c r="S564" s="99"/>
      <c r="T564" s="99"/>
      <c r="U564" s="99"/>
      <c r="V564" s="99"/>
      <c r="W564" s="99"/>
      <c r="X564" s="99"/>
      <c r="Y564" s="99"/>
      <c r="Z564" s="99"/>
      <c r="AA564" s="99"/>
      <c r="AB564" s="99"/>
      <c r="AC564" s="98"/>
      <c r="AD564" s="98"/>
      <c r="AE564" s="98"/>
      <c r="AF564" s="98"/>
      <c r="AG564" s="98"/>
      <c r="AH564" s="98"/>
    </row>
    <row r="565" spans="2:34" x14ac:dyDescent="0.25">
      <c r="B565" s="73"/>
      <c r="C565" s="74"/>
      <c r="D565" s="80"/>
      <c r="E565" s="81"/>
      <c r="F565" s="81"/>
      <c r="G565" s="81"/>
      <c r="H565" s="81"/>
      <c r="I565" s="82"/>
      <c r="J565" s="88"/>
      <c r="K565" s="89"/>
      <c r="L565" s="88"/>
      <c r="M565" s="89"/>
      <c r="N565" s="80"/>
      <c r="O565" s="82"/>
      <c r="P565" s="94"/>
      <c r="Q565" s="95"/>
      <c r="S565" s="99"/>
      <c r="T565" s="99"/>
      <c r="U565" s="99"/>
      <c r="V565" s="99"/>
      <c r="W565" s="99"/>
      <c r="X565" s="99"/>
      <c r="Y565" s="99"/>
      <c r="Z565" s="99"/>
      <c r="AA565" s="99"/>
      <c r="AB565" s="99"/>
      <c r="AC565" s="98"/>
      <c r="AD565" s="98"/>
      <c r="AE565" s="98"/>
      <c r="AF565" s="98"/>
      <c r="AG565" s="98"/>
      <c r="AH565" s="98"/>
    </row>
    <row r="566" spans="2:34" x14ac:dyDescent="0.25">
      <c r="B566" s="75"/>
      <c r="C566" s="76"/>
      <c r="D566" s="83"/>
      <c r="E566" s="84"/>
      <c r="F566" s="84"/>
      <c r="G566" s="84"/>
      <c r="H566" s="84"/>
      <c r="I566" s="85"/>
      <c r="J566" s="90"/>
      <c r="K566" s="91"/>
      <c r="L566" s="90"/>
      <c r="M566" s="91"/>
      <c r="N566" s="83"/>
      <c r="O566" s="85"/>
      <c r="P566" s="96"/>
      <c r="Q566" s="97"/>
      <c r="S566" s="99"/>
      <c r="T566" s="99"/>
      <c r="U566" s="99"/>
      <c r="V566" s="99"/>
      <c r="W566" s="99"/>
      <c r="X566" s="99"/>
      <c r="Y566" s="99"/>
      <c r="Z566" s="99"/>
      <c r="AA566" s="99"/>
      <c r="AB566" s="99"/>
      <c r="AC566" s="98"/>
      <c r="AD566" s="98"/>
      <c r="AE566" s="98"/>
      <c r="AF566" s="98"/>
      <c r="AG566" s="98"/>
      <c r="AH566" s="98"/>
    </row>
    <row r="567" spans="2:34" x14ac:dyDescent="0.25">
      <c r="B567" s="71"/>
      <c r="C567" s="72"/>
      <c r="D567" s="77"/>
      <c r="E567" s="78"/>
      <c r="F567" s="78"/>
      <c r="G567" s="78"/>
      <c r="H567" s="78"/>
      <c r="I567" s="79"/>
      <c r="J567" s="86"/>
      <c r="K567" s="87"/>
      <c r="L567" s="86"/>
      <c r="M567" s="87"/>
      <c r="N567" s="77"/>
      <c r="O567" s="79"/>
      <c r="P567" s="92"/>
      <c r="Q567" s="93"/>
      <c r="S567" s="99"/>
      <c r="T567" s="99"/>
      <c r="U567" s="99"/>
      <c r="V567" s="99"/>
      <c r="W567" s="99"/>
      <c r="X567" s="99"/>
      <c r="Y567" s="99"/>
      <c r="Z567" s="99"/>
      <c r="AA567" s="99"/>
      <c r="AB567" s="99"/>
      <c r="AC567" s="98"/>
      <c r="AD567" s="98"/>
      <c r="AE567" s="98"/>
      <c r="AF567" s="98"/>
      <c r="AG567" s="98"/>
      <c r="AH567" s="98"/>
    </row>
    <row r="568" spans="2:34" x14ac:dyDescent="0.25">
      <c r="B568" s="73"/>
      <c r="C568" s="74"/>
      <c r="D568" s="80"/>
      <c r="E568" s="81"/>
      <c r="F568" s="81"/>
      <c r="G568" s="81"/>
      <c r="H568" s="81"/>
      <c r="I568" s="82"/>
      <c r="J568" s="88"/>
      <c r="K568" s="89"/>
      <c r="L568" s="88"/>
      <c r="M568" s="89"/>
      <c r="N568" s="80"/>
      <c r="O568" s="82"/>
      <c r="P568" s="94"/>
      <c r="Q568" s="95"/>
      <c r="S568" s="99"/>
      <c r="T568" s="99"/>
      <c r="U568" s="99"/>
      <c r="V568" s="99"/>
      <c r="W568" s="99"/>
      <c r="X568" s="99"/>
      <c r="Y568" s="99"/>
      <c r="Z568" s="99"/>
      <c r="AA568" s="99"/>
      <c r="AB568" s="99"/>
      <c r="AC568" s="98"/>
      <c r="AD568" s="98"/>
      <c r="AE568" s="98"/>
      <c r="AF568" s="98"/>
      <c r="AG568" s="98"/>
      <c r="AH568" s="98"/>
    </row>
    <row r="569" spans="2:34" x14ac:dyDescent="0.25">
      <c r="B569" s="75"/>
      <c r="C569" s="76"/>
      <c r="D569" s="83"/>
      <c r="E569" s="84"/>
      <c r="F569" s="84"/>
      <c r="G569" s="84"/>
      <c r="H569" s="84"/>
      <c r="I569" s="85"/>
      <c r="J569" s="90"/>
      <c r="K569" s="91"/>
      <c r="L569" s="90"/>
      <c r="M569" s="91"/>
      <c r="N569" s="83"/>
      <c r="O569" s="85"/>
      <c r="P569" s="96"/>
      <c r="Q569" s="97"/>
      <c r="S569" s="99"/>
      <c r="T569" s="99"/>
      <c r="U569" s="99"/>
      <c r="V569" s="99"/>
      <c r="W569" s="99"/>
      <c r="X569" s="99"/>
      <c r="Y569" s="99"/>
      <c r="Z569" s="99"/>
      <c r="AA569" s="99"/>
      <c r="AB569" s="99"/>
      <c r="AC569" s="98"/>
      <c r="AD569" s="98"/>
      <c r="AE569" s="98"/>
      <c r="AF569" s="98"/>
      <c r="AG569" s="98"/>
      <c r="AH569" s="98"/>
    </row>
    <row r="570" spans="2:34" x14ac:dyDescent="0.25">
      <c r="B570" s="71"/>
      <c r="C570" s="72"/>
      <c r="D570" s="77"/>
      <c r="E570" s="78"/>
      <c r="F570" s="78"/>
      <c r="G570" s="78"/>
      <c r="H570" s="78"/>
      <c r="I570" s="79"/>
      <c r="J570" s="86"/>
      <c r="K570" s="87"/>
      <c r="L570" s="86"/>
      <c r="M570" s="87"/>
      <c r="N570" s="77"/>
      <c r="O570" s="79"/>
      <c r="P570" s="92"/>
      <c r="Q570" s="93"/>
      <c r="S570" s="99"/>
      <c r="T570" s="99"/>
      <c r="U570" s="99"/>
      <c r="V570" s="99"/>
      <c r="W570" s="99"/>
      <c r="X570" s="99"/>
      <c r="Y570" s="99"/>
      <c r="Z570" s="99"/>
      <c r="AA570" s="99"/>
      <c r="AB570" s="99"/>
      <c r="AC570" s="98"/>
      <c r="AD570" s="98"/>
      <c r="AE570" s="98"/>
      <c r="AF570" s="98"/>
      <c r="AG570" s="98"/>
      <c r="AH570" s="98"/>
    </row>
    <row r="571" spans="2:34" x14ac:dyDescent="0.25">
      <c r="B571" s="73"/>
      <c r="C571" s="74"/>
      <c r="D571" s="80"/>
      <c r="E571" s="81"/>
      <c r="F571" s="81"/>
      <c r="G571" s="81"/>
      <c r="H571" s="81"/>
      <c r="I571" s="82"/>
      <c r="J571" s="88"/>
      <c r="K571" s="89"/>
      <c r="L571" s="88"/>
      <c r="M571" s="89"/>
      <c r="N571" s="80"/>
      <c r="O571" s="82"/>
      <c r="P571" s="94"/>
      <c r="Q571" s="95"/>
      <c r="S571" s="99"/>
      <c r="T571" s="99"/>
      <c r="U571" s="99"/>
      <c r="V571" s="99"/>
      <c r="W571" s="99"/>
      <c r="X571" s="99"/>
      <c r="Y571" s="99"/>
      <c r="Z571" s="99"/>
      <c r="AA571" s="99"/>
      <c r="AB571" s="99"/>
      <c r="AC571" s="98"/>
      <c r="AD571" s="98"/>
      <c r="AE571" s="98"/>
      <c r="AF571" s="98"/>
      <c r="AG571" s="98"/>
      <c r="AH571" s="98"/>
    </row>
    <row r="572" spans="2:34" x14ac:dyDescent="0.25">
      <c r="B572" s="75"/>
      <c r="C572" s="76"/>
      <c r="D572" s="83"/>
      <c r="E572" s="84"/>
      <c r="F572" s="84"/>
      <c r="G572" s="84"/>
      <c r="H572" s="84"/>
      <c r="I572" s="85"/>
      <c r="J572" s="90"/>
      <c r="K572" s="91"/>
      <c r="L572" s="90"/>
      <c r="M572" s="91"/>
      <c r="N572" s="83"/>
      <c r="O572" s="85"/>
      <c r="P572" s="96"/>
      <c r="Q572" s="97"/>
      <c r="S572" s="99"/>
      <c r="T572" s="99"/>
      <c r="U572" s="99"/>
      <c r="V572" s="99"/>
      <c r="W572" s="99"/>
      <c r="X572" s="99"/>
      <c r="Y572" s="99"/>
      <c r="Z572" s="99"/>
      <c r="AA572" s="99"/>
      <c r="AB572" s="99"/>
      <c r="AC572" s="98"/>
      <c r="AD572" s="98"/>
      <c r="AE572" s="98"/>
      <c r="AF572" s="98"/>
      <c r="AG572" s="98"/>
      <c r="AH572" s="98"/>
    </row>
    <row r="573" spans="2:34" x14ac:dyDescent="0.25">
      <c r="B573" s="71"/>
      <c r="C573" s="72"/>
      <c r="D573" s="77"/>
      <c r="E573" s="78"/>
      <c r="F573" s="78"/>
      <c r="G573" s="78"/>
      <c r="H573" s="78"/>
      <c r="I573" s="79"/>
      <c r="J573" s="86"/>
      <c r="K573" s="87"/>
      <c r="L573" s="86"/>
      <c r="M573" s="87"/>
      <c r="N573" s="77"/>
      <c r="O573" s="79"/>
      <c r="P573" s="92"/>
      <c r="Q573" s="93"/>
      <c r="S573" s="99"/>
      <c r="T573" s="99"/>
      <c r="U573" s="99"/>
      <c r="V573" s="99"/>
      <c r="W573" s="99"/>
      <c r="X573" s="99"/>
      <c r="Y573" s="99"/>
      <c r="Z573" s="99"/>
      <c r="AA573" s="99"/>
      <c r="AB573" s="99"/>
      <c r="AC573" s="98"/>
      <c r="AD573" s="98"/>
      <c r="AE573" s="98"/>
      <c r="AF573" s="98"/>
      <c r="AG573" s="98"/>
      <c r="AH573" s="98"/>
    </row>
    <row r="574" spans="2:34" x14ac:dyDescent="0.25">
      <c r="B574" s="73"/>
      <c r="C574" s="74"/>
      <c r="D574" s="80"/>
      <c r="E574" s="81"/>
      <c r="F574" s="81"/>
      <c r="G574" s="81"/>
      <c r="H574" s="81"/>
      <c r="I574" s="82"/>
      <c r="J574" s="88"/>
      <c r="K574" s="89"/>
      <c r="L574" s="88"/>
      <c r="M574" s="89"/>
      <c r="N574" s="80"/>
      <c r="O574" s="82"/>
      <c r="P574" s="94"/>
      <c r="Q574" s="95"/>
      <c r="S574" s="99"/>
      <c r="T574" s="99"/>
      <c r="U574" s="99"/>
      <c r="V574" s="99"/>
      <c r="W574" s="99"/>
      <c r="X574" s="99"/>
      <c r="Y574" s="99"/>
      <c r="Z574" s="99"/>
      <c r="AA574" s="99"/>
      <c r="AB574" s="99"/>
      <c r="AC574" s="98"/>
      <c r="AD574" s="98"/>
      <c r="AE574" s="98"/>
      <c r="AF574" s="98"/>
      <c r="AG574" s="98"/>
      <c r="AH574" s="98"/>
    </row>
    <row r="575" spans="2:34" x14ac:dyDescent="0.25">
      <c r="B575" s="75"/>
      <c r="C575" s="76"/>
      <c r="D575" s="83"/>
      <c r="E575" s="84"/>
      <c r="F575" s="84"/>
      <c r="G575" s="84"/>
      <c r="H575" s="84"/>
      <c r="I575" s="85"/>
      <c r="J575" s="90"/>
      <c r="K575" s="91"/>
      <c r="L575" s="90"/>
      <c r="M575" s="91"/>
      <c r="N575" s="83"/>
      <c r="O575" s="85"/>
      <c r="P575" s="96"/>
      <c r="Q575" s="97"/>
      <c r="S575" s="99"/>
      <c r="T575" s="99"/>
      <c r="U575" s="99"/>
      <c r="V575" s="99"/>
      <c r="W575" s="99"/>
      <c r="X575" s="99"/>
      <c r="Y575" s="99"/>
      <c r="Z575" s="99"/>
      <c r="AA575" s="99"/>
      <c r="AB575" s="99"/>
      <c r="AC575" s="98"/>
      <c r="AD575" s="98"/>
      <c r="AE575" s="98"/>
      <c r="AF575" s="98"/>
      <c r="AG575" s="98"/>
      <c r="AH575" s="98"/>
    </row>
    <row r="576" spans="2:34" x14ac:dyDescent="0.25">
      <c r="B576" s="71"/>
      <c r="C576" s="72"/>
      <c r="D576" s="77"/>
      <c r="E576" s="78"/>
      <c r="F576" s="78"/>
      <c r="G576" s="78"/>
      <c r="H576" s="78"/>
      <c r="I576" s="79"/>
      <c r="J576" s="86"/>
      <c r="K576" s="87"/>
      <c r="L576" s="86"/>
      <c r="M576" s="87"/>
      <c r="N576" s="77"/>
      <c r="O576" s="79"/>
      <c r="P576" s="92"/>
      <c r="Q576" s="93"/>
      <c r="S576" s="99"/>
      <c r="T576" s="99"/>
      <c r="U576" s="99"/>
      <c r="V576" s="99"/>
      <c r="W576" s="99"/>
      <c r="X576" s="99"/>
      <c r="Y576" s="99"/>
      <c r="Z576" s="99"/>
      <c r="AA576" s="99"/>
      <c r="AB576" s="99"/>
      <c r="AC576" s="98"/>
      <c r="AD576" s="98"/>
      <c r="AE576" s="98"/>
      <c r="AF576" s="98"/>
      <c r="AG576" s="98"/>
      <c r="AH576" s="98"/>
    </row>
    <row r="577" spans="2:34" x14ac:dyDescent="0.25">
      <c r="B577" s="73"/>
      <c r="C577" s="74"/>
      <c r="D577" s="80"/>
      <c r="E577" s="81"/>
      <c r="F577" s="81"/>
      <c r="G577" s="81"/>
      <c r="H577" s="81"/>
      <c r="I577" s="82"/>
      <c r="J577" s="88"/>
      <c r="K577" s="89"/>
      <c r="L577" s="88"/>
      <c r="M577" s="89"/>
      <c r="N577" s="80"/>
      <c r="O577" s="82"/>
      <c r="P577" s="94"/>
      <c r="Q577" s="95"/>
      <c r="S577" s="99"/>
      <c r="T577" s="99"/>
      <c r="U577" s="99"/>
      <c r="V577" s="99"/>
      <c r="W577" s="99"/>
      <c r="X577" s="99"/>
      <c r="Y577" s="99"/>
      <c r="Z577" s="99"/>
      <c r="AA577" s="99"/>
      <c r="AB577" s="99"/>
      <c r="AC577" s="98"/>
      <c r="AD577" s="98"/>
      <c r="AE577" s="98"/>
      <c r="AF577" s="98"/>
      <c r="AG577" s="98"/>
      <c r="AH577" s="98"/>
    </row>
    <row r="578" spans="2:34" x14ac:dyDescent="0.25">
      <c r="B578" s="75"/>
      <c r="C578" s="76"/>
      <c r="D578" s="83"/>
      <c r="E578" s="84"/>
      <c r="F578" s="84"/>
      <c r="G578" s="84"/>
      <c r="H578" s="84"/>
      <c r="I578" s="85"/>
      <c r="J578" s="90"/>
      <c r="K578" s="91"/>
      <c r="L578" s="90"/>
      <c r="M578" s="91"/>
      <c r="N578" s="83"/>
      <c r="O578" s="85"/>
      <c r="P578" s="96"/>
      <c r="Q578" s="97"/>
      <c r="S578" s="99"/>
      <c r="T578" s="99"/>
      <c r="U578" s="99"/>
      <c r="V578" s="99"/>
      <c r="W578" s="99"/>
      <c r="X578" s="99"/>
      <c r="Y578" s="99"/>
      <c r="Z578" s="99"/>
      <c r="AA578" s="99"/>
      <c r="AB578" s="99"/>
      <c r="AC578" s="98"/>
      <c r="AD578" s="98"/>
      <c r="AE578" s="98"/>
      <c r="AF578" s="98"/>
      <c r="AG578" s="98"/>
      <c r="AH578" s="98"/>
    </row>
    <row r="579" spans="2:34" x14ac:dyDescent="0.25">
      <c r="B579" s="71"/>
      <c r="C579" s="72"/>
      <c r="D579" s="77"/>
      <c r="E579" s="78"/>
      <c r="F579" s="78"/>
      <c r="G579" s="78"/>
      <c r="H579" s="78"/>
      <c r="I579" s="79"/>
      <c r="J579" s="86"/>
      <c r="K579" s="87"/>
      <c r="L579" s="86"/>
      <c r="M579" s="87"/>
      <c r="N579" s="77"/>
      <c r="O579" s="79"/>
      <c r="P579" s="92"/>
      <c r="Q579" s="93"/>
      <c r="S579" s="99"/>
      <c r="T579" s="99"/>
      <c r="U579" s="99"/>
      <c r="V579" s="99"/>
      <c r="W579" s="99"/>
      <c r="X579" s="99"/>
      <c r="Y579" s="99"/>
      <c r="Z579" s="99"/>
      <c r="AA579" s="99"/>
      <c r="AB579" s="99"/>
      <c r="AC579" s="98"/>
      <c r="AD579" s="98"/>
      <c r="AE579" s="98"/>
      <c r="AF579" s="98"/>
      <c r="AG579" s="98"/>
      <c r="AH579" s="98"/>
    </row>
    <row r="580" spans="2:34" x14ac:dyDescent="0.25">
      <c r="B580" s="73"/>
      <c r="C580" s="74"/>
      <c r="D580" s="80"/>
      <c r="E580" s="81"/>
      <c r="F580" s="81"/>
      <c r="G580" s="81"/>
      <c r="H580" s="81"/>
      <c r="I580" s="82"/>
      <c r="J580" s="88"/>
      <c r="K580" s="89"/>
      <c r="L580" s="88"/>
      <c r="M580" s="89"/>
      <c r="N580" s="80"/>
      <c r="O580" s="82"/>
      <c r="P580" s="94"/>
      <c r="Q580" s="95"/>
      <c r="S580" s="99"/>
      <c r="T580" s="99"/>
      <c r="U580" s="99"/>
      <c r="V580" s="99"/>
      <c r="W580" s="99"/>
      <c r="X580" s="99"/>
      <c r="Y580" s="99"/>
      <c r="Z580" s="99"/>
      <c r="AA580" s="99"/>
      <c r="AB580" s="99"/>
      <c r="AC580" s="98"/>
      <c r="AD580" s="98"/>
      <c r="AE580" s="98"/>
      <c r="AF580" s="98"/>
      <c r="AG580" s="98"/>
      <c r="AH580" s="98"/>
    </row>
    <row r="581" spans="2:34" x14ac:dyDescent="0.25">
      <c r="B581" s="75"/>
      <c r="C581" s="76"/>
      <c r="D581" s="83"/>
      <c r="E581" s="84"/>
      <c r="F581" s="84"/>
      <c r="G581" s="84"/>
      <c r="H581" s="84"/>
      <c r="I581" s="85"/>
      <c r="J581" s="90"/>
      <c r="K581" s="91"/>
      <c r="L581" s="90"/>
      <c r="M581" s="91"/>
      <c r="N581" s="83"/>
      <c r="O581" s="85"/>
      <c r="P581" s="96"/>
      <c r="Q581" s="97"/>
      <c r="S581" s="99"/>
      <c r="T581" s="99"/>
      <c r="U581" s="99"/>
      <c r="V581" s="99"/>
      <c r="W581" s="99"/>
      <c r="X581" s="99"/>
      <c r="Y581" s="99"/>
      <c r="Z581" s="99"/>
      <c r="AA581" s="99"/>
      <c r="AB581" s="99"/>
      <c r="AC581" s="98"/>
      <c r="AD581" s="98"/>
      <c r="AE581" s="98"/>
      <c r="AF581" s="98"/>
      <c r="AG581" s="98"/>
      <c r="AH581" s="98"/>
    </row>
    <row r="582" spans="2:34" x14ac:dyDescent="0.25">
      <c r="B582" s="71"/>
      <c r="C582" s="72"/>
      <c r="D582" s="77"/>
      <c r="E582" s="78"/>
      <c r="F582" s="78"/>
      <c r="G582" s="78"/>
      <c r="H582" s="78"/>
      <c r="I582" s="79"/>
      <c r="J582" s="86"/>
      <c r="K582" s="87"/>
      <c r="L582" s="86"/>
      <c r="M582" s="87"/>
      <c r="N582" s="77"/>
      <c r="O582" s="79"/>
      <c r="P582" s="92"/>
      <c r="Q582" s="93"/>
      <c r="S582" s="99"/>
      <c r="T582" s="99"/>
      <c r="U582" s="99"/>
      <c r="V582" s="99"/>
      <c r="W582" s="99"/>
      <c r="X582" s="99"/>
      <c r="Y582" s="99"/>
      <c r="Z582" s="99"/>
      <c r="AA582" s="99"/>
      <c r="AB582" s="99"/>
      <c r="AC582" s="98"/>
      <c r="AD582" s="98"/>
      <c r="AE582" s="98"/>
      <c r="AF582" s="98"/>
      <c r="AG582" s="98"/>
      <c r="AH582" s="98"/>
    </row>
    <row r="583" spans="2:34" x14ac:dyDescent="0.25">
      <c r="B583" s="73"/>
      <c r="C583" s="74"/>
      <c r="D583" s="80"/>
      <c r="E583" s="81"/>
      <c r="F583" s="81"/>
      <c r="G583" s="81"/>
      <c r="H583" s="81"/>
      <c r="I583" s="82"/>
      <c r="J583" s="88"/>
      <c r="K583" s="89"/>
      <c r="L583" s="88"/>
      <c r="M583" s="89"/>
      <c r="N583" s="80"/>
      <c r="O583" s="82"/>
      <c r="P583" s="94"/>
      <c r="Q583" s="95"/>
      <c r="S583" s="99"/>
      <c r="T583" s="99"/>
      <c r="U583" s="99"/>
      <c r="V583" s="99"/>
      <c r="W583" s="99"/>
      <c r="X583" s="99"/>
      <c r="Y583" s="99"/>
      <c r="Z583" s="99"/>
      <c r="AA583" s="99"/>
      <c r="AB583" s="99"/>
      <c r="AC583" s="98"/>
      <c r="AD583" s="98"/>
      <c r="AE583" s="98"/>
      <c r="AF583" s="98"/>
      <c r="AG583" s="98"/>
      <c r="AH583" s="98"/>
    </row>
    <row r="584" spans="2:34" x14ac:dyDescent="0.25">
      <c r="B584" s="75"/>
      <c r="C584" s="76"/>
      <c r="D584" s="83"/>
      <c r="E584" s="84"/>
      <c r="F584" s="84"/>
      <c r="G584" s="84"/>
      <c r="H584" s="84"/>
      <c r="I584" s="85"/>
      <c r="J584" s="90"/>
      <c r="K584" s="91"/>
      <c r="L584" s="90"/>
      <c r="M584" s="91"/>
      <c r="N584" s="83"/>
      <c r="O584" s="85"/>
      <c r="P584" s="96"/>
      <c r="Q584" s="97"/>
      <c r="S584" s="99"/>
      <c r="T584" s="99"/>
      <c r="U584" s="99"/>
      <c r="V584" s="99"/>
      <c r="W584" s="99"/>
      <c r="X584" s="99"/>
      <c r="Y584" s="99"/>
      <c r="Z584" s="99"/>
      <c r="AA584" s="99"/>
      <c r="AB584" s="99"/>
      <c r="AC584" s="98"/>
      <c r="AD584" s="98"/>
      <c r="AE584" s="98"/>
      <c r="AF584" s="98"/>
      <c r="AG584" s="98"/>
      <c r="AH584" s="98"/>
    </row>
    <row r="585" spans="2:34" x14ac:dyDescent="0.25">
      <c r="B585" s="71"/>
      <c r="C585" s="72"/>
      <c r="D585" s="77"/>
      <c r="E585" s="78"/>
      <c r="F585" s="78"/>
      <c r="G585" s="78"/>
      <c r="H585" s="78"/>
      <c r="I585" s="79"/>
      <c r="J585" s="86"/>
      <c r="K585" s="87"/>
      <c r="L585" s="86"/>
      <c r="M585" s="87"/>
      <c r="N585" s="77"/>
      <c r="O585" s="79"/>
      <c r="P585" s="92"/>
      <c r="Q585" s="93"/>
      <c r="S585" s="99"/>
      <c r="T585" s="99"/>
      <c r="U585" s="99"/>
      <c r="V585" s="99"/>
      <c r="W585" s="99"/>
      <c r="X585" s="99"/>
      <c r="Y585" s="99"/>
      <c r="Z585" s="99"/>
      <c r="AA585" s="99"/>
      <c r="AB585" s="99"/>
      <c r="AC585" s="98"/>
      <c r="AD585" s="98"/>
      <c r="AE585" s="98"/>
      <c r="AF585" s="98"/>
      <c r="AG585" s="98"/>
      <c r="AH585" s="98"/>
    </row>
    <row r="586" spans="2:34" x14ac:dyDescent="0.25">
      <c r="B586" s="73"/>
      <c r="C586" s="74"/>
      <c r="D586" s="80"/>
      <c r="E586" s="81"/>
      <c r="F586" s="81"/>
      <c r="G586" s="81"/>
      <c r="H586" s="81"/>
      <c r="I586" s="82"/>
      <c r="J586" s="88"/>
      <c r="K586" s="89"/>
      <c r="L586" s="88"/>
      <c r="M586" s="89"/>
      <c r="N586" s="80"/>
      <c r="O586" s="82"/>
      <c r="P586" s="94"/>
      <c r="Q586" s="95"/>
      <c r="S586" s="99"/>
      <c r="T586" s="99"/>
      <c r="U586" s="99"/>
      <c r="V586" s="99"/>
      <c r="W586" s="99"/>
      <c r="X586" s="99"/>
      <c r="Y586" s="99"/>
      <c r="Z586" s="99"/>
      <c r="AA586" s="99"/>
      <c r="AB586" s="99"/>
      <c r="AC586" s="98"/>
      <c r="AD586" s="98"/>
      <c r="AE586" s="98"/>
      <c r="AF586" s="98"/>
      <c r="AG586" s="98"/>
      <c r="AH586" s="98"/>
    </row>
    <row r="587" spans="2:34" x14ac:dyDescent="0.25">
      <c r="B587" s="75"/>
      <c r="C587" s="76"/>
      <c r="D587" s="83"/>
      <c r="E587" s="84"/>
      <c r="F587" s="84"/>
      <c r="G587" s="84"/>
      <c r="H587" s="84"/>
      <c r="I587" s="85"/>
      <c r="J587" s="90"/>
      <c r="K587" s="91"/>
      <c r="L587" s="90"/>
      <c r="M587" s="91"/>
      <c r="N587" s="83"/>
      <c r="O587" s="85"/>
      <c r="P587" s="96"/>
      <c r="Q587" s="97"/>
      <c r="S587" s="99"/>
      <c r="T587" s="99"/>
      <c r="U587" s="99"/>
      <c r="V587" s="99"/>
      <c r="W587" s="99"/>
      <c r="X587" s="99"/>
      <c r="Y587" s="99"/>
      <c r="Z587" s="99"/>
      <c r="AA587" s="99"/>
      <c r="AB587" s="99"/>
      <c r="AC587" s="98"/>
      <c r="AD587" s="98"/>
      <c r="AE587" s="98"/>
      <c r="AF587" s="98"/>
      <c r="AG587" s="98"/>
      <c r="AH587" s="98"/>
    </row>
    <row r="588" spans="2:34" x14ac:dyDescent="0.25">
      <c r="B588" s="71"/>
      <c r="C588" s="72"/>
      <c r="D588" s="77"/>
      <c r="E588" s="78"/>
      <c r="F588" s="78"/>
      <c r="G588" s="78"/>
      <c r="H588" s="78"/>
      <c r="I588" s="79"/>
      <c r="J588" s="86"/>
      <c r="K588" s="87"/>
      <c r="L588" s="86"/>
      <c r="M588" s="87"/>
      <c r="N588" s="77"/>
      <c r="O588" s="79"/>
      <c r="P588" s="92"/>
      <c r="Q588" s="93"/>
      <c r="S588" s="99"/>
      <c r="T588" s="99"/>
      <c r="U588" s="99"/>
      <c r="V588" s="99"/>
      <c r="W588" s="99"/>
      <c r="X588" s="99"/>
      <c r="Y588" s="99"/>
      <c r="Z588" s="99"/>
      <c r="AA588" s="99"/>
      <c r="AB588" s="99"/>
      <c r="AC588" s="98"/>
      <c r="AD588" s="98"/>
      <c r="AE588" s="98"/>
      <c r="AF588" s="98"/>
      <c r="AG588" s="98"/>
      <c r="AH588" s="98"/>
    </row>
    <row r="589" spans="2:34" x14ac:dyDescent="0.25">
      <c r="B589" s="73"/>
      <c r="C589" s="74"/>
      <c r="D589" s="80"/>
      <c r="E589" s="81"/>
      <c r="F589" s="81"/>
      <c r="G589" s="81"/>
      <c r="H589" s="81"/>
      <c r="I589" s="82"/>
      <c r="J589" s="88"/>
      <c r="K589" s="89"/>
      <c r="L589" s="88"/>
      <c r="M589" s="89"/>
      <c r="N589" s="80"/>
      <c r="O589" s="82"/>
      <c r="P589" s="94"/>
      <c r="Q589" s="95"/>
      <c r="S589" s="99"/>
      <c r="T589" s="99"/>
      <c r="U589" s="99"/>
      <c r="V589" s="99"/>
      <c r="W589" s="99"/>
      <c r="X589" s="99"/>
      <c r="Y589" s="99"/>
      <c r="Z589" s="99"/>
      <c r="AA589" s="99"/>
      <c r="AB589" s="99"/>
      <c r="AC589" s="98"/>
      <c r="AD589" s="98"/>
      <c r="AE589" s="98"/>
      <c r="AF589" s="98"/>
      <c r="AG589" s="98"/>
      <c r="AH589" s="98"/>
    </row>
    <row r="590" spans="2:34" x14ac:dyDescent="0.25">
      <c r="B590" s="75"/>
      <c r="C590" s="76"/>
      <c r="D590" s="83"/>
      <c r="E590" s="84"/>
      <c r="F590" s="84"/>
      <c r="G590" s="84"/>
      <c r="H590" s="84"/>
      <c r="I590" s="85"/>
      <c r="J590" s="90"/>
      <c r="K590" s="91"/>
      <c r="L590" s="90"/>
      <c r="M590" s="91"/>
      <c r="N590" s="83"/>
      <c r="O590" s="85"/>
      <c r="P590" s="96"/>
      <c r="Q590" s="97"/>
      <c r="S590" s="99"/>
      <c r="T590" s="99"/>
      <c r="U590" s="99"/>
      <c r="V590" s="99"/>
      <c r="W590" s="99"/>
      <c r="X590" s="99"/>
      <c r="Y590" s="99"/>
      <c r="Z590" s="99"/>
      <c r="AA590" s="99"/>
      <c r="AB590" s="99"/>
      <c r="AC590" s="98"/>
      <c r="AD590" s="98"/>
      <c r="AE590" s="98"/>
      <c r="AF590" s="98"/>
      <c r="AG590" s="98"/>
      <c r="AH590" s="98"/>
    </row>
    <row r="591" spans="2:34" x14ac:dyDescent="0.25">
      <c r="B591" s="71"/>
      <c r="C591" s="72"/>
      <c r="D591" s="77"/>
      <c r="E591" s="78"/>
      <c r="F591" s="78"/>
      <c r="G591" s="78"/>
      <c r="H591" s="78"/>
      <c r="I591" s="79"/>
      <c r="J591" s="86"/>
      <c r="K591" s="87"/>
      <c r="L591" s="86"/>
      <c r="M591" s="87"/>
      <c r="N591" s="77"/>
      <c r="O591" s="79"/>
      <c r="P591" s="92"/>
      <c r="Q591" s="93"/>
      <c r="S591" s="99"/>
      <c r="T591" s="99"/>
      <c r="U591" s="99"/>
      <c r="V591" s="99"/>
      <c r="W591" s="99"/>
      <c r="X591" s="99"/>
      <c r="Y591" s="99"/>
      <c r="Z591" s="99"/>
      <c r="AA591" s="99"/>
      <c r="AB591" s="99"/>
      <c r="AC591" s="98"/>
      <c r="AD591" s="98"/>
      <c r="AE591" s="98"/>
      <c r="AF591" s="98"/>
      <c r="AG591" s="98"/>
      <c r="AH591" s="98"/>
    </row>
    <row r="592" spans="2:34" x14ac:dyDescent="0.25">
      <c r="B592" s="73"/>
      <c r="C592" s="74"/>
      <c r="D592" s="80"/>
      <c r="E592" s="81"/>
      <c r="F592" s="81"/>
      <c r="G592" s="81"/>
      <c r="H592" s="81"/>
      <c r="I592" s="82"/>
      <c r="J592" s="88"/>
      <c r="K592" s="89"/>
      <c r="L592" s="88"/>
      <c r="M592" s="89"/>
      <c r="N592" s="80"/>
      <c r="O592" s="82"/>
      <c r="P592" s="94"/>
      <c r="Q592" s="95"/>
      <c r="S592" s="99"/>
      <c r="T592" s="99"/>
      <c r="U592" s="99"/>
      <c r="V592" s="99"/>
      <c r="W592" s="99"/>
      <c r="X592" s="99"/>
      <c r="Y592" s="99"/>
      <c r="Z592" s="99"/>
      <c r="AA592" s="99"/>
      <c r="AB592" s="99"/>
      <c r="AC592" s="98"/>
      <c r="AD592" s="98"/>
      <c r="AE592" s="98"/>
      <c r="AF592" s="98"/>
      <c r="AG592" s="98"/>
      <c r="AH592" s="98"/>
    </row>
    <row r="593" spans="2:34" x14ac:dyDescent="0.25">
      <c r="B593" s="75"/>
      <c r="C593" s="76"/>
      <c r="D593" s="83"/>
      <c r="E593" s="84"/>
      <c r="F593" s="84"/>
      <c r="G593" s="84"/>
      <c r="H593" s="84"/>
      <c r="I593" s="85"/>
      <c r="J593" s="90"/>
      <c r="K593" s="91"/>
      <c r="L593" s="90"/>
      <c r="M593" s="91"/>
      <c r="N593" s="83"/>
      <c r="O593" s="85"/>
      <c r="P593" s="96"/>
      <c r="Q593" s="97"/>
      <c r="S593" s="99"/>
      <c r="T593" s="99"/>
      <c r="U593" s="99"/>
      <c r="V593" s="99"/>
      <c r="W593" s="99"/>
      <c r="X593" s="99"/>
      <c r="Y593" s="99"/>
      <c r="Z593" s="99"/>
      <c r="AA593" s="99"/>
      <c r="AB593" s="99"/>
      <c r="AC593" s="98"/>
      <c r="AD593" s="98"/>
      <c r="AE593" s="98"/>
      <c r="AF593" s="98"/>
      <c r="AG593" s="98"/>
      <c r="AH593" s="98"/>
    </row>
    <row r="594" spans="2:34" x14ac:dyDescent="0.25">
      <c r="B594" s="71"/>
      <c r="C594" s="72"/>
      <c r="D594" s="77"/>
      <c r="E594" s="78"/>
      <c r="F594" s="78"/>
      <c r="G594" s="78"/>
      <c r="H594" s="78"/>
      <c r="I594" s="79"/>
      <c r="J594" s="86"/>
      <c r="K594" s="87"/>
      <c r="L594" s="86"/>
      <c r="M594" s="87"/>
      <c r="N594" s="77"/>
      <c r="O594" s="79"/>
      <c r="P594" s="92"/>
      <c r="Q594" s="93"/>
      <c r="S594" s="99"/>
      <c r="T594" s="99"/>
      <c r="U594" s="99"/>
      <c r="V594" s="99"/>
      <c r="W594" s="99"/>
      <c r="X594" s="99"/>
      <c r="Y594" s="99"/>
      <c r="Z594" s="99"/>
      <c r="AA594" s="99"/>
      <c r="AB594" s="99"/>
      <c r="AC594" s="98"/>
      <c r="AD594" s="98"/>
      <c r="AE594" s="98"/>
      <c r="AF594" s="98"/>
      <c r="AG594" s="98"/>
      <c r="AH594" s="98"/>
    </row>
    <row r="595" spans="2:34" x14ac:dyDescent="0.25">
      <c r="B595" s="73"/>
      <c r="C595" s="74"/>
      <c r="D595" s="80"/>
      <c r="E595" s="81"/>
      <c r="F595" s="81"/>
      <c r="G595" s="81"/>
      <c r="H595" s="81"/>
      <c r="I595" s="82"/>
      <c r="J595" s="88"/>
      <c r="K595" s="89"/>
      <c r="L595" s="88"/>
      <c r="M595" s="89"/>
      <c r="N595" s="80"/>
      <c r="O595" s="82"/>
      <c r="P595" s="94"/>
      <c r="Q595" s="95"/>
      <c r="S595" s="99"/>
      <c r="T595" s="99"/>
      <c r="U595" s="99"/>
      <c r="V595" s="99"/>
      <c r="W595" s="99"/>
      <c r="X595" s="99"/>
      <c r="Y595" s="99"/>
      <c r="Z595" s="99"/>
      <c r="AA595" s="99"/>
      <c r="AB595" s="99"/>
      <c r="AC595" s="98"/>
      <c r="AD595" s="98"/>
      <c r="AE595" s="98"/>
      <c r="AF595" s="98"/>
      <c r="AG595" s="98"/>
      <c r="AH595" s="98"/>
    </row>
    <row r="596" spans="2:34" x14ac:dyDescent="0.25">
      <c r="B596" s="75"/>
      <c r="C596" s="76"/>
      <c r="D596" s="83"/>
      <c r="E596" s="84"/>
      <c r="F596" s="84"/>
      <c r="G596" s="84"/>
      <c r="H596" s="84"/>
      <c r="I596" s="85"/>
      <c r="J596" s="90"/>
      <c r="K596" s="91"/>
      <c r="L596" s="90"/>
      <c r="M596" s="91"/>
      <c r="N596" s="83"/>
      <c r="O596" s="85"/>
      <c r="P596" s="96"/>
      <c r="Q596" s="97"/>
      <c r="S596" s="99"/>
      <c r="T596" s="99"/>
      <c r="U596" s="99"/>
      <c r="V596" s="99"/>
      <c r="W596" s="99"/>
      <c r="X596" s="99"/>
      <c r="Y596" s="99"/>
      <c r="Z596" s="99"/>
      <c r="AA596" s="99"/>
      <c r="AB596" s="99"/>
      <c r="AC596" s="98"/>
      <c r="AD596" s="98"/>
      <c r="AE596" s="98"/>
      <c r="AF596" s="98"/>
      <c r="AG596" s="98"/>
      <c r="AH596" s="98"/>
    </row>
    <row r="597" spans="2:34" x14ac:dyDescent="0.25">
      <c r="B597" s="71"/>
      <c r="C597" s="72"/>
      <c r="D597" s="77"/>
      <c r="E597" s="78"/>
      <c r="F597" s="78"/>
      <c r="G597" s="78"/>
      <c r="H597" s="78"/>
      <c r="I597" s="79"/>
      <c r="J597" s="86"/>
      <c r="K597" s="87"/>
      <c r="L597" s="86"/>
      <c r="M597" s="87"/>
      <c r="N597" s="77"/>
      <c r="O597" s="79"/>
      <c r="P597" s="92"/>
      <c r="Q597" s="93"/>
      <c r="S597" s="99"/>
      <c r="T597" s="99"/>
      <c r="U597" s="99"/>
      <c r="V597" s="99"/>
      <c r="W597" s="99"/>
      <c r="X597" s="99"/>
      <c r="Y597" s="99"/>
      <c r="Z597" s="99"/>
      <c r="AA597" s="99"/>
      <c r="AB597" s="99"/>
      <c r="AC597" s="98"/>
      <c r="AD597" s="98"/>
      <c r="AE597" s="98"/>
      <c r="AF597" s="98"/>
      <c r="AG597" s="98"/>
      <c r="AH597" s="98"/>
    </row>
    <row r="598" spans="2:34" x14ac:dyDescent="0.25">
      <c r="B598" s="73"/>
      <c r="C598" s="74"/>
      <c r="D598" s="80"/>
      <c r="E598" s="81"/>
      <c r="F598" s="81"/>
      <c r="G598" s="81"/>
      <c r="H598" s="81"/>
      <c r="I598" s="82"/>
      <c r="J598" s="88"/>
      <c r="K598" s="89"/>
      <c r="L598" s="88"/>
      <c r="M598" s="89"/>
      <c r="N598" s="80"/>
      <c r="O598" s="82"/>
      <c r="P598" s="94"/>
      <c r="Q598" s="95"/>
      <c r="S598" s="99"/>
      <c r="T598" s="99"/>
      <c r="U598" s="99"/>
      <c r="V598" s="99"/>
      <c r="W598" s="99"/>
      <c r="X598" s="99"/>
      <c r="Y598" s="99"/>
      <c r="Z598" s="99"/>
      <c r="AA598" s="99"/>
      <c r="AB598" s="99"/>
      <c r="AC598" s="98"/>
      <c r="AD598" s="98"/>
      <c r="AE598" s="98"/>
      <c r="AF598" s="98"/>
      <c r="AG598" s="98"/>
      <c r="AH598" s="98"/>
    </row>
    <row r="599" spans="2:34" x14ac:dyDescent="0.25">
      <c r="B599" s="75"/>
      <c r="C599" s="76"/>
      <c r="D599" s="83"/>
      <c r="E599" s="84"/>
      <c r="F599" s="84"/>
      <c r="G599" s="84"/>
      <c r="H599" s="84"/>
      <c r="I599" s="85"/>
      <c r="J599" s="90"/>
      <c r="K599" s="91"/>
      <c r="L599" s="90"/>
      <c r="M599" s="91"/>
      <c r="N599" s="83"/>
      <c r="O599" s="85"/>
      <c r="P599" s="96"/>
      <c r="Q599" s="97"/>
      <c r="S599" s="99"/>
      <c r="T599" s="99"/>
      <c r="U599" s="99"/>
      <c r="V599" s="99"/>
      <c r="W599" s="99"/>
      <c r="X599" s="99"/>
      <c r="Y599" s="99"/>
      <c r="Z599" s="99"/>
      <c r="AA599" s="99"/>
      <c r="AB599" s="99"/>
      <c r="AC599" s="98"/>
      <c r="AD599" s="98"/>
      <c r="AE599" s="98"/>
      <c r="AF599" s="98"/>
      <c r="AG599" s="98"/>
      <c r="AH599" s="98"/>
    </row>
    <row r="600" spans="2:34" x14ac:dyDescent="0.25">
      <c r="B600" s="71"/>
      <c r="C600" s="72"/>
      <c r="D600" s="77"/>
      <c r="E600" s="78"/>
      <c r="F600" s="78"/>
      <c r="G600" s="78"/>
      <c r="H600" s="78"/>
      <c r="I600" s="79"/>
      <c r="J600" s="86"/>
      <c r="K600" s="87"/>
      <c r="L600" s="86"/>
      <c r="M600" s="87"/>
      <c r="N600" s="77"/>
      <c r="O600" s="79"/>
      <c r="P600" s="92"/>
      <c r="Q600" s="93"/>
      <c r="S600" s="99"/>
      <c r="T600" s="99"/>
      <c r="U600" s="99"/>
      <c r="V600" s="99"/>
      <c r="W600" s="99"/>
      <c r="X600" s="99"/>
      <c r="Y600" s="99"/>
      <c r="Z600" s="99"/>
      <c r="AA600" s="99"/>
      <c r="AB600" s="99"/>
      <c r="AC600" s="98"/>
      <c r="AD600" s="98"/>
      <c r="AE600" s="98"/>
      <c r="AF600" s="98"/>
      <c r="AG600" s="98"/>
      <c r="AH600" s="98"/>
    </row>
    <row r="601" spans="2:34" x14ac:dyDescent="0.25">
      <c r="B601" s="73"/>
      <c r="C601" s="74"/>
      <c r="D601" s="80"/>
      <c r="E601" s="81"/>
      <c r="F601" s="81"/>
      <c r="G601" s="81"/>
      <c r="H601" s="81"/>
      <c r="I601" s="82"/>
      <c r="J601" s="88"/>
      <c r="K601" s="89"/>
      <c r="L601" s="88"/>
      <c r="M601" s="89"/>
      <c r="N601" s="80"/>
      <c r="O601" s="82"/>
      <c r="P601" s="94"/>
      <c r="Q601" s="95"/>
      <c r="S601" s="99"/>
      <c r="T601" s="99"/>
      <c r="U601" s="99"/>
      <c r="V601" s="99"/>
      <c r="W601" s="99"/>
      <c r="X601" s="99"/>
      <c r="Y601" s="99"/>
      <c r="Z601" s="99"/>
      <c r="AA601" s="99"/>
      <c r="AB601" s="99"/>
      <c r="AC601" s="98"/>
      <c r="AD601" s="98"/>
      <c r="AE601" s="98"/>
      <c r="AF601" s="98"/>
      <c r="AG601" s="98"/>
      <c r="AH601" s="98"/>
    </row>
    <row r="602" spans="2:34" x14ac:dyDescent="0.25">
      <c r="B602" s="75"/>
      <c r="C602" s="76"/>
      <c r="D602" s="83"/>
      <c r="E602" s="84"/>
      <c r="F602" s="84"/>
      <c r="G602" s="84"/>
      <c r="H602" s="84"/>
      <c r="I602" s="85"/>
      <c r="J602" s="90"/>
      <c r="K602" s="91"/>
      <c r="L602" s="90"/>
      <c r="M602" s="91"/>
      <c r="N602" s="83"/>
      <c r="O602" s="85"/>
      <c r="P602" s="96"/>
      <c r="Q602" s="97"/>
      <c r="S602" s="99"/>
      <c r="T602" s="99"/>
      <c r="U602" s="99"/>
      <c r="V602" s="99"/>
      <c r="W602" s="99"/>
      <c r="X602" s="99"/>
      <c r="Y602" s="99"/>
      <c r="Z602" s="99"/>
      <c r="AA602" s="99"/>
      <c r="AB602" s="99"/>
      <c r="AC602" s="98"/>
      <c r="AD602" s="98"/>
      <c r="AE602" s="98"/>
      <c r="AF602" s="98"/>
      <c r="AG602" s="98"/>
      <c r="AH602" s="98"/>
    </row>
    <row r="603" spans="2:34" x14ac:dyDescent="0.25">
      <c r="B603" s="71"/>
      <c r="C603" s="72"/>
      <c r="D603" s="77"/>
      <c r="E603" s="78"/>
      <c r="F603" s="78"/>
      <c r="G603" s="78"/>
      <c r="H603" s="78"/>
      <c r="I603" s="79"/>
      <c r="J603" s="86"/>
      <c r="K603" s="87"/>
      <c r="L603" s="86"/>
      <c r="M603" s="87"/>
      <c r="N603" s="77"/>
      <c r="O603" s="79"/>
      <c r="P603" s="92"/>
      <c r="Q603" s="93"/>
      <c r="S603" s="99"/>
      <c r="T603" s="99"/>
      <c r="U603" s="99"/>
      <c r="V603" s="99"/>
      <c r="W603" s="99"/>
      <c r="X603" s="99"/>
      <c r="Y603" s="99"/>
      <c r="Z603" s="99"/>
      <c r="AA603" s="99"/>
      <c r="AB603" s="99"/>
      <c r="AC603" s="98"/>
      <c r="AD603" s="98"/>
      <c r="AE603" s="98"/>
      <c r="AF603" s="98"/>
      <c r="AG603" s="98"/>
      <c r="AH603" s="98"/>
    </row>
    <row r="604" spans="2:34" x14ac:dyDescent="0.25">
      <c r="B604" s="73"/>
      <c r="C604" s="74"/>
      <c r="D604" s="80"/>
      <c r="E604" s="81"/>
      <c r="F604" s="81"/>
      <c r="G604" s="81"/>
      <c r="H604" s="81"/>
      <c r="I604" s="82"/>
      <c r="J604" s="88"/>
      <c r="K604" s="89"/>
      <c r="L604" s="88"/>
      <c r="M604" s="89"/>
      <c r="N604" s="80"/>
      <c r="O604" s="82"/>
      <c r="P604" s="94"/>
      <c r="Q604" s="95"/>
      <c r="S604" s="99"/>
      <c r="T604" s="99"/>
      <c r="U604" s="99"/>
      <c r="V604" s="99"/>
      <c r="W604" s="99"/>
      <c r="X604" s="99"/>
      <c r="Y604" s="99"/>
      <c r="Z604" s="99"/>
      <c r="AA604" s="99"/>
      <c r="AB604" s="99"/>
      <c r="AC604" s="98"/>
      <c r="AD604" s="98"/>
      <c r="AE604" s="98"/>
      <c r="AF604" s="98"/>
      <c r="AG604" s="98"/>
      <c r="AH604" s="98"/>
    </row>
    <row r="605" spans="2:34" x14ac:dyDescent="0.25">
      <c r="B605" s="75"/>
      <c r="C605" s="76"/>
      <c r="D605" s="83"/>
      <c r="E605" s="84"/>
      <c r="F605" s="84"/>
      <c r="G605" s="84"/>
      <c r="H605" s="84"/>
      <c r="I605" s="85"/>
      <c r="J605" s="90"/>
      <c r="K605" s="91"/>
      <c r="L605" s="90"/>
      <c r="M605" s="91"/>
      <c r="N605" s="83"/>
      <c r="O605" s="85"/>
      <c r="P605" s="96"/>
      <c r="Q605" s="97"/>
      <c r="S605" s="99"/>
      <c r="T605" s="99"/>
      <c r="U605" s="99"/>
      <c r="V605" s="99"/>
      <c r="W605" s="99"/>
      <c r="X605" s="99"/>
      <c r="Y605" s="99"/>
      <c r="Z605" s="99"/>
      <c r="AA605" s="99"/>
      <c r="AB605" s="99"/>
      <c r="AC605" s="98"/>
      <c r="AD605" s="98"/>
      <c r="AE605" s="98"/>
      <c r="AF605" s="98"/>
      <c r="AG605" s="98"/>
      <c r="AH605" s="98"/>
    </row>
    <row r="606" spans="2:34" x14ac:dyDescent="0.25">
      <c r="B606" s="71"/>
      <c r="C606" s="72"/>
      <c r="D606" s="77"/>
      <c r="E606" s="78"/>
      <c r="F606" s="78"/>
      <c r="G606" s="78"/>
      <c r="H606" s="78"/>
      <c r="I606" s="79"/>
      <c r="J606" s="86"/>
      <c r="K606" s="87"/>
      <c r="L606" s="86"/>
      <c r="M606" s="87"/>
      <c r="N606" s="77"/>
      <c r="O606" s="79"/>
      <c r="P606" s="92"/>
      <c r="Q606" s="93"/>
      <c r="S606" s="99"/>
      <c r="T606" s="99"/>
      <c r="U606" s="99"/>
      <c r="V606" s="99"/>
      <c r="W606" s="99"/>
      <c r="X606" s="99"/>
      <c r="Y606" s="99"/>
      <c r="Z606" s="99"/>
      <c r="AA606" s="99"/>
      <c r="AB606" s="99"/>
      <c r="AC606" s="98"/>
      <c r="AD606" s="98"/>
      <c r="AE606" s="98"/>
      <c r="AF606" s="98"/>
      <c r="AG606" s="98"/>
      <c r="AH606" s="98"/>
    </row>
    <row r="607" spans="2:34" x14ac:dyDescent="0.25">
      <c r="B607" s="73"/>
      <c r="C607" s="74"/>
      <c r="D607" s="80"/>
      <c r="E607" s="81"/>
      <c r="F607" s="81"/>
      <c r="G607" s="81"/>
      <c r="H607" s="81"/>
      <c r="I607" s="82"/>
      <c r="J607" s="88"/>
      <c r="K607" s="89"/>
      <c r="L607" s="88"/>
      <c r="M607" s="89"/>
      <c r="N607" s="80"/>
      <c r="O607" s="82"/>
      <c r="P607" s="94"/>
      <c r="Q607" s="95"/>
      <c r="S607" s="99"/>
      <c r="T607" s="99"/>
      <c r="U607" s="99"/>
      <c r="V607" s="99"/>
      <c r="W607" s="99"/>
      <c r="X607" s="99"/>
      <c r="Y607" s="99"/>
      <c r="Z607" s="99"/>
      <c r="AA607" s="99"/>
      <c r="AB607" s="99"/>
      <c r="AC607" s="98"/>
      <c r="AD607" s="98"/>
      <c r="AE607" s="98"/>
      <c r="AF607" s="98"/>
      <c r="AG607" s="98"/>
      <c r="AH607" s="98"/>
    </row>
    <row r="608" spans="2:34" x14ac:dyDescent="0.25">
      <c r="B608" s="75"/>
      <c r="C608" s="76"/>
      <c r="D608" s="83"/>
      <c r="E608" s="84"/>
      <c r="F608" s="84"/>
      <c r="G608" s="84"/>
      <c r="H608" s="84"/>
      <c r="I608" s="85"/>
      <c r="J608" s="90"/>
      <c r="K608" s="91"/>
      <c r="L608" s="90"/>
      <c r="M608" s="91"/>
      <c r="N608" s="83"/>
      <c r="O608" s="85"/>
      <c r="P608" s="96"/>
      <c r="Q608" s="97"/>
      <c r="S608" s="99"/>
      <c r="T608" s="99"/>
      <c r="U608" s="99"/>
      <c r="V608" s="99"/>
      <c r="W608" s="99"/>
      <c r="X608" s="99"/>
      <c r="Y608" s="99"/>
      <c r="Z608" s="99"/>
      <c r="AA608" s="99"/>
      <c r="AB608" s="99"/>
      <c r="AC608" s="98"/>
      <c r="AD608" s="98"/>
      <c r="AE608" s="98"/>
      <c r="AF608" s="98"/>
      <c r="AG608" s="98"/>
      <c r="AH608" s="98"/>
    </row>
    <row r="609" spans="2:34" x14ac:dyDescent="0.25">
      <c r="B609" s="71"/>
      <c r="C609" s="72"/>
      <c r="D609" s="77"/>
      <c r="E609" s="78"/>
      <c r="F609" s="78"/>
      <c r="G609" s="78"/>
      <c r="H609" s="78"/>
      <c r="I609" s="79"/>
      <c r="J609" s="86"/>
      <c r="K609" s="87"/>
      <c r="L609" s="86"/>
      <c r="M609" s="87"/>
      <c r="N609" s="77"/>
      <c r="O609" s="79"/>
      <c r="P609" s="92"/>
      <c r="Q609" s="93"/>
      <c r="S609" s="99"/>
      <c r="T609" s="99"/>
      <c r="U609" s="99"/>
      <c r="V609" s="99"/>
      <c r="W609" s="99"/>
      <c r="X609" s="99"/>
      <c r="Y609" s="99"/>
      <c r="Z609" s="99"/>
      <c r="AA609" s="99"/>
      <c r="AB609" s="99"/>
      <c r="AC609" s="98"/>
      <c r="AD609" s="98"/>
      <c r="AE609" s="98"/>
      <c r="AF609" s="98"/>
      <c r="AG609" s="98"/>
      <c r="AH609" s="98"/>
    </row>
    <row r="610" spans="2:34" x14ac:dyDescent="0.25">
      <c r="B610" s="73"/>
      <c r="C610" s="74"/>
      <c r="D610" s="80"/>
      <c r="E610" s="81"/>
      <c r="F610" s="81"/>
      <c r="G610" s="81"/>
      <c r="H610" s="81"/>
      <c r="I610" s="82"/>
      <c r="J610" s="88"/>
      <c r="K610" s="89"/>
      <c r="L610" s="88"/>
      <c r="M610" s="89"/>
      <c r="N610" s="80"/>
      <c r="O610" s="82"/>
      <c r="P610" s="94"/>
      <c r="Q610" s="95"/>
      <c r="S610" s="99"/>
      <c r="T610" s="99"/>
      <c r="U610" s="99"/>
      <c r="V610" s="99"/>
      <c r="W610" s="99"/>
      <c r="X610" s="99"/>
      <c r="Y610" s="99"/>
      <c r="Z610" s="99"/>
      <c r="AA610" s="99"/>
      <c r="AB610" s="99"/>
      <c r="AC610" s="98"/>
      <c r="AD610" s="98"/>
      <c r="AE610" s="98"/>
      <c r="AF610" s="98"/>
      <c r="AG610" s="98"/>
      <c r="AH610" s="98"/>
    </row>
    <row r="611" spans="2:34" x14ac:dyDescent="0.25">
      <c r="B611" s="75"/>
      <c r="C611" s="76"/>
      <c r="D611" s="83"/>
      <c r="E611" s="84"/>
      <c r="F611" s="84"/>
      <c r="G611" s="84"/>
      <c r="H611" s="84"/>
      <c r="I611" s="85"/>
      <c r="J611" s="90"/>
      <c r="K611" s="91"/>
      <c r="L611" s="90"/>
      <c r="M611" s="91"/>
      <c r="N611" s="83"/>
      <c r="O611" s="85"/>
      <c r="P611" s="96"/>
      <c r="Q611" s="97"/>
      <c r="S611" s="99"/>
      <c r="T611" s="99"/>
      <c r="U611" s="99"/>
      <c r="V611" s="99"/>
      <c r="W611" s="99"/>
      <c r="X611" s="99"/>
      <c r="Y611" s="99"/>
      <c r="Z611" s="99"/>
      <c r="AA611" s="99"/>
      <c r="AB611" s="99"/>
      <c r="AC611" s="98"/>
      <c r="AD611" s="98"/>
      <c r="AE611" s="98"/>
      <c r="AF611" s="98"/>
      <c r="AG611" s="98"/>
      <c r="AH611" s="98"/>
    </row>
    <row r="612" spans="2:34" x14ac:dyDescent="0.25">
      <c r="B612" s="71"/>
      <c r="C612" s="72"/>
      <c r="D612" s="77"/>
      <c r="E612" s="78"/>
      <c r="F612" s="78"/>
      <c r="G612" s="78"/>
      <c r="H612" s="78"/>
      <c r="I612" s="79"/>
      <c r="J612" s="86"/>
      <c r="K612" s="87"/>
      <c r="L612" s="86"/>
      <c r="M612" s="87"/>
      <c r="N612" s="77"/>
      <c r="O612" s="79"/>
      <c r="P612" s="92"/>
      <c r="Q612" s="93"/>
      <c r="S612" s="99"/>
      <c r="T612" s="99"/>
      <c r="U612" s="99"/>
      <c r="V612" s="99"/>
      <c r="W612" s="99"/>
      <c r="X612" s="99"/>
      <c r="Y612" s="99"/>
      <c r="Z612" s="99"/>
      <c r="AA612" s="99"/>
      <c r="AB612" s="99"/>
      <c r="AC612" s="98"/>
      <c r="AD612" s="98"/>
      <c r="AE612" s="98"/>
      <c r="AF612" s="98"/>
      <c r="AG612" s="98"/>
      <c r="AH612" s="98"/>
    </row>
    <row r="613" spans="2:34" x14ac:dyDescent="0.25">
      <c r="B613" s="73"/>
      <c r="C613" s="74"/>
      <c r="D613" s="80"/>
      <c r="E613" s="81"/>
      <c r="F613" s="81"/>
      <c r="G613" s="81"/>
      <c r="H613" s="81"/>
      <c r="I613" s="82"/>
      <c r="J613" s="88"/>
      <c r="K613" s="89"/>
      <c r="L613" s="88"/>
      <c r="M613" s="89"/>
      <c r="N613" s="80"/>
      <c r="O613" s="82"/>
      <c r="P613" s="94"/>
      <c r="Q613" s="95"/>
      <c r="S613" s="99"/>
      <c r="T613" s="99"/>
      <c r="U613" s="99"/>
      <c r="V613" s="99"/>
      <c r="W613" s="99"/>
      <c r="X613" s="99"/>
      <c r="Y613" s="99"/>
      <c r="Z613" s="99"/>
      <c r="AA613" s="99"/>
      <c r="AB613" s="99"/>
      <c r="AC613" s="98"/>
      <c r="AD613" s="98"/>
      <c r="AE613" s="98"/>
      <c r="AF613" s="98"/>
      <c r="AG613" s="98"/>
      <c r="AH613" s="98"/>
    </row>
    <row r="614" spans="2:34" x14ac:dyDescent="0.25">
      <c r="B614" s="75"/>
      <c r="C614" s="76"/>
      <c r="D614" s="83"/>
      <c r="E614" s="84"/>
      <c r="F614" s="84"/>
      <c r="G614" s="84"/>
      <c r="H614" s="84"/>
      <c r="I614" s="85"/>
      <c r="J614" s="90"/>
      <c r="K614" s="91"/>
      <c r="L614" s="90"/>
      <c r="M614" s="91"/>
      <c r="N614" s="83"/>
      <c r="O614" s="85"/>
      <c r="P614" s="96"/>
      <c r="Q614" s="97"/>
      <c r="S614" s="99"/>
      <c r="T614" s="99"/>
      <c r="U614" s="99"/>
      <c r="V614" s="99"/>
      <c r="W614" s="99"/>
      <c r="X614" s="99"/>
      <c r="Y614" s="99"/>
      <c r="Z614" s="99"/>
      <c r="AA614" s="99"/>
      <c r="AB614" s="99"/>
      <c r="AC614" s="98"/>
      <c r="AD614" s="98"/>
      <c r="AE614" s="98"/>
      <c r="AF614" s="98"/>
      <c r="AG614" s="98"/>
      <c r="AH614" s="98"/>
    </row>
    <row r="615" spans="2:34" x14ac:dyDescent="0.25">
      <c r="B615" s="71"/>
      <c r="C615" s="72"/>
      <c r="D615" s="77"/>
      <c r="E615" s="78"/>
      <c r="F615" s="78"/>
      <c r="G615" s="78"/>
      <c r="H615" s="78"/>
      <c r="I615" s="79"/>
      <c r="J615" s="86"/>
      <c r="K615" s="87"/>
      <c r="L615" s="86"/>
      <c r="M615" s="87"/>
      <c r="N615" s="77"/>
      <c r="O615" s="79"/>
      <c r="P615" s="92"/>
      <c r="Q615" s="93"/>
      <c r="S615" s="99"/>
      <c r="T615" s="99"/>
      <c r="U615" s="99"/>
      <c r="V615" s="99"/>
      <c r="W615" s="99"/>
      <c r="X615" s="99"/>
      <c r="Y615" s="99"/>
      <c r="Z615" s="99"/>
      <c r="AA615" s="99"/>
      <c r="AB615" s="99"/>
      <c r="AC615" s="98"/>
      <c r="AD615" s="98"/>
      <c r="AE615" s="98"/>
      <c r="AF615" s="98"/>
      <c r="AG615" s="98"/>
      <c r="AH615" s="98"/>
    </row>
    <row r="616" spans="2:34" x14ac:dyDescent="0.25">
      <c r="B616" s="73"/>
      <c r="C616" s="74"/>
      <c r="D616" s="80"/>
      <c r="E616" s="81"/>
      <c r="F616" s="81"/>
      <c r="G616" s="81"/>
      <c r="H616" s="81"/>
      <c r="I616" s="82"/>
      <c r="J616" s="88"/>
      <c r="K616" s="89"/>
      <c r="L616" s="88"/>
      <c r="M616" s="89"/>
      <c r="N616" s="80"/>
      <c r="O616" s="82"/>
      <c r="P616" s="94"/>
      <c r="Q616" s="95"/>
      <c r="S616" s="99"/>
      <c r="T616" s="99"/>
      <c r="U616" s="99"/>
      <c r="V616" s="99"/>
      <c r="W616" s="99"/>
      <c r="X616" s="99"/>
      <c r="Y616" s="99"/>
      <c r="Z616" s="99"/>
      <c r="AA616" s="99"/>
      <c r="AB616" s="99"/>
      <c r="AC616" s="98"/>
      <c r="AD616" s="98"/>
      <c r="AE616" s="98"/>
      <c r="AF616" s="98"/>
      <c r="AG616" s="98"/>
      <c r="AH616" s="98"/>
    </row>
    <row r="617" spans="2:34" x14ac:dyDescent="0.25">
      <c r="B617" s="75"/>
      <c r="C617" s="76"/>
      <c r="D617" s="83"/>
      <c r="E617" s="84"/>
      <c r="F617" s="84"/>
      <c r="G617" s="84"/>
      <c r="H617" s="84"/>
      <c r="I617" s="85"/>
      <c r="J617" s="90"/>
      <c r="K617" s="91"/>
      <c r="L617" s="90"/>
      <c r="M617" s="91"/>
      <c r="N617" s="83"/>
      <c r="O617" s="85"/>
      <c r="P617" s="96"/>
      <c r="Q617" s="97"/>
      <c r="S617" s="99"/>
      <c r="T617" s="99"/>
      <c r="U617" s="99"/>
      <c r="V617" s="99"/>
      <c r="W617" s="99"/>
      <c r="X617" s="99"/>
      <c r="Y617" s="99"/>
      <c r="Z617" s="99"/>
      <c r="AA617" s="99"/>
      <c r="AB617" s="99"/>
      <c r="AC617" s="98"/>
      <c r="AD617" s="98"/>
      <c r="AE617" s="98"/>
      <c r="AF617" s="98"/>
      <c r="AG617" s="98"/>
      <c r="AH617" s="98"/>
    </row>
    <row r="618" spans="2:34" x14ac:dyDescent="0.25">
      <c r="B618" s="71"/>
      <c r="C618" s="72"/>
      <c r="D618" s="77"/>
      <c r="E618" s="78"/>
      <c r="F618" s="78"/>
      <c r="G618" s="78"/>
      <c r="H618" s="78"/>
      <c r="I618" s="79"/>
      <c r="J618" s="86"/>
      <c r="K618" s="87"/>
      <c r="L618" s="86"/>
      <c r="M618" s="87"/>
      <c r="N618" s="77"/>
      <c r="O618" s="79"/>
      <c r="P618" s="92"/>
      <c r="Q618" s="93"/>
      <c r="S618" s="99"/>
      <c r="T618" s="99"/>
      <c r="U618" s="99"/>
      <c r="V618" s="99"/>
      <c r="W618" s="99"/>
      <c r="X618" s="99"/>
      <c r="Y618" s="99"/>
      <c r="Z618" s="99"/>
      <c r="AA618" s="99"/>
      <c r="AB618" s="99"/>
      <c r="AC618" s="98"/>
      <c r="AD618" s="98"/>
      <c r="AE618" s="98"/>
      <c r="AF618" s="98"/>
      <c r="AG618" s="98"/>
      <c r="AH618" s="98"/>
    </row>
    <row r="619" spans="2:34" x14ac:dyDescent="0.25">
      <c r="B619" s="73"/>
      <c r="C619" s="74"/>
      <c r="D619" s="80"/>
      <c r="E619" s="81"/>
      <c r="F619" s="81"/>
      <c r="G619" s="81"/>
      <c r="H619" s="81"/>
      <c r="I619" s="82"/>
      <c r="J619" s="88"/>
      <c r="K619" s="89"/>
      <c r="L619" s="88"/>
      <c r="M619" s="89"/>
      <c r="N619" s="80"/>
      <c r="O619" s="82"/>
      <c r="P619" s="94"/>
      <c r="Q619" s="95"/>
      <c r="S619" s="99"/>
      <c r="T619" s="99"/>
      <c r="U619" s="99"/>
      <c r="V619" s="99"/>
      <c r="W619" s="99"/>
      <c r="X619" s="99"/>
      <c r="Y619" s="99"/>
      <c r="Z619" s="99"/>
      <c r="AA619" s="99"/>
      <c r="AB619" s="99"/>
      <c r="AC619" s="98"/>
      <c r="AD619" s="98"/>
      <c r="AE619" s="98"/>
      <c r="AF619" s="98"/>
      <c r="AG619" s="98"/>
      <c r="AH619" s="98"/>
    </row>
    <row r="620" spans="2:34" x14ac:dyDescent="0.25">
      <c r="B620" s="75"/>
      <c r="C620" s="76"/>
      <c r="D620" s="83"/>
      <c r="E620" s="84"/>
      <c r="F620" s="84"/>
      <c r="G620" s="84"/>
      <c r="H620" s="84"/>
      <c r="I620" s="85"/>
      <c r="J620" s="90"/>
      <c r="K620" s="91"/>
      <c r="L620" s="90"/>
      <c r="M620" s="91"/>
      <c r="N620" s="83"/>
      <c r="O620" s="85"/>
      <c r="P620" s="96"/>
      <c r="Q620" s="97"/>
      <c r="S620" s="99"/>
      <c r="T620" s="99"/>
      <c r="U620" s="99"/>
      <c r="V620" s="99"/>
      <c r="W620" s="99"/>
      <c r="X620" s="99"/>
      <c r="Y620" s="99"/>
      <c r="Z620" s="99"/>
      <c r="AA620" s="99"/>
      <c r="AB620" s="99"/>
      <c r="AC620" s="98"/>
      <c r="AD620" s="98"/>
      <c r="AE620" s="98"/>
      <c r="AF620" s="98"/>
      <c r="AG620" s="98"/>
      <c r="AH620" s="98"/>
    </row>
    <row r="621" spans="2:34" x14ac:dyDescent="0.25">
      <c r="B621" s="71"/>
      <c r="C621" s="72"/>
      <c r="D621" s="77"/>
      <c r="E621" s="78"/>
      <c r="F621" s="78"/>
      <c r="G621" s="78"/>
      <c r="H621" s="78"/>
      <c r="I621" s="79"/>
      <c r="J621" s="86"/>
      <c r="K621" s="87"/>
      <c r="L621" s="86"/>
      <c r="M621" s="87"/>
      <c r="N621" s="77"/>
      <c r="O621" s="79"/>
      <c r="P621" s="92"/>
      <c r="Q621" s="93"/>
      <c r="S621" s="99"/>
      <c r="T621" s="99"/>
      <c r="U621" s="99"/>
      <c r="V621" s="99"/>
      <c r="W621" s="99"/>
      <c r="X621" s="99"/>
      <c r="Y621" s="99"/>
      <c r="Z621" s="99"/>
      <c r="AA621" s="99"/>
      <c r="AB621" s="99"/>
      <c r="AC621" s="98"/>
      <c r="AD621" s="98"/>
      <c r="AE621" s="98"/>
      <c r="AF621" s="98"/>
      <c r="AG621" s="98"/>
      <c r="AH621" s="98"/>
    </row>
    <row r="622" spans="2:34" x14ac:dyDescent="0.25">
      <c r="B622" s="73"/>
      <c r="C622" s="74"/>
      <c r="D622" s="80"/>
      <c r="E622" s="81"/>
      <c r="F622" s="81"/>
      <c r="G622" s="81"/>
      <c r="H622" s="81"/>
      <c r="I622" s="82"/>
      <c r="J622" s="88"/>
      <c r="K622" s="89"/>
      <c r="L622" s="88"/>
      <c r="M622" s="89"/>
      <c r="N622" s="80"/>
      <c r="O622" s="82"/>
      <c r="P622" s="94"/>
      <c r="Q622" s="95"/>
      <c r="S622" s="99"/>
      <c r="T622" s="99"/>
      <c r="U622" s="99"/>
      <c r="V622" s="99"/>
      <c r="W622" s="99"/>
      <c r="X622" s="99"/>
      <c r="Y622" s="99"/>
      <c r="Z622" s="99"/>
      <c r="AA622" s="99"/>
      <c r="AB622" s="99"/>
      <c r="AC622" s="98"/>
      <c r="AD622" s="98"/>
      <c r="AE622" s="98"/>
      <c r="AF622" s="98"/>
      <c r="AG622" s="98"/>
      <c r="AH622" s="98"/>
    </row>
    <row r="623" spans="2:34" x14ac:dyDescent="0.25">
      <c r="B623" s="75"/>
      <c r="C623" s="76"/>
      <c r="D623" s="83"/>
      <c r="E623" s="84"/>
      <c r="F623" s="84"/>
      <c r="G623" s="84"/>
      <c r="H623" s="84"/>
      <c r="I623" s="85"/>
      <c r="J623" s="90"/>
      <c r="K623" s="91"/>
      <c r="L623" s="90"/>
      <c r="M623" s="91"/>
      <c r="N623" s="83"/>
      <c r="O623" s="85"/>
      <c r="P623" s="96"/>
      <c r="Q623" s="97"/>
      <c r="S623" s="99"/>
      <c r="T623" s="99"/>
      <c r="U623" s="99"/>
      <c r="V623" s="99"/>
      <c r="W623" s="99"/>
      <c r="X623" s="99"/>
      <c r="Y623" s="99"/>
      <c r="Z623" s="99"/>
      <c r="AA623" s="99"/>
      <c r="AB623" s="99"/>
      <c r="AC623" s="98"/>
      <c r="AD623" s="98"/>
      <c r="AE623" s="98"/>
      <c r="AF623" s="98"/>
      <c r="AG623" s="98"/>
      <c r="AH623" s="98"/>
    </row>
    <row r="624" spans="2:34" x14ac:dyDescent="0.25">
      <c r="B624" s="71"/>
      <c r="C624" s="72"/>
      <c r="D624" s="77"/>
      <c r="E624" s="78"/>
      <c r="F624" s="78"/>
      <c r="G624" s="78"/>
      <c r="H624" s="78"/>
      <c r="I624" s="79"/>
      <c r="J624" s="86"/>
      <c r="K624" s="87"/>
      <c r="L624" s="86"/>
      <c r="M624" s="87"/>
      <c r="N624" s="77"/>
      <c r="O624" s="79"/>
      <c r="P624" s="92"/>
      <c r="Q624" s="93"/>
      <c r="S624" s="99"/>
      <c r="T624" s="99"/>
      <c r="U624" s="99"/>
      <c r="V624" s="99"/>
      <c r="W624" s="99"/>
      <c r="X624" s="99"/>
      <c r="Y624" s="99"/>
      <c r="Z624" s="99"/>
      <c r="AA624" s="99"/>
      <c r="AB624" s="99"/>
      <c r="AC624" s="98"/>
      <c r="AD624" s="98"/>
      <c r="AE624" s="98"/>
      <c r="AF624" s="98"/>
      <c r="AG624" s="98"/>
      <c r="AH624" s="98"/>
    </row>
    <row r="625" spans="2:34" x14ac:dyDescent="0.25">
      <c r="B625" s="73"/>
      <c r="C625" s="74"/>
      <c r="D625" s="80"/>
      <c r="E625" s="81"/>
      <c r="F625" s="81"/>
      <c r="G625" s="81"/>
      <c r="H625" s="81"/>
      <c r="I625" s="82"/>
      <c r="J625" s="88"/>
      <c r="K625" s="89"/>
      <c r="L625" s="88"/>
      <c r="M625" s="89"/>
      <c r="N625" s="80"/>
      <c r="O625" s="82"/>
      <c r="P625" s="94"/>
      <c r="Q625" s="95"/>
      <c r="S625" s="99"/>
      <c r="T625" s="99"/>
      <c r="U625" s="99"/>
      <c r="V625" s="99"/>
      <c r="W625" s="99"/>
      <c r="X625" s="99"/>
      <c r="Y625" s="99"/>
      <c r="Z625" s="99"/>
      <c r="AA625" s="99"/>
      <c r="AB625" s="99"/>
      <c r="AC625" s="98"/>
      <c r="AD625" s="98"/>
      <c r="AE625" s="98"/>
      <c r="AF625" s="98"/>
      <c r="AG625" s="98"/>
      <c r="AH625" s="98"/>
    </row>
    <row r="626" spans="2:34" x14ac:dyDescent="0.25">
      <c r="B626" s="75"/>
      <c r="C626" s="76"/>
      <c r="D626" s="83"/>
      <c r="E626" s="84"/>
      <c r="F626" s="84"/>
      <c r="G626" s="84"/>
      <c r="H626" s="84"/>
      <c r="I626" s="85"/>
      <c r="J626" s="90"/>
      <c r="K626" s="91"/>
      <c r="L626" s="90"/>
      <c r="M626" s="91"/>
      <c r="N626" s="83"/>
      <c r="O626" s="85"/>
      <c r="P626" s="96"/>
      <c r="Q626" s="97"/>
      <c r="S626" s="99"/>
      <c r="T626" s="99"/>
      <c r="U626" s="99"/>
      <c r="V626" s="99"/>
      <c r="W626" s="99"/>
      <c r="X626" s="99"/>
      <c r="Y626" s="99"/>
      <c r="Z626" s="99"/>
      <c r="AA626" s="99"/>
      <c r="AB626" s="99"/>
      <c r="AC626" s="98"/>
      <c r="AD626" s="98"/>
      <c r="AE626" s="98"/>
      <c r="AF626" s="98"/>
      <c r="AG626" s="98"/>
      <c r="AH626" s="98"/>
    </row>
    <row r="627" spans="2:34" x14ac:dyDescent="0.25">
      <c r="B627" s="71"/>
      <c r="C627" s="72"/>
      <c r="D627" s="77"/>
      <c r="E627" s="78"/>
      <c r="F627" s="78"/>
      <c r="G627" s="78"/>
      <c r="H627" s="78"/>
      <c r="I627" s="79"/>
      <c r="J627" s="86"/>
      <c r="K627" s="87"/>
      <c r="L627" s="86"/>
      <c r="M627" s="87"/>
      <c r="N627" s="77"/>
      <c r="O627" s="79"/>
      <c r="P627" s="92"/>
      <c r="Q627" s="93"/>
      <c r="S627" s="99"/>
      <c r="T627" s="99"/>
      <c r="U627" s="99"/>
      <c r="V627" s="99"/>
      <c r="W627" s="99"/>
      <c r="X627" s="99"/>
      <c r="Y627" s="99"/>
      <c r="Z627" s="99"/>
      <c r="AA627" s="99"/>
      <c r="AB627" s="99"/>
      <c r="AC627" s="98"/>
      <c r="AD627" s="98"/>
      <c r="AE627" s="98"/>
      <c r="AF627" s="98"/>
      <c r="AG627" s="98"/>
      <c r="AH627" s="98"/>
    </row>
    <row r="628" spans="2:34" x14ac:dyDescent="0.25">
      <c r="B628" s="73"/>
      <c r="C628" s="74"/>
      <c r="D628" s="80"/>
      <c r="E628" s="81"/>
      <c r="F628" s="81"/>
      <c r="G628" s="81"/>
      <c r="H628" s="81"/>
      <c r="I628" s="82"/>
      <c r="J628" s="88"/>
      <c r="K628" s="89"/>
      <c r="L628" s="88"/>
      <c r="M628" s="89"/>
      <c r="N628" s="80"/>
      <c r="O628" s="82"/>
      <c r="P628" s="94"/>
      <c r="Q628" s="95"/>
      <c r="S628" s="99"/>
      <c r="T628" s="99"/>
      <c r="U628" s="99"/>
      <c r="V628" s="99"/>
      <c r="W628" s="99"/>
      <c r="X628" s="99"/>
      <c r="Y628" s="99"/>
      <c r="Z628" s="99"/>
      <c r="AA628" s="99"/>
      <c r="AB628" s="99"/>
      <c r="AC628" s="98"/>
      <c r="AD628" s="98"/>
      <c r="AE628" s="98"/>
      <c r="AF628" s="98"/>
      <c r="AG628" s="98"/>
      <c r="AH628" s="98"/>
    </row>
    <row r="629" spans="2:34" x14ac:dyDescent="0.25">
      <c r="B629" s="75"/>
      <c r="C629" s="76"/>
      <c r="D629" s="83"/>
      <c r="E629" s="84"/>
      <c r="F629" s="84"/>
      <c r="G629" s="84"/>
      <c r="H629" s="84"/>
      <c r="I629" s="85"/>
      <c r="J629" s="90"/>
      <c r="K629" s="91"/>
      <c r="L629" s="90"/>
      <c r="M629" s="91"/>
      <c r="N629" s="83"/>
      <c r="O629" s="85"/>
      <c r="P629" s="96"/>
      <c r="Q629" s="97"/>
      <c r="S629" s="99"/>
      <c r="T629" s="99"/>
      <c r="U629" s="99"/>
      <c r="V629" s="99"/>
      <c r="W629" s="99"/>
      <c r="X629" s="99"/>
      <c r="Y629" s="99"/>
      <c r="Z629" s="99"/>
      <c r="AA629" s="99"/>
      <c r="AB629" s="99"/>
      <c r="AC629" s="98"/>
      <c r="AD629" s="98"/>
      <c r="AE629" s="98"/>
      <c r="AF629" s="98"/>
      <c r="AG629" s="98"/>
      <c r="AH629" s="98"/>
    </row>
    <row r="630" spans="2:34" x14ac:dyDescent="0.25">
      <c r="B630" s="71"/>
      <c r="C630" s="72"/>
      <c r="D630" s="77"/>
      <c r="E630" s="78"/>
      <c r="F630" s="78"/>
      <c r="G630" s="78"/>
      <c r="H630" s="78"/>
      <c r="I630" s="79"/>
      <c r="J630" s="86"/>
      <c r="K630" s="87"/>
      <c r="L630" s="86"/>
      <c r="M630" s="87"/>
      <c r="N630" s="77"/>
      <c r="O630" s="79"/>
      <c r="P630" s="92"/>
      <c r="Q630" s="93"/>
      <c r="S630" s="99"/>
      <c r="T630" s="99"/>
      <c r="U630" s="99"/>
      <c r="V630" s="99"/>
      <c r="W630" s="99"/>
      <c r="X630" s="99"/>
      <c r="Y630" s="99"/>
      <c r="Z630" s="99"/>
      <c r="AA630" s="99"/>
      <c r="AB630" s="99"/>
      <c r="AC630" s="98"/>
      <c r="AD630" s="98"/>
      <c r="AE630" s="98"/>
      <c r="AF630" s="98"/>
      <c r="AG630" s="98"/>
      <c r="AH630" s="98"/>
    </row>
    <row r="631" spans="2:34" x14ac:dyDescent="0.25">
      <c r="B631" s="73"/>
      <c r="C631" s="74"/>
      <c r="D631" s="80"/>
      <c r="E631" s="81"/>
      <c r="F631" s="81"/>
      <c r="G631" s="81"/>
      <c r="H631" s="81"/>
      <c r="I631" s="82"/>
      <c r="J631" s="88"/>
      <c r="K631" s="89"/>
      <c r="L631" s="88"/>
      <c r="M631" s="89"/>
      <c r="N631" s="80"/>
      <c r="O631" s="82"/>
      <c r="P631" s="94"/>
      <c r="Q631" s="95"/>
      <c r="S631" s="99"/>
      <c r="T631" s="99"/>
      <c r="U631" s="99"/>
      <c r="V631" s="99"/>
      <c r="W631" s="99"/>
      <c r="X631" s="99"/>
      <c r="Y631" s="99"/>
      <c r="Z631" s="99"/>
      <c r="AA631" s="99"/>
      <c r="AB631" s="99"/>
      <c r="AC631" s="98"/>
      <c r="AD631" s="98"/>
      <c r="AE631" s="98"/>
      <c r="AF631" s="98"/>
      <c r="AG631" s="98"/>
      <c r="AH631" s="98"/>
    </row>
    <row r="632" spans="2:34" x14ac:dyDescent="0.25">
      <c r="B632" s="75"/>
      <c r="C632" s="76"/>
      <c r="D632" s="83"/>
      <c r="E632" s="84"/>
      <c r="F632" s="84"/>
      <c r="G632" s="84"/>
      <c r="H632" s="84"/>
      <c r="I632" s="85"/>
      <c r="J632" s="90"/>
      <c r="K632" s="91"/>
      <c r="L632" s="90"/>
      <c r="M632" s="91"/>
      <c r="N632" s="83"/>
      <c r="O632" s="85"/>
      <c r="P632" s="96"/>
      <c r="Q632" s="97"/>
      <c r="S632" s="99"/>
      <c r="T632" s="99"/>
      <c r="U632" s="99"/>
      <c r="V632" s="99"/>
      <c r="W632" s="99"/>
      <c r="X632" s="99"/>
      <c r="Y632" s="99"/>
      <c r="Z632" s="99"/>
      <c r="AA632" s="99"/>
      <c r="AB632" s="99"/>
      <c r="AC632" s="98"/>
      <c r="AD632" s="98"/>
      <c r="AE632" s="98"/>
      <c r="AF632" s="98"/>
      <c r="AG632" s="98"/>
      <c r="AH632" s="98"/>
    </row>
    <row r="633" spans="2:34" x14ac:dyDescent="0.25">
      <c r="B633" s="71"/>
      <c r="C633" s="72"/>
      <c r="D633" s="77"/>
      <c r="E633" s="78"/>
      <c r="F633" s="78"/>
      <c r="G633" s="78"/>
      <c r="H633" s="78"/>
      <c r="I633" s="79"/>
      <c r="J633" s="86"/>
      <c r="K633" s="87"/>
      <c r="L633" s="86"/>
      <c r="M633" s="87"/>
      <c r="N633" s="77"/>
      <c r="O633" s="79"/>
      <c r="P633" s="92"/>
      <c r="Q633" s="93"/>
      <c r="S633" s="99"/>
      <c r="T633" s="99"/>
      <c r="U633" s="99"/>
      <c r="V633" s="99"/>
      <c r="W633" s="99"/>
      <c r="X633" s="99"/>
      <c r="Y633" s="99"/>
      <c r="Z633" s="99"/>
      <c r="AA633" s="99"/>
      <c r="AB633" s="99"/>
      <c r="AC633" s="98"/>
      <c r="AD633" s="98"/>
      <c r="AE633" s="98"/>
      <c r="AF633" s="98"/>
      <c r="AG633" s="98"/>
      <c r="AH633" s="98"/>
    </row>
    <row r="634" spans="2:34" x14ac:dyDescent="0.25">
      <c r="B634" s="73"/>
      <c r="C634" s="74"/>
      <c r="D634" s="80"/>
      <c r="E634" s="81"/>
      <c r="F634" s="81"/>
      <c r="G634" s="81"/>
      <c r="H634" s="81"/>
      <c r="I634" s="82"/>
      <c r="J634" s="88"/>
      <c r="K634" s="89"/>
      <c r="L634" s="88"/>
      <c r="M634" s="89"/>
      <c r="N634" s="80"/>
      <c r="O634" s="82"/>
      <c r="P634" s="94"/>
      <c r="Q634" s="95"/>
      <c r="S634" s="99"/>
      <c r="T634" s="99"/>
      <c r="U634" s="99"/>
      <c r="V634" s="99"/>
      <c r="W634" s="99"/>
      <c r="X634" s="99"/>
      <c r="Y634" s="99"/>
      <c r="Z634" s="99"/>
      <c r="AA634" s="99"/>
      <c r="AB634" s="99"/>
      <c r="AC634" s="98"/>
      <c r="AD634" s="98"/>
      <c r="AE634" s="98"/>
      <c r="AF634" s="98"/>
      <c r="AG634" s="98"/>
      <c r="AH634" s="98"/>
    </row>
    <row r="635" spans="2:34" x14ac:dyDescent="0.25">
      <c r="B635" s="75"/>
      <c r="C635" s="76"/>
      <c r="D635" s="83"/>
      <c r="E635" s="84"/>
      <c r="F635" s="84"/>
      <c r="G635" s="84"/>
      <c r="H635" s="84"/>
      <c r="I635" s="85"/>
      <c r="J635" s="90"/>
      <c r="K635" s="91"/>
      <c r="L635" s="90"/>
      <c r="M635" s="91"/>
      <c r="N635" s="83"/>
      <c r="O635" s="85"/>
      <c r="P635" s="96"/>
      <c r="Q635" s="97"/>
      <c r="S635" s="99"/>
      <c r="T635" s="99"/>
      <c r="U635" s="99"/>
      <c r="V635" s="99"/>
      <c r="W635" s="99"/>
      <c r="X635" s="99"/>
      <c r="Y635" s="99"/>
      <c r="Z635" s="99"/>
      <c r="AA635" s="99"/>
      <c r="AB635" s="99"/>
      <c r="AC635" s="98"/>
      <c r="AD635" s="98"/>
      <c r="AE635" s="98"/>
      <c r="AF635" s="98"/>
      <c r="AG635" s="98"/>
      <c r="AH635" s="98"/>
    </row>
    <row r="636" spans="2:34" x14ac:dyDescent="0.25">
      <c r="B636" s="71"/>
      <c r="C636" s="72"/>
      <c r="D636" s="77"/>
      <c r="E636" s="78"/>
      <c r="F636" s="78"/>
      <c r="G636" s="78"/>
      <c r="H636" s="78"/>
      <c r="I636" s="79"/>
      <c r="J636" s="86"/>
      <c r="K636" s="87"/>
      <c r="L636" s="86"/>
      <c r="M636" s="87"/>
      <c r="N636" s="77"/>
      <c r="O636" s="79"/>
      <c r="P636" s="92"/>
      <c r="Q636" s="93"/>
      <c r="S636" s="99"/>
      <c r="T636" s="99"/>
      <c r="U636" s="99"/>
      <c r="V636" s="99"/>
      <c r="W636" s="99"/>
      <c r="X636" s="99"/>
      <c r="Y636" s="99"/>
      <c r="Z636" s="99"/>
      <c r="AA636" s="99"/>
      <c r="AB636" s="99"/>
      <c r="AC636" s="98"/>
      <c r="AD636" s="98"/>
      <c r="AE636" s="98"/>
      <c r="AF636" s="98"/>
      <c r="AG636" s="98"/>
      <c r="AH636" s="98"/>
    </row>
    <row r="637" spans="2:34" x14ac:dyDescent="0.25">
      <c r="B637" s="73"/>
      <c r="C637" s="74"/>
      <c r="D637" s="80"/>
      <c r="E637" s="81"/>
      <c r="F637" s="81"/>
      <c r="G637" s="81"/>
      <c r="H637" s="81"/>
      <c r="I637" s="82"/>
      <c r="J637" s="88"/>
      <c r="K637" s="89"/>
      <c r="L637" s="88"/>
      <c r="M637" s="89"/>
      <c r="N637" s="80"/>
      <c r="O637" s="82"/>
      <c r="P637" s="94"/>
      <c r="Q637" s="95"/>
      <c r="S637" s="99"/>
      <c r="T637" s="99"/>
      <c r="U637" s="99"/>
      <c r="V637" s="99"/>
      <c r="W637" s="99"/>
      <c r="X637" s="99"/>
      <c r="Y637" s="99"/>
      <c r="Z637" s="99"/>
      <c r="AA637" s="99"/>
      <c r="AB637" s="99"/>
      <c r="AC637" s="98"/>
      <c r="AD637" s="98"/>
      <c r="AE637" s="98"/>
      <c r="AF637" s="98"/>
      <c r="AG637" s="98"/>
      <c r="AH637" s="98"/>
    </row>
    <row r="638" spans="2:34" x14ac:dyDescent="0.25">
      <c r="B638" s="75"/>
      <c r="C638" s="76"/>
      <c r="D638" s="83"/>
      <c r="E638" s="84"/>
      <c r="F638" s="84"/>
      <c r="G638" s="84"/>
      <c r="H638" s="84"/>
      <c r="I638" s="85"/>
      <c r="J638" s="90"/>
      <c r="K638" s="91"/>
      <c r="L638" s="90"/>
      <c r="M638" s="91"/>
      <c r="N638" s="83"/>
      <c r="O638" s="85"/>
      <c r="P638" s="96"/>
      <c r="Q638" s="97"/>
      <c r="S638" s="99"/>
      <c r="T638" s="99"/>
      <c r="U638" s="99"/>
      <c r="V638" s="99"/>
      <c r="W638" s="99"/>
      <c r="X638" s="99"/>
      <c r="Y638" s="99"/>
      <c r="Z638" s="99"/>
      <c r="AA638" s="99"/>
      <c r="AB638" s="99"/>
      <c r="AC638" s="98"/>
      <c r="AD638" s="98"/>
      <c r="AE638" s="98"/>
      <c r="AF638" s="98"/>
      <c r="AG638" s="98"/>
      <c r="AH638" s="98"/>
    </row>
    <row r="639" spans="2:34" x14ac:dyDescent="0.25">
      <c r="B639" s="71"/>
      <c r="C639" s="72"/>
      <c r="D639" s="77"/>
      <c r="E639" s="78"/>
      <c r="F639" s="78"/>
      <c r="G639" s="78"/>
      <c r="H639" s="78"/>
      <c r="I639" s="79"/>
      <c r="J639" s="86"/>
      <c r="K639" s="87"/>
      <c r="L639" s="86"/>
      <c r="M639" s="87"/>
      <c r="N639" s="77"/>
      <c r="O639" s="79"/>
      <c r="P639" s="92"/>
      <c r="Q639" s="93"/>
      <c r="S639" s="99"/>
      <c r="T639" s="99"/>
      <c r="U639" s="99"/>
      <c r="V639" s="99"/>
      <c r="W639" s="99"/>
      <c r="X639" s="99"/>
      <c r="Y639" s="99"/>
      <c r="Z639" s="99"/>
      <c r="AA639" s="99"/>
      <c r="AB639" s="99"/>
      <c r="AC639" s="98"/>
      <c r="AD639" s="98"/>
      <c r="AE639" s="98"/>
      <c r="AF639" s="98"/>
      <c r="AG639" s="98"/>
      <c r="AH639" s="98"/>
    </row>
    <row r="640" spans="2:34" x14ac:dyDescent="0.25">
      <c r="B640" s="73"/>
      <c r="C640" s="74"/>
      <c r="D640" s="80"/>
      <c r="E640" s="81"/>
      <c r="F640" s="81"/>
      <c r="G640" s="81"/>
      <c r="H640" s="81"/>
      <c r="I640" s="82"/>
      <c r="J640" s="88"/>
      <c r="K640" s="89"/>
      <c r="L640" s="88"/>
      <c r="M640" s="89"/>
      <c r="N640" s="80"/>
      <c r="O640" s="82"/>
      <c r="P640" s="94"/>
      <c r="Q640" s="95"/>
      <c r="S640" s="99"/>
      <c r="T640" s="99"/>
      <c r="U640" s="99"/>
      <c r="V640" s="99"/>
      <c r="W640" s="99"/>
      <c r="X640" s="99"/>
      <c r="Y640" s="99"/>
      <c r="Z640" s="99"/>
      <c r="AA640" s="99"/>
      <c r="AB640" s="99"/>
      <c r="AC640" s="98"/>
      <c r="AD640" s="98"/>
      <c r="AE640" s="98"/>
      <c r="AF640" s="98"/>
      <c r="AG640" s="98"/>
      <c r="AH640" s="98"/>
    </row>
    <row r="641" spans="2:34" x14ac:dyDescent="0.25">
      <c r="B641" s="75"/>
      <c r="C641" s="76"/>
      <c r="D641" s="83"/>
      <c r="E641" s="84"/>
      <c r="F641" s="84"/>
      <c r="G641" s="84"/>
      <c r="H641" s="84"/>
      <c r="I641" s="85"/>
      <c r="J641" s="90"/>
      <c r="K641" s="91"/>
      <c r="L641" s="90"/>
      <c r="M641" s="91"/>
      <c r="N641" s="83"/>
      <c r="O641" s="85"/>
      <c r="P641" s="96"/>
      <c r="Q641" s="97"/>
      <c r="S641" s="99"/>
      <c r="T641" s="99"/>
      <c r="U641" s="99"/>
      <c r="V641" s="99"/>
      <c r="W641" s="99"/>
      <c r="X641" s="99"/>
      <c r="Y641" s="99"/>
      <c r="Z641" s="99"/>
      <c r="AA641" s="99"/>
      <c r="AB641" s="99"/>
      <c r="AC641" s="98"/>
      <c r="AD641" s="98"/>
      <c r="AE641" s="98"/>
      <c r="AF641" s="98"/>
      <c r="AG641" s="98"/>
      <c r="AH641" s="98"/>
    </row>
    <row r="642" spans="2:34" x14ac:dyDescent="0.25">
      <c r="B642" s="71"/>
      <c r="C642" s="72"/>
      <c r="D642" s="77"/>
      <c r="E642" s="78"/>
      <c r="F642" s="78"/>
      <c r="G642" s="78"/>
      <c r="H642" s="78"/>
      <c r="I642" s="79"/>
      <c r="J642" s="86"/>
      <c r="K642" s="87"/>
      <c r="L642" s="86"/>
      <c r="M642" s="87"/>
      <c r="N642" s="77"/>
      <c r="O642" s="79"/>
      <c r="P642" s="92"/>
      <c r="Q642" s="93"/>
      <c r="S642" s="99"/>
      <c r="T642" s="99"/>
      <c r="U642" s="99"/>
      <c r="V642" s="99"/>
      <c r="W642" s="99"/>
      <c r="X642" s="99"/>
      <c r="Y642" s="99"/>
      <c r="Z642" s="99"/>
      <c r="AA642" s="99"/>
      <c r="AB642" s="99"/>
      <c r="AC642" s="98"/>
      <c r="AD642" s="98"/>
      <c r="AE642" s="98"/>
      <c r="AF642" s="98"/>
      <c r="AG642" s="98"/>
      <c r="AH642" s="98"/>
    </row>
    <row r="643" spans="2:34" x14ac:dyDescent="0.25">
      <c r="B643" s="73"/>
      <c r="C643" s="74"/>
      <c r="D643" s="80"/>
      <c r="E643" s="81"/>
      <c r="F643" s="81"/>
      <c r="G643" s="81"/>
      <c r="H643" s="81"/>
      <c r="I643" s="82"/>
      <c r="J643" s="88"/>
      <c r="K643" s="89"/>
      <c r="L643" s="88"/>
      <c r="M643" s="89"/>
      <c r="N643" s="80"/>
      <c r="O643" s="82"/>
      <c r="P643" s="94"/>
      <c r="Q643" s="95"/>
      <c r="S643" s="99"/>
      <c r="T643" s="99"/>
      <c r="U643" s="99"/>
      <c r="V643" s="99"/>
      <c r="W643" s="99"/>
      <c r="X643" s="99"/>
      <c r="Y643" s="99"/>
      <c r="Z643" s="99"/>
      <c r="AA643" s="99"/>
      <c r="AB643" s="99"/>
      <c r="AC643" s="98"/>
      <c r="AD643" s="98"/>
      <c r="AE643" s="98"/>
      <c r="AF643" s="98"/>
      <c r="AG643" s="98"/>
      <c r="AH643" s="98"/>
    </row>
    <row r="644" spans="2:34" x14ac:dyDescent="0.25">
      <c r="B644" s="75"/>
      <c r="C644" s="76"/>
      <c r="D644" s="83"/>
      <c r="E644" s="84"/>
      <c r="F644" s="84"/>
      <c r="G644" s="84"/>
      <c r="H644" s="84"/>
      <c r="I644" s="85"/>
      <c r="J644" s="90"/>
      <c r="K644" s="91"/>
      <c r="L644" s="90"/>
      <c r="M644" s="91"/>
      <c r="N644" s="83"/>
      <c r="O644" s="85"/>
      <c r="P644" s="96"/>
      <c r="Q644" s="97"/>
      <c r="S644" s="99"/>
      <c r="T644" s="99"/>
      <c r="U644" s="99"/>
      <c r="V644" s="99"/>
      <c r="W644" s="99"/>
      <c r="X644" s="99"/>
      <c r="Y644" s="99"/>
      <c r="Z644" s="99"/>
      <c r="AA644" s="99"/>
      <c r="AB644" s="99"/>
      <c r="AC644" s="98"/>
      <c r="AD644" s="98"/>
      <c r="AE644" s="98"/>
      <c r="AF644" s="98"/>
      <c r="AG644" s="98"/>
      <c r="AH644" s="98"/>
    </row>
    <row r="645" spans="2:34" x14ac:dyDescent="0.25">
      <c r="B645" s="71"/>
      <c r="C645" s="72"/>
      <c r="D645" s="77"/>
      <c r="E645" s="78"/>
      <c r="F645" s="78"/>
      <c r="G645" s="78"/>
      <c r="H645" s="78"/>
      <c r="I645" s="79"/>
      <c r="J645" s="86"/>
      <c r="K645" s="87"/>
      <c r="L645" s="86"/>
      <c r="M645" s="87"/>
      <c r="N645" s="77"/>
      <c r="O645" s="79"/>
      <c r="P645" s="92"/>
      <c r="Q645" s="93"/>
      <c r="S645" s="99"/>
      <c r="T645" s="99"/>
      <c r="U645" s="99"/>
      <c r="V645" s="99"/>
      <c r="W645" s="99"/>
      <c r="X645" s="99"/>
      <c r="Y645" s="99"/>
      <c r="Z645" s="99"/>
      <c r="AA645" s="99"/>
      <c r="AB645" s="99"/>
      <c r="AC645" s="98"/>
      <c r="AD645" s="98"/>
      <c r="AE645" s="98"/>
      <c r="AF645" s="98"/>
      <c r="AG645" s="98"/>
      <c r="AH645" s="98"/>
    </row>
    <row r="646" spans="2:34" x14ac:dyDescent="0.25">
      <c r="B646" s="73"/>
      <c r="C646" s="74"/>
      <c r="D646" s="80"/>
      <c r="E646" s="81"/>
      <c r="F646" s="81"/>
      <c r="G646" s="81"/>
      <c r="H646" s="81"/>
      <c r="I646" s="82"/>
      <c r="J646" s="88"/>
      <c r="K646" s="89"/>
      <c r="L646" s="88"/>
      <c r="M646" s="89"/>
      <c r="N646" s="80"/>
      <c r="O646" s="82"/>
      <c r="P646" s="94"/>
      <c r="Q646" s="95"/>
      <c r="S646" s="99"/>
      <c r="T646" s="99"/>
      <c r="U646" s="99"/>
      <c r="V646" s="99"/>
      <c r="W646" s="99"/>
      <c r="X646" s="99"/>
      <c r="Y646" s="99"/>
      <c r="Z646" s="99"/>
      <c r="AA646" s="99"/>
      <c r="AB646" s="99"/>
      <c r="AC646" s="98"/>
      <c r="AD646" s="98"/>
      <c r="AE646" s="98"/>
      <c r="AF646" s="98"/>
      <c r="AG646" s="98"/>
      <c r="AH646" s="98"/>
    </row>
    <row r="647" spans="2:34" x14ac:dyDescent="0.25">
      <c r="B647" s="75"/>
      <c r="C647" s="76"/>
      <c r="D647" s="83"/>
      <c r="E647" s="84"/>
      <c r="F647" s="84"/>
      <c r="G647" s="84"/>
      <c r="H647" s="84"/>
      <c r="I647" s="85"/>
      <c r="J647" s="90"/>
      <c r="K647" s="91"/>
      <c r="L647" s="90"/>
      <c r="M647" s="91"/>
      <c r="N647" s="83"/>
      <c r="O647" s="85"/>
      <c r="P647" s="96"/>
      <c r="Q647" s="97"/>
      <c r="S647" s="99"/>
      <c r="T647" s="99"/>
      <c r="U647" s="99"/>
      <c r="V647" s="99"/>
      <c r="W647" s="99"/>
      <c r="X647" s="99"/>
      <c r="Y647" s="99"/>
      <c r="Z647" s="99"/>
      <c r="AA647" s="99"/>
      <c r="AB647" s="99"/>
      <c r="AC647" s="98"/>
      <c r="AD647" s="98"/>
      <c r="AE647" s="98"/>
      <c r="AF647" s="98"/>
      <c r="AG647" s="98"/>
      <c r="AH647" s="98"/>
    </row>
    <row r="648" spans="2:34" x14ac:dyDescent="0.25">
      <c r="B648" s="71"/>
      <c r="C648" s="72"/>
      <c r="D648" s="77"/>
      <c r="E648" s="78"/>
      <c r="F648" s="78"/>
      <c r="G648" s="78"/>
      <c r="H648" s="78"/>
      <c r="I648" s="79"/>
      <c r="J648" s="86"/>
      <c r="K648" s="87"/>
      <c r="L648" s="86"/>
      <c r="M648" s="87"/>
      <c r="N648" s="77"/>
      <c r="O648" s="79"/>
      <c r="P648" s="92"/>
      <c r="Q648" s="93"/>
      <c r="S648" s="99"/>
      <c r="T648" s="99"/>
      <c r="U648" s="99"/>
      <c r="V648" s="99"/>
      <c r="W648" s="99"/>
      <c r="X648" s="99"/>
      <c r="Y648" s="99"/>
      <c r="Z648" s="99"/>
      <c r="AA648" s="99"/>
      <c r="AB648" s="99"/>
      <c r="AC648" s="98"/>
      <c r="AD648" s="98"/>
      <c r="AE648" s="98"/>
      <c r="AF648" s="98"/>
      <c r="AG648" s="98"/>
      <c r="AH648" s="98"/>
    </row>
    <row r="649" spans="2:34" x14ac:dyDescent="0.25">
      <c r="B649" s="73"/>
      <c r="C649" s="74"/>
      <c r="D649" s="80"/>
      <c r="E649" s="81"/>
      <c r="F649" s="81"/>
      <c r="G649" s="81"/>
      <c r="H649" s="81"/>
      <c r="I649" s="82"/>
      <c r="J649" s="88"/>
      <c r="K649" s="89"/>
      <c r="L649" s="88"/>
      <c r="M649" s="89"/>
      <c r="N649" s="80"/>
      <c r="O649" s="82"/>
      <c r="P649" s="94"/>
      <c r="Q649" s="95"/>
      <c r="S649" s="99"/>
      <c r="T649" s="99"/>
      <c r="U649" s="99"/>
      <c r="V649" s="99"/>
      <c r="W649" s="99"/>
      <c r="X649" s="99"/>
      <c r="Y649" s="99"/>
      <c r="Z649" s="99"/>
      <c r="AA649" s="99"/>
      <c r="AB649" s="99"/>
      <c r="AC649" s="98"/>
      <c r="AD649" s="98"/>
      <c r="AE649" s="98"/>
      <c r="AF649" s="98"/>
      <c r="AG649" s="98"/>
      <c r="AH649" s="98"/>
    </row>
    <row r="650" spans="2:34" x14ac:dyDescent="0.25">
      <c r="B650" s="75"/>
      <c r="C650" s="76"/>
      <c r="D650" s="83"/>
      <c r="E650" s="84"/>
      <c r="F650" s="84"/>
      <c r="G650" s="84"/>
      <c r="H650" s="84"/>
      <c r="I650" s="85"/>
      <c r="J650" s="90"/>
      <c r="K650" s="91"/>
      <c r="L650" s="90"/>
      <c r="M650" s="91"/>
      <c r="N650" s="83"/>
      <c r="O650" s="85"/>
      <c r="P650" s="96"/>
      <c r="Q650" s="97"/>
      <c r="S650" s="99"/>
      <c r="T650" s="99"/>
      <c r="U650" s="99"/>
      <c r="V650" s="99"/>
      <c r="W650" s="99"/>
      <c r="X650" s="99"/>
      <c r="Y650" s="99"/>
      <c r="Z650" s="99"/>
      <c r="AA650" s="99"/>
      <c r="AB650" s="99"/>
      <c r="AC650" s="98"/>
      <c r="AD650" s="98"/>
      <c r="AE650" s="98"/>
      <c r="AF650" s="98"/>
      <c r="AG650" s="98"/>
      <c r="AH650" s="98"/>
    </row>
    <row r="651" spans="2:34" x14ac:dyDescent="0.25">
      <c r="B651" s="71"/>
      <c r="C651" s="72"/>
      <c r="D651" s="77"/>
      <c r="E651" s="78"/>
      <c r="F651" s="78"/>
      <c r="G651" s="78"/>
      <c r="H651" s="78"/>
      <c r="I651" s="79"/>
      <c r="J651" s="86"/>
      <c r="K651" s="87"/>
      <c r="L651" s="86"/>
      <c r="M651" s="87"/>
      <c r="N651" s="77"/>
      <c r="O651" s="79"/>
      <c r="P651" s="92"/>
      <c r="Q651" s="93"/>
      <c r="S651" s="99"/>
      <c r="T651" s="99"/>
      <c r="U651" s="99"/>
      <c r="V651" s="99"/>
      <c r="W651" s="99"/>
      <c r="X651" s="99"/>
      <c r="Y651" s="99"/>
      <c r="Z651" s="99"/>
      <c r="AA651" s="99"/>
      <c r="AB651" s="99"/>
      <c r="AC651" s="98"/>
      <c r="AD651" s="98"/>
      <c r="AE651" s="98"/>
      <c r="AF651" s="98"/>
      <c r="AG651" s="98"/>
      <c r="AH651" s="98"/>
    </row>
    <row r="652" spans="2:34" x14ac:dyDescent="0.25">
      <c r="B652" s="73"/>
      <c r="C652" s="74"/>
      <c r="D652" s="80"/>
      <c r="E652" s="81"/>
      <c r="F652" s="81"/>
      <c r="G652" s="81"/>
      <c r="H652" s="81"/>
      <c r="I652" s="82"/>
      <c r="J652" s="88"/>
      <c r="K652" s="89"/>
      <c r="L652" s="88"/>
      <c r="M652" s="89"/>
      <c r="N652" s="80"/>
      <c r="O652" s="82"/>
      <c r="P652" s="94"/>
      <c r="Q652" s="95"/>
      <c r="S652" s="99"/>
      <c r="T652" s="99"/>
      <c r="U652" s="99"/>
      <c r="V652" s="99"/>
      <c r="W652" s="99"/>
      <c r="X652" s="99"/>
      <c r="Y652" s="99"/>
      <c r="Z652" s="99"/>
      <c r="AA652" s="99"/>
      <c r="AB652" s="99"/>
      <c r="AC652" s="98"/>
      <c r="AD652" s="98"/>
      <c r="AE652" s="98"/>
      <c r="AF652" s="98"/>
      <c r="AG652" s="98"/>
      <c r="AH652" s="98"/>
    </row>
    <row r="653" spans="2:34" x14ac:dyDescent="0.25">
      <c r="B653" s="75"/>
      <c r="C653" s="76"/>
      <c r="D653" s="83"/>
      <c r="E653" s="84"/>
      <c r="F653" s="84"/>
      <c r="G653" s="84"/>
      <c r="H653" s="84"/>
      <c r="I653" s="85"/>
      <c r="J653" s="90"/>
      <c r="K653" s="91"/>
      <c r="L653" s="90"/>
      <c r="M653" s="91"/>
      <c r="N653" s="83"/>
      <c r="O653" s="85"/>
      <c r="P653" s="96"/>
      <c r="Q653" s="97"/>
      <c r="S653" s="99"/>
      <c r="T653" s="99"/>
      <c r="U653" s="99"/>
      <c r="V653" s="99"/>
      <c r="W653" s="99"/>
      <c r="X653" s="99"/>
      <c r="Y653" s="99"/>
      <c r="Z653" s="99"/>
      <c r="AA653" s="99"/>
      <c r="AB653" s="99"/>
      <c r="AC653" s="98"/>
      <c r="AD653" s="98"/>
      <c r="AE653" s="98"/>
      <c r="AF653" s="98"/>
      <c r="AG653" s="98"/>
      <c r="AH653" s="98"/>
    </row>
    <row r="654" spans="2:34" x14ac:dyDescent="0.25">
      <c r="B654" s="71"/>
      <c r="C654" s="72"/>
      <c r="D654" s="77"/>
      <c r="E654" s="78"/>
      <c r="F654" s="78"/>
      <c r="G654" s="78"/>
      <c r="H654" s="78"/>
      <c r="I654" s="79"/>
      <c r="J654" s="86"/>
      <c r="K654" s="87"/>
      <c r="L654" s="86"/>
      <c r="M654" s="87"/>
      <c r="N654" s="77"/>
      <c r="O654" s="79"/>
      <c r="P654" s="92"/>
      <c r="Q654" s="93"/>
      <c r="S654" s="99"/>
      <c r="T654" s="99"/>
      <c r="U654" s="99"/>
      <c r="V654" s="99"/>
      <c r="W654" s="99"/>
      <c r="X654" s="99"/>
      <c r="Y654" s="99"/>
      <c r="Z654" s="99"/>
      <c r="AA654" s="99"/>
      <c r="AB654" s="99"/>
      <c r="AC654" s="98"/>
      <c r="AD654" s="98"/>
      <c r="AE654" s="98"/>
      <c r="AF654" s="98"/>
      <c r="AG654" s="98"/>
      <c r="AH654" s="98"/>
    </row>
    <row r="655" spans="2:34" x14ac:dyDescent="0.25">
      <c r="B655" s="73"/>
      <c r="C655" s="74"/>
      <c r="D655" s="80"/>
      <c r="E655" s="81"/>
      <c r="F655" s="81"/>
      <c r="G655" s="81"/>
      <c r="H655" s="81"/>
      <c r="I655" s="82"/>
      <c r="J655" s="88"/>
      <c r="K655" s="89"/>
      <c r="L655" s="88"/>
      <c r="M655" s="89"/>
      <c r="N655" s="80"/>
      <c r="O655" s="82"/>
      <c r="P655" s="94"/>
      <c r="Q655" s="95"/>
      <c r="S655" s="99"/>
      <c r="T655" s="99"/>
      <c r="U655" s="99"/>
      <c r="V655" s="99"/>
      <c r="W655" s="99"/>
      <c r="X655" s="99"/>
      <c r="Y655" s="99"/>
      <c r="Z655" s="99"/>
      <c r="AA655" s="99"/>
      <c r="AB655" s="99"/>
      <c r="AC655" s="98"/>
      <c r="AD655" s="98"/>
      <c r="AE655" s="98"/>
      <c r="AF655" s="98"/>
      <c r="AG655" s="98"/>
      <c r="AH655" s="98"/>
    </row>
    <row r="656" spans="2:34" x14ac:dyDescent="0.25">
      <c r="B656" s="75"/>
      <c r="C656" s="76"/>
      <c r="D656" s="83"/>
      <c r="E656" s="84"/>
      <c r="F656" s="84"/>
      <c r="G656" s="84"/>
      <c r="H656" s="84"/>
      <c r="I656" s="85"/>
      <c r="J656" s="90"/>
      <c r="K656" s="91"/>
      <c r="L656" s="90"/>
      <c r="M656" s="91"/>
      <c r="N656" s="83"/>
      <c r="O656" s="85"/>
      <c r="P656" s="96"/>
      <c r="Q656" s="97"/>
      <c r="S656" s="99"/>
      <c r="T656" s="99"/>
      <c r="U656" s="99"/>
      <c r="V656" s="99"/>
      <c r="W656" s="99"/>
      <c r="X656" s="99"/>
      <c r="Y656" s="99"/>
      <c r="Z656" s="99"/>
      <c r="AA656" s="99"/>
      <c r="AB656" s="99"/>
      <c r="AC656" s="98"/>
      <c r="AD656" s="98"/>
      <c r="AE656" s="98"/>
      <c r="AF656" s="98"/>
      <c r="AG656" s="98"/>
      <c r="AH656" s="98"/>
    </row>
    <row r="657" spans="2:34" x14ac:dyDescent="0.25">
      <c r="B657" s="71"/>
      <c r="C657" s="72"/>
      <c r="D657" s="77"/>
      <c r="E657" s="78"/>
      <c r="F657" s="78"/>
      <c r="G657" s="78"/>
      <c r="H657" s="78"/>
      <c r="I657" s="79"/>
      <c r="J657" s="86"/>
      <c r="K657" s="87"/>
      <c r="L657" s="86"/>
      <c r="M657" s="87"/>
      <c r="N657" s="77"/>
      <c r="O657" s="79"/>
      <c r="P657" s="92"/>
      <c r="Q657" s="93"/>
      <c r="S657" s="99"/>
      <c r="T657" s="99"/>
      <c r="U657" s="99"/>
      <c r="V657" s="99"/>
      <c r="W657" s="99"/>
      <c r="X657" s="99"/>
      <c r="Y657" s="99"/>
      <c r="Z657" s="99"/>
      <c r="AA657" s="99"/>
      <c r="AB657" s="99"/>
      <c r="AC657" s="98"/>
      <c r="AD657" s="98"/>
      <c r="AE657" s="98"/>
      <c r="AF657" s="98"/>
      <c r="AG657" s="98"/>
      <c r="AH657" s="98"/>
    </row>
    <row r="658" spans="2:34" x14ac:dyDescent="0.25">
      <c r="B658" s="73"/>
      <c r="C658" s="74"/>
      <c r="D658" s="80"/>
      <c r="E658" s="81"/>
      <c r="F658" s="81"/>
      <c r="G658" s="81"/>
      <c r="H658" s="81"/>
      <c r="I658" s="82"/>
      <c r="J658" s="88"/>
      <c r="K658" s="89"/>
      <c r="L658" s="88"/>
      <c r="M658" s="89"/>
      <c r="N658" s="80"/>
      <c r="O658" s="82"/>
      <c r="P658" s="94"/>
      <c r="Q658" s="95"/>
      <c r="S658" s="99"/>
      <c r="T658" s="99"/>
      <c r="U658" s="99"/>
      <c r="V658" s="99"/>
      <c r="W658" s="99"/>
      <c r="X658" s="99"/>
      <c r="Y658" s="99"/>
      <c r="Z658" s="99"/>
      <c r="AA658" s="99"/>
      <c r="AB658" s="99"/>
      <c r="AC658" s="98"/>
      <c r="AD658" s="98"/>
      <c r="AE658" s="98"/>
      <c r="AF658" s="98"/>
      <c r="AG658" s="98"/>
      <c r="AH658" s="98"/>
    </row>
    <row r="659" spans="2:34" x14ac:dyDescent="0.25">
      <c r="B659" s="75"/>
      <c r="C659" s="76"/>
      <c r="D659" s="83"/>
      <c r="E659" s="84"/>
      <c r="F659" s="84"/>
      <c r="G659" s="84"/>
      <c r="H659" s="84"/>
      <c r="I659" s="85"/>
      <c r="J659" s="90"/>
      <c r="K659" s="91"/>
      <c r="L659" s="90"/>
      <c r="M659" s="91"/>
      <c r="N659" s="83"/>
      <c r="O659" s="85"/>
      <c r="P659" s="96"/>
      <c r="Q659" s="97"/>
      <c r="S659" s="99"/>
      <c r="T659" s="99"/>
      <c r="U659" s="99"/>
      <c r="V659" s="99"/>
      <c r="W659" s="99"/>
      <c r="X659" s="99"/>
      <c r="Y659" s="99"/>
      <c r="Z659" s="99"/>
      <c r="AA659" s="99"/>
      <c r="AB659" s="99"/>
      <c r="AC659" s="98"/>
      <c r="AD659" s="98"/>
      <c r="AE659" s="98"/>
      <c r="AF659" s="98"/>
      <c r="AG659" s="98"/>
      <c r="AH659" s="98"/>
    </row>
    <row r="660" spans="2:34" x14ac:dyDescent="0.25">
      <c r="B660" s="71"/>
      <c r="C660" s="72"/>
      <c r="D660" s="77"/>
      <c r="E660" s="78"/>
      <c r="F660" s="78"/>
      <c r="G660" s="78"/>
      <c r="H660" s="78"/>
      <c r="I660" s="79"/>
      <c r="J660" s="86"/>
      <c r="K660" s="87"/>
      <c r="L660" s="86"/>
      <c r="M660" s="87"/>
      <c r="N660" s="77"/>
      <c r="O660" s="79"/>
      <c r="P660" s="92"/>
      <c r="Q660" s="93"/>
      <c r="S660" s="99"/>
      <c r="T660" s="99"/>
      <c r="U660" s="99"/>
      <c r="V660" s="99"/>
      <c r="W660" s="99"/>
      <c r="X660" s="99"/>
      <c r="Y660" s="99"/>
      <c r="Z660" s="99"/>
      <c r="AA660" s="99"/>
      <c r="AB660" s="99"/>
      <c r="AC660" s="98"/>
      <c r="AD660" s="98"/>
      <c r="AE660" s="98"/>
      <c r="AF660" s="98"/>
      <c r="AG660" s="98"/>
      <c r="AH660" s="98"/>
    </row>
    <row r="661" spans="2:34" x14ac:dyDescent="0.25">
      <c r="B661" s="73"/>
      <c r="C661" s="74"/>
      <c r="D661" s="80"/>
      <c r="E661" s="81"/>
      <c r="F661" s="81"/>
      <c r="G661" s="81"/>
      <c r="H661" s="81"/>
      <c r="I661" s="82"/>
      <c r="J661" s="88"/>
      <c r="K661" s="89"/>
      <c r="L661" s="88"/>
      <c r="M661" s="89"/>
      <c r="N661" s="80"/>
      <c r="O661" s="82"/>
      <c r="P661" s="94"/>
      <c r="Q661" s="95"/>
      <c r="S661" s="99"/>
      <c r="T661" s="99"/>
      <c r="U661" s="99"/>
      <c r="V661" s="99"/>
      <c r="W661" s="99"/>
      <c r="X661" s="99"/>
      <c r="Y661" s="99"/>
      <c r="Z661" s="99"/>
      <c r="AA661" s="99"/>
      <c r="AB661" s="99"/>
      <c r="AC661" s="98"/>
      <c r="AD661" s="98"/>
      <c r="AE661" s="98"/>
      <c r="AF661" s="98"/>
      <c r="AG661" s="98"/>
      <c r="AH661" s="98"/>
    </row>
    <row r="662" spans="2:34" x14ac:dyDescent="0.25">
      <c r="B662" s="75"/>
      <c r="C662" s="76"/>
      <c r="D662" s="83"/>
      <c r="E662" s="84"/>
      <c r="F662" s="84"/>
      <c r="G662" s="84"/>
      <c r="H662" s="84"/>
      <c r="I662" s="85"/>
      <c r="J662" s="90"/>
      <c r="K662" s="91"/>
      <c r="L662" s="90"/>
      <c r="M662" s="91"/>
      <c r="N662" s="83"/>
      <c r="O662" s="85"/>
      <c r="P662" s="96"/>
      <c r="Q662" s="97"/>
      <c r="S662" s="99"/>
      <c r="T662" s="99"/>
      <c r="U662" s="99"/>
      <c r="V662" s="99"/>
      <c r="W662" s="99"/>
      <c r="X662" s="99"/>
      <c r="Y662" s="99"/>
      <c r="Z662" s="99"/>
      <c r="AA662" s="99"/>
      <c r="AB662" s="99"/>
      <c r="AC662" s="98"/>
      <c r="AD662" s="98"/>
      <c r="AE662" s="98"/>
      <c r="AF662" s="98"/>
      <c r="AG662" s="98"/>
      <c r="AH662" s="98"/>
    </row>
    <row r="663" spans="2:34" x14ac:dyDescent="0.25">
      <c r="B663" s="71"/>
      <c r="C663" s="72"/>
      <c r="D663" s="77"/>
      <c r="E663" s="78"/>
      <c r="F663" s="78"/>
      <c r="G663" s="78"/>
      <c r="H663" s="78"/>
      <c r="I663" s="79"/>
      <c r="J663" s="86"/>
      <c r="K663" s="87"/>
      <c r="L663" s="86"/>
      <c r="M663" s="87"/>
      <c r="N663" s="77"/>
      <c r="O663" s="79"/>
      <c r="P663" s="92"/>
      <c r="Q663" s="93"/>
      <c r="S663" s="99"/>
      <c r="T663" s="99"/>
      <c r="U663" s="99"/>
      <c r="V663" s="99"/>
      <c r="W663" s="99"/>
      <c r="X663" s="99"/>
      <c r="Y663" s="99"/>
      <c r="Z663" s="99"/>
      <c r="AA663" s="99"/>
      <c r="AB663" s="99"/>
      <c r="AC663" s="98"/>
      <c r="AD663" s="98"/>
      <c r="AE663" s="98"/>
      <c r="AF663" s="98"/>
      <c r="AG663" s="98"/>
      <c r="AH663" s="98"/>
    </row>
    <row r="664" spans="2:34" x14ac:dyDescent="0.25">
      <c r="B664" s="73"/>
      <c r="C664" s="74"/>
      <c r="D664" s="80"/>
      <c r="E664" s="81"/>
      <c r="F664" s="81"/>
      <c r="G664" s="81"/>
      <c r="H664" s="81"/>
      <c r="I664" s="82"/>
      <c r="J664" s="88"/>
      <c r="K664" s="89"/>
      <c r="L664" s="88"/>
      <c r="M664" s="89"/>
      <c r="N664" s="80"/>
      <c r="O664" s="82"/>
      <c r="P664" s="94"/>
      <c r="Q664" s="95"/>
      <c r="S664" s="99"/>
      <c r="T664" s="99"/>
      <c r="U664" s="99"/>
      <c r="V664" s="99"/>
      <c r="W664" s="99"/>
      <c r="X664" s="99"/>
      <c r="Y664" s="99"/>
      <c r="Z664" s="99"/>
      <c r="AA664" s="99"/>
      <c r="AB664" s="99"/>
      <c r="AC664" s="98"/>
      <c r="AD664" s="98"/>
      <c r="AE664" s="98"/>
      <c r="AF664" s="98"/>
      <c r="AG664" s="98"/>
      <c r="AH664" s="98"/>
    </row>
    <row r="665" spans="2:34" x14ac:dyDescent="0.25">
      <c r="B665" s="75"/>
      <c r="C665" s="76"/>
      <c r="D665" s="83"/>
      <c r="E665" s="84"/>
      <c r="F665" s="84"/>
      <c r="G665" s="84"/>
      <c r="H665" s="84"/>
      <c r="I665" s="85"/>
      <c r="J665" s="90"/>
      <c r="K665" s="91"/>
      <c r="L665" s="90"/>
      <c r="M665" s="91"/>
      <c r="N665" s="83"/>
      <c r="O665" s="85"/>
      <c r="P665" s="96"/>
      <c r="Q665" s="97"/>
      <c r="S665" s="99"/>
      <c r="T665" s="99"/>
      <c r="U665" s="99"/>
      <c r="V665" s="99"/>
      <c r="W665" s="99"/>
      <c r="X665" s="99"/>
      <c r="Y665" s="99"/>
      <c r="Z665" s="99"/>
      <c r="AA665" s="99"/>
      <c r="AB665" s="99"/>
      <c r="AC665" s="98"/>
      <c r="AD665" s="98"/>
      <c r="AE665" s="98"/>
      <c r="AF665" s="98"/>
      <c r="AG665" s="98"/>
      <c r="AH665" s="98"/>
    </row>
    <row r="666" spans="2:34" x14ac:dyDescent="0.25">
      <c r="B666" s="71"/>
      <c r="C666" s="72"/>
      <c r="D666" s="77"/>
      <c r="E666" s="78"/>
      <c r="F666" s="78"/>
      <c r="G666" s="78"/>
      <c r="H666" s="78"/>
      <c r="I666" s="79"/>
      <c r="J666" s="86"/>
      <c r="K666" s="87"/>
      <c r="L666" s="86"/>
      <c r="M666" s="87"/>
      <c r="N666" s="77"/>
      <c r="O666" s="79"/>
      <c r="P666" s="92"/>
      <c r="Q666" s="93"/>
      <c r="S666" s="99"/>
      <c r="T666" s="99"/>
      <c r="U666" s="99"/>
      <c r="V666" s="99"/>
      <c r="W666" s="99"/>
      <c r="X666" s="99"/>
      <c r="Y666" s="99"/>
      <c r="Z666" s="99"/>
      <c r="AA666" s="99"/>
      <c r="AB666" s="99"/>
      <c r="AC666" s="98"/>
      <c r="AD666" s="98"/>
      <c r="AE666" s="98"/>
      <c r="AF666" s="98"/>
      <c r="AG666" s="98"/>
      <c r="AH666" s="98"/>
    </row>
    <row r="667" spans="2:34" x14ac:dyDescent="0.25">
      <c r="B667" s="73"/>
      <c r="C667" s="74"/>
      <c r="D667" s="80"/>
      <c r="E667" s="81"/>
      <c r="F667" s="81"/>
      <c r="G667" s="81"/>
      <c r="H667" s="81"/>
      <c r="I667" s="82"/>
      <c r="J667" s="88"/>
      <c r="K667" s="89"/>
      <c r="L667" s="88"/>
      <c r="M667" s="89"/>
      <c r="N667" s="80"/>
      <c r="O667" s="82"/>
      <c r="P667" s="94"/>
      <c r="Q667" s="95"/>
      <c r="S667" s="99"/>
      <c r="T667" s="99"/>
      <c r="U667" s="99"/>
      <c r="V667" s="99"/>
      <c r="W667" s="99"/>
      <c r="X667" s="99"/>
      <c r="Y667" s="99"/>
      <c r="Z667" s="99"/>
      <c r="AA667" s="99"/>
      <c r="AB667" s="99"/>
      <c r="AC667" s="98"/>
      <c r="AD667" s="98"/>
      <c r="AE667" s="98"/>
      <c r="AF667" s="98"/>
      <c r="AG667" s="98"/>
      <c r="AH667" s="98"/>
    </row>
    <row r="668" spans="2:34" x14ac:dyDescent="0.25">
      <c r="B668" s="75"/>
      <c r="C668" s="76"/>
      <c r="D668" s="83"/>
      <c r="E668" s="84"/>
      <c r="F668" s="84"/>
      <c r="G668" s="84"/>
      <c r="H668" s="84"/>
      <c r="I668" s="85"/>
      <c r="J668" s="90"/>
      <c r="K668" s="91"/>
      <c r="L668" s="90"/>
      <c r="M668" s="91"/>
      <c r="N668" s="83"/>
      <c r="O668" s="85"/>
      <c r="P668" s="96"/>
      <c r="Q668" s="97"/>
      <c r="S668" s="99"/>
      <c r="T668" s="99"/>
      <c r="U668" s="99"/>
      <c r="V668" s="99"/>
      <c r="W668" s="99"/>
      <c r="X668" s="99"/>
      <c r="Y668" s="99"/>
      <c r="Z668" s="99"/>
      <c r="AA668" s="99"/>
      <c r="AB668" s="99"/>
      <c r="AC668" s="98"/>
      <c r="AD668" s="98"/>
      <c r="AE668" s="98"/>
      <c r="AF668" s="98"/>
      <c r="AG668" s="98"/>
      <c r="AH668" s="98"/>
    </row>
    <row r="669" spans="2:34" x14ac:dyDescent="0.25">
      <c r="B669" s="71"/>
      <c r="C669" s="72"/>
      <c r="D669" s="77"/>
      <c r="E669" s="78"/>
      <c r="F669" s="78"/>
      <c r="G669" s="78"/>
      <c r="H669" s="78"/>
      <c r="I669" s="79"/>
      <c r="J669" s="86"/>
      <c r="K669" s="87"/>
      <c r="L669" s="86"/>
      <c r="M669" s="87"/>
      <c r="N669" s="77"/>
      <c r="O669" s="79"/>
      <c r="P669" s="92"/>
      <c r="Q669" s="93"/>
      <c r="S669" s="99"/>
      <c r="T669" s="99"/>
      <c r="U669" s="99"/>
      <c r="V669" s="99"/>
      <c r="W669" s="99"/>
      <c r="X669" s="99"/>
      <c r="Y669" s="99"/>
      <c r="Z669" s="99"/>
      <c r="AA669" s="99"/>
      <c r="AB669" s="99"/>
      <c r="AC669" s="98"/>
      <c r="AD669" s="98"/>
      <c r="AE669" s="98"/>
      <c r="AF669" s="98"/>
      <c r="AG669" s="98"/>
      <c r="AH669" s="98"/>
    </row>
    <row r="670" spans="2:34" x14ac:dyDescent="0.25">
      <c r="B670" s="73"/>
      <c r="C670" s="74"/>
      <c r="D670" s="80"/>
      <c r="E670" s="81"/>
      <c r="F670" s="81"/>
      <c r="G670" s="81"/>
      <c r="H670" s="81"/>
      <c r="I670" s="82"/>
      <c r="J670" s="88"/>
      <c r="K670" s="89"/>
      <c r="L670" s="88"/>
      <c r="M670" s="89"/>
      <c r="N670" s="80"/>
      <c r="O670" s="82"/>
      <c r="P670" s="94"/>
      <c r="Q670" s="95"/>
      <c r="S670" s="99"/>
      <c r="T670" s="99"/>
      <c r="U670" s="99"/>
      <c r="V670" s="99"/>
      <c r="W670" s="99"/>
      <c r="X670" s="99"/>
      <c r="Y670" s="99"/>
      <c r="Z670" s="99"/>
      <c r="AA670" s="99"/>
      <c r="AB670" s="99"/>
      <c r="AC670" s="98"/>
      <c r="AD670" s="98"/>
      <c r="AE670" s="98"/>
      <c r="AF670" s="98"/>
      <c r="AG670" s="98"/>
      <c r="AH670" s="98"/>
    </row>
    <row r="671" spans="2:34" x14ac:dyDescent="0.25">
      <c r="B671" s="75"/>
      <c r="C671" s="76"/>
      <c r="D671" s="83"/>
      <c r="E671" s="84"/>
      <c r="F671" s="84"/>
      <c r="G671" s="84"/>
      <c r="H671" s="84"/>
      <c r="I671" s="85"/>
      <c r="J671" s="90"/>
      <c r="K671" s="91"/>
      <c r="L671" s="90"/>
      <c r="M671" s="91"/>
      <c r="N671" s="83"/>
      <c r="O671" s="85"/>
      <c r="P671" s="96"/>
      <c r="Q671" s="97"/>
      <c r="S671" s="99"/>
      <c r="T671" s="99"/>
      <c r="U671" s="99"/>
      <c r="V671" s="99"/>
      <c r="W671" s="99"/>
      <c r="X671" s="99"/>
      <c r="Y671" s="99"/>
      <c r="Z671" s="99"/>
      <c r="AA671" s="99"/>
      <c r="AB671" s="99"/>
      <c r="AC671" s="98"/>
      <c r="AD671" s="98"/>
      <c r="AE671" s="98"/>
      <c r="AF671" s="98"/>
      <c r="AG671" s="98"/>
      <c r="AH671" s="98"/>
    </row>
    <row r="672" spans="2:34" x14ac:dyDescent="0.25">
      <c r="B672" s="71"/>
      <c r="C672" s="72"/>
      <c r="D672" s="77"/>
      <c r="E672" s="78"/>
      <c r="F672" s="78"/>
      <c r="G672" s="78"/>
      <c r="H672" s="78"/>
      <c r="I672" s="79"/>
      <c r="J672" s="86"/>
      <c r="K672" s="87"/>
      <c r="L672" s="86"/>
      <c r="M672" s="87"/>
      <c r="N672" s="77"/>
      <c r="O672" s="79"/>
      <c r="P672" s="92"/>
      <c r="Q672" s="93"/>
      <c r="S672" s="99"/>
      <c r="T672" s="99"/>
      <c r="U672" s="99"/>
      <c r="V672" s="99"/>
      <c r="W672" s="99"/>
      <c r="X672" s="99"/>
      <c r="Y672" s="99"/>
      <c r="Z672" s="99"/>
      <c r="AA672" s="99"/>
      <c r="AB672" s="99"/>
      <c r="AC672" s="98"/>
      <c r="AD672" s="98"/>
      <c r="AE672" s="98"/>
      <c r="AF672" s="98"/>
      <c r="AG672" s="98"/>
      <c r="AH672" s="98"/>
    </row>
    <row r="673" spans="2:34" x14ac:dyDescent="0.25">
      <c r="B673" s="73"/>
      <c r="C673" s="74"/>
      <c r="D673" s="80"/>
      <c r="E673" s="81"/>
      <c r="F673" s="81"/>
      <c r="G673" s="81"/>
      <c r="H673" s="81"/>
      <c r="I673" s="82"/>
      <c r="J673" s="88"/>
      <c r="K673" s="89"/>
      <c r="L673" s="88"/>
      <c r="M673" s="89"/>
      <c r="N673" s="80"/>
      <c r="O673" s="82"/>
      <c r="P673" s="94"/>
      <c r="Q673" s="95"/>
      <c r="S673" s="99"/>
      <c r="T673" s="99"/>
      <c r="U673" s="99"/>
      <c r="V673" s="99"/>
      <c r="W673" s="99"/>
      <c r="X673" s="99"/>
      <c r="Y673" s="99"/>
      <c r="Z673" s="99"/>
      <c r="AA673" s="99"/>
      <c r="AB673" s="99"/>
      <c r="AC673" s="98"/>
      <c r="AD673" s="98"/>
      <c r="AE673" s="98"/>
      <c r="AF673" s="98"/>
      <c r="AG673" s="98"/>
      <c r="AH673" s="98"/>
    </row>
    <row r="674" spans="2:34" x14ac:dyDescent="0.25">
      <c r="B674" s="75"/>
      <c r="C674" s="76"/>
      <c r="D674" s="83"/>
      <c r="E674" s="84"/>
      <c r="F674" s="84"/>
      <c r="G674" s="84"/>
      <c r="H674" s="84"/>
      <c r="I674" s="85"/>
      <c r="J674" s="90"/>
      <c r="K674" s="91"/>
      <c r="L674" s="90"/>
      <c r="M674" s="91"/>
      <c r="N674" s="83"/>
      <c r="O674" s="85"/>
      <c r="P674" s="96"/>
      <c r="Q674" s="97"/>
      <c r="S674" s="99"/>
      <c r="T674" s="99"/>
      <c r="U674" s="99"/>
      <c r="V674" s="99"/>
      <c r="W674" s="99"/>
      <c r="X674" s="99"/>
      <c r="Y674" s="99"/>
      <c r="Z674" s="99"/>
      <c r="AA674" s="99"/>
      <c r="AB674" s="99"/>
      <c r="AC674" s="98"/>
      <c r="AD674" s="98"/>
      <c r="AE674" s="98"/>
      <c r="AF674" s="98"/>
      <c r="AG674" s="98"/>
      <c r="AH674" s="98"/>
    </row>
    <row r="675" spans="2:34" x14ac:dyDescent="0.25">
      <c r="B675" s="71"/>
      <c r="C675" s="72"/>
      <c r="D675" s="77"/>
      <c r="E675" s="78"/>
      <c r="F675" s="78"/>
      <c r="G675" s="78"/>
      <c r="H675" s="78"/>
      <c r="I675" s="79"/>
      <c r="J675" s="86"/>
      <c r="K675" s="87"/>
      <c r="L675" s="86"/>
      <c r="M675" s="87"/>
      <c r="N675" s="77"/>
      <c r="O675" s="79"/>
      <c r="P675" s="92"/>
      <c r="Q675" s="93"/>
      <c r="S675" s="99"/>
      <c r="T675" s="99"/>
      <c r="U675" s="99"/>
      <c r="V675" s="99"/>
      <c r="W675" s="99"/>
      <c r="X675" s="99"/>
      <c r="Y675" s="99"/>
      <c r="Z675" s="99"/>
      <c r="AA675" s="99"/>
      <c r="AB675" s="99"/>
      <c r="AC675" s="98"/>
      <c r="AD675" s="98"/>
      <c r="AE675" s="98"/>
      <c r="AF675" s="98"/>
      <c r="AG675" s="98"/>
      <c r="AH675" s="98"/>
    </row>
    <row r="676" spans="2:34" x14ac:dyDescent="0.25">
      <c r="B676" s="73"/>
      <c r="C676" s="74"/>
      <c r="D676" s="80"/>
      <c r="E676" s="81"/>
      <c r="F676" s="81"/>
      <c r="G676" s="81"/>
      <c r="H676" s="81"/>
      <c r="I676" s="82"/>
      <c r="J676" s="88"/>
      <c r="K676" s="89"/>
      <c r="L676" s="88"/>
      <c r="M676" s="89"/>
      <c r="N676" s="80"/>
      <c r="O676" s="82"/>
      <c r="P676" s="94"/>
      <c r="Q676" s="95"/>
      <c r="S676" s="99"/>
      <c r="T676" s="99"/>
      <c r="U676" s="99"/>
      <c r="V676" s="99"/>
      <c r="W676" s="99"/>
      <c r="X676" s="99"/>
      <c r="Y676" s="99"/>
      <c r="Z676" s="99"/>
      <c r="AA676" s="99"/>
      <c r="AB676" s="99"/>
      <c r="AC676" s="98"/>
      <c r="AD676" s="98"/>
      <c r="AE676" s="98"/>
      <c r="AF676" s="98"/>
      <c r="AG676" s="98"/>
      <c r="AH676" s="98"/>
    </row>
    <row r="677" spans="2:34" x14ac:dyDescent="0.25">
      <c r="B677" s="75"/>
      <c r="C677" s="76"/>
      <c r="D677" s="83"/>
      <c r="E677" s="84"/>
      <c r="F677" s="84"/>
      <c r="G677" s="84"/>
      <c r="H677" s="84"/>
      <c r="I677" s="85"/>
      <c r="J677" s="90"/>
      <c r="K677" s="91"/>
      <c r="L677" s="90"/>
      <c r="M677" s="91"/>
      <c r="N677" s="83"/>
      <c r="O677" s="85"/>
      <c r="P677" s="96"/>
      <c r="Q677" s="97"/>
      <c r="S677" s="99"/>
      <c r="T677" s="99"/>
      <c r="U677" s="99"/>
      <c r="V677" s="99"/>
      <c r="W677" s="99"/>
      <c r="X677" s="99"/>
      <c r="Y677" s="99"/>
      <c r="Z677" s="99"/>
      <c r="AA677" s="99"/>
      <c r="AB677" s="99"/>
      <c r="AC677" s="98"/>
      <c r="AD677" s="98"/>
      <c r="AE677" s="98"/>
      <c r="AF677" s="98"/>
      <c r="AG677" s="98"/>
      <c r="AH677" s="98"/>
    </row>
    <row r="678" spans="2:34" x14ac:dyDescent="0.25">
      <c r="B678" s="71"/>
      <c r="C678" s="72"/>
      <c r="D678" s="77"/>
      <c r="E678" s="78"/>
      <c r="F678" s="78"/>
      <c r="G678" s="78"/>
      <c r="H678" s="78"/>
      <c r="I678" s="79"/>
      <c r="J678" s="86"/>
      <c r="K678" s="87"/>
      <c r="L678" s="86"/>
      <c r="M678" s="87"/>
      <c r="N678" s="77"/>
      <c r="O678" s="79"/>
      <c r="P678" s="92"/>
      <c r="Q678" s="93"/>
      <c r="S678" s="99"/>
      <c r="T678" s="99"/>
      <c r="U678" s="99"/>
      <c r="V678" s="99"/>
      <c r="W678" s="99"/>
      <c r="X678" s="99"/>
      <c r="Y678" s="99"/>
      <c r="Z678" s="99"/>
      <c r="AA678" s="99"/>
      <c r="AB678" s="99"/>
      <c r="AC678" s="98"/>
      <c r="AD678" s="98"/>
      <c r="AE678" s="98"/>
      <c r="AF678" s="98"/>
      <c r="AG678" s="98"/>
      <c r="AH678" s="98"/>
    </row>
    <row r="679" spans="2:34" x14ac:dyDescent="0.25">
      <c r="B679" s="73"/>
      <c r="C679" s="74"/>
      <c r="D679" s="80"/>
      <c r="E679" s="81"/>
      <c r="F679" s="81"/>
      <c r="G679" s="81"/>
      <c r="H679" s="81"/>
      <c r="I679" s="82"/>
      <c r="J679" s="88"/>
      <c r="K679" s="89"/>
      <c r="L679" s="88"/>
      <c r="M679" s="89"/>
      <c r="N679" s="80"/>
      <c r="O679" s="82"/>
      <c r="P679" s="94"/>
      <c r="Q679" s="95"/>
      <c r="S679" s="99"/>
      <c r="T679" s="99"/>
      <c r="U679" s="99"/>
      <c r="V679" s="99"/>
      <c r="W679" s="99"/>
      <c r="X679" s="99"/>
      <c r="Y679" s="99"/>
      <c r="Z679" s="99"/>
      <c r="AA679" s="99"/>
      <c r="AB679" s="99"/>
      <c r="AC679" s="98"/>
      <c r="AD679" s="98"/>
      <c r="AE679" s="98"/>
      <c r="AF679" s="98"/>
      <c r="AG679" s="98"/>
      <c r="AH679" s="98"/>
    </row>
    <row r="680" spans="2:34" x14ac:dyDescent="0.25">
      <c r="B680" s="75"/>
      <c r="C680" s="76"/>
      <c r="D680" s="83"/>
      <c r="E680" s="84"/>
      <c r="F680" s="84"/>
      <c r="G680" s="84"/>
      <c r="H680" s="84"/>
      <c r="I680" s="85"/>
      <c r="J680" s="90"/>
      <c r="K680" s="91"/>
      <c r="L680" s="90"/>
      <c r="M680" s="91"/>
      <c r="N680" s="83"/>
      <c r="O680" s="85"/>
      <c r="P680" s="96"/>
      <c r="Q680" s="97"/>
      <c r="S680" s="99"/>
      <c r="T680" s="99"/>
      <c r="U680" s="99"/>
      <c r="V680" s="99"/>
      <c r="W680" s="99"/>
      <c r="X680" s="99"/>
      <c r="Y680" s="99"/>
      <c r="Z680" s="99"/>
      <c r="AA680" s="99"/>
      <c r="AB680" s="99"/>
      <c r="AC680" s="98"/>
      <c r="AD680" s="98"/>
      <c r="AE680" s="98"/>
      <c r="AF680" s="98"/>
      <c r="AG680" s="98"/>
      <c r="AH680" s="98"/>
    </row>
    <row r="681" spans="2:34" x14ac:dyDescent="0.25">
      <c r="B681" s="71"/>
      <c r="C681" s="72"/>
      <c r="D681" s="77"/>
      <c r="E681" s="78"/>
      <c r="F681" s="78"/>
      <c r="G681" s="78"/>
      <c r="H681" s="78"/>
      <c r="I681" s="79"/>
      <c r="J681" s="86"/>
      <c r="K681" s="87"/>
      <c r="L681" s="86"/>
      <c r="M681" s="87"/>
      <c r="N681" s="77"/>
      <c r="O681" s="79"/>
      <c r="P681" s="92"/>
      <c r="Q681" s="93"/>
      <c r="S681" s="99"/>
      <c r="T681" s="99"/>
      <c r="U681" s="99"/>
      <c r="V681" s="99"/>
      <c r="W681" s="99"/>
      <c r="X681" s="99"/>
      <c r="Y681" s="99"/>
      <c r="Z681" s="99"/>
      <c r="AA681" s="99"/>
      <c r="AB681" s="99"/>
      <c r="AC681" s="98"/>
      <c r="AD681" s="98"/>
      <c r="AE681" s="98"/>
      <c r="AF681" s="98"/>
      <c r="AG681" s="98"/>
      <c r="AH681" s="98"/>
    </row>
    <row r="682" spans="2:34" x14ac:dyDescent="0.25">
      <c r="B682" s="73"/>
      <c r="C682" s="74"/>
      <c r="D682" s="80"/>
      <c r="E682" s="81"/>
      <c r="F682" s="81"/>
      <c r="G682" s="81"/>
      <c r="H682" s="81"/>
      <c r="I682" s="82"/>
      <c r="J682" s="88"/>
      <c r="K682" s="89"/>
      <c r="L682" s="88"/>
      <c r="M682" s="89"/>
      <c r="N682" s="80"/>
      <c r="O682" s="82"/>
      <c r="P682" s="94"/>
      <c r="Q682" s="95"/>
      <c r="S682" s="99"/>
      <c r="T682" s="99"/>
      <c r="U682" s="99"/>
      <c r="V682" s="99"/>
      <c r="W682" s="99"/>
      <c r="X682" s="99"/>
      <c r="Y682" s="99"/>
      <c r="Z682" s="99"/>
      <c r="AA682" s="99"/>
      <c r="AB682" s="99"/>
      <c r="AC682" s="98"/>
      <c r="AD682" s="98"/>
      <c r="AE682" s="98"/>
      <c r="AF682" s="98"/>
      <c r="AG682" s="98"/>
      <c r="AH682" s="98"/>
    </row>
    <row r="683" spans="2:34" x14ac:dyDescent="0.25">
      <c r="B683" s="75"/>
      <c r="C683" s="76"/>
      <c r="D683" s="83"/>
      <c r="E683" s="84"/>
      <c r="F683" s="84"/>
      <c r="G683" s="84"/>
      <c r="H683" s="84"/>
      <c r="I683" s="85"/>
      <c r="J683" s="90"/>
      <c r="K683" s="91"/>
      <c r="L683" s="90"/>
      <c r="M683" s="91"/>
      <c r="N683" s="83"/>
      <c r="O683" s="85"/>
      <c r="P683" s="96"/>
      <c r="Q683" s="97"/>
      <c r="S683" s="99"/>
      <c r="T683" s="99"/>
      <c r="U683" s="99"/>
      <c r="V683" s="99"/>
      <c r="W683" s="99"/>
      <c r="X683" s="99"/>
      <c r="Y683" s="99"/>
      <c r="Z683" s="99"/>
      <c r="AA683" s="99"/>
      <c r="AB683" s="99"/>
      <c r="AC683" s="98"/>
      <c r="AD683" s="98"/>
      <c r="AE683" s="98"/>
      <c r="AF683" s="98"/>
      <c r="AG683" s="98"/>
      <c r="AH683" s="98"/>
    </row>
    <row r="684" spans="2:34" x14ac:dyDescent="0.25">
      <c r="B684" s="71"/>
      <c r="C684" s="72"/>
      <c r="D684" s="77"/>
      <c r="E684" s="78"/>
      <c r="F684" s="78"/>
      <c r="G684" s="78"/>
      <c r="H684" s="78"/>
      <c r="I684" s="79"/>
      <c r="J684" s="86"/>
      <c r="K684" s="87"/>
      <c r="L684" s="86"/>
      <c r="M684" s="87"/>
      <c r="N684" s="77"/>
      <c r="O684" s="79"/>
      <c r="P684" s="92"/>
      <c r="Q684" s="93"/>
      <c r="S684" s="99"/>
      <c r="T684" s="99"/>
      <c r="U684" s="99"/>
      <c r="V684" s="99"/>
      <c r="W684" s="99"/>
      <c r="X684" s="99"/>
      <c r="Y684" s="99"/>
      <c r="Z684" s="99"/>
      <c r="AA684" s="99"/>
      <c r="AB684" s="99"/>
      <c r="AC684" s="98"/>
      <c r="AD684" s="98"/>
      <c r="AE684" s="98"/>
      <c r="AF684" s="98"/>
      <c r="AG684" s="98"/>
      <c r="AH684" s="98"/>
    </row>
    <row r="685" spans="2:34" x14ac:dyDescent="0.25">
      <c r="B685" s="73"/>
      <c r="C685" s="74"/>
      <c r="D685" s="80"/>
      <c r="E685" s="81"/>
      <c r="F685" s="81"/>
      <c r="G685" s="81"/>
      <c r="H685" s="81"/>
      <c r="I685" s="82"/>
      <c r="J685" s="88"/>
      <c r="K685" s="89"/>
      <c r="L685" s="88"/>
      <c r="M685" s="89"/>
      <c r="N685" s="80"/>
      <c r="O685" s="82"/>
      <c r="P685" s="94"/>
      <c r="Q685" s="95"/>
      <c r="S685" s="99"/>
      <c r="T685" s="99"/>
      <c r="U685" s="99"/>
      <c r="V685" s="99"/>
      <c r="W685" s="99"/>
      <c r="X685" s="99"/>
      <c r="Y685" s="99"/>
      <c r="Z685" s="99"/>
      <c r="AA685" s="99"/>
      <c r="AB685" s="99"/>
      <c r="AC685" s="98"/>
      <c r="AD685" s="98"/>
      <c r="AE685" s="98"/>
      <c r="AF685" s="98"/>
      <c r="AG685" s="98"/>
      <c r="AH685" s="98"/>
    </row>
    <row r="686" spans="2:34" x14ac:dyDescent="0.25">
      <c r="B686" s="75"/>
      <c r="C686" s="76"/>
      <c r="D686" s="83"/>
      <c r="E686" s="84"/>
      <c r="F686" s="84"/>
      <c r="G686" s="84"/>
      <c r="H686" s="84"/>
      <c r="I686" s="85"/>
      <c r="J686" s="90"/>
      <c r="K686" s="91"/>
      <c r="L686" s="90"/>
      <c r="M686" s="91"/>
      <c r="N686" s="83"/>
      <c r="O686" s="85"/>
      <c r="P686" s="96"/>
      <c r="Q686" s="97"/>
      <c r="S686" s="99"/>
      <c r="T686" s="99"/>
      <c r="U686" s="99"/>
      <c r="V686" s="99"/>
      <c r="W686" s="99"/>
      <c r="X686" s="99"/>
      <c r="Y686" s="99"/>
      <c r="Z686" s="99"/>
      <c r="AA686" s="99"/>
      <c r="AB686" s="99"/>
      <c r="AC686" s="98"/>
      <c r="AD686" s="98"/>
      <c r="AE686" s="98"/>
      <c r="AF686" s="98"/>
      <c r="AG686" s="98"/>
      <c r="AH686" s="98"/>
    </row>
    <row r="687" spans="2:34" x14ac:dyDescent="0.25">
      <c r="B687" s="71"/>
      <c r="C687" s="72"/>
      <c r="D687" s="77"/>
      <c r="E687" s="78"/>
      <c r="F687" s="78"/>
      <c r="G687" s="78"/>
      <c r="H687" s="78"/>
      <c r="I687" s="79"/>
      <c r="J687" s="86"/>
      <c r="K687" s="87"/>
      <c r="L687" s="86"/>
      <c r="M687" s="87"/>
      <c r="N687" s="77"/>
      <c r="O687" s="79"/>
      <c r="P687" s="92"/>
      <c r="Q687" s="93"/>
      <c r="S687" s="99"/>
      <c r="T687" s="99"/>
      <c r="U687" s="99"/>
      <c r="V687" s="99"/>
      <c r="W687" s="99"/>
      <c r="X687" s="99"/>
      <c r="Y687" s="99"/>
      <c r="Z687" s="99"/>
      <c r="AA687" s="99"/>
      <c r="AB687" s="99"/>
      <c r="AC687" s="98"/>
      <c r="AD687" s="98"/>
      <c r="AE687" s="98"/>
      <c r="AF687" s="98"/>
      <c r="AG687" s="98"/>
      <c r="AH687" s="98"/>
    </row>
    <row r="688" spans="2:34" x14ac:dyDescent="0.25">
      <c r="B688" s="73"/>
      <c r="C688" s="74"/>
      <c r="D688" s="80"/>
      <c r="E688" s="81"/>
      <c r="F688" s="81"/>
      <c r="G688" s="81"/>
      <c r="H688" s="81"/>
      <c r="I688" s="82"/>
      <c r="J688" s="88"/>
      <c r="K688" s="89"/>
      <c r="L688" s="88"/>
      <c r="M688" s="89"/>
      <c r="N688" s="80"/>
      <c r="O688" s="82"/>
      <c r="P688" s="94"/>
      <c r="Q688" s="95"/>
      <c r="S688" s="99"/>
      <c r="T688" s="99"/>
      <c r="U688" s="99"/>
      <c r="V688" s="99"/>
      <c r="W688" s="99"/>
      <c r="X688" s="99"/>
      <c r="Y688" s="99"/>
      <c r="Z688" s="99"/>
      <c r="AA688" s="99"/>
      <c r="AB688" s="99"/>
      <c r="AC688" s="98"/>
      <c r="AD688" s="98"/>
      <c r="AE688" s="98"/>
      <c r="AF688" s="98"/>
      <c r="AG688" s="98"/>
      <c r="AH688" s="98"/>
    </row>
    <row r="689" spans="2:34" x14ac:dyDescent="0.25">
      <c r="B689" s="75"/>
      <c r="C689" s="76"/>
      <c r="D689" s="83"/>
      <c r="E689" s="84"/>
      <c r="F689" s="84"/>
      <c r="G689" s="84"/>
      <c r="H689" s="84"/>
      <c r="I689" s="85"/>
      <c r="J689" s="90"/>
      <c r="K689" s="91"/>
      <c r="L689" s="90"/>
      <c r="M689" s="91"/>
      <c r="N689" s="83"/>
      <c r="O689" s="85"/>
      <c r="P689" s="96"/>
      <c r="Q689" s="97"/>
      <c r="S689" s="99"/>
      <c r="T689" s="99"/>
      <c r="U689" s="99"/>
      <c r="V689" s="99"/>
      <c r="W689" s="99"/>
      <c r="X689" s="99"/>
      <c r="Y689" s="99"/>
      <c r="Z689" s="99"/>
      <c r="AA689" s="99"/>
      <c r="AB689" s="99"/>
      <c r="AC689" s="98"/>
      <c r="AD689" s="98"/>
      <c r="AE689" s="98"/>
      <c r="AF689" s="98"/>
      <c r="AG689" s="98"/>
      <c r="AH689" s="98"/>
    </row>
    <row r="690" spans="2:34" x14ac:dyDescent="0.25">
      <c r="B690" s="71"/>
      <c r="C690" s="72"/>
      <c r="D690" s="77"/>
      <c r="E690" s="78"/>
      <c r="F690" s="78"/>
      <c r="G690" s="78"/>
      <c r="H690" s="78"/>
      <c r="I690" s="79"/>
      <c r="J690" s="86"/>
      <c r="K690" s="87"/>
      <c r="L690" s="86"/>
      <c r="M690" s="87"/>
      <c r="N690" s="77"/>
      <c r="O690" s="79"/>
      <c r="P690" s="92"/>
      <c r="Q690" s="93"/>
      <c r="S690" s="99"/>
      <c r="T690" s="99"/>
      <c r="U690" s="99"/>
      <c r="V690" s="99"/>
      <c r="W690" s="99"/>
      <c r="X690" s="99"/>
      <c r="Y690" s="99"/>
      <c r="Z690" s="99"/>
      <c r="AA690" s="99"/>
      <c r="AB690" s="99"/>
      <c r="AC690" s="98"/>
      <c r="AD690" s="98"/>
      <c r="AE690" s="98"/>
      <c r="AF690" s="98"/>
      <c r="AG690" s="98"/>
      <c r="AH690" s="98"/>
    </row>
    <row r="691" spans="2:34" x14ac:dyDescent="0.25">
      <c r="B691" s="73"/>
      <c r="C691" s="74"/>
      <c r="D691" s="80"/>
      <c r="E691" s="81"/>
      <c r="F691" s="81"/>
      <c r="G691" s="81"/>
      <c r="H691" s="81"/>
      <c r="I691" s="82"/>
      <c r="J691" s="88"/>
      <c r="K691" s="89"/>
      <c r="L691" s="88"/>
      <c r="M691" s="89"/>
      <c r="N691" s="80"/>
      <c r="O691" s="82"/>
      <c r="P691" s="94"/>
      <c r="Q691" s="95"/>
      <c r="S691" s="99"/>
      <c r="T691" s="99"/>
      <c r="U691" s="99"/>
      <c r="V691" s="99"/>
      <c r="W691" s="99"/>
      <c r="X691" s="99"/>
      <c r="Y691" s="99"/>
      <c r="Z691" s="99"/>
      <c r="AA691" s="99"/>
      <c r="AB691" s="99"/>
      <c r="AC691" s="98"/>
      <c r="AD691" s="98"/>
      <c r="AE691" s="98"/>
      <c r="AF691" s="98"/>
      <c r="AG691" s="98"/>
      <c r="AH691" s="98"/>
    </row>
    <row r="692" spans="2:34" x14ac:dyDescent="0.25">
      <c r="B692" s="75"/>
      <c r="C692" s="76"/>
      <c r="D692" s="83"/>
      <c r="E692" s="84"/>
      <c r="F692" s="84"/>
      <c r="G692" s="84"/>
      <c r="H692" s="84"/>
      <c r="I692" s="85"/>
      <c r="J692" s="90"/>
      <c r="K692" s="91"/>
      <c r="L692" s="90"/>
      <c r="M692" s="91"/>
      <c r="N692" s="83"/>
      <c r="O692" s="85"/>
      <c r="P692" s="96"/>
      <c r="Q692" s="97"/>
      <c r="S692" s="99"/>
      <c r="T692" s="99"/>
      <c r="U692" s="99"/>
      <c r="V692" s="99"/>
      <c r="W692" s="99"/>
      <c r="X692" s="99"/>
      <c r="Y692" s="99"/>
      <c r="Z692" s="99"/>
      <c r="AA692" s="99"/>
      <c r="AB692" s="99"/>
      <c r="AC692" s="98"/>
      <c r="AD692" s="98"/>
      <c r="AE692" s="98"/>
      <c r="AF692" s="98"/>
      <c r="AG692" s="98"/>
      <c r="AH692" s="98"/>
    </row>
    <row r="693" spans="2:34" x14ac:dyDescent="0.25">
      <c r="B693" s="71"/>
      <c r="C693" s="72"/>
      <c r="D693" s="77"/>
      <c r="E693" s="78"/>
      <c r="F693" s="78"/>
      <c r="G693" s="78"/>
      <c r="H693" s="78"/>
      <c r="I693" s="79"/>
      <c r="J693" s="86"/>
      <c r="K693" s="87"/>
      <c r="L693" s="86"/>
      <c r="M693" s="87"/>
      <c r="N693" s="77"/>
      <c r="O693" s="79"/>
      <c r="P693" s="92"/>
      <c r="Q693" s="93"/>
      <c r="S693" s="99"/>
      <c r="T693" s="99"/>
      <c r="U693" s="99"/>
      <c r="V693" s="99"/>
      <c r="W693" s="99"/>
      <c r="X693" s="99"/>
      <c r="Y693" s="99"/>
      <c r="Z693" s="99"/>
      <c r="AA693" s="99"/>
      <c r="AB693" s="99"/>
      <c r="AC693" s="98"/>
      <c r="AD693" s="98"/>
      <c r="AE693" s="98"/>
      <c r="AF693" s="98"/>
      <c r="AG693" s="98"/>
      <c r="AH693" s="98"/>
    </row>
    <row r="694" spans="2:34" x14ac:dyDescent="0.25">
      <c r="B694" s="73"/>
      <c r="C694" s="74"/>
      <c r="D694" s="80"/>
      <c r="E694" s="81"/>
      <c r="F694" s="81"/>
      <c r="G694" s="81"/>
      <c r="H694" s="81"/>
      <c r="I694" s="82"/>
      <c r="J694" s="88"/>
      <c r="K694" s="89"/>
      <c r="L694" s="88"/>
      <c r="M694" s="89"/>
      <c r="N694" s="80"/>
      <c r="O694" s="82"/>
      <c r="P694" s="94"/>
      <c r="Q694" s="95"/>
      <c r="S694" s="99"/>
      <c r="T694" s="99"/>
      <c r="U694" s="99"/>
      <c r="V694" s="99"/>
      <c r="W694" s="99"/>
      <c r="X694" s="99"/>
      <c r="Y694" s="99"/>
      <c r="Z694" s="99"/>
      <c r="AA694" s="99"/>
      <c r="AB694" s="99"/>
      <c r="AC694" s="98"/>
      <c r="AD694" s="98"/>
      <c r="AE694" s="98"/>
      <c r="AF694" s="98"/>
      <c r="AG694" s="98"/>
      <c r="AH694" s="98"/>
    </row>
    <row r="695" spans="2:34" x14ac:dyDescent="0.25">
      <c r="B695" s="75"/>
      <c r="C695" s="76"/>
      <c r="D695" s="83"/>
      <c r="E695" s="84"/>
      <c r="F695" s="84"/>
      <c r="G695" s="84"/>
      <c r="H695" s="84"/>
      <c r="I695" s="85"/>
      <c r="J695" s="90"/>
      <c r="K695" s="91"/>
      <c r="L695" s="90"/>
      <c r="M695" s="91"/>
      <c r="N695" s="83"/>
      <c r="O695" s="85"/>
      <c r="P695" s="96"/>
      <c r="Q695" s="97"/>
      <c r="S695" s="99"/>
      <c r="T695" s="99"/>
      <c r="U695" s="99"/>
      <c r="V695" s="99"/>
      <c r="W695" s="99"/>
      <c r="X695" s="99"/>
      <c r="Y695" s="99"/>
      <c r="Z695" s="99"/>
      <c r="AA695" s="99"/>
      <c r="AB695" s="99"/>
      <c r="AC695" s="98"/>
      <c r="AD695" s="98"/>
      <c r="AE695" s="98"/>
      <c r="AF695" s="98"/>
      <c r="AG695" s="98"/>
      <c r="AH695" s="98"/>
    </row>
    <row r="696" spans="2:34" x14ac:dyDescent="0.25">
      <c r="B696" s="71"/>
      <c r="C696" s="72"/>
      <c r="D696" s="77"/>
      <c r="E696" s="78"/>
      <c r="F696" s="78"/>
      <c r="G696" s="78"/>
      <c r="H696" s="78"/>
      <c r="I696" s="79"/>
      <c r="J696" s="86"/>
      <c r="K696" s="87"/>
      <c r="L696" s="86"/>
      <c r="M696" s="87"/>
      <c r="N696" s="77"/>
      <c r="O696" s="79"/>
      <c r="P696" s="92"/>
      <c r="Q696" s="93"/>
      <c r="S696" s="99"/>
      <c r="T696" s="99"/>
      <c r="U696" s="99"/>
      <c r="V696" s="99"/>
      <c r="W696" s="99"/>
      <c r="X696" s="99"/>
      <c r="Y696" s="99"/>
      <c r="Z696" s="99"/>
      <c r="AA696" s="99"/>
      <c r="AB696" s="99"/>
      <c r="AC696" s="98"/>
      <c r="AD696" s="98"/>
      <c r="AE696" s="98"/>
      <c r="AF696" s="98"/>
      <c r="AG696" s="98"/>
      <c r="AH696" s="98"/>
    </row>
    <row r="697" spans="2:34" x14ac:dyDescent="0.25">
      <c r="B697" s="73"/>
      <c r="C697" s="74"/>
      <c r="D697" s="80"/>
      <c r="E697" s="81"/>
      <c r="F697" s="81"/>
      <c r="G697" s="81"/>
      <c r="H697" s="81"/>
      <c r="I697" s="82"/>
      <c r="J697" s="88"/>
      <c r="K697" s="89"/>
      <c r="L697" s="88"/>
      <c r="M697" s="89"/>
      <c r="N697" s="80"/>
      <c r="O697" s="82"/>
      <c r="P697" s="94"/>
      <c r="Q697" s="95"/>
      <c r="S697" s="99"/>
      <c r="T697" s="99"/>
      <c r="U697" s="99"/>
      <c r="V697" s="99"/>
      <c r="W697" s="99"/>
      <c r="X697" s="99"/>
      <c r="Y697" s="99"/>
      <c r="Z697" s="99"/>
      <c r="AA697" s="99"/>
      <c r="AB697" s="99"/>
      <c r="AC697" s="98"/>
      <c r="AD697" s="98"/>
      <c r="AE697" s="98"/>
      <c r="AF697" s="98"/>
      <c r="AG697" s="98"/>
      <c r="AH697" s="98"/>
    </row>
    <row r="698" spans="2:34" x14ac:dyDescent="0.25">
      <c r="B698" s="75"/>
      <c r="C698" s="76"/>
      <c r="D698" s="83"/>
      <c r="E698" s="84"/>
      <c r="F698" s="84"/>
      <c r="G698" s="84"/>
      <c r="H698" s="84"/>
      <c r="I698" s="85"/>
      <c r="J698" s="90"/>
      <c r="K698" s="91"/>
      <c r="L698" s="90"/>
      <c r="M698" s="91"/>
      <c r="N698" s="83"/>
      <c r="O698" s="85"/>
      <c r="P698" s="96"/>
      <c r="Q698" s="97"/>
      <c r="S698" s="99"/>
      <c r="T698" s="99"/>
      <c r="U698" s="99"/>
      <c r="V698" s="99"/>
      <c r="W698" s="99"/>
      <c r="X698" s="99"/>
      <c r="Y698" s="99"/>
      <c r="Z698" s="99"/>
      <c r="AA698" s="99"/>
      <c r="AB698" s="99"/>
      <c r="AC698" s="98"/>
      <c r="AD698" s="98"/>
      <c r="AE698" s="98"/>
      <c r="AF698" s="98"/>
      <c r="AG698" s="98"/>
      <c r="AH698" s="98"/>
    </row>
    <row r="699" spans="2:34" x14ac:dyDescent="0.25">
      <c r="B699" s="71"/>
      <c r="C699" s="72"/>
      <c r="D699" s="77"/>
      <c r="E699" s="78"/>
      <c r="F699" s="78"/>
      <c r="G699" s="78"/>
      <c r="H699" s="78"/>
      <c r="I699" s="79"/>
      <c r="J699" s="86"/>
      <c r="K699" s="87"/>
      <c r="L699" s="86"/>
      <c r="M699" s="87"/>
      <c r="N699" s="77"/>
      <c r="O699" s="79"/>
      <c r="P699" s="92"/>
      <c r="Q699" s="93"/>
      <c r="S699" s="99"/>
      <c r="T699" s="99"/>
      <c r="U699" s="99"/>
      <c r="V699" s="99"/>
      <c r="W699" s="99"/>
      <c r="X699" s="99"/>
      <c r="Y699" s="99"/>
      <c r="Z699" s="99"/>
      <c r="AA699" s="99"/>
      <c r="AB699" s="99"/>
      <c r="AC699" s="98"/>
      <c r="AD699" s="98"/>
      <c r="AE699" s="98"/>
      <c r="AF699" s="98"/>
      <c r="AG699" s="98"/>
      <c r="AH699" s="98"/>
    </row>
    <row r="700" spans="2:34" x14ac:dyDescent="0.25">
      <c r="B700" s="73"/>
      <c r="C700" s="74"/>
      <c r="D700" s="80"/>
      <c r="E700" s="81"/>
      <c r="F700" s="81"/>
      <c r="G700" s="81"/>
      <c r="H700" s="81"/>
      <c r="I700" s="82"/>
      <c r="J700" s="88"/>
      <c r="K700" s="89"/>
      <c r="L700" s="88"/>
      <c r="M700" s="89"/>
      <c r="N700" s="80"/>
      <c r="O700" s="82"/>
      <c r="P700" s="94"/>
      <c r="Q700" s="95"/>
      <c r="S700" s="99"/>
      <c r="T700" s="99"/>
      <c r="U700" s="99"/>
      <c r="V700" s="99"/>
      <c r="W700" s="99"/>
      <c r="X700" s="99"/>
      <c r="Y700" s="99"/>
      <c r="Z700" s="99"/>
      <c r="AA700" s="99"/>
      <c r="AB700" s="99"/>
      <c r="AC700" s="98"/>
      <c r="AD700" s="98"/>
      <c r="AE700" s="98"/>
      <c r="AF700" s="98"/>
      <c r="AG700" s="98"/>
      <c r="AH700" s="98"/>
    </row>
    <row r="701" spans="2:34" x14ac:dyDescent="0.25">
      <c r="B701" s="75"/>
      <c r="C701" s="76"/>
      <c r="D701" s="83"/>
      <c r="E701" s="84"/>
      <c r="F701" s="84"/>
      <c r="G701" s="84"/>
      <c r="H701" s="84"/>
      <c r="I701" s="85"/>
      <c r="J701" s="90"/>
      <c r="K701" s="91"/>
      <c r="L701" s="90"/>
      <c r="M701" s="91"/>
      <c r="N701" s="83"/>
      <c r="O701" s="85"/>
      <c r="P701" s="96"/>
      <c r="Q701" s="97"/>
      <c r="S701" s="99"/>
      <c r="T701" s="99"/>
      <c r="U701" s="99"/>
      <c r="V701" s="99"/>
      <c r="W701" s="99"/>
      <c r="X701" s="99"/>
      <c r="Y701" s="99"/>
      <c r="Z701" s="99"/>
      <c r="AA701" s="99"/>
      <c r="AB701" s="99"/>
      <c r="AC701" s="98"/>
      <c r="AD701" s="98"/>
      <c r="AE701" s="98"/>
      <c r="AF701" s="98"/>
      <c r="AG701" s="98"/>
      <c r="AH701" s="98"/>
    </row>
    <row r="702" spans="2:34" x14ac:dyDescent="0.25">
      <c r="B702" s="71"/>
      <c r="C702" s="72"/>
      <c r="D702" s="77"/>
      <c r="E702" s="78"/>
      <c r="F702" s="78"/>
      <c r="G702" s="78"/>
      <c r="H702" s="78"/>
      <c r="I702" s="79"/>
      <c r="J702" s="86"/>
      <c r="K702" s="87"/>
      <c r="L702" s="86"/>
      <c r="M702" s="87"/>
      <c r="N702" s="77"/>
      <c r="O702" s="79"/>
      <c r="P702" s="92"/>
      <c r="Q702" s="93"/>
      <c r="S702" s="99"/>
      <c r="T702" s="99"/>
      <c r="U702" s="99"/>
      <c r="V702" s="99"/>
      <c r="W702" s="99"/>
      <c r="X702" s="99"/>
      <c r="Y702" s="99"/>
      <c r="Z702" s="99"/>
      <c r="AA702" s="99"/>
      <c r="AB702" s="99"/>
      <c r="AC702" s="98"/>
      <c r="AD702" s="98"/>
      <c r="AE702" s="98"/>
      <c r="AF702" s="98"/>
      <c r="AG702" s="98"/>
      <c r="AH702" s="98"/>
    </row>
    <row r="703" spans="2:34" x14ac:dyDescent="0.25">
      <c r="B703" s="73"/>
      <c r="C703" s="74"/>
      <c r="D703" s="80"/>
      <c r="E703" s="81"/>
      <c r="F703" s="81"/>
      <c r="G703" s="81"/>
      <c r="H703" s="81"/>
      <c r="I703" s="82"/>
      <c r="J703" s="88"/>
      <c r="K703" s="89"/>
      <c r="L703" s="88"/>
      <c r="M703" s="89"/>
      <c r="N703" s="80"/>
      <c r="O703" s="82"/>
      <c r="P703" s="94"/>
      <c r="Q703" s="95"/>
      <c r="S703" s="99"/>
      <c r="T703" s="99"/>
      <c r="U703" s="99"/>
      <c r="V703" s="99"/>
      <c r="W703" s="99"/>
      <c r="X703" s="99"/>
      <c r="Y703" s="99"/>
      <c r="Z703" s="99"/>
      <c r="AA703" s="99"/>
      <c r="AB703" s="99"/>
      <c r="AC703" s="98"/>
      <c r="AD703" s="98"/>
      <c r="AE703" s="98"/>
      <c r="AF703" s="98"/>
      <c r="AG703" s="98"/>
      <c r="AH703" s="98"/>
    </row>
    <row r="704" spans="2:34" x14ac:dyDescent="0.25">
      <c r="B704" s="75"/>
      <c r="C704" s="76"/>
      <c r="D704" s="83"/>
      <c r="E704" s="84"/>
      <c r="F704" s="84"/>
      <c r="G704" s="84"/>
      <c r="H704" s="84"/>
      <c r="I704" s="85"/>
      <c r="J704" s="90"/>
      <c r="K704" s="91"/>
      <c r="L704" s="90"/>
      <c r="M704" s="91"/>
      <c r="N704" s="83"/>
      <c r="O704" s="85"/>
      <c r="P704" s="96"/>
      <c r="Q704" s="97"/>
      <c r="S704" s="99"/>
      <c r="T704" s="99"/>
      <c r="U704" s="99"/>
      <c r="V704" s="99"/>
      <c r="W704" s="99"/>
      <c r="X704" s="99"/>
      <c r="Y704" s="99"/>
      <c r="Z704" s="99"/>
      <c r="AA704" s="99"/>
      <c r="AB704" s="99"/>
      <c r="AC704" s="98"/>
      <c r="AD704" s="98"/>
      <c r="AE704" s="98"/>
      <c r="AF704" s="98"/>
      <c r="AG704" s="98"/>
      <c r="AH704" s="98"/>
    </row>
    <row r="705" spans="2:34" x14ac:dyDescent="0.25">
      <c r="B705" s="71"/>
      <c r="C705" s="72"/>
      <c r="D705" s="77"/>
      <c r="E705" s="78"/>
      <c r="F705" s="78"/>
      <c r="G705" s="78"/>
      <c r="H705" s="78"/>
      <c r="I705" s="79"/>
      <c r="J705" s="86"/>
      <c r="K705" s="87"/>
      <c r="L705" s="86"/>
      <c r="M705" s="87"/>
      <c r="N705" s="77"/>
      <c r="O705" s="79"/>
      <c r="P705" s="92"/>
      <c r="Q705" s="93"/>
      <c r="S705" s="99"/>
      <c r="T705" s="99"/>
      <c r="U705" s="99"/>
      <c r="V705" s="99"/>
      <c r="W705" s="99"/>
      <c r="X705" s="99"/>
      <c r="Y705" s="99"/>
      <c r="Z705" s="99"/>
      <c r="AA705" s="99"/>
      <c r="AB705" s="99"/>
      <c r="AC705" s="98"/>
      <c r="AD705" s="98"/>
      <c r="AE705" s="98"/>
      <c r="AF705" s="98"/>
      <c r="AG705" s="98"/>
      <c r="AH705" s="98"/>
    </row>
    <row r="706" spans="2:34" x14ac:dyDescent="0.25">
      <c r="B706" s="73"/>
      <c r="C706" s="74"/>
      <c r="D706" s="80"/>
      <c r="E706" s="81"/>
      <c r="F706" s="81"/>
      <c r="G706" s="81"/>
      <c r="H706" s="81"/>
      <c r="I706" s="82"/>
      <c r="J706" s="88"/>
      <c r="K706" s="89"/>
      <c r="L706" s="88"/>
      <c r="M706" s="89"/>
      <c r="N706" s="80"/>
      <c r="O706" s="82"/>
      <c r="P706" s="94"/>
      <c r="Q706" s="95"/>
      <c r="S706" s="99"/>
      <c r="T706" s="99"/>
      <c r="U706" s="99"/>
      <c r="V706" s="99"/>
      <c r="W706" s="99"/>
      <c r="X706" s="99"/>
      <c r="Y706" s="99"/>
      <c r="Z706" s="99"/>
      <c r="AA706" s="99"/>
      <c r="AB706" s="99"/>
      <c r="AC706" s="98"/>
      <c r="AD706" s="98"/>
      <c r="AE706" s="98"/>
      <c r="AF706" s="98"/>
      <c r="AG706" s="98"/>
      <c r="AH706" s="98"/>
    </row>
    <row r="707" spans="2:34" x14ac:dyDescent="0.25">
      <c r="B707" s="75"/>
      <c r="C707" s="76"/>
      <c r="D707" s="83"/>
      <c r="E707" s="84"/>
      <c r="F707" s="84"/>
      <c r="G707" s="84"/>
      <c r="H707" s="84"/>
      <c r="I707" s="85"/>
      <c r="J707" s="90"/>
      <c r="K707" s="91"/>
      <c r="L707" s="90"/>
      <c r="M707" s="91"/>
      <c r="N707" s="83"/>
      <c r="O707" s="85"/>
      <c r="P707" s="96"/>
      <c r="Q707" s="97"/>
      <c r="S707" s="99"/>
      <c r="T707" s="99"/>
      <c r="U707" s="99"/>
      <c r="V707" s="99"/>
      <c r="W707" s="99"/>
      <c r="X707" s="99"/>
      <c r="Y707" s="99"/>
      <c r="Z707" s="99"/>
      <c r="AA707" s="99"/>
      <c r="AB707" s="99"/>
      <c r="AC707" s="98"/>
      <c r="AD707" s="98"/>
      <c r="AE707" s="98"/>
      <c r="AF707" s="98"/>
      <c r="AG707" s="98"/>
      <c r="AH707" s="98"/>
    </row>
    <row r="708" spans="2:34" x14ac:dyDescent="0.25">
      <c r="B708" s="71"/>
      <c r="C708" s="72"/>
      <c r="D708" s="77"/>
      <c r="E708" s="78"/>
      <c r="F708" s="78"/>
      <c r="G708" s="78"/>
      <c r="H708" s="78"/>
      <c r="I708" s="79"/>
      <c r="J708" s="86"/>
      <c r="K708" s="87"/>
      <c r="L708" s="86"/>
      <c r="M708" s="87"/>
      <c r="N708" s="77"/>
      <c r="O708" s="79"/>
      <c r="P708" s="92"/>
      <c r="Q708" s="93"/>
      <c r="S708" s="99"/>
      <c r="T708" s="99"/>
      <c r="U708" s="99"/>
      <c r="V708" s="99"/>
      <c r="W708" s="99"/>
      <c r="X708" s="99"/>
      <c r="Y708" s="99"/>
      <c r="Z708" s="99"/>
      <c r="AA708" s="99"/>
      <c r="AB708" s="99"/>
      <c r="AC708" s="98"/>
      <c r="AD708" s="98"/>
      <c r="AE708" s="98"/>
      <c r="AF708" s="98"/>
      <c r="AG708" s="98"/>
      <c r="AH708" s="98"/>
    </row>
    <row r="709" spans="2:34" x14ac:dyDescent="0.25">
      <c r="B709" s="73"/>
      <c r="C709" s="74"/>
      <c r="D709" s="80"/>
      <c r="E709" s="81"/>
      <c r="F709" s="81"/>
      <c r="G709" s="81"/>
      <c r="H709" s="81"/>
      <c r="I709" s="82"/>
      <c r="J709" s="88"/>
      <c r="K709" s="89"/>
      <c r="L709" s="88"/>
      <c r="M709" s="89"/>
      <c r="N709" s="80"/>
      <c r="O709" s="82"/>
      <c r="P709" s="94"/>
      <c r="Q709" s="95"/>
      <c r="S709" s="99"/>
      <c r="T709" s="99"/>
      <c r="U709" s="99"/>
      <c r="V709" s="99"/>
      <c r="W709" s="99"/>
      <c r="X709" s="99"/>
      <c r="Y709" s="99"/>
      <c r="Z709" s="99"/>
      <c r="AA709" s="99"/>
      <c r="AB709" s="99"/>
      <c r="AC709" s="98"/>
      <c r="AD709" s="98"/>
      <c r="AE709" s="98"/>
      <c r="AF709" s="98"/>
      <c r="AG709" s="98"/>
      <c r="AH709" s="98"/>
    </row>
    <row r="710" spans="2:34" x14ac:dyDescent="0.25">
      <c r="B710" s="75"/>
      <c r="C710" s="76"/>
      <c r="D710" s="83"/>
      <c r="E710" s="84"/>
      <c r="F710" s="84"/>
      <c r="G710" s="84"/>
      <c r="H710" s="84"/>
      <c r="I710" s="85"/>
      <c r="J710" s="90"/>
      <c r="K710" s="91"/>
      <c r="L710" s="90"/>
      <c r="M710" s="91"/>
      <c r="N710" s="83"/>
      <c r="O710" s="85"/>
      <c r="P710" s="96"/>
      <c r="Q710" s="97"/>
      <c r="S710" s="99"/>
      <c r="T710" s="99"/>
      <c r="U710" s="99"/>
      <c r="V710" s="99"/>
      <c r="W710" s="99"/>
      <c r="X710" s="99"/>
      <c r="Y710" s="99"/>
      <c r="Z710" s="99"/>
      <c r="AA710" s="99"/>
      <c r="AB710" s="99"/>
      <c r="AC710" s="98"/>
      <c r="AD710" s="98"/>
      <c r="AE710" s="98"/>
      <c r="AF710" s="98"/>
      <c r="AG710" s="98"/>
      <c r="AH710" s="98"/>
    </row>
    <row r="711" spans="2:34" x14ac:dyDescent="0.25">
      <c r="B711" s="71"/>
      <c r="C711" s="72"/>
      <c r="D711" s="77"/>
      <c r="E711" s="78"/>
      <c r="F711" s="78"/>
      <c r="G711" s="78"/>
      <c r="H711" s="78"/>
      <c r="I711" s="79"/>
      <c r="J711" s="86"/>
      <c r="K711" s="87"/>
      <c r="L711" s="86"/>
      <c r="M711" s="87"/>
      <c r="N711" s="77"/>
      <c r="O711" s="79"/>
      <c r="P711" s="92"/>
      <c r="Q711" s="93"/>
      <c r="S711" s="99"/>
      <c r="T711" s="99"/>
      <c r="U711" s="99"/>
      <c r="V711" s="99"/>
      <c r="W711" s="99"/>
      <c r="X711" s="99"/>
      <c r="Y711" s="99"/>
      <c r="Z711" s="99"/>
      <c r="AA711" s="99"/>
      <c r="AB711" s="99"/>
      <c r="AC711" s="98"/>
      <c r="AD711" s="98"/>
      <c r="AE711" s="98"/>
      <c r="AF711" s="98"/>
      <c r="AG711" s="98"/>
      <c r="AH711" s="98"/>
    </row>
    <row r="712" spans="2:34" x14ac:dyDescent="0.25">
      <c r="B712" s="73"/>
      <c r="C712" s="74"/>
      <c r="D712" s="80"/>
      <c r="E712" s="81"/>
      <c r="F712" s="81"/>
      <c r="G712" s="81"/>
      <c r="H712" s="81"/>
      <c r="I712" s="82"/>
      <c r="J712" s="88"/>
      <c r="K712" s="89"/>
      <c r="L712" s="88"/>
      <c r="M712" s="89"/>
      <c r="N712" s="80"/>
      <c r="O712" s="82"/>
      <c r="P712" s="94"/>
      <c r="Q712" s="95"/>
      <c r="S712" s="99"/>
      <c r="T712" s="99"/>
      <c r="U712" s="99"/>
      <c r="V712" s="99"/>
      <c r="W712" s="99"/>
      <c r="X712" s="99"/>
      <c r="Y712" s="99"/>
      <c r="Z712" s="99"/>
      <c r="AA712" s="99"/>
      <c r="AB712" s="99"/>
      <c r="AC712" s="98"/>
      <c r="AD712" s="98"/>
      <c r="AE712" s="98"/>
      <c r="AF712" s="98"/>
      <c r="AG712" s="98"/>
      <c r="AH712" s="98"/>
    </row>
    <row r="713" spans="2:34" x14ac:dyDescent="0.25">
      <c r="B713" s="75"/>
      <c r="C713" s="76"/>
      <c r="D713" s="83"/>
      <c r="E713" s="84"/>
      <c r="F713" s="84"/>
      <c r="G713" s="84"/>
      <c r="H713" s="84"/>
      <c r="I713" s="85"/>
      <c r="J713" s="90"/>
      <c r="K713" s="91"/>
      <c r="L713" s="90"/>
      <c r="M713" s="91"/>
      <c r="N713" s="83"/>
      <c r="O713" s="85"/>
      <c r="P713" s="96"/>
      <c r="Q713" s="97"/>
      <c r="S713" s="99"/>
      <c r="T713" s="99"/>
      <c r="U713" s="99"/>
      <c r="V713" s="99"/>
      <c r="W713" s="99"/>
      <c r="X713" s="99"/>
      <c r="Y713" s="99"/>
      <c r="Z713" s="99"/>
      <c r="AA713" s="99"/>
      <c r="AB713" s="99"/>
      <c r="AC713" s="98"/>
      <c r="AD713" s="98"/>
      <c r="AE713" s="98"/>
      <c r="AF713" s="98"/>
      <c r="AG713" s="98"/>
      <c r="AH713" s="98"/>
    </row>
    <row r="714" spans="2:34" x14ac:dyDescent="0.25">
      <c r="B714" s="71"/>
      <c r="C714" s="72"/>
      <c r="D714" s="77"/>
      <c r="E714" s="78"/>
      <c r="F714" s="78"/>
      <c r="G714" s="78"/>
      <c r="H714" s="78"/>
      <c r="I714" s="79"/>
      <c r="J714" s="86"/>
      <c r="K714" s="87"/>
      <c r="L714" s="86"/>
      <c r="M714" s="87"/>
      <c r="N714" s="77"/>
      <c r="O714" s="79"/>
      <c r="P714" s="92"/>
      <c r="Q714" s="93"/>
      <c r="S714" s="99"/>
      <c r="T714" s="99"/>
      <c r="U714" s="99"/>
      <c r="V714" s="99"/>
      <c r="W714" s="99"/>
      <c r="X714" s="99"/>
      <c r="Y714" s="99"/>
      <c r="Z714" s="99"/>
      <c r="AA714" s="99"/>
      <c r="AB714" s="99"/>
      <c r="AC714" s="98"/>
      <c r="AD714" s="98"/>
      <c r="AE714" s="98"/>
      <c r="AF714" s="98"/>
      <c r="AG714" s="98"/>
      <c r="AH714" s="98"/>
    </row>
    <row r="715" spans="2:34" x14ac:dyDescent="0.25">
      <c r="B715" s="73"/>
      <c r="C715" s="74"/>
      <c r="D715" s="80"/>
      <c r="E715" s="81"/>
      <c r="F715" s="81"/>
      <c r="G715" s="81"/>
      <c r="H715" s="81"/>
      <c r="I715" s="82"/>
      <c r="J715" s="88"/>
      <c r="K715" s="89"/>
      <c r="L715" s="88"/>
      <c r="M715" s="89"/>
      <c r="N715" s="80"/>
      <c r="O715" s="82"/>
      <c r="P715" s="94"/>
      <c r="Q715" s="95"/>
      <c r="S715" s="99"/>
      <c r="T715" s="99"/>
      <c r="U715" s="99"/>
      <c r="V715" s="99"/>
      <c r="W715" s="99"/>
      <c r="X715" s="99"/>
      <c r="Y715" s="99"/>
      <c r="Z715" s="99"/>
      <c r="AA715" s="99"/>
      <c r="AB715" s="99"/>
      <c r="AC715" s="98"/>
      <c r="AD715" s="98"/>
      <c r="AE715" s="98"/>
      <c r="AF715" s="98"/>
      <c r="AG715" s="98"/>
      <c r="AH715" s="98"/>
    </row>
    <row r="716" spans="2:34" x14ac:dyDescent="0.25">
      <c r="B716" s="75"/>
      <c r="C716" s="76"/>
      <c r="D716" s="83"/>
      <c r="E716" s="84"/>
      <c r="F716" s="84"/>
      <c r="G716" s="84"/>
      <c r="H716" s="84"/>
      <c r="I716" s="85"/>
      <c r="J716" s="90"/>
      <c r="K716" s="91"/>
      <c r="L716" s="90"/>
      <c r="M716" s="91"/>
      <c r="N716" s="83"/>
      <c r="O716" s="85"/>
      <c r="P716" s="96"/>
      <c r="Q716" s="97"/>
      <c r="S716" s="99"/>
      <c r="T716" s="99"/>
      <c r="U716" s="99"/>
      <c r="V716" s="99"/>
      <c r="W716" s="99"/>
      <c r="X716" s="99"/>
      <c r="Y716" s="99"/>
      <c r="Z716" s="99"/>
      <c r="AA716" s="99"/>
      <c r="AB716" s="99"/>
      <c r="AC716" s="98"/>
      <c r="AD716" s="98"/>
      <c r="AE716" s="98"/>
      <c r="AF716" s="98"/>
      <c r="AG716" s="98"/>
      <c r="AH716" s="98"/>
    </row>
    <row r="717" spans="2:34" x14ac:dyDescent="0.25">
      <c r="B717" s="71"/>
      <c r="C717" s="72"/>
      <c r="D717" s="77"/>
      <c r="E717" s="78"/>
      <c r="F717" s="78"/>
      <c r="G717" s="78"/>
      <c r="H717" s="78"/>
      <c r="I717" s="79"/>
      <c r="J717" s="86"/>
      <c r="K717" s="87"/>
      <c r="L717" s="86"/>
      <c r="M717" s="87"/>
      <c r="N717" s="77"/>
      <c r="O717" s="79"/>
      <c r="P717" s="92"/>
      <c r="Q717" s="93"/>
      <c r="S717" s="99"/>
      <c r="T717" s="99"/>
      <c r="U717" s="99"/>
      <c r="V717" s="99"/>
      <c r="W717" s="99"/>
      <c r="X717" s="99"/>
      <c r="Y717" s="99"/>
      <c r="Z717" s="99"/>
      <c r="AA717" s="99"/>
      <c r="AB717" s="99"/>
      <c r="AC717" s="98"/>
      <c r="AD717" s="98"/>
      <c r="AE717" s="98"/>
      <c r="AF717" s="98"/>
      <c r="AG717" s="98"/>
      <c r="AH717" s="98"/>
    </row>
    <row r="718" spans="2:34" x14ac:dyDescent="0.25">
      <c r="B718" s="73"/>
      <c r="C718" s="74"/>
      <c r="D718" s="80"/>
      <c r="E718" s="81"/>
      <c r="F718" s="81"/>
      <c r="G718" s="81"/>
      <c r="H718" s="81"/>
      <c r="I718" s="82"/>
      <c r="J718" s="88"/>
      <c r="K718" s="89"/>
      <c r="L718" s="88"/>
      <c r="M718" s="89"/>
      <c r="N718" s="80"/>
      <c r="O718" s="82"/>
      <c r="P718" s="94"/>
      <c r="Q718" s="95"/>
      <c r="S718" s="99"/>
      <c r="T718" s="99"/>
      <c r="U718" s="99"/>
      <c r="V718" s="99"/>
      <c r="W718" s="99"/>
      <c r="X718" s="99"/>
      <c r="Y718" s="99"/>
      <c r="Z718" s="99"/>
      <c r="AA718" s="99"/>
      <c r="AB718" s="99"/>
      <c r="AC718" s="98"/>
      <c r="AD718" s="98"/>
      <c r="AE718" s="98"/>
      <c r="AF718" s="98"/>
      <c r="AG718" s="98"/>
      <c r="AH718" s="98"/>
    </row>
    <row r="719" spans="2:34" x14ac:dyDescent="0.25">
      <c r="B719" s="75"/>
      <c r="C719" s="76"/>
      <c r="D719" s="83"/>
      <c r="E719" s="84"/>
      <c r="F719" s="84"/>
      <c r="G719" s="84"/>
      <c r="H719" s="84"/>
      <c r="I719" s="85"/>
      <c r="J719" s="90"/>
      <c r="K719" s="91"/>
      <c r="L719" s="90"/>
      <c r="M719" s="91"/>
      <c r="N719" s="83"/>
      <c r="O719" s="85"/>
      <c r="P719" s="96"/>
      <c r="Q719" s="97"/>
      <c r="S719" s="99"/>
      <c r="T719" s="99"/>
      <c r="U719" s="99"/>
      <c r="V719" s="99"/>
      <c r="W719" s="99"/>
      <c r="X719" s="99"/>
      <c r="Y719" s="99"/>
      <c r="Z719" s="99"/>
      <c r="AA719" s="99"/>
      <c r="AB719" s="99"/>
      <c r="AC719" s="98"/>
      <c r="AD719" s="98"/>
      <c r="AE719" s="98"/>
      <c r="AF719" s="98"/>
      <c r="AG719" s="98"/>
      <c r="AH719" s="98"/>
    </row>
    <row r="720" spans="2:34" x14ac:dyDescent="0.25">
      <c r="B720" s="71"/>
      <c r="C720" s="72"/>
      <c r="D720" s="77"/>
      <c r="E720" s="78"/>
      <c r="F720" s="78"/>
      <c r="G720" s="78"/>
      <c r="H720" s="78"/>
      <c r="I720" s="79"/>
      <c r="J720" s="86"/>
      <c r="K720" s="87"/>
      <c r="L720" s="86"/>
      <c r="M720" s="87"/>
      <c r="N720" s="77"/>
      <c r="O720" s="79"/>
      <c r="P720" s="92"/>
      <c r="Q720" s="93"/>
      <c r="S720" s="99"/>
      <c r="T720" s="99"/>
      <c r="U720" s="99"/>
      <c r="V720" s="99"/>
      <c r="W720" s="99"/>
      <c r="X720" s="99"/>
      <c r="Y720" s="99"/>
      <c r="Z720" s="99"/>
      <c r="AA720" s="99"/>
      <c r="AB720" s="99"/>
      <c r="AC720" s="98"/>
      <c r="AD720" s="98"/>
      <c r="AE720" s="98"/>
      <c r="AF720" s="98"/>
      <c r="AG720" s="98"/>
      <c r="AH720" s="98"/>
    </row>
    <row r="721" spans="2:34" x14ac:dyDescent="0.25">
      <c r="B721" s="73"/>
      <c r="C721" s="74"/>
      <c r="D721" s="80"/>
      <c r="E721" s="81"/>
      <c r="F721" s="81"/>
      <c r="G721" s="81"/>
      <c r="H721" s="81"/>
      <c r="I721" s="82"/>
      <c r="J721" s="88"/>
      <c r="K721" s="89"/>
      <c r="L721" s="88"/>
      <c r="M721" s="89"/>
      <c r="N721" s="80"/>
      <c r="O721" s="82"/>
      <c r="P721" s="94"/>
      <c r="Q721" s="95"/>
      <c r="S721" s="99"/>
      <c r="T721" s="99"/>
      <c r="U721" s="99"/>
      <c r="V721" s="99"/>
      <c r="W721" s="99"/>
      <c r="X721" s="99"/>
      <c r="Y721" s="99"/>
      <c r="Z721" s="99"/>
      <c r="AA721" s="99"/>
      <c r="AB721" s="99"/>
      <c r="AC721" s="98"/>
      <c r="AD721" s="98"/>
      <c r="AE721" s="98"/>
      <c r="AF721" s="98"/>
      <c r="AG721" s="98"/>
      <c r="AH721" s="98"/>
    </row>
    <row r="722" spans="2:34" x14ac:dyDescent="0.25">
      <c r="B722" s="75"/>
      <c r="C722" s="76"/>
      <c r="D722" s="83"/>
      <c r="E722" s="84"/>
      <c r="F722" s="84"/>
      <c r="G722" s="84"/>
      <c r="H722" s="84"/>
      <c r="I722" s="85"/>
      <c r="J722" s="90"/>
      <c r="K722" s="91"/>
      <c r="L722" s="90"/>
      <c r="M722" s="91"/>
      <c r="N722" s="83"/>
      <c r="O722" s="85"/>
      <c r="P722" s="96"/>
      <c r="Q722" s="97"/>
      <c r="S722" s="99"/>
      <c r="T722" s="99"/>
      <c r="U722" s="99"/>
      <c r="V722" s="99"/>
      <c r="W722" s="99"/>
      <c r="X722" s="99"/>
      <c r="Y722" s="99"/>
      <c r="Z722" s="99"/>
      <c r="AA722" s="99"/>
      <c r="AB722" s="99"/>
      <c r="AC722" s="98"/>
      <c r="AD722" s="98"/>
      <c r="AE722" s="98"/>
      <c r="AF722" s="98"/>
      <c r="AG722" s="98"/>
      <c r="AH722" s="98"/>
    </row>
    <row r="723" spans="2:34" x14ac:dyDescent="0.25">
      <c r="B723" s="71"/>
      <c r="C723" s="72"/>
      <c r="D723" s="77"/>
      <c r="E723" s="78"/>
      <c r="F723" s="78"/>
      <c r="G723" s="78"/>
      <c r="H723" s="78"/>
      <c r="I723" s="79"/>
      <c r="J723" s="86"/>
      <c r="K723" s="87"/>
      <c r="L723" s="86"/>
      <c r="M723" s="87"/>
      <c r="N723" s="77"/>
      <c r="O723" s="79"/>
      <c r="P723" s="92"/>
      <c r="Q723" s="93"/>
      <c r="S723" s="99"/>
      <c r="T723" s="99"/>
      <c r="U723" s="99"/>
      <c r="V723" s="99"/>
      <c r="W723" s="99"/>
      <c r="X723" s="99"/>
      <c r="Y723" s="99"/>
      <c r="Z723" s="99"/>
      <c r="AA723" s="99"/>
      <c r="AB723" s="99"/>
      <c r="AC723" s="98"/>
      <c r="AD723" s="98"/>
      <c r="AE723" s="98"/>
      <c r="AF723" s="98"/>
      <c r="AG723" s="98"/>
      <c r="AH723" s="98"/>
    </row>
    <row r="724" spans="2:34" x14ac:dyDescent="0.25">
      <c r="B724" s="73"/>
      <c r="C724" s="74"/>
      <c r="D724" s="80"/>
      <c r="E724" s="81"/>
      <c r="F724" s="81"/>
      <c r="G724" s="81"/>
      <c r="H724" s="81"/>
      <c r="I724" s="82"/>
      <c r="J724" s="88"/>
      <c r="K724" s="89"/>
      <c r="L724" s="88"/>
      <c r="M724" s="89"/>
      <c r="N724" s="80"/>
      <c r="O724" s="82"/>
      <c r="P724" s="94"/>
      <c r="Q724" s="95"/>
      <c r="S724" s="99"/>
      <c r="T724" s="99"/>
      <c r="U724" s="99"/>
      <c r="V724" s="99"/>
      <c r="W724" s="99"/>
      <c r="X724" s="99"/>
      <c r="Y724" s="99"/>
      <c r="Z724" s="99"/>
      <c r="AA724" s="99"/>
      <c r="AB724" s="99"/>
      <c r="AC724" s="98"/>
      <c r="AD724" s="98"/>
      <c r="AE724" s="98"/>
      <c r="AF724" s="98"/>
      <c r="AG724" s="98"/>
      <c r="AH724" s="98"/>
    </row>
    <row r="725" spans="2:34" x14ac:dyDescent="0.25">
      <c r="B725" s="75"/>
      <c r="C725" s="76"/>
      <c r="D725" s="83"/>
      <c r="E725" s="84"/>
      <c r="F725" s="84"/>
      <c r="G725" s="84"/>
      <c r="H725" s="84"/>
      <c r="I725" s="85"/>
      <c r="J725" s="90"/>
      <c r="K725" s="91"/>
      <c r="L725" s="90"/>
      <c r="M725" s="91"/>
      <c r="N725" s="83"/>
      <c r="O725" s="85"/>
      <c r="P725" s="96"/>
      <c r="Q725" s="97"/>
      <c r="S725" s="99"/>
      <c r="T725" s="99"/>
      <c r="U725" s="99"/>
      <c r="V725" s="99"/>
      <c r="W725" s="99"/>
      <c r="X725" s="99"/>
      <c r="Y725" s="99"/>
      <c r="Z725" s="99"/>
      <c r="AA725" s="99"/>
      <c r="AB725" s="99"/>
      <c r="AC725" s="98"/>
      <c r="AD725" s="98"/>
      <c r="AE725" s="98"/>
      <c r="AF725" s="98"/>
      <c r="AG725" s="98"/>
      <c r="AH725" s="98"/>
    </row>
    <row r="726" spans="2:34" x14ac:dyDescent="0.25">
      <c r="B726" s="71"/>
      <c r="C726" s="72"/>
      <c r="D726" s="77"/>
      <c r="E726" s="78"/>
      <c r="F726" s="78"/>
      <c r="G726" s="78"/>
      <c r="H726" s="78"/>
      <c r="I726" s="79"/>
      <c r="J726" s="86"/>
      <c r="K726" s="87"/>
      <c r="L726" s="86"/>
      <c r="M726" s="87"/>
      <c r="N726" s="77"/>
      <c r="O726" s="79"/>
      <c r="P726" s="92"/>
      <c r="Q726" s="93"/>
      <c r="S726" s="99"/>
      <c r="T726" s="99"/>
      <c r="U726" s="99"/>
      <c r="V726" s="99"/>
      <c r="W726" s="99"/>
      <c r="X726" s="99"/>
      <c r="Y726" s="99"/>
      <c r="Z726" s="99"/>
      <c r="AA726" s="99"/>
      <c r="AB726" s="99"/>
      <c r="AC726" s="98"/>
      <c r="AD726" s="98"/>
      <c r="AE726" s="98"/>
      <c r="AF726" s="98"/>
      <c r="AG726" s="98"/>
      <c r="AH726" s="98"/>
    </row>
    <row r="727" spans="2:34" x14ac:dyDescent="0.25">
      <c r="B727" s="73"/>
      <c r="C727" s="74"/>
      <c r="D727" s="80"/>
      <c r="E727" s="81"/>
      <c r="F727" s="81"/>
      <c r="G727" s="81"/>
      <c r="H727" s="81"/>
      <c r="I727" s="82"/>
      <c r="J727" s="88"/>
      <c r="K727" s="89"/>
      <c r="L727" s="88"/>
      <c r="M727" s="89"/>
      <c r="N727" s="80"/>
      <c r="O727" s="82"/>
      <c r="P727" s="94"/>
      <c r="Q727" s="95"/>
      <c r="S727" s="99"/>
      <c r="T727" s="99"/>
      <c r="U727" s="99"/>
      <c r="V727" s="99"/>
      <c r="W727" s="99"/>
      <c r="X727" s="99"/>
      <c r="Y727" s="99"/>
      <c r="Z727" s="99"/>
      <c r="AA727" s="99"/>
      <c r="AB727" s="99"/>
      <c r="AC727" s="98"/>
      <c r="AD727" s="98"/>
      <c r="AE727" s="98"/>
      <c r="AF727" s="98"/>
      <c r="AG727" s="98"/>
      <c r="AH727" s="98"/>
    </row>
    <row r="728" spans="2:34" x14ac:dyDescent="0.25">
      <c r="B728" s="75"/>
      <c r="C728" s="76"/>
      <c r="D728" s="83"/>
      <c r="E728" s="84"/>
      <c r="F728" s="84"/>
      <c r="G728" s="84"/>
      <c r="H728" s="84"/>
      <c r="I728" s="85"/>
      <c r="J728" s="90"/>
      <c r="K728" s="91"/>
      <c r="L728" s="90"/>
      <c r="M728" s="91"/>
      <c r="N728" s="83"/>
      <c r="O728" s="85"/>
      <c r="P728" s="96"/>
      <c r="Q728" s="97"/>
      <c r="S728" s="99"/>
      <c r="T728" s="99"/>
      <c r="U728" s="99"/>
      <c r="V728" s="99"/>
      <c r="W728" s="99"/>
      <c r="X728" s="99"/>
      <c r="Y728" s="99"/>
      <c r="Z728" s="99"/>
      <c r="AA728" s="99"/>
      <c r="AB728" s="99"/>
      <c r="AC728" s="98"/>
      <c r="AD728" s="98"/>
      <c r="AE728" s="98"/>
      <c r="AF728" s="98"/>
      <c r="AG728" s="98"/>
      <c r="AH728" s="98"/>
    </row>
    <row r="729" spans="2:34" x14ac:dyDescent="0.25">
      <c r="B729" s="71"/>
      <c r="C729" s="72"/>
      <c r="D729" s="77"/>
      <c r="E729" s="78"/>
      <c r="F729" s="78"/>
      <c r="G729" s="78"/>
      <c r="H729" s="78"/>
      <c r="I729" s="79"/>
      <c r="J729" s="86"/>
      <c r="K729" s="87"/>
      <c r="L729" s="86"/>
      <c r="M729" s="87"/>
      <c r="N729" s="77"/>
      <c r="O729" s="79"/>
      <c r="P729" s="92"/>
      <c r="Q729" s="93"/>
      <c r="S729" s="99"/>
      <c r="T729" s="99"/>
      <c r="U729" s="99"/>
      <c r="V729" s="99"/>
      <c r="W729" s="99"/>
      <c r="X729" s="99"/>
      <c r="Y729" s="99"/>
      <c r="Z729" s="99"/>
      <c r="AA729" s="99"/>
      <c r="AB729" s="99"/>
      <c r="AC729" s="98"/>
      <c r="AD729" s="98"/>
      <c r="AE729" s="98"/>
      <c r="AF729" s="98"/>
      <c r="AG729" s="98"/>
      <c r="AH729" s="98"/>
    </row>
    <row r="730" spans="2:34" x14ac:dyDescent="0.25">
      <c r="B730" s="73"/>
      <c r="C730" s="74"/>
      <c r="D730" s="80"/>
      <c r="E730" s="81"/>
      <c r="F730" s="81"/>
      <c r="G730" s="81"/>
      <c r="H730" s="81"/>
      <c r="I730" s="82"/>
      <c r="J730" s="88"/>
      <c r="K730" s="89"/>
      <c r="L730" s="88"/>
      <c r="M730" s="89"/>
      <c r="N730" s="80"/>
      <c r="O730" s="82"/>
      <c r="P730" s="94"/>
      <c r="Q730" s="95"/>
      <c r="S730" s="99"/>
      <c r="T730" s="99"/>
      <c r="U730" s="99"/>
      <c r="V730" s="99"/>
      <c r="W730" s="99"/>
      <c r="X730" s="99"/>
      <c r="Y730" s="99"/>
      <c r="Z730" s="99"/>
      <c r="AA730" s="99"/>
      <c r="AB730" s="99"/>
      <c r="AC730" s="98"/>
      <c r="AD730" s="98"/>
      <c r="AE730" s="98"/>
      <c r="AF730" s="98"/>
      <c r="AG730" s="98"/>
      <c r="AH730" s="98"/>
    </row>
    <row r="731" spans="2:34" x14ac:dyDescent="0.25">
      <c r="B731" s="75"/>
      <c r="C731" s="76"/>
      <c r="D731" s="83"/>
      <c r="E731" s="84"/>
      <c r="F731" s="84"/>
      <c r="G731" s="84"/>
      <c r="H731" s="84"/>
      <c r="I731" s="85"/>
      <c r="J731" s="90"/>
      <c r="K731" s="91"/>
      <c r="L731" s="90"/>
      <c r="M731" s="91"/>
      <c r="N731" s="83"/>
      <c r="O731" s="85"/>
      <c r="P731" s="96"/>
      <c r="Q731" s="97"/>
      <c r="S731" s="99"/>
      <c r="T731" s="99"/>
      <c r="U731" s="99"/>
      <c r="V731" s="99"/>
      <c r="W731" s="99"/>
      <c r="X731" s="99"/>
      <c r="Y731" s="99"/>
      <c r="Z731" s="99"/>
      <c r="AA731" s="99"/>
      <c r="AB731" s="99"/>
      <c r="AC731" s="98"/>
      <c r="AD731" s="98"/>
      <c r="AE731" s="98"/>
      <c r="AF731" s="98"/>
      <c r="AG731" s="98"/>
      <c r="AH731" s="98"/>
    </row>
    <row r="732" spans="2:34" x14ac:dyDescent="0.25">
      <c r="B732" s="71"/>
      <c r="C732" s="72"/>
      <c r="D732" s="77"/>
      <c r="E732" s="78"/>
      <c r="F732" s="78"/>
      <c r="G732" s="78"/>
      <c r="H732" s="78"/>
      <c r="I732" s="79"/>
      <c r="J732" s="86"/>
      <c r="K732" s="87"/>
      <c r="L732" s="86"/>
      <c r="M732" s="87"/>
      <c r="N732" s="77"/>
      <c r="O732" s="79"/>
      <c r="P732" s="92"/>
      <c r="Q732" s="93"/>
      <c r="S732" s="99"/>
      <c r="T732" s="99"/>
      <c r="U732" s="99"/>
      <c r="V732" s="99"/>
      <c r="W732" s="99"/>
      <c r="X732" s="99"/>
      <c r="Y732" s="99"/>
      <c r="Z732" s="99"/>
      <c r="AA732" s="99"/>
      <c r="AB732" s="99"/>
      <c r="AC732" s="98"/>
      <c r="AD732" s="98"/>
      <c r="AE732" s="98"/>
      <c r="AF732" s="98"/>
      <c r="AG732" s="98"/>
      <c r="AH732" s="98"/>
    </row>
    <row r="733" spans="2:34" x14ac:dyDescent="0.25">
      <c r="B733" s="73"/>
      <c r="C733" s="74"/>
      <c r="D733" s="80"/>
      <c r="E733" s="81"/>
      <c r="F733" s="81"/>
      <c r="G733" s="81"/>
      <c r="H733" s="81"/>
      <c r="I733" s="82"/>
      <c r="J733" s="88"/>
      <c r="K733" s="89"/>
      <c r="L733" s="88"/>
      <c r="M733" s="89"/>
      <c r="N733" s="80"/>
      <c r="O733" s="82"/>
      <c r="P733" s="94"/>
      <c r="Q733" s="95"/>
      <c r="S733" s="99"/>
      <c r="T733" s="99"/>
      <c r="U733" s="99"/>
      <c r="V733" s="99"/>
      <c r="W733" s="99"/>
      <c r="X733" s="99"/>
      <c r="Y733" s="99"/>
      <c r="Z733" s="99"/>
      <c r="AA733" s="99"/>
      <c r="AB733" s="99"/>
      <c r="AC733" s="98"/>
      <c r="AD733" s="98"/>
      <c r="AE733" s="98"/>
      <c r="AF733" s="98"/>
      <c r="AG733" s="98"/>
      <c r="AH733" s="98"/>
    </row>
    <row r="734" spans="2:34" x14ac:dyDescent="0.25">
      <c r="B734" s="75"/>
      <c r="C734" s="76"/>
      <c r="D734" s="83"/>
      <c r="E734" s="84"/>
      <c r="F734" s="84"/>
      <c r="G734" s="84"/>
      <c r="H734" s="84"/>
      <c r="I734" s="85"/>
      <c r="J734" s="90"/>
      <c r="K734" s="91"/>
      <c r="L734" s="90"/>
      <c r="M734" s="91"/>
      <c r="N734" s="83"/>
      <c r="O734" s="85"/>
      <c r="P734" s="96"/>
      <c r="Q734" s="97"/>
      <c r="S734" s="99"/>
      <c r="T734" s="99"/>
      <c r="U734" s="99"/>
      <c r="V734" s="99"/>
      <c r="W734" s="99"/>
      <c r="X734" s="99"/>
      <c r="Y734" s="99"/>
      <c r="Z734" s="99"/>
      <c r="AA734" s="99"/>
      <c r="AB734" s="99"/>
      <c r="AC734" s="98"/>
      <c r="AD734" s="98"/>
      <c r="AE734" s="98"/>
      <c r="AF734" s="98"/>
      <c r="AG734" s="98"/>
      <c r="AH734" s="98"/>
    </row>
    <row r="735" spans="2:34" x14ac:dyDescent="0.25">
      <c r="B735" s="71"/>
      <c r="C735" s="72"/>
      <c r="D735" s="77"/>
      <c r="E735" s="78"/>
      <c r="F735" s="78"/>
      <c r="G735" s="78"/>
      <c r="H735" s="78"/>
      <c r="I735" s="79"/>
      <c r="J735" s="86"/>
      <c r="K735" s="87"/>
      <c r="L735" s="86"/>
      <c r="M735" s="87"/>
      <c r="N735" s="77"/>
      <c r="O735" s="79"/>
      <c r="P735" s="92"/>
      <c r="Q735" s="93"/>
      <c r="S735" s="99"/>
      <c r="T735" s="99"/>
      <c r="U735" s="99"/>
      <c r="V735" s="99"/>
      <c r="W735" s="99"/>
      <c r="X735" s="99"/>
      <c r="Y735" s="99"/>
      <c r="Z735" s="99"/>
      <c r="AA735" s="99"/>
      <c r="AB735" s="99"/>
      <c r="AC735" s="98"/>
      <c r="AD735" s="98"/>
      <c r="AE735" s="98"/>
      <c r="AF735" s="98"/>
      <c r="AG735" s="98"/>
      <c r="AH735" s="98"/>
    </row>
    <row r="736" spans="2:34" x14ac:dyDescent="0.25">
      <c r="B736" s="73"/>
      <c r="C736" s="74"/>
      <c r="D736" s="80"/>
      <c r="E736" s="81"/>
      <c r="F736" s="81"/>
      <c r="G736" s="81"/>
      <c r="H736" s="81"/>
      <c r="I736" s="82"/>
      <c r="J736" s="88"/>
      <c r="K736" s="89"/>
      <c r="L736" s="88"/>
      <c r="M736" s="89"/>
      <c r="N736" s="80"/>
      <c r="O736" s="82"/>
      <c r="P736" s="94"/>
      <c r="Q736" s="95"/>
      <c r="S736" s="99"/>
      <c r="T736" s="99"/>
      <c r="U736" s="99"/>
      <c r="V736" s="99"/>
      <c r="W736" s="99"/>
      <c r="X736" s="99"/>
      <c r="Y736" s="99"/>
      <c r="Z736" s="99"/>
      <c r="AA736" s="99"/>
      <c r="AB736" s="99"/>
      <c r="AC736" s="98"/>
      <c r="AD736" s="98"/>
      <c r="AE736" s="98"/>
      <c r="AF736" s="98"/>
      <c r="AG736" s="98"/>
      <c r="AH736" s="98"/>
    </row>
    <row r="737" spans="2:34" x14ac:dyDescent="0.25">
      <c r="B737" s="75"/>
      <c r="C737" s="76"/>
      <c r="D737" s="83"/>
      <c r="E737" s="84"/>
      <c r="F737" s="84"/>
      <c r="G737" s="84"/>
      <c r="H737" s="84"/>
      <c r="I737" s="85"/>
      <c r="J737" s="90"/>
      <c r="K737" s="91"/>
      <c r="L737" s="90"/>
      <c r="M737" s="91"/>
      <c r="N737" s="83"/>
      <c r="O737" s="85"/>
      <c r="P737" s="96"/>
      <c r="Q737" s="97"/>
      <c r="S737" s="99"/>
      <c r="T737" s="99"/>
      <c r="U737" s="99"/>
      <c r="V737" s="99"/>
      <c r="W737" s="99"/>
      <c r="X737" s="99"/>
      <c r="Y737" s="99"/>
      <c r="Z737" s="99"/>
      <c r="AA737" s="99"/>
      <c r="AB737" s="99"/>
      <c r="AC737" s="98"/>
      <c r="AD737" s="98"/>
      <c r="AE737" s="98"/>
      <c r="AF737" s="98"/>
      <c r="AG737" s="98"/>
      <c r="AH737" s="98"/>
    </row>
    <row r="738" spans="2:34" x14ac:dyDescent="0.25">
      <c r="B738" s="71"/>
      <c r="C738" s="72"/>
      <c r="D738" s="77"/>
      <c r="E738" s="78"/>
      <c r="F738" s="78"/>
      <c r="G738" s="78"/>
      <c r="H738" s="78"/>
      <c r="I738" s="79"/>
      <c r="J738" s="86"/>
      <c r="K738" s="87"/>
      <c r="L738" s="86"/>
      <c r="M738" s="87"/>
      <c r="N738" s="77"/>
      <c r="O738" s="79"/>
      <c r="P738" s="92"/>
      <c r="Q738" s="93"/>
      <c r="S738" s="99"/>
      <c r="T738" s="99"/>
      <c r="U738" s="99"/>
      <c r="V738" s="99"/>
      <c r="W738" s="99"/>
      <c r="X738" s="99"/>
      <c r="Y738" s="99"/>
      <c r="Z738" s="99"/>
      <c r="AA738" s="99"/>
      <c r="AB738" s="99"/>
      <c r="AC738" s="98"/>
      <c r="AD738" s="98"/>
      <c r="AE738" s="98"/>
      <c r="AF738" s="98"/>
      <c r="AG738" s="98"/>
      <c r="AH738" s="98"/>
    </row>
    <row r="739" spans="2:34" x14ac:dyDescent="0.25">
      <c r="B739" s="73"/>
      <c r="C739" s="74"/>
      <c r="D739" s="80"/>
      <c r="E739" s="81"/>
      <c r="F739" s="81"/>
      <c r="G739" s="81"/>
      <c r="H739" s="81"/>
      <c r="I739" s="82"/>
      <c r="J739" s="88"/>
      <c r="K739" s="89"/>
      <c r="L739" s="88"/>
      <c r="M739" s="89"/>
      <c r="N739" s="80"/>
      <c r="O739" s="82"/>
      <c r="P739" s="94"/>
      <c r="Q739" s="95"/>
      <c r="S739" s="99"/>
      <c r="T739" s="99"/>
      <c r="U739" s="99"/>
      <c r="V739" s="99"/>
      <c r="W739" s="99"/>
      <c r="X739" s="99"/>
      <c r="Y739" s="99"/>
      <c r="Z739" s="99"/>
      <c r="AA739" s="99"/>
      <c r="AB739" s="99"/>
      <c r="AC739" s="98"/>
      <c r="AD739" s="98"/>
      <c r="AE739" s="98"/>
      <c r="AF739" s="98"/>
      <c r="AG739" s="98"/>
      <c r="AH739" s="98"/>
    </row>
    <row r="740" spans="2:34" x14ac:dyDescent="0.25">
      <c r="B740" s="75"/>
      <c r="C740" s="76"/>
      <c r="D740" s="83"/>
      <c r="E740" s="84"/>
      <c r="F740" s="84"/>
      <c r="G740" s="84"/>
      <c r="H740" s="84"/>
      <c r="I740" s="85"/>
      <c r="J740" s="90"/>
      <c r="K740" s="91"/>
      <c r="L740" s="90"/>
      <c r="M740" s="91"/>
      <c r="N740" s="83"/>
      <c r="O740" s="85"/>
      <c r="P740" s="96"/>
      <c r="Q740" s="97"/>
      <c r="S740" s="99"/>
      <c r="T740" s="99"/>
      <c r="U740" s="99"/>
      <c r="V740" s="99"/>
      <c r="W740" s="99"/>
      <c r="X740" s="99"/>
      <c r="Y740" s="99"/>
      <c r="Z740" s="99"/>
      <c r="AA740" s="99"/>
      <c r="AB740" s="99"/>
      <c r="AC740" s="98"/>
      <c r="AD740" s="98"/>
      <c r="AE740" s="98"/>
      <c r="AF740" s="98"/>
      <c r="AG740" s="98"/>
      <c r="AH740" s="98"/>
    </row>
    <row r="741" spans="2:34" x14ac:dyDescent="0.25">
      <c r="B741" s="71"/>
      <c r="C741" s="72"/>
      <c r="D741" s="77"/>
      <c r="E741" s="78"/>
      <c r="F741" s="78"/>
      <c r="G741" s="78"/>
      <c r="H741" s="78"/>
      <c r="I741" s="79"/>
      <c r="J741" s="86"/>
      <c r="K741" s="87"/>
      <c r="L741" s="86"/>
      <c r="M741" s="87"/>
      <c r="N741" s="77"/>
      <c r="O741" s="79"/>
      <c r="P741" s="92"/>
      <c r="Q741" s="93"/>
      <c r="S741" s="99"/>
      <c r="T741" s="99"/>
      <c r="U741" s="99"/>
      <c r="V741" s="99"/>
      <c r="W741" s="99"/>
      <c r="X741" s="99"/>
      <c r="Y741" s="99"/>
      <c r="Z741" s="99"/>
      <c r="AA741" s="99"/>
      <c r="AB741" s="99"/>
      <c r="AC741" s="98"/>
      <c r="AD741" s="98"/>
      <c r="AE741" s="98"/>
      <c r="AF741" s="98"/>
      <c r="AG741" s="98"/>
      <c r="AH741" s="98"/>
    </row>
    <row r="742" spans="2:34" x14ac:dyDescent="0.25">
      <c r="B742" s="73"/>
      <c r="C742" s="74"/>
      <c r="D742" s="80"/>
      <c r="E742" s="81"/>
      <c r="F742" s="81"/>
      <c r="G742" s="81"/>
      <c r="H742" s="81"/>
      <c r="I742" s="82"/>
      <c r="J742" s="88"/>
      <c r="K742" s="89"/>
      <c r="L742" s="88"/>
      <c r="M742" s="89"/>
      <c r="N742" s="80"/>
      <c r="O742" s="82"/>
      <c r="P742" s="94"/>
      <c r="Q742" s="95"/>
      <c r="S742" s="99"/>
      <c r="T742" s="99"/>
      <c r="U742" s="99"/>
      <c r="V742" s="99"/>
      <c r="W742" s="99"/>
      <c r="X742" s="99"/>
      <c r="Y742" s="99"/>
      <c r="Z742" s="99"/>
      <c r="AA742" s="99"/>
      <c r="AB742" s="99"/>
      <c r="AC742" s="98"/>
      <c r="AD742" s="98"/>
      <c r="AE742" s="98"/>
      <c r="AF742" s="98"/>
      <c r="AG742" s="98"/>
      <c r="AH742" s="98"/>
    </row>
    <row r="743" spans="2:34" x14ac:dyDescent="0.25">
      <c r="B743" s="75"/>
      <c r="C743" s="76"/>
      <c r="D743" s="83"/>
      <c r="E743" s="84"/>
      <c r="F743" s="84"/>
      <c r="G743" s="84"/>
      <c r="H743" s="84"/>
      <c r="I743" s="85"/>
      <c r="J743" s="90"/>
      <c r="K743" s="91"/>
      <c r="L743" s="90"/>
      <c r="M743" s="91"/>
      <c r="N743" s="83"/>
      <c r="O743" s="85"/>
      <c r="P743" s="96"/>
      <c r="Q743" s="97"/>
      <c r="S743" s="99"/>
      <c r="T743" s="99"/>
      <c r="U743" s="99"/>
      <c r="V743" s="99"/>
      <c r="W743" s="99"/>
      <c r="X743" s="99"/>
      <c r="Y743" s="99"/>
      <c r="Z743" s="99"/>
      <c r="AA743" s="99"/>
      <c r="AB743" s="99"/>
      <c r="AC743" s="98"/>
      <c r="AD743" s="98"/>
      <c r="AE743" s="98"/>
      <c r="AF743" s="98"/>
      <c r="AG743" s="98"/>
      <c r="AH743" s="98"/>
    </row>
    <row r="744" spans="2:34" x14ac:dyDescent="0.25">
      <c r="B744" s="71"/>
      <c r="C744" s="72"/>
      <c r="D744" s="77"/>
      <c r="E744" s="78"/>
      <c r="F744" s="78"/>
      <c r="G744" s="78"/>
      <c r="H744" s="78"/>
      <c r="I744" s="79"/>
      <c r="J744" s="86"/>
      <c r="K744" s="87"/>
      <c r="L744" s="86"/>
      <c r="M744" s="87"/>
      <c r="N744" s="77"/>
      <c r="O744" s="79"/>
      <c r="P744" s="92"/>
      <c r="Q744" s="93"/>
      <c r="S744" s="99"/>
      <c r="T744" s="99"/>
      <c r="U744" s="99"/>
      <c r="V744" s="99"/>
      <c r="W744" s="99"/>
      <c r="X744" s="99"/>
      <c r="Y744" s="99"/>
      <c r="Z744" s="99"/>
      <c r="AA744" s="99"/>
      <c r="AB744" s="99"/>
      <c r="AC744" s="98"/>
      <c r="AD744" s="98"/>
      <c r="AE744" s="98"/>
      <c r="AF744" s="98"/>
      <c r="AG744" s="98"/>
      <c r="AH744" s="98"/>
    </row>
    <row r="745" spans="2:34" x14ac:dyDescent="0.25">
      <c r="B745" s="73"/>
      <c r="C745" s="74"/>
      <c r="D745" s="80"/>
      <c r="E745" s="81"/>
      <c r="F745" s="81"/>
      <c r="G745" s="81"/>
      <c r="H745" s="81"/>
      <c r="I745" s="82"/>
      <c r="J745" s="88"/>
      <c r="K745" s="89"/>
      <c r="L745" s="88"/>
      <c r="M745" s="89"/>
      <c r="N745" s="80"/>
      <c r="O745" s="82"/>
      <c r="P745" s="94"/>
      <c r="Q745" s="95"/>
      <c r="S745" s="99"/>
      <c r="T745" s="99"/>
      <c r="U745" s="99"/>
      <c r="V745" s="99"/>
      <c r="W745" s="99"/>
      <c r="X745" s="99"/>
      <c r="Y745" s="99"/>
      <c r="Z745" s="99"/>
      <c r="AA745" s="99"/>
      <c r="AB745" s="99"/>
      <c r="AC745" s="98"/>
      <c r="AD745" s="98"/>
      <c r="AE745" s="98"/>
      <c r="AF745" s="98"/>
      <c r="AG745" s="98"/>
      <c r="AH745" s="98"/>
    </row>
    <row r="746" spans="2:34" x14ac:dyDescent="0.25">
      <c r="B746" s="75"/>
      <c r="C746" s="76"/>
      <c r="D746" s="83"/>
      <c r="E746" s="84"/>
      <c r="F746" s="84"/>
      <c r="G746" s="84"/>
      <c r="H746" s="84"/>
      <c r="I746" s="85"/>
      <c r="J746" s="90"/>
      <c r="K746" s="91"/>
      <c r="L746" s="90"/>
      <c r="M746" s="91"/>
      <c r="N746" s="83"/>
      <c r="O746" s="85"/>
      <c r="P746" s="96"/>
      <c r="Q746" s="97"/>
      <c r="S746" s="99"/>
      <c r="T746" s="99"/>
      <c r="U746" s="99"/>
      <c r="V746" s="99"/>
      <c r="W746" s="99"/>
      <c r="X746" s="99"/>
      <c r="Y746" s="99"/>
      <c r="Z746" s="99"/>
      <c r="AA746" s="99"/>
      <c r="AB746" s="99"/>
      <c r="AC746" s="98"/>
      <c r="AD746" s="98"/>
      <c r="AE746" s="98"/>
      <c r="AF746" s="98"/>
      <c r="AG746" s="98"/>
      <c r="AH746" s="98"/>
    </row>
    <row r="747" spans="2:34" x14ac:dyDescent="0.25">
      <c r="B747" s="71"/>
      <c r="C747" s="72"/>
      <c r="D747" s="77"/>
      <c r="E747" s="78"/>
      <c r="F747" s="78"/>
      <c r="G747" s="78"/>
      <c r="H747" s="78"/>
      <c r="I747" s="79"/>
      <c r="J747" s="86"/>
      <c r="K747" s="87"/>
      <c r="L747" s="86"/>
      <c r="M747" s="87"/>
      <c r="N747" s="77"/>
      <c r="O747" s="79"/>
      <c r="P747" s="92"/>
      <c r="Q747" s="93"/>
      <c r="S747" s="99"/>
      <c r="T747" s="99"/>
      <c r="U747" s="99"/>
      <c r="V747" s="99"/>
      <c r="W747" s="99"/>
      <c r="X747" s="99"/>
      <c r="Y747" s="99"/>
      <c r="Z747" s="99"/>
      <c r="AA747" s="99"/>
      <c r="AB747" s="99"/>
      <c r="AC747" s="98"/>
      <c r="AD747" s="98"/>
      <c r="AE747" s="98"/>
      <c r="AF747" s="98"/>
      <c r="AG747" s="98"/>
      <c r="AH747" s="98"/>
    </row>
    <row r="748" spans="2:34" x14ac:dyDescent="0.25">
      <c r="B748" s="73"/>
      <c r="C748" s="74"/>
      <c r="D748" s="80"/>
      <c r="E748" s="81"/>
      <c r="F748" s="81"/>
      <c r="G748" s="81"/>
      <c r="H748" s="81"/>
      <c r="I748" s="82"/>
      <c r="J748" s="88"/>
      <c r="K748" s="89"/>
      <c r="L748" s="88"/>
      <c r="M748" s="89"/>
      <c r="N748" s="80"/>
      <c r="O748" s="82"/>
      <c r="P748" s="94"/>
      <c r="Q748" s="95"/>
      <c r="S748" s="99"/>
      <c r="T748" s="99"/>
      <c r="U748" s="99"/>
      <c r="V748" s="99"/>
      <c r="W748" s="99"/>
      <c r="X748" s="99"/>
      <c r="Y748" s="99"/>
      <c r="Z748" s="99"/>
      <c r="AA748" s="99"/>
      <c r="AB748" s="99"/>
      <c r="AC748" s="98"/>
      <c r="AD748" s="98"/>
      <c r="AE748" s="98"/>
      <c r="AF748" s="98"/>
      <c r="AG748" s="98"/>
      <c r="AH748" s="98"/>
    </row>
    <row r="749" spans="2:34" x14ac:dyDescent="0.25">
      <c r="B749" s="75"/>
      <c r="C749" s="76"/>
      <c r="D749" s="83"/>
      <c r="E749" s="84"/>
      <c r="F749" s="84"/>
      <c r="G749" s="84"/>
      <c r="H749" s="84"/>
      <c r="I749" s="85"/>
      <c r="J749" s="90"/>
      <c r="K749" s="91"/>
      <c r="L749" s="90"/>
      <c r="M749" s="91"/>
      <c r="N749" s="83"/>
      <c r="O749" s="85"/>
      <c r="P749" s="96"/>
      <c r="Q749" s="97"/>
      <c r="S749" s="99"/>
      <c r="T749" s="99"/>
      <c r="U749" s="99"/>
      <c r="V749" s="99"/>
      <c r="W749" s="99"/>
      <c r="X749" s="99"/>
      <c r="Y749" s="99"/>
      <c r="Z749" s="99"/>
      <c r="AA749" s="99"/>
      <c r="AB749" s="99"/>
      <c r="AC749" s="98"/>
      <c r="AD749" s="98"/>
      <c r="AE749" s="98"/>
      <c r="AF749" s="98"/>
      <c r="AG749" s="98"/>
      <c r="AH749" s="98"/>
    </row>
    <row r="750" spans="2:34" x14ac:dyDescent="0.25">
      <c r="B750" s="71"/>
      <c r="C750" s="72"/>
      <c r="D750" s="77"/>
      <c r="E750" s="78"/>
      <c r="F750" s="78"/>
      <c r="G750" s="78"/>
      <c r="H750" s="78"/>
      <c r="I750" s="79"/>
      <c r="J750" s="86"/>
      <c r="K750" s="87"/>
      <c r="L750" s="86"/>
      <c r="M750" s="87"/>
      <c r="N750" s="77"/>
      <c r="O750" s="79"/>
      <c r="P750" s="92"/>
      <c r="Q750" s="93"/>
      <c r="S750" s="99"/>
      <c r="T750" s="99"/>
      <c r="U750" s="99"/>
      <c r="V750" s="99"/>
      <c r="W750" s="99"/>
      <c r="X750" s="99"/>
      <c r="Y750" s="99"/>
      <c r="Z750" s="99"/>
      <c r="AA750" s="99"/>
      <c r="AB750" s="99"/>
      <c r="AC750" s="98"/>
      <c r="AD750" s="98"/>
      <c r="AE750" s="98"/>
      <c r="AF750" s="98"/>
      <c r="AG750" s="98"/>
      <c r="AH750" s="98"/>
    </row>
    <row r="751" spans="2:34" x14ac:dyDescent="0.25">
      <c r="B751" s="73"/>
      <c r="C751" s="74"/>
      <c r="D751" s="80"/>
      <c r="E751" s="81"/>
      <c r="F751" s="81"/>
      <c r="G751" s="81"/>
      <c r="H751" s="81"/>
      <c r="I751" s="82"/>
      <c r="J751" s="88"/>
      <c r="K751" s="89"/>
      <c r="L751" s="88"/>
      <c r="M751" s="89"/>
      <c r="N751" s="80"/>
      <c r="O751" s="82"/>
      <c r="P751" s="94"/>
      <c r="Q751" s="95"/>
      <c r="S751" s="99"/>
      <c r="T751" s="99"/>
      <c r="U751" s="99"/>
      <c r="V751" s="99"/>
      <c r="W751" s="99"/>
      <c r="X751" s="99"/>
      <c r="Y751" s="99"/>
      <c r="Z751" s="99"/>
      <c r="AA751" s="99"/>
      <c r="AB751" s="99"/>
      <c r="AC751" s="98"/>
      <c r="AD751" s="98"/>
      <c r="AE751" s="98"/>
      <c r="AF751" s="98"/>
      <c r="AG751" s="98"/>
      <c r="AH751" s="98"/>
    </row>
    <row r="752" spans="2:34" x14ac:dyDescent="0.25">
      <c r="B752" s="75"/>
      <c r="C752" s="76"/>
      <c r="D752" s="83"/>
      <c r="E752" s="84"/>
      <c r="F752" s="84"/>
      <c r="G752" s="84"/>
      <c r="H752" s="84"/>
      <c r="I752" s="85"/>
      <c r="J752" s="90"/>
      <c r="K752" s="91"/>
      <c r="L752" s="90"/>
      <c r="M752" s="91"/>
      <c r="N752" s="83"/>
      <c r="O752" s="85"/>
      <c r="P752" s="96"/>
      <c r="Q752" s="97"/>
      <c r="S752" s="99"/>
      <c r="T752" s="99"/>
      <c r="U752" s="99"/>
      <c r="V752" s="99"/>
      <c r="W752" s="99"/>
      <c r="X752" s="99"/>
      <c r="Y752" s="99"/>
      <c r="Z752" s="99"/>
      <c r="AA752" s="99"/>
      <c r="AB752" s="99"/>
      <c r="AC752" s="98"/>
      <c r="AD752" s="98"/>
      <c r="AE752" s="98"/>
      <c r="AF752" s="98"/>
      <c r="AG752" s="98"/>
      <c r="AH752" s="98"/>
    </row>
    <row r="753" spans="2:34" x14ac:dyDescent="0.25">
      <c r="B753" s="71"/>
      <c r="C753" s="72"/>
      <c r="D753" s="77"/>
      <c r="E753" s="78"/>
      <c r="F753" s="78"/>
      <c r="G753" s="78"/>
      <c r="H753" s="78"/>
      <c r="I753" s="79"/>
      <c r="J753" s="86"/>
      <c r="K753" s="87"/>
      <c r="L753" s="86"/>
      <c r="M753" s="87"/>
      <c r="N753" s="77"/>
      <c r="O753" s="79"/>
      <c r="P753" s="92"/>
      <c r="Q753" s="93"/>
      <c r="S753" s="99"/>
      <c r="T753" s="99"/>
      <c r="U753" s="99"/>
      <c r="V753" s="99"/>
      <c r="W753" s="99"/>
      <c r="X753" s="99"/>
      <c r="Y753" s="99"/>
      <c r="Z753" s="99"/>
      <c r="AA753" s="99"/>
      <c r="AB753" s="99"/>
      <c r="AC753" s="98"/>
      <c r="AD753" s="98"/>
      <c r="AE753" s="98"/>
      <c r="AF753" s="98"/>
      <c r="AG753" s="98"/>
      <c r="AH753" s="98"/>
    </row>
    <row r="754" spans="2:34" x14ac:dyDescent="0.25">
      <c r="B754" s="73"/>
      <c r="C754" s="74"/>
      <c r="D754" s="80"/>
      <c r="E754" s="81"/>
      <c r="F754" s="81"/>
      <c r="G754" s="81"/>
      <c r="H754" s="81"/>
      <c r="I754" s="82"/>
      <c r="J754" s="88"/>
      <c r="K754" s="89"/>
      <c r="L754" s="88"/>
      <c r="M754" s="89"/>
      <c r="N754" s="80"/>
      <c r="O754" s="82"/>
      <c r="P754" s="94"/>
      <c r="Q754" s="95"/>
      <c r="S754" s="99"/>
      <c r="T754" s="99"/>
      <c r="U754" s="99"/>
      <c r="V754" s="99"/>
      <c r="W754" s="99"/>
      <c r="X754" s="99"/>
      <c r="Y754" s="99"/>
      <c r="Z754" s="99"/>
      <c r="AA754" s="99"/>
      <c r="AB754" s="99"/>
      <c r="AC754" s="98"/>
      <c r="AD754" s="98"/>
      <c r="AE754" s="98"/>
      <c r="AF754" s="98"/>
      <c r="AG754" s="98"/>
      <c r="AH754" s="98"/>
    </row>
    <row r="755" spans="2:34" x14ac:dyDescent="0.25">
      <c r="B755" s="75"/>
      <c r="C755" s="76"/>
      <c r="D755" s="83"/>
      <c r="E755" s="84"/>
      <c r="F755" s="84"/>
      <c r="G755" s="84"/>
      <c r="H755" s="84"/>
      <c r="I755" s="85"/>
      <c r="J755" s="90"/>
      <c r="K755" s="91"/>
      <c r="L755" s="90"/>
      <c r="M755" s="91"/>
      <c r="N755" s="83"/>
      <c r="O755" s="85"/>
      <c r="P755" s="96"/>
      <c r="Q755" s="97"/>
      <c r="S755" s="99"/>
      <c r="T755" s="99"/>
      <c r="U755" s="99"/>
      <c r="V755" s="99"/>
      <c r="W755" s="99"/>
      <c r="X755" s="99"/>
      <c r="Y755" s="99"/>
      <c r="Z755" s="99"/>
      <c r="AA755" s="99"/>
      <c r="AB755" s="99"/>
      <c r="AC755" s="98"/>
      <c r="AD755" s="98"/>
      <c r="AE755" s="98"/>
      <c r="AF755" s="98"/>
      <c r="AG755" s="98"/>
      <c r="AH755" s="98"/>
    </row>
    <row r="756" spans="2:34" x14ac:dyDescent="0.25">
      <c r="B756" s="71"/>
      <c r="C756" s="72"/>
      <c r="D756" s="77"/>
      <c r="E756" s="78"/>
      <c r="F756" s="78"/>
      <c r="G756" s="78"/>
      <c r="H756" s="78"/>
      <c r="I756" s="79"/>
      <c r="J756" s="86"/>
      <c r="K756" s="87"/>
      <c r="L756" s="86"/>
      <c r="M756" s="87"/>
      <c r="N756" s="77"/>
      <c r="O756" s="79"/>
      <c r="P756" s="92"/>
      <c r="Q756" s="93"/>
      <c r="S756" s="99"/>
      <c r="T756" s="99"/>
      <c r="U756" s="99"/>
      <c r="V756" s="99"/>
      <c r="W756" s="99"/>
      <c r="X756" s="99"/>
      <c r="Y756" s="99"/>
      <c r="Z756" s="99"/>
      <c r="AA756" s="99"/>
      <c r="AB756" s="99"/>
      <c r="AC756" s="98"/>
      <c r="AD756" s="98"/>
      <c r="AE756" s="98"/>
      <c r="AF756" s="98"/>
      <c r="AG756" s="98"/>
      <c r="AH756" s="98"/>
    </row>
    <row r="757" spans="2:34" x14ac:dyDescent="0.25">
      <c r="B757" s="73"/>
      <c r="C757" s="74"/>
      <c r="D757" s="80"/>
      <c r="E757" s="81"/>
      <c r="F757" s="81"/>
      <c r="G757" s="81"/>
      <c r="H757" s="81"/>
      <c r="I757" s="82"/>
      <c r="J757" s="88"/>
      <c r="K757" s="89"/>
      <c r="L757" s="88"/>
      <c r="M757" s="89"/>
      <c r="N757" s="80"/>
      <c r="O757" s="82"/>
      <c r="P757" s="94"/>
      <c r="Q757" s="95"/>
      <c r="S757" s="99"/>
      <c r="T757" s="99"/>
      <c r="U757" s="99"/>
      <c r="V757" s="99"/>
      <c r="W757" s="99"/>
      <c r="X757" s="99"/>
      <c r="Y757" s="99"/>
      <c r="Z757" s="99"/>
      <c r="AA757" s="99"/>
      <c r="AB757" s="99"/>
      <c r="AC757" s="98"/>
      <c r="AD757" s="98"/>
      <c r="AE757" s="98"/>
      <c r="AF757" s="98"/>
      <c r="AG757" s="98"/>
      <c r="AH757" s="98"/>
    </row>
    <row r="758" spans="2:34" x14ac:dyDescent="0.25">
      <c r="B758" s="75"/>
      <c r="C758" s="76"/>
      <c r="D758" s="83"/>
      <c r="E758" s="84"/>
      <c r="F758" s="84"/>
      <c r="G758" s="84"/>
      <c r="H758" s="84"/>
      <c r="I758" s="85"/>
      <c r="J758" s="90"/>
      <c r="K758" s="91"/>
      <c r="L758" s="90"/>
      <c r="M758" s="91"/>
      <c r="N758" s="83"/>
      <c r="O758" s="85"/>
      <c r="P758" s="96"/>
      <c r="Q758" s="97"/>
      <c r="S758" s="99"/>
      <c r="T758" s="99"/>
      <c r="U758" s="99"/>
      <c r="V758" s="99"/>
      <c r="W758" s="99"/>
      <c r="X758" s="99"/>
      <c r="Y758" s="99"/>
      <c r="Z758" s="99"/>
      <c r="AA758" s="99"/>
      <c r="AB758" s="99"/>
      <c r="AC758" s="98"/>
      <c r="AD758" s="98"/>
      <c r="AE758" s="98"/>
      <c r="AF758" s="98"/>
      <c r="AG758" s="98"/>
      <c r="AH758" s="98"/>
    </row>
    <row r="759" spans="2:34" x14ac:dyDescent="0.25">
      <c r="B759" s="71"/>
      <c r="C759" s="72"/>
      <c r="D759" s="77"/>
      <c r="E759" s="78"/>
      <c r="F759" s="78"/>
      <c r="G759" s="78"/>
      <c r="H759" s="78"/>
      <c r="I759" s="79"/>
      <c r="J759" s="86"/>
      <c r="K759" s="87"/>
      <c r="L759" s="86"/>
      <c r="M759" s="87"/>
      <c r="N759" s="77"/>
      <c r="O759" s="79"/>
      <c r="P759" s="92"/>
      <c r="Q759" s="93"/>
      <c r="S759" s="99"/>
      <c r="T759" s="99"/>
      <c r="U759" s="99"/>
      <c r="V759" s="99"/>
      <c r="W759" s="99"/>
      <c r="X759" s="99"/>
      <c r="Y759" s="99"/>
      <c r="Z759" s="99"/>
      <c r="AA759" s="99"/>
      <c r="AB759" s="99"/>
      <c r="AC759" s="98"/>
      <c r="AD759" s="98"/>
      <c r="AE759" s="98"/>
      <c r="AF759" s="98"/>
      <c r="AG759" s="98"/>
      <c r="AH759" s="98"/>
    </row>
    <row r="760" spans="2:34" x14ac:dyDescent="0.25">
      <c r="B760" s="73"/>
      <c r="C760" s="74"/>
      <c r="D760" s="80"/>
      <c r="E760" s="81"/>
      <c r="F760" s="81"/>
      <c r="G760" s="81"/>
      <c r="H760" s="81"/>
      <c r="I760" s="82"/>
      <c r="J760" s="88"/>
      <c r="K760" s="89"/>
      <c r="L760" s="88"/>
      <c r="M760" s="89"/>
      <c r="N760" s="80"/>
      <c r="O760" s="82"/>
      <c r="P760" s="94"/>
      <c r="Q760" s="95"/>
      <c r="S760" s="99"/>
      <c r="T760" s="99"/>
      <c r="U760" s="99"/>
      <c r="V760" s="99"/>
      <c r="W760" s="99"/>
      <c r="X760" s="99"/>
      <c r="Y760" s="99"/>
      <c r="Z760" s="99"/>
      <c r="AA760" s="99"/>
      <c r="AB760" s="99"/>
      <c r="AC760" s="98"/>
      <c r="AD760" s="98"/>
      <c r="AE760" s="98"/>
      <c r="AF760" s="98"/>
      <c r="AG760" s="98"/>
      <c r="AH760" s="98"/>
    </row>
    <row r="761" spans="2:34" x14ac:dyDescent="0.25">
      <c r="B761" s="75"/>
      <c r="C761" s="76"/>
      <c r="D761" s="83"/>
      <c r="E761" s="84"/>
      <c r="F761" s="84"/>
      <c r="G761" s="84"/>
      <c r="H761" s="84"/>
      <c r="I761" s="85"/>
      <c r="J761" s="90"/>
      <c r="K761" s="91"/>
      <c r="L761" s="90"/>
      <c r="M761" s="91"/>
      <c r="N761" s="83"/>
      <c r="O761" s="85"/>
      <c r="P761" s="96"/>
      <c r="Q761" s="97"/>
      <c r="S761" s="99"/>
      <c r="T761" s="99"/>
      <c r="U761" s="99"/>
      <c r="V761" s="99"/>
      <c r="W761" s="99"/>
      <c r="X761" s="99"/>
      <c r="Y761" s="99"/>
      <c r="Z761" s="99"/>
      <c r="AA761" s="99"/>
      <c r="AB761" s="99"/>
      <c r="AC761" s="98"/>
      <c r="AD761" s="98"/>
      <c r="AE761" s="98"/>
      <c r="AF761" s="98"/>
      <c r="AG761" s="98"/>
      <c r="AH761" s="98"/>
    </row>
    <row r="762" spans="2:34" x14ac:dyDescent="0.25">
      <c r="B762" s="71"/>
      <c r="C762" s="72"/>
      <c r="D762" s="77"/>
      <c r="E762" s="78"/>
      <c r="F762" s="78"/>
      <c r="G762" s="78"/>
      <c r="H762" s="78"/>
      <c r="I762" s="79"/>
      <c r="J762" s="86"/>
      <c r="K762" s="87"/>
      <c r="L762" s="86"/>
      <c r="M762" s="87"/>
      <c r="N762" s="77"/>
      <c r="O762" s="79"/>
      <c r="P762" s="92"/>
      <c r="Q762" s="93"/>
      <c r="S762" s="99"/>
      <c r="T762" s="99"/>
      <c r="U762" s="99"/>
      <c r="V762" s="99"/>
      <c r="W762" s="99"/>
      <c r="X762" s="99"/>
      <c r="Y762" s="99"/>
      <c r="Z762" s="99"/>
      <c r="AA762" s="99"/>
      <c r="AB762" s="99"/>
      <c r="AC762" s="98"/>
      <c r="AD762" s="98"/>
      <c r="AE762" s="98"/>
      <c r="AF762" s="98"/>
      <c r="AG762" s="98"/>
      <c r="AH762" s="98"/>
    </row>
    <row r="763" spans="2:34" x14ac:dyDescent="0.25">
      <c r="B763" s="73"/>
      <c r="C763" s="74"/>
      <c r="D763" s="80"/>
      <c r="E763" s="81"/>
      <c r="F763" s="81"/>
      <c r="G763" s="81"/>
      <c r="H763" s="81"/>
      <c r="I763" s="82"/>
      <c r="J763" s="88"/>
      <c r="K763" s="89"/>
      <c r="L763" s="88"/>
      <c r="M763" s="89"/>
      <c r="N763" s="80"/>
      <c r="O763" s="82"/>
      <c r="P763" s="94"/>
      <c r="Q763" s="95"/>
      <c r="S763" s="99"/>
      <c r="T763" s="99"/>
      <c r="U763" s="99"/>
      <c r="V763" s="99"/>
      <c r="W763" s="99"/>
      <c r="X763" s="99"/>
      <c r="Y763" s="99"/>
      <c r="Z763" s="99"/>
      <c r="AA763" s="99"/>
      <c r="AB763" s="99"/>
      <c r="AC763" s="98"/>
      <c r="AD763" s="98"/>
      <c r="AE763" s="98"/>
      <c r="AF763" s="98"/>
      <c r="AG763" s="98"/>
      <c r="AH763" s="98"/>
    </row>
    <row r="764" spans="2:34" x14ac:dyDescent="0.25">
      <c r="B764" s="75"/>
      <c r="C764" s="76"/>
      <c r="D764" s="83"/>
      <c r="E764" s="84"/>
      <c r="F764" s="84"/>
      <c r="G764" s="84"/>
      <c r="H764" s="84"/>
      <c r="I764" s="85"/>
      <c r="J764" s="90"/>
      <c r="K764" s="91"/>
      <c r="L764" s="90"/>
      <c r="M764" s="91"/>
      <c r="N764" s="83"/>
      <c r="O764" s="85"/>
      <c r="P764" s="96"/>
      <c r="Q764" s="97"/>
      <c r="S764" s="99"/>
      <c r="T764" s="99"/>
      <c r="U764" s="99"/>
      <c r="V764" s="99"/>
      <c r="W764" s="99"/>
      <c r="X764" s="99"/>
      <c r="Y764" s="99"/>
      <c r="Z764" s="99"/>
      <c r="AA764" s="99"/>
      <c r="AB764" s="99"/>
      <c r="AC764" s="98"/>
      <c r="AD764" s="98"/>
      <c r="AE764" s="98"/>
      <c r="AF764" s="98"/>
      <c r="AG764" s="98"/>
      <c r="AH764" s="98"/>
    </row>
    <row r="765" spans="2:34" x14ac:dyDescent="0.25">
      <c r="B765" s="71"/>
      <c r="C765" s="72"/>
      <c r="D765" s="77"/>
      <c r="E765" s="78"/>
      <c r="F765" s="78"/>
      <c r="G765" s="78"/>
      <c r="H765" s="78"/>
      <c r="I765" s="79"/>
      <c r="J765" s="86"/>
      <c r="K765" s="87"/>
      <c r="L765" s="86"/>
      <c r="M765" s="87"/>
      <c r="N765" s="77"/>
      <c r="O765" s="79"/>
      <c r="P765" s="92"/>
      <c r="Q765" s="93"/>
      <c r="S765" s="99"/>
      <c r="T765" s="99"/>
      <c r="U765" s="99"/>
      <c r="V765" s="99"/>
      <c r="W765" s="99"/>
      <c r="X765" s="99"/>
      <c r="Y765" s="99"/>
      <c r="Z765" s="99"/>
      <c r="AA765" s="99"/>
      <c r="AB765" s="99"/>
      <c r="AC765" s="98"/>
      <c r="AD765" s="98"/>
      <c r="AE765" s="98"/>
      <c r="AF765" s="98"/>
      <c r="AG765" s="98"/>
      <c r="AH765" s="98"/>
    </row>
    <row r="766" spans="2:34" x14ac:dyDescent="0.25">
      <c r="B766" s="73"/>
      <c r="C766" s="74"/>
      <c r="D766" s="80"/>
      <c r="E766" s="81"/>
      <c r="F766" s="81"/>
      <c r="G766" s="81"/>
      <c r="H766" s="81"/>
      <c r="I766" s="82"/>
      <c r="J766" s="88"/>
      <c r="K766" s="89"/>
      <c r="L766" s="88"/>
      <c r="M766" s="89"/>
      <c r="N766" s="80"/>
      <c r="O766" s="82"/>
      <c r="P766" s="94"/>
      <c r="Q766" s="95"/>
      <c r="S766" s="99"/>
      <c r="T766" s="99"/>
      <c r="U766" s="99"/>
      <c r="V766" s="99"/>
      <c r="W766" s="99"/>
      <c r="X766" s="99"/>
      <c r="Y766" s="99"/>
      <c r="Z766" s="99"/>
      <c r="AA766" s="99"/>
      <c r="AB766" s="99"/>
      <c r="AC766" s="98"/>
      <c r="AD766" s="98"/>
      <c r="AE766" s="98"/>
      <c r="AF766" s="98"/>
      <c r="AG766" s="98"/>
      <c r="AH766" s="98"/>
    </row>
    <row r="767" spans="2:34" x14ac:dyDescent="0.25">
      <c r="B767" s="75"/>
      <c r="C767" s="76"/>
      <c r="D767" s="83"/>
      <c r="E767" s="84"/>
      <c r="F767" s="84"/>
      <c r="G767" s="84"/>
      <c r="H767" s="84"/>
      <c r="I767" s="85"/>
      <c r="J767" s="90"/>
      <c r="K767" s="91"/>
      <c r="L767" s="90"/>
      <c r="M767" s="91"/>
      <c r="N767" s="83"/>
      <c r="O767" s="85"/>
      <c r="P767" s="96"/>
      <c r="Q767" s="97"/>
      <c r="S767" s="99"/>
      <c r="T767" s="99"/>
      <c r="U767" s="99"/>
      <c r="V767" s="99"/>
      <c r="W767" s="99"/>
      <c r="X767" s="99"/>
      <c r="Y767" s="99"/>
      <c r="Z767" s="99"/>
      <c r="AA767" s="99"/>
      <c r="AB767" s="99"/>
      <c r="AC767" s="98"/>
      <c r="AD767" s="98"/>
      <c r="AE767" s="98"/>
      <c r="AF767" s="98"/>
      <c r="AG767" s="98"/>
      <c r="AH767" s="98"/>
    </row>
    <row r="768" spans="2:34" x14ac:dyDescent="0.25">
      <c r="B768" s="71"/>
      <c r="C768" s="72"/>
      <c r="D768" s="77"/>
      <c r="E768" s="78"/>
      <c r="F768" s="78"/>
      <c r="G768" s="78"/>
      <c r="H768" s="78"/>
      <c r="I768" s="79"/>
      <c r="J768" s="86"/>
      <c r="K768" s="87"/>
      <c r="L768" s="86"/>
      <c r="M768" s="87"/>
      <c r="N768" s="77"/>
      <c r="O768" s="79"/>
      <c r="P768" s="92"/>
      <c r="Q768" s="93"/>
      <c r="S768" s="99"/>
      <c r="T768" s="99"/>
      <c r="U768" s="99"/>
      <c r="V768" s="99"/>
      <c r="W768" s="99"/>
      <c r="X768" s="99"/>
      <c r="Y768" s="99"/>
      <c r="Z768" s="99"/>
      <c r="AA768" s="99"/>
      <c r="AB768" s="99"/>
      <c r="AC768" s="98"/>
      <c r="AD768" s="98"/>
      <c r="AE768" s="98"/>
      <c r="AF768" s="98"/>
      <c r="AG768" s="98"/>
      <c r="AH768" s="98"/>
    </row>
    <row r="769" spans="2:34" x14ac:dyDescent="0.25">
      <c r="B769" s="73"/>
      <c r="C769" s="74"/>
      <c r="D769" s="80"/>
      <c r="E769" s="81"/>
      <c r="F769" s="81"/>
      <c r="G769" s="81"/>
      <c r="H769" s="81"/>
      <c r="I769" s="82"/>
      <c r="J769" s="88"/>
      <c r="K769" s="89"/>
      <c r="L769" s="88"/>
      <c r="M769" s="89"/>
      <c r="N769" s="80"/>
      <c r="O769" s="82"/>
      <c r="P769" s="94"/>
      <c r="Q769" s="95"/>
      <c r="S769" s="99"/>
      <c r="T769" s="99"/>
      <c r="U769" s="99"/>
      <c r="V769" s="99"/>
      <c r="W769" s="99"/>
      <c r="X769" s="99"/>
      <c r="Y769" s="99"/>
      <c r="Z769" s="99"/>
      <c r="AA769" s="99"/>
      <c r="AB769" s="99"/>
      <c r="AC769" s="98"/>
      <c r="AD769" s="98"/>
      <c r="AE769" s="98"/>
      <c r="AF769" s="98"/>
      <c r="AG769" s="98"/>
      <c r="AH769" s="98"/>
    </row>
    <row r="770" spans="2:34" x14ac:dyDescent="0.25">
      <c r="B770" s="75"/>
      <c r="C770" s="76"/>
      <c r="D770" s="83"/>
      <c r="E770" s="84"/>
      <c r="F770" s="84"/>
      <c r="G770" s="84"/>
      <c r="H770" s="84"/>
      <c r="I770" s="85"/>
      <c r="J770" s="90"/>
      <c r="K770" s="91"/>
      <c r="L770" s="90"/>
      <c r="M770" s="91"/>
      <c r="N770" s="83"/>
      <c r="O770" s="85"/>
      <c r="P770" s="96"/>
      <c r="Q770" s="97"/>
      <c r="S770" s="99"/>
      <c r="T770" s="99"/>
      <c r="U770" s="99"/>
      <c r="V770" s="99"/>
      <c r="W770" s="99"/>
      <c r="X770" s="99"/>
      <c r="Y770" s="99"/>
      <c r="Z770" s="99"/>
      <c r="AA770" s="99"/>
      <c r="AB770" s="99"/>
      <c r="AC770" s="98"/>
      <c r="AD770" s="98"/>
      <c r="AE770" s="98"/>
      <c r="AF770" s="98"/>
      <c r="AG770" s="98"/>
      <c r="AH770" s="98"/>
    </row>
    <row r="771" spans="2:34" x14ac:dyDescent="0.25">
      <c r="B771" s="71"/>
      <c r="C771" s="72"/>
      <c r="D771" s="77"/>
      <c r="E771" s="78"/>
      <c r="F771" s="78"/>
      <c r="G771" s="78"/>
      <c r="H771" s="78"/>
      <c r="I771" s="79"/>
      <c r="J771" s="86"/>
      <c r="K771" s="87"/>
      <c r="L771" s="86"/>
      <c r="M771" s="87"/>
      <c r="N771" s="77"/>
      <c r="O771" s="79"/>
      <c r="P771" s="92"/>
      <c r="Q771" s="93"/>
      <c r="S771" s="99"/>
      <c r="T771" s="99"/>
      <c r="U771" s="99"/>
      <c r="V771" s="99"/>
      <c r="W771" s="99"/>
      <c r="X771" s="99"/>
      <c r="Y771" s="99"/>
      <c r="Z771" s="99"/>
      <c r="AA771" s="99"/>
      <c r="AB771" s="99"/>
      <c r="AC771" s="98"/>
      <c r="AD771" s="98"/>
      <c r="AE771" s="98"/>
      <c r="AF771" s="98"/>
      <c r="AG771" s="98"/>
      <c r="AH771" s="98"/>
    </row>
    <row r="772" spans="2:34" x14ac:dyDescent="0.25">
      <c r="B772" s="73"/>
      <c r="C772" s="74"/>
      <c r="D772" s="80"/>
      <c r="E772" s="81"/>
      <c r="F772" s="81"/>
      <c r="G772" s="81"/>
      <c r="H772" s="81"/>
      <c r="I772" s="82"/>
      <c r="J772" s="88"/>
      <c r="K772" s="89"/>
      <c r="L772" s="88"/>
      <c r="M772" s="89"/>
      <c r="N772" s="80"/>
      <c r="O772" s="82"/>
      <c r="P772" s="94"/>
      <c r="Q772" s="95"/>
      <c r="S772" s="99"/>
      <c r="T772" s="99"/>
      <c r="U772" s="99"/>
      <c r="V772" s="99"/>
      <c r="W772" s="99"/>
      <c r="X772" s="99"/>
      <c r="Y772" s="99"/>
      <c r="Z772" s="99"/>
      <c r="AA772" s="99"/>
      <c r="AB772" s="99"/>
      <c r="AC772" s="98"/>
      <c r="AD772" s="98"/>
      <c r="AE772" s="98"/>
      <c r="AF772" s="98"/>
      <c r="AG772" s="98"/>
      <c r="AH772" s="98"/>
    </row>
    <row r="773" spans="2:34" x14ac:dyDescent="0.25">
      <c r="B773" s="75"/>
      <c r="C773" s="76"/>
      <c r="D773" s="83"/>
      <c r="E773" s="84"/>
      <c r="F773" s="84"/>
      <c r="G773" s="84"/>
      <c r="H773" s="84"/>
      <c r="I773" s="85"/>
      <c r="J773" s="90"/>
      <c r="K773" s="91"/>
      <c r="L773" s="90"/>
      <c r="M773" s="91"/>
      <c r="N773" s="83"/>
      <c r="O773" s="85"/>
      <c r="P773" s="96"/>
      <c r="Q773" s="97"/>
      <c r="S773" s="99"/>
      <c r="T773" s="99"/>
      <c r="U773" s="99"/>
      <c r="V773" s="99"/>
      <c r="W773" s="99"/>
      <c r="X773" s="99"/>
      <c r="Y773" s="99"/>
      <c r="Z773" s="99"/>
      <c r="AA773" s="99"/>
      <c r="AB773" s="99"/>
      <c r="AC773" s="98"/>
      <c r="AD773" s="98"/>
      <c r="AE773" s="98"/>
      <c r="AF773" s="98"/>
      <c r="AG773" s="98"/>
      <c r="AH773" s="98"/>
    </row>
    <row r="774" spans="2:34" x14ac:dyDescent="0.25">
      <c r="B774" s="71"/>
      <c r="C774" s="72"/>
      <c r="D774" s="77"/>
      <c r="E774" s="78"/>
      <c r="F774" s="78"/>
      <c r="G774" s="78"/>
      <c r="H774" s="78"/>
      <c r="I774" s="79"/>
      <c r="J774" s="86"/>
      <c r="K774" s="87"/>
      <c r="L774" s="86"/>
      <c r="M774" s="87"/>
      <c r="N774" s="77"/>
      <c r="O774" s="79"/>
      <c r="P774" s="92"/>
      <c r="Q774" s="93"/>
      <c r="S774" s="99"/>
      <c r="T774" s="99"/>
      <c r="U774" s="99"/>
      <c r="V774" s="99"/>
      <c r="W774" s="99"/>
      <c r="X774" s="99"/>
      <c r="Y774" s="99"/>
      <c r="Z774" s="99"/>
      <c r="AA774" s="99"/>
      <c r="AB774" s="99"/>
      <c r="AC774" s="98"/>
      <c r="AD774" s="98"/>
      <c r="AE774" s="98"/>
      <c r="AF774" s="98"/>
      <c r="AG774" s="98"/>
      <c r="AH774" s="98"/>
    </row>
    <row r="775" spans="2:34" x14ac:dyDescent="0.25">
      <c r="B775" s="73"/>
      <c r="C775" s="74"/>
      <c r="D775" s="80"/>
      <c r="E775" s="81"/>
      <c r="F775" s="81"/>
      <c r="G775" s="81"/>
      <c r="H775" s="81"/>
      <c r="I775" s="82"/>
      <c r="J775" s="88"/>
      <c r="K775" s="89"/>
      <c r="L775" s="88"/>
      <c r="M775" s="89"/>
      <c r="N775" s="80"/>
      <c r="O775" s="82"/>
      <c r="P775" s="94"/>
      <c r="Q775" s="95"/>
      <c r="S775" s="99"/>
      <c r="T775" s="99"/>
      <c r="U775" s="99"/>
      <c r="V775" s="99"/>
      <c r="W775" s="99"/>
      <c r="X775" s="99"/>
      <c r="Y775" s="99"/>
      <c r="Z775" s="99"/>
      <c r="AA775" s="99"/>
      <c r="AB775" s="99"/>
      <c r="AC775" s="98"/>
      <c r="AD775" s="98"/>
      <c r="AE775" s="98"/>
      <c r="AF775" s="98"/>
      <c r="AG775" s="98"/>
      <c r="AH775" s="98"/>
    </row>
    <row r="776" spans="2:34" x14ac:dyDescent="0.25">
      <c r="B776" s="75"/>
      <c r="C776" s="76"/>
      <c r="D776" s="83"/>
      <c r="E776" s="84"/>
      <c r="F776" s="84"/>
      <c r="G776" s="84"/>
      <c r="H776" s="84"/>
      <c r="I776" s="85"/>
      <c r="J776" s="90"/>
      <c r="K776" s="91"/>
      <c r="L776" s="90"/>
      <c r="M776" s="91"/>
      <c r="N776" s="83"/>
      <c r="O776" s="85"/>
      <c r="P776" s="96"/>
      <c r="Q776" s="97"/>
      <c r="S776" s="99"/>
      <c r="T776" s="99"/>
      <c r="U776" s="99"/>
      <c r="V776" s="99"/>
      <c r="W776" s="99"/>
      <c r="X776" s="99"/>
      <c r="Y776" s="99"/>
      <c r="Z776" s="99"/>
      <c r="AA776" s="99"/>
      <c r="AB776" s="99"/>
      <c r="AC776" s="98"/>
      <c r="AD776" s="98"/>
      <c r="AE776" s="98"/>
      <c r="AF776" s="98"/>
      <c r="AG776" s="98"/>
      <c r="AH776" s="98"/>
    </row>
    <row r="777" spans="2:34" x14ac:dyDescent="0.25">
      <c r="B777" s="71"/>
      <c r="C777" s="72"/>
      <c r="D777" s="77"/>
      <c r="E777" s="78"/>
      <c r="F777" s="78"/>
      <c r="G777" s="78"/>
      <c r="H777" s="78"/>
      <c r="I777" s="79"/>
      <c r="J777" s="86"/>
      <c r="K777" s="87"/>
      <c r="L777" s="86"/>
      <c r="M777" s="87"/>
      <c r="N777" s="77"/>
      <c r="O777" s="79"/>
      <c r="P777" s="92"/>
      <c r="Q777" s="93"/>
      <c r="S777" s="99"/>
      <c r="T777" s="99"/>
      <c r="U777" s="99"/>
      <c r="V777" s="99"/>
      <c r="W777" s="99"/>
      <c r="X777" s="99"/>
      <c r="Y777" s="99"/>
      <c r="Z777" s="99"/>
      <c r="AA777" s="99"/>
      <c r="AB777" s="99"/>
      <c r="AC777" s="98"/>
      <c r="AD777" s="98"/>
      <c r="AE777" s="98"/>
      <c r="AF777" s="98"/>
      <c r="AG777" s="98"/>
      <c r="AH777" s="98"/>
    </row>
    <row r="778" spans="2:34" x14ac:dyDescent="0.25">
      <c r="B778" s="73"/>
      <c r="C778" s="74"/>
      <c r="D778" s="80"/>
      <c r="E778" s="81"/>
      <c r="F778" s="81"/>
      <c r="G778" s="81"/>
      <c r="H778" s="81"/>
      <c r="I778" s="82"/>
      <c r="J778" s="88"/>
      <c r="K778" s="89"/>
      <c r="L778" s="88"/>
      <c r="M778" s="89"/>
      <c r="N778" s="80"/>
      <c r="O778" s="82"/>
      <c r="P778" s="94"/>
      <c r="Q778" s="95"/>
      <c r="S778" s="99"/>
      <c r="T778" s="99"/>
      <c r="U778" s="99"/>
      <c r="V778" s="99"/>
      <c r="W778" s="99"/>
      <c r="X778" s="99"/>
      <c r="Y778" s="99"/>
      <c r="Z778" s="99"/>
      <c r="AA778" s="99"/>
      <c r="AB778" s="99"/>
      <c r="AC778" s="98"/>
      <c r="AD778" s="98"/>
      <c r="AE778" s="98"/>
      <c r="AF778" s="98"/>
      <c r="AG778" s="98"/>
      <c r="AH778" s="98"/>
    </row>
    <row r="779" spans="2:34" x14ac:dyDescent="0.25">
      <c r="B779" s="75"/>
      <c r="C779" s="76"/>
      <c r="D779" s="83"/>
      <c r="E779" s="84"/>
      <c r="F779" s="84"/>
      <c r="G779" s="84"/>
      <c r="H779" s="84"/>
      <c r="I779" s="85"/>
      <c r="J779" s="90"/>
      <c r="K779" s="91"/>
      <c r="L779" s="90"/>
      <c r="M779" s="91"/>
      <c r="N779" s="83"/>
      <c r="O779" s="85"/>
      <c r="P779" s="96"/>
      <c r="Q779" s="97"/>
      <c r="S779" s="99"/>
      <c r="T779" s="99"/>
      <c r="U779" s="99"/>
      <c r="V779" s="99"/>
      <c r="W779" s="99"/>
      <c r="X779" s="99"/>
      <c r="Y779" s="99"/>
      <c r="Z779" s="99"/>
      <c r="AA779" s="99"/>
      <c r="AB779" s="99"/>
      <c r="AC779" s="98"/>
      <c r="AD779" s="98"/>
      <c r="AE779" s="98"/>
      <c r="AF779" s="98"/>
      <c r="AG779" s="98"/>
      <c r="AH779" s="98"/>
    </row>
    <row r="780" spans="2:34" x14ac:dyDescent="0.25">
      <c r="B780" s="71"/>
      <c r="C780" s="72"/>
      <c r="D780" s="77"/>
      <c r="E780" s="78"/>
      <c r="F780" s="78"/>
      <c r="G780" s="78"/>
      <c r="H780" s="78"/>
      <c r="I780" s="79"/>
      <c r="J780" s="86"/>
      <c r="K780" s="87"/>
      <c r="L780" s="86"/>
      <c r="M780" s="87"/>
      <c r="N780" s="77"/>
      <c r="O780" s="79"/>
      <c r="P780" s="92"/>
      <c r="Q780" s="93"/>
      <c r="S780" s="99"/>
      <c r="T780" s="99"/>
      <c r="U780" s="99"/>
      <c r="V780" s="99"/>
      <c r="W780" s="99"/>
      <c r="X780" s="99"/>
      <c r="Y780" s="99"/>
      <c r="Z780" s="99"/>
      <c r="AA780" s="99"/>
      <c r="AB780" s="99"/>
      <c r="AC780" s="98"/>
      <c r="AD780" s="98"/>
      <c r="AE780" s="98"/>
      <c r="AF780" s="98"/>
      <c r="AG780" s="98"/>
      <c r="AH780" s="98"/>
    </row>
    <row r="781" spans="2:34" x14ac:dyDescent="0.25">
      <c r="B781" s="73"/>
      <c r="C781" s="74"/>
      <c r="D781" s="80"/>
      <c r="E781" s="81"/>
      <c r="F781" s="81"/>
      <c r="G781" s="81"/>
      <c r="H781" s="81"/>
      <c r="I781" s="82"/>
      <c r="J781" s="88"/>
      <c r="K781" s="89"/>
      <c r="L781" s="88"/>
      <c r="M781" s="89"/>
      <c r="N781" s="80"/>
      <c r="O781" s="82"/>
      <c r="P781" s="94"/>
      <c r="Q781" s="95"/>
      <c r="S781" s="99"/>
      <c r="T781" s="99"/>
      <c r="U781" s="99"/>
      <c r="V781" s="99"/>
      <c r="W781" s="99"/>
      <c r="X781" s="99"/>
      <c r="Y781" s="99"/>
      <c r="Z781" s="99"/>
      <c r="AA781" s="99"/>
      <c r="AB781" s="99"/>
      <c r="AC781" s="98"/>
      <c r="AD781" s="98"/>
      <c r="AE781" s="98"/>
      <c r="AF781" s="98"/>
      <c r="AG781" s="98"/>
      <c r="AH781" s="98"/>
    </row>
    <row r="782" spans="2:34" x14ac:dyDescent="0.25">
      <c r="B782" s="75"/>
      <c r="C782" s="76"/>
      <c r="D782" s="83"/>
      <c r="E782" s="84"/>
      <c r="F782" s="84"/>
      <c r="G782" s="84"/>
      <c r="H782" s="84"/>
      <c r="I782" s="85"/>
      <c r="J782" s="90"/>
      <c r="K782" s="91"/>
      <c r="L782" s="90"/>
      <c r="M782" s="91"/>
      <c r="N782" s="83"/>
      <c r="O782" s="85"/>
      <c r="P782" s="96"/>
      <c r="Q782" s="97"/>
      <c r="S782" s="99"/>
      <c r="T782" s="99"/>
      <c r="U782" s="99"/>
      <c r="V782" s="99"/>
      <c r="W782" s="99"/>
      <c r="X782" s="99"/>
      <c r="Y782" s="99"/>
      <c r="Z782" s="99"/>
      <c r="AA782" s="99"/>
      <c r="AB782" s="99"/>
      <c r="AC782" s="98"/>
      <c r="AD782" s="98"/>
      <c r="AE782" s="98"/>
      <c r="AF782" s="98"/>
      <c r="AG782" s="98"/>
      <c r="AH782" s="98"/>
    </row>
    <row r="783" spans="2:34" x14ac:dyDescent="0.25">
      <c r="B783" s="71"/>
      <c r="C783" s="72"/>
      <c r="D783" s="77"/>
      <c r="E783" s="78"/>
      <c r="F783" s="78"/>
      <c r="G783" s="78"/>
      <c r="H783" s="78"/>
      <c r="I783" s="79"/>
      <c r="J783" s="86"/>
      <c r="K783" s="87"/>
      <c r="L783" s="86"/>
      <c r="M783" s="87"/>
      <c r="N783" s="77"/>
      <c r="O783" s="79"/>
      <c r="P783" s="92"/>
      <c r="Q783" s="93"/>
      <c r="S783" s="99"/>
      <c r="T783" s="99"/>
      <c r="U783" s="99"/>
      <c r="V783" s="99"/>
      <c r="W783" s="99"/>
      <c r="X783" s="99"/>
      <c r="Y783" s="99"/>
      <c r="Z783" s="99"/>
      <c r="AA783" s="99"/>
      <c r="AB783" s="99"/>
      <c r="AC783" s="98"/>
      <c r="AD783" s="98"/>
      <c r="AE783" s="98"/>
      <c r="AF783" s="98"/>
      <c r="AG783" s="98"/>
      <c r="AH783" s="98"/>
    </row>
    <row r="784" spans="2:34" x14ac:dyDescent="0.25">
      <c r="B784" s="73"/>
      <c r="C784" s="74"/>
      <c r="D784" s="80"/>
      <c r="E784" s="81"/>
      <c r="F784" s="81"/>
      <c r="G784" s="81"/>
      <c r="H784" s="81"/>
      <c r="I784" s="82"/>
      <c r="J784" s="88"/>
      <c r="K784" s="89"/>
      <c r="L784" s="88"/>
      <c r="M784" s="89"/>
      <c r="N784" s="80"/>
      <c r="O784" s="82"/>
      <c r="P784" s="94"/>
      <c r="Q784" s="95"/>
      <c r="S784" s="99"/>
      <c r="T784" s="99"/>
      <c r="U784" s="99"/>
      <c r="V784" s="99"/>
      <c r="W784" s="99"/>
      <c r="X784" s="99"/>
      <c r="Y784" s="99"/>
      <c r="Z784" s="99"/>
      <c r="AA784" s="99"/>
      <c r="AB784" s="99"/>
      <c r="AC784" s="98"/>
      <c r="AD784" s="98"/>
      <c r="AE784" s="98"/>
      <c r="AF784" s="98"/>
      <c r="AG784" s="98"/>
      <c r="AH784" s="98"/>
    </row>
    <row r="785" spans="2:34" x14ac:dyDescent="0.25">
      <c r="B785" s="75"/>
      <c r="C785" s="76"/>
      <c r="D785" s="83"/>
      <c r="E785" s="84"/>
      <c r="F785" s="84"/>
      <c r="G785" s="84"/>
      <c r="H785" s="84"/>
      <c r="I785" s="85"/>
      <c r="J785" s="90"/>
      <c r="K785" s="91"/>
      <c r="L785" s="90"/>
      <c r="M785" s="91"/>
      <c r="N785" s="83"/>
      <c r="O785" s="85"/>
      <c r="P785" s="96"/>
      <c r="Q785" s="97"/>
      <c r="S785" s="99"/>
      <c r="T785" s="99"/>
      <c r="U785" s="99"/>
      <c r="V785" s="99"/>
      <c r="W785" s="99"/>
      <c r="X785" s="99"/>
      <c r="Y785" s="99"/>
      <c r="Z785" s="99"/>
      <c r="AA785" s="99"/>
      <c r="AB785" s="99"/>
      <c r="AC785" s="98"/>
      <c r="AD785" s="98"/>
      <c r="AE785" s="98"/>
      <c r="AF785" s="98"/>
      <c r="AG785" s="98"/>
      <c r="AH785" s="98"/>
    </row>
    <row r="786" spans="2:34" x14ac:dyDescent="0.25">
      <c r="B786" s="71"/>
      <c r="C786" s="72"/>
      <c r="D786" s="77"/>
      <c r="E786" s="78"/>
      <c r="F786" s="78"/>
      <c r="G786" s="78"/>
      <c r="H786" s="78"/>
      <c r="I786" s="79"/>
      <c r="J786" s="86"/>
      <c r="K786" s="87"/>
      <c r="L786" s="86"/>
      <c r="M786" s="87"/>
      <c r="N786" s="77"/>
      <c r="O786" s="79"/>
      <c r="P786" s="92"/>
      <c r="Q786" s="93"/>
      <c r="S786" s="99"/>
      <c r="T786" s="99"/>
      <c r="U786" s="99"/>
      <c r="V786" s="99"/>
      <c r="W786" s="99"/>
      <c r="X786" s="99"/>
      <c r="Y786" s="99"/>
      <c r="Z786" s="99"/>
      <c r="AA786" s="99"/>
      <c r="AB786" s="99"/>
      <c r="AC786" s="98"/>
      <c r="AD786" s="98"/>
      <c r="AE786" s="98"/>
      <c r="AF786" s="98"/>
      <c r="AG786" s="98"/>
      <c r="AH786" s="98"/>
    </row>
    <row r="787" spans="2:34" x14ac:dyDescent="0.25">
      <c r="B787" s="73"/>
      <c r="C787" s="74"/>
      <c r="D787" s="80"/>
      <c r="E787" s="81"/>
      <c r="F787" s="81"/>
      <c r="G787" s="81"/>
      <c r="H787" s="81"/>
      <c r="I787" s="82"/>
      <c r="J787" s="88"/>
      <c r="K787" s="89"/>
      <c r="L787" s="88"/>
      <c r="M787" s="89"/>
      <c r="N787" s="80"/>
      <c r="O787" s="82"/>
      <c r="P787" s="94"/>
      <c r="Q787" s="95"/>
      <c r="S787" s="99"/>
      <c r="T787" s="99"/>
      <c r="U787" s="99"/>
      <c r="V787" s="99"/>
      <c r="W787" s="99"/>
      <c r="X787" s="99"/>
      <c r="Y787" s="99"/>
      <c r="Z787" s="99"/>
      <c r="AA787" s="99"/>
      <c r="AB787" s="99"/>
      <c r="AC787" s="98"/>
      <c r="AD787" s="98"/>
      <c r="AE787" s="98"/>
      <c r="AF787" s="98"/>
      <c r="AG787" s="98"/>
      <c r="AH787" s="98"/>
    </row>
    <row r="788" spans="2:34" x14ac:dyDescent="0.25">
      <c r="B788" s="75"/>
      <c r="C788" s="76"/>
      <c r="D788" s="83"/>
      <c r="E788" s="84"/>
      <c r="F788" s="84"/>
      <c r="G788" s="84"/>
      <c r="H788" s="84"/>
      <c r="I788" s="85"/>
      <c r="J788" s="90"/>
      <c r="K788" s="91"/>
      <c r="L788" s="90"/>
      <c r="M788" s="91"/>
      <c r="N788" s="83"/>
      <c r="O788" s="85"/>
      <c r="P788" s="96"/>
      <c r="Q788" s="97"/>
      <c r="S788" s="99"/>
      <c r="T788" s="99"/>
      <c r="U788" s="99"/>
      <c r="V788" s="99"/>
      <c r="W788" s="99"/>
      <c r="X788" s="99"/>
      <c r="Y788" s="99"/>
      <c r="Z788" s="99"/>
      <c r="AA788" s="99"/>
      <c r="AB788" s="99"/>
      <c r="AC788" s="98"/>
      <c r="AD788" s="98"/>
      <c r="AE788" s="98"/>
      <c r="AF788" s="98"/>
      <c r="AG788" s="98"/>
      <c r="AH788" s="98"/>
    </row>
    <row r="789" spans="2:34" x14ac:dyDescent="0.25">
      <c r="B789" s="71"/>
      <c r="C789" s="72"/>
      <c r="D789" s="77"/>
      <c r="E789" s="78"/>
      <c r="F789" s="78"/>
      <c r="G789" s="78"/>
      <c r="H789" s="78"/>
      <c r="I789" s="79"/>
      <c r="J789" s="86"/>
      <c r="K789" s="87"/>
      <c r="L789" s="86"/>
      <c r="M789" s="87"/>
      <c r="N789" s="77"/>
      <c r="O789" s="79"/>
      <c r="P789" s="92"/>
      <c r="Q789" s="93"/>
      <c r="S789" s="99"/>
      <c r="T789" s="99"/>
      <c r="U789" s="99"/>
      <c r="V789" s="99"/>
      <c r="W789" s="99"/>
      <c r="X789" s="99"/>
      <c r="Y789" s="99"/>
      <c r="Z789" s="99"/>
      <c r="AA789" s="99"/>
      <c r="AB789" s="99"/>
      <c r="AC789" s="98"/>
      <c r="AD789" s="98"/>
      <c r="AE789" s="98"/>
      <c r="AF789" s="98"/>
      <c r="AG789" s="98"/>
      <c r="AH789" s="98"/>
    </row>
    <row r="790" spans="2:34" x14ac:dyDescent="0.25">
      <c r="B790" s="73"/>
      <c r="C790" s="74"/>
      <c r="D790" s="80"/>
      <c r="E790" s="81"/>
      <c r="F790" s="81"/>
      <c r="G790" s="81"/>
      <c r="H790" s="81"/>
      <c r="I790" s="82"/>
      <c r="J790" s="88"/>
      <c r="K790" s="89"/>
      <c r="L790" s="88"/>
      <c r="M790" s="89"/>
      <c r="N790" s="80"/>
      <c r="O790" s="82"/>
      <c r="P790" s="94"/>
      <c r="Q790" s="95"/>
      <c r="S790" s="99"/>
      <c r="T790" s="99"/>
      <c r="U790" s="99"/>
      <c r="V790" s="99"/>
      <c r="W790" s="99"/>
      <c r="X790" s="99"/>
      <c r="Y790" s="99"/>
      <c r="Z790" s="99"/>
      <c r="AA790" s="99"/>
      <c r="AB790" s="99"/>
      <c r="AC790" s="98"/>
      <c r="AD790" s="98"/>
      <c r="AE790" s="98"/>
      <c r="AF790" s="98"/>
      <c r="AG790" s="98"/>
      <c r="AH790" s="98"/>
    </row>
    <row r="791" spans="2:34" x14ac:dyDescent="0.25">
      <c r="B791" s="75"/>
      <c r="C791" s="76"/>
      <c r="D791" s="83"/>
      <c r="E791" s="84"/>
      <c r="F791" s="84"/>
      <c r="G791" s="84"/>
      <c r="H791" s="84"/>
      <c r="I791" s="85"/>
      <c r="J791" s="90"/>
      <c r="K791" s="91"/>
      <c r="L791" s="90"/>
      <c r="M791" s="91"/>
      <c r="N791" s="83"/>
      <c r="O791" s="85"/>
      <c r="P791" s="96"/>
      <c r="Q791" s="97"/>
      <c r="S791" s="99"/>
      <c r="T791" s="99"/>
      <c r="U791" s="99"/>
      <c r="V791" s="99"/>
      <c r="W791" s="99"/>
      <c r="X791" s="99"/>
      <c r="Y791" s="99"/>
      <c r="Z791" s="99"/>
      <c r="AA791" s="99"/>
      <c r="AB791" s="99"/>
      <c r="AC791" s="98"/>
      <c r="AD791" s="98"/>
      <c r="AE791" s="98"/>
      <c r="AF791" s="98"/>
      <c r="AG791" s="98"/>
      <c r="AH791" s="98"/>
    </row>
    <row r="792" spans="2:34" x14ac:dyDescent="0.25">
      <c r="B792" s="71"/>
      <c r="C792" s="72"/>
      <c r="D792" s="77"/>
      <c r="E792" s="78"/>
      <c r="F792" s="78"/>
      <c r="G792" s="78"/>
      <c r="H792" s="78"/>
      <c r="I792" s="79"/>
      <c r="J792" s="86"/>
      <c r="K792" s="87"/>
      <c r="L792" s="86"/>
      <c r="M792" s="87"/>
      <c r="N792" s="77"/>
      <c r="O792" s="79"/>
      <c r="P792" s="92"/>
      <c r="Q792" s="93"/>
      <c r="S792" s="99"/>
      <c r="T792" s="99"/>
      <c r="U792" s="99"/>
      <c r="V792" s="99"/>
      <c r="W792" s="99"/>
      <c r="X792" s="99"/>
      <c r="Y792" s="99"/>
      <c r="Z792" s="99"/>
      <c r="AA792" s="99"/>
      <c r="AB792" s="99"/>
      <c r="AC792" s="98"/>
      <c r="AD792" s="98"/>
      <c r="AE792" s="98"/>
      <c r="AF792" s="98"/>
      <c r="AG792" s="98"/>
      <c r="AH792" s="98"/>
    </row>
    <row r="793" spans="2:34" x14ac:dyDescent="0.25">
      <c r="B793" s="73"/>
      <c r="C793" s="74"/>
      <c r="D793" s="80"/>
      <c r="E793" s="81"/>
      <c r="F793" s="81"/>
      <c r="G793" s="81"/>
      <c r="H793" s="81"/>
      <c r="I793" s="82"/>
      <c r="J793" s="88"/>
      <c r="K793" s="89"/>
      <c r="L793" s="88"/>
      <c r="M793" s="89"/>
      <c r="N793" s="80"/>
      <c r="O793" s="82"/>
      <c r="P793" s="94"/>
      <c r="Q793" s="95"/>
      <c r="S793" s="99"/>
      <c r="T793" s="99"/>
      <c r="U793" s="99"/>
      <c r="V793" s="99"/>
      <c r="W793" s="99"/>
      <c r="X793" s="99"/>
      <c r="Y793" s="99"/>
      <c r="Z793" s="99"/>
      <c r="AA793" s="99"/>
      <c r="AB793" s="99"/>
      <c r="AC793" s="98"/>
      <c r="AD793" s="98"/>
      <c r="AE793" s="98"/>
      <c r="AF793" s="98"/>
      <c r="AG793" s="98"/>
      <c r="AH793" s="98"/>
    </row>
    <row r="794" spans="2:34" x14ac:dyDescent="0.25">
      <c r="B794" s="75"/>
      <c r="C794" s="76"/>
      <c r="D794" s="83"/>
      <c r="E794" s="84"/>
      <c r="F794" s="84"/>
      <c r="G794" s="84"/>
      <c r="H794" s="84"/>
      <c r="I794" s="85"/>
      <c r="J794" s="90"/>
      <c r="K794" s="91"/>
      <c r="L794" s="90"/>
      <c r="M794" s="91"/>
      <c r="N794" s="83"/>
      <c r="O794" s="85"/>
      <c r="P794" s="96"/>
      <c r="Q794" s="97"/>
      <c r="S794" s="99"/>
      <c r="T794" s="99"/>
      <c r="U794" s="99"/>
      <c r="V794" s="99"/>
      <c r="W794" s="99"/>
      <c r="X794" s="99"/>
      <c r="Y794" s="99"/>
      <c r="Z794" s="99"/>
      <c r="AA794" s="99"/>
      <c r="AB794" s="99"/>
      <c r="AC794" s="98"/>
      <c r="AD794" s="98"/>
      <c r="AE794" s="98"/>
      <c r="AF794" s="98"/>
      <c r="AG794" s="98"/>
      <c r="AH794" s="98"/>
    </row>
    <row r="795" spans="2:34" x14ac:dyDescent="0.25">
      <c r="B795" s="71"/>
      <c r="C795" s="72"/>
      <c r="D795" s="77"/>
      <c r="E795" s="78"/>
      <c r="F795" s="78"/>
      <c r="G795" s="78"/>
      <c r="H795" s="78"/>
      <c r="I795" s="79"/>
      <c r="J795" s="86"/>
      <c r="K795" s="87"/>
      <c r="L795" s="86"/>
      <c r="M795" s="87"/>
      <c r="N795" s="77"/>
      <c r="O795" s="79"/>
      <c r="P795" s="92"/>
      <c r="Q795" s="93"/>
      <c r="S795" s="99"/>
      <c r="T795" s="99"/>
      <c r="U795" s="99"/>
      <c r="V795" s="99"/>
      <c r="W795" s="99"/>
      <c r="X795" s="99"/>
      <c r="Y795" s="99"/>
      <c r="Z795" s="99"/>
      <c r="AA795" s="99"/>
      <c r="AB795" s="99"/>
      <c r="AC795" s="98"/>
      <c r="AD795" s="98"/>
      <c r="AE795" s="98"/>
      <c r="AF795" s="98"/>
      <c r="AG795" s="98"/>
      <c r="AH795" s="98"/>
    </row>
    <row r="796" spans="2:34" x14ac:dyDescent="0.25">
      <c r="B796" s="73"/>
      <c r="C796" s="74"/>
      <c r="D796" s="80"/>
      <c r="E796" s="81"/>
      <c r="F796" s="81"/>
      <c r="G796" s="81"/>
      <c r="H796" s="81"/>
      <c r="I796" s="82"/>
      <c r="J796" s="88"/>
      <c r="K796" s="89"/>
      <c r="L796" s="88"/>
      <c r="M796" s="89"/>
      <c r="N796" s="80"/>
      <c r="O796" s="82"/>
      <c r="P796" s="94"/>
      <c r="Q796" s="95"/>
      <c r="S796" s="99"/>
      <c r="T796" s="99"/>
      <c r="U796" s="99"/>
      <c r="V796" s="99"/>
      <c r="W796" s="99"/>
      <c r="X796" s="99"/>
      <c r="Y796" s="99"/>
      <c r="Z796" s="99"/>
      <c r="AA796" s="99"/>
      <c r="AB796" s="99"/>
      <c r="AC796" s="98"/>
      <c r="AD796" s="98"/>
      <c r="AE796" s="98"/>
      <c r="AF796" s="98"/>
      <c r="AG796" s="98"/>
      <c r="AH796" s="98"/>
    </row>
    <row r="797" spans="2:34" x14ac:dyDescent="0.25">
      <c r="B797" s="75"/>
      <c r="C797" s="76"/>
      <c r="D797" s="83"/>
      <c r="E797" s="84"/>
      <c r="F797" s="84"/>
      <c r="G797" s="84"/>
      <c r="H797" s="84"/>
      <c r="I797" s="85"/>
      <c r="J797" s="90"/>
      <c r="K797" s="91"/>
      <c r="L797" s="90"/>
      <c r="M797" s="91"/>
      <c r="N797" s="83"/>
      <c r="O797" s="85"/>
      <c r="P797" s="96"/>
      <c r="Q797" s="97"/>
      <c r="S797" s="99"/>
      <c r="T797" s="99"/>
      <c r="U797" s="99"/>
      <c r="V797" s="99"/>
      <c r="W797" s="99"/>
      <c r="X797" s="99"/>
      <c r="Y797" s="99"/>
      <c r="Z797" s="99"/>
      <c r="AA797" s="99"/>
      <c r="AB797" s="99"/>
      <c r="AC797" s="98"/>
      <c r="AD797" s="98"/>
      <c r="AE797" s="98"/>
      <c r="AF797" s="98"/>
      <c r="AG797" s="98"/>
      <c r="AH797" s="98"/>
    </row>
    <row r="798" spans="2:34" x14ac:dyDescent="0.25">
      <c r="B798" s="71"/>
      <c r="C798" s="72"/>
      <c r="D798" s="77"/>
      <c r="E798" s="78"/>
      <c r="F798" s="78"/>
      <c r="G798" s="78"/>
      <c r="H798" s="78"/>
      <c r="I798" s="79"/>
      <c r="J798" s="86"/>
      <c r="K798" s="87"/>
      <c r="L798" s="86"/>
      <c r="M798" s="87"/>
      <c r="N798" s="77"/>
      <c r="O798" s="79"/>
      <c r="P798" s="92"/>
      <c r="Q798" s="93"/>
      <c r="S798" s="99"/>
      <c r="T798" s="99"/>
      <c r="U798" s="99"/>
      <c r="V798" s="99"/>
      <c r="W798" s="99"/>
      <c r="X798" s="99"/>
      <c r="Y798" s="99"/>
      <c r="Z798" s="99"/>
      <c r="AA798" s="99"/>
      <c r="AB798" s="99"/>
      <c r="AC798" s="98"/>
      <c r="AD798" s="98"/>
      <c r="AE798" s="98"/>
      <c r="AF798" s="98"/>
      <c r="AG798" s="98"/>
      <c r="AH798" s="98"/>
    </row>
    <row r="799" spans="2:34" x14ac:dyDescent="0.25">
      <c r="B799" s="73"/>
      <c r="C799" s="74"/>
      <c r="D799" s="80"/>
      <c r="E799" s="81"/>
      <c r="F799" s="81"/>
      <c r="G799" s="81"/>
      <c r="H799" s="81"/>
      <c r="I799" s="82"/>
      <c r="J799" s="88"/>
      <c r="K799" s="89"/>
      <c r="L799" s="88"/>
      <c r="M799" s="89"/>
      <c r="N799" s="80"/>
      <c r="O799" s="82"/>
      <c r="P799" s="94"/>
      <c r="Q799" s="95"/>
      <c r="S799" s="99"/>
      <c r="T799" s="99"/>
      <c r="U799" s="99"/>
      <c r="V799" s="99"/>
      <c r="W799" s="99"/>
      <c r="X799" s="99"/>
      <c r="Y799" s="99"/>
      <c r="Z799" s="99"/>
      <c r="AA799" s="99"/>
      <c r="AB799" s="99"/>
      <c r="AC799" s="98"/>
      <c r="AD799" s="98"/>
      <c r="AE799" s="98"/>
      <c r="AF799" s="98"/>
      <c r="AG799" s="98"/>
      <c r="AH799" s="98"/>
    </row>
    <row r="800" spans="2:34" x14ac:dyDescent="0.25">
      <c r="B800" s="75"/>
      <c r="C800" s="76"/>
      <c r="D800" s="83"/>
      <c r="E800" s="84"/>
      <c r="F800" s="84"/>
      <c r="G800" s="84"/>
      <c r="H800" s="84"/>
      <c r="I800" s="85"/>
      <c r="J800" s="90"/>
      <c r="K800" s="91"/>
      <c r="L800" s="90"/>
      <c r="M800" s="91"/>
      <c r="N800" s="83"/>
      <c r="O800" s="85"/>
      <c r="P800" s="96"/>
      <c r="Q800" s="97"/>
      <c r="S800" s="99"/>
      <c r="T800" s="99"/>
      <c r="U800" s="99"/>
      <c r="V800" s="99"/>
      <c r="W800" s="99"/>
      <c r="X800" s="99"/>
      <c r="Y800" s="99"/>
      <c r="Z800" s="99"/>
      <c r="AA800" s="99"/>
      <c r="AB800" s="99"/>
      <c r="AC800" s="98"/>
      <c r="AD800" s="98"/>
      <c r="AE800" s="98"/>
      <c r="AF800" s="98"/>
      <c r="AG800" s="98"/>
      <c r="AH800" s="98"/>
    </row>
    <row r="801" spans="2:34" x14ac:dyDescent="0.25">
      <c r="B801" s="71"/>
      <c r="C801" s="72"/>
      <c r="D801" s="77"/>
      <c r="E801" s="78"/>
      <c r="F801" s="78"/>
      <c r="G801" s="78"/>
      <c r="H801" s="78"/>
      <c r="I801" s="79"/>
      <c r="J801" s="86"/>
      <c r="K801" s="87"/>
      <c r="L801" s="86"/>
      <c r="M801" s="87"/>
      <c r="N801" s="77"/>
      <c r="O801" s="79"/>
      <c r="P801" s="92"/>
      <c r="Q801" s="93"/>
      <c r="S801" s="99"/>
      <c r="T801" s="99"/>
      <c r="U801" s="99"/>
      <c r="V801" s="99"/>
      <c r="W801" s="99"/>
      <c r="X801" s="99"/>
      <c r="Y801" s="99"/>
      <c r="Z801" s="99"/>
      <c r="AA801" s="99"/>
      <c r="AB801" s="99"/>
      <c r="AC801" s="98"/>
      <c r="AD801" s="98"/>
      <c r="AE801" s="98"/>
      <c r="AF801" s="98"/>
      <c r="AG801" s="98"/>
      <c r="AH801" s="98"/>
    </row>
    <row r="802" spans="2:34" x14ac:dyDescent="0.25">
      <c r="B802" s="73"/>
      <c r="C802" s="74"/>
      <c r="D802" s="80"/>
      <c r="E802" s="81"/>
      <c r="F802" s="81"/>
      <c r="G802" s="81"/>
      <c r="H802" s="81"/>
      <c r="I802" s="82"/>
      <c r="J802" s="88"/>
      <c r="K802" s="89"/>
      <c r="L802" s="88"/>
      <c r="M802" s="89"/>
      <c r="N802" s="80"/>
      <c r="O802" s="82"/>
      <c r="P802" s="94"/>
      <c r="Q802" s="95"/>
      <c r="S802" s="99"/>
      <c r="T802" s="99"/>
      <c r="U802" s="99"/>
      <c r="V802" s="99"/>
      <c r="W802" s="99"/>
      <c r="X802" s="99"/>
      <c r="Y802" s="99"/>
      <c r="Z802" s="99"/>
      <c r="AA802" s="99"/>
      <c r="AB802" s="99"/>
      <c r="AC802" s="98"/>
      <c r="AD802" s="98"/>
      <c r="AE802" s="98"/>
      <c r="AF802" s="98"/>
      <c r="AG802" s="98"/>
      <c r="AH802" s="98"/>
    </row>
    <row r="803" spans="2:34" x14ac:dyDescent="0.25">
      <c r="B803" s="75"/>
      <c r="C803" s="76"/>
      <c r="D803" s="83"/>
      <c r="E803" s="84"/>
      <c r="F803" s="84"/>
      <c r="G803" s="84"/>
      <c r="H803" s="84"/>
      <c r="I803" s="85"/>
      <c r="J803" s="90"/>
      <c r="K803" s="91"/>
      <c r="L803" s="90"/>
      <c r="M803" s="91"/>
      <c r="N803" s="83"/>
      <c r="O803" s="85"/>
      <c r="P803" s="96"/>
      <c r="Q803" s="97"/>
      <c r="S803" s="99"/>
      <c r="T803" s="99"/>
      <c r="U803" s="99"/>
      <c r="V803" s="99"/>
      <c r="W803" s="99"/>
      <c r="X803" s="99"/>
      <c r="Y803" s="99"/>
      <c r="Z803" s="99"/>
      <c r="AA803" s="99"/>
      <c r="AB803" s="99"/>
      <c r="AC803" s="98"/>
      <c r="AD803" s="98"/>
      <c r="AE803" s="98"/>
      <c r="AF803" s="98"/>
      <c r="AG803" s="98"/>
      <c r="AH803" s="98"/>
    </row>
    <row r="804" spans="2:34" x14ac:dyDescent="0.25">
      <c r="B804" s="71"/>
      <c r="C804" s="72"/>
      <c r="D804" s="77"/>
      <c r="E804" s="78"/>
      <c r="F804" s="78"/>
      <c r="G804" s="78"/>
      <c r="H804" s="78"/>
      <c r="I804" s="79"/>
      <c r="J804" s="86"/>
      <c r="K804" s="87"/>
      <c r="L804" s="86"/>
      <c r="M804" s="87"/>
      <c r="N804" s="77"/>
      <c r="O804" s="79"/>
      <c r="P804" s="92"/>
      <c r="Q804" s="93"/>
      <c r="S804" s="99"/>
      <c r="T804" s="99"/>
      <c r="U804" s="99"/>
      <c r="V804" s="99"/>
      <c r="W804" s="99"/>
      <c r="X804" s="99"/>
      <c r="Y804" s="99"/>
      <c r="Z804" s="99"/>
      <c r="AA804" s="99"/>
      <c r="AB804" s="99"/>
      <c r="AC804" s="98"/>
      <c r="AD804" s="98"/>
      <c r="AE804" s="98"/>
      <c r="AF804" s="98"/>
      <c r="AG804" s="98"/>
      <c r="AH804" s="98"/>
    </row>
    <row r="805" spans="2:34" x14ac:dyDescent="0.25">
      <c r="B805" s="73"/>
      <c r="C805" s="74"/>
      <c r="D805" s="80"/>
      <c r="E805" s="81"/>
      <c r="F805" s="81"/>
      <c r="G805" s="81"/>
      <c r="H805" s="81"/>
      <c r="I805" s="82"/>
      <c r="J805" s="88"/>
      <c r="K805" s="89"/>
      <c r="L805" s="88"/>
      <c r="M805" s="89"/>
      <c r="N805" s="80"/>
      <c r="O805" s="82"/>
      <c r="P805" s="94"/>
      <c r="Q805" s="95"/>
      <c r="S805" s="99"/>
      <c r="T805" s="99"/>
      <c r="U805" s="99"/>
      <c r="V805" s="99"/>
      <c r="W805" s="99"/>
      <c r="X805" s="99"/>
      <c r="Y805" s="99"/>
      <c r="Z805" s="99"/>
      <c r="AA805" s="99"/>
      <c r="AB805" s="99"/>
      <c r="AC805" s="98"/>
      <c r="AD805" s="98"/>
      <c r="AE805" s="98"/>
      <c r="AF805" s="98"/>
      <c r="AG805" s="98"/>
      <c r="AH805" s="98"/>
    </row>
    <row r="806" spans="2:34" x14ac:dyDescent="0.25">
      <c r="B806" s="75"/>
      <c r="C806" s="76"/>
      <c r="D806" s="83"/>
      <c r="E806" s="84"/>
      <c r="F806" s="84"/>
      <c r="G806" s="84"/>
      <c r="H806" s="84"/>
      <c r="I806" s="85"/>
      <c r="J806" s="90"/>
      <c r="K806" s="91"/>
      <c r="L806" s="90"/>
      <c r="M806" s="91"/>
      <c r="N806" s="83"/>
      <c r="O806" s="85"/>
      <c r="P806" s="96"/>
      <c r="Q806" s="97"/>
      <c r="S806" s="99"/>
      <c r="T806" s="99"/>
      <c r="U806" s="99"/>
      <c r="V806" s="99"/>
      <c r="W806" s="99"/>
      <c r="X806" s="99"/>
      <c r="Y806" s="99"/>
      <c r="Z806" s="99"/>
      <c r="AA806" s="99"/>
      <c r="AB806" s="99"/>
      <c r="AC806" s="98"/>
      <c r="AD806" s="98"/>
      <c r="AE806" s="98"/>
      <c r="AF806" s="98"/>
      <c r="AG806" s="98"/>
      <c r="AH806" s="98"/>
    </row>
    <row r="807" spans="2:34" x14ac:dyDescent="0.25">
      <c r="B807" s="71"/>
      <c r="C807" s="72"/>
      <c r="D807" s="77"/>
      <c r="E807" s="78"/>
      <c r="F807" s="78"/>
      <c r="G807" s="78"/>
      <c r="H807" s="78"/>
      <c r="I807" s="79"/>
      <c r="J807" s="86"/>
      <c r="K807" s="87"/>
      <c r="L807" s="86"/>
      <c r="M807" s="87"/>
      <c r="N807" s="77"/>
      <c r="O807" s="79"/>
      <c r="P807" s="92"/>
      <c r="Q807" s="93"/>
      <c r="S807" s="99"/>
      <c r="T807" s="99"/>
      <c r="U807" s="99"/>
      <c r="V807" s="99"/>
      <c r="W807" s="99"/>
      <c r="X807" s="99"/>
      <c r="Y807" s="99"/>
      <c r="Z807" s="99"/>
      <c r="AA807" s="99"/>
      <c r="AB807" s="99"/>
      <c r="AC807" s="98"/>
      <c r="AD807" s="98"/>
      <c r="AE807" s="98"/>
      <c r="AF807" s="98"/>
      <c r="AG807" s="98"/>
      <c r="AH807" s="98"/>
    </row>
    <row r="808" spans="2:34" x14ac:dyDescent="0.25">
      <c r="B808" s="73"/>
      <c r="C808" s="74"/>
      <c r="D808" s="80"/>
      <c r="E808" s="81"/>
      <c r="F808" s="81"/>
      <c r="G808" s="81"/>
      <c r="H808" s="81"/>
      <c r="I808" s="82"/>
      <c r="J808" s="88"/>
      <c r="K808" s="89"/>
      <c r="L808" s="88"/>
      <c r="M808" s="89"/>
      <c r="N808" s="80"/>
      <c r="O808" s="82"/>
      <c r="P808" s="94"/>
      <c r="Q808" s="95"/>
      <c r="S808" s="99"/>
      <c r="T808" s="99"/>
      <c r="U808" s="99"/>
      <c r="V808" s="99"/>
      <c r="W808" s="99"/>
      <c r="X808" s="99"/>
      <c r="Y808" s="99"/>
      <c r="Z808" s="99"/>
      <c r="AA808" s="99"/>
      <c r="AB808" s="99"/>
      <c r="AC808" s="98"/>
      <c r="AD808" s="98"/>
      <c r="AE808" s="98"/>
      <c r="AF808" s="98"/>
      <c r="AG808" s="98"/>
      <c r="AH808" s="98"/>
    </row>
    <row r="809" spans="2:34" x14ac:dyDescent="0.25">
      <c r="B809" s="75"/>
      <c r="C809" s="76"/>
      <c r="D809" s="83"/>
      <c r="E809" s="84"/>
      <c r="F809" s="84"/>
      <c r="G809" s="84"/>
      <c r="H809" s="84"/>
      <c r="I809" s="85"/>
      <c r="J809" s="90"/>
      <c r="K809" s="91"/>
      <c r="L809" s="90"/>
      <c r="M809" s="91"/>
      <c r="N809" s="83"/>
      <c r="O809" s="85"/>
      <c r="P809" s="96"/>
      <c r="Q809" s="97"/>
      <c r="S809" s="99"/>
      <c r="T809" s="99"/>
      <c r="U809" s="99"/>
      <c r="V809" s="99"/>
      <c r="W809" s="99"/>
      <c r="X809" s="99"/>
      <c r="Y809" s="99"/>
      <c r="Z809" s="99"/>
      <c r="AA809" s="99"/>
      <c r="AB809" s="99"/>
      <c r="AC809" s="98"/>
      <c r="AD809" s="98"/>
      <c r="AE809" s="98"/>
      <c r="AF809" s="98"/>
      <c r="AG809" s="98"/>
      <c r="AH809" s="98"/>
    </row>
    <row r="810" spans="2:34" x14ac:dyDescent="0.25">
      <c r="B810" s="71"/>
      <c r="C810" s="72"/>
      <c r="D810" s="77"/>
      <c r="E810" s="78"/>
      <c r="F810" s="78"/>
      <c r="G810" s="78"/>
      <c r="H810" s="78"/>
      <c r="I810" s="79"/>
      <c r="J810" s="86"/>
      <c r="K810" s="87"/>
      <c r="L810" s="86"/>
      <c r="M810" s="87"/>
      <c r="N810" s="77"/>
      <c r="O810" s="79"/>
      <c r="P810" s="92"/>
      <c r="Q810" s="93"/>
      <c r="S810" s="99"/>
      <c r="T810" s="99"/>
      <c r="U810" s="99"/>
      <c r="V810" s="99"/>
      <c r="W810" s="99"/>
      <c r="X810" s="99"/>
      <c r="Y810" s="99"/>
      <c r="Z810" s="99"/>
      <c r="AA810" s="99"/>
      <c r="AB810" s="99"/>
      <c r="AC810" s="98"/>
      <c r="AD810" s="98"/>
      <c r="AE810" s="98"/>
      <c r="AF810" s="98"/>
      <c r="AG810" s="98"/>
      <c r="AH810" s="98"/>
    </row>
    <row r="811" spans="2:34" x14ac:dyDescent="0.25">
      <c r="B811" s="73"/>
      <c r="C811" s="74"/>
      <c r="D811" s="80"/>
      <c r="E811" s="81"/>
      <c r="F811" s="81"/>
      <c r="G811" s="81"/>
      <c r="H811" s="81"/>
      <c r="I811" s="82"/>
      <c r="J811" s="88"/>
      <c r="K811" s="89"/>
      <c r="L811" s="88"/>
      <c r="M811" s="89"/>
      <c r="N811" s="80"/>
      <c r="O811" s="82"/>
      <c r="P811" s="94"/>
      <c r="Q811" s="95"/>
      <c r="S811" s="99"/>
      <c r="T811" s="99"/>
      <c r="U811" s="99"/>
      <c r="V811" s="99"/>
      <c r="W811" s="99"/>
      <c r="X811" s="99"/>
      <c r="Y811" s="99"/>
      <c r="Z811" s="99"/>
      <c r="AA811" s="99"/>
      <c r="AB811" s="99"/>
      <c r="AC811" s="98"/>
      <c r="AD811" s="98"/>
      <c r="AE811" s="98"/>
      <c r="AF811" s="98"/>
      <c r="AG811" s="98"/>
      <c r="AH811" s="98"/>
    </row>
    <row r="812" spans="2:34" x14ac:dyDescent="0.25">
      <c r="B812" s="75"/>
      <c r="C812" s="76"/>
      <c r="D812" s="83"/>
      <c r="E812" s="84"/>
      <c r="F812" s="84"/>
      <c r="G812" s="84"/>
      <c r="H812" s="84"/>
      <c r="I812" s="85"/>
      <c r="J812" s="90"/>
      <c r="K812" s="91"/>
      <c r="L812" s="90"/>
      <c r="M812" s="91"/>
      <c r="N812" s="83"/>
      <c r="O812" s="85"/>
      <c r="P812" s="96"/>
      <c r="Q812" s="97"/>
      <c r="S812" s="99"/>
      <c r="T812" s="99"/>
      <c r="U812" s="99"/>
      <c r="V812" s="99"/>
      <c r="W812" s="99"/>
      <c r="X812" s="99"/>
      <c r="Y812" s="99"/>
      <c r="Z812" s="99"/>
      <c r="AA812" s="99"/>
      <c r="AB812" s="99"/>
      <c r="AC812" s="98"/>
      <c r="AD812" s="98"/>
      <c r="AE812" s="98"/>
      <c r="AF812" s="98"/>
      <c r="AG812" s="98"/>
      <c r="AH812" s="98"/>
    </row>
    <row r="813" spans="2:34" x14ac:dyDescent="0.25">
      <c r="B813" s="71"/>
      <c r="C813" s="72"/>
      <c r="D813" s="77"/>
      <c r="E813" s="78"/>
      <c r="F813" s="78"/>
      <c r="G813" s="78"/>
      <c r="H813" s="78"/>
      <c r="I813" s="79"/>
      <c r="J813" s="86"/>
      <c r="K813" s="87"/>
      <c r="L813" s="86"/>
      <c r="M813" s="87"/>
      <c r="N813" s="77"/>
      <c r="O813" s="79"/>
      <c r="P813" s="92"/>
      <c r="Q813" s="93"/>
      <c r="S813" s="99"/>
      <c r="T813" s="99"/>
      <c r="U813" s="99"/>
      <c r="V813" s="99"/>
      <c r="W813" s="99"/>
      <c r="X813" s="99"/>
      <c r="Y813" s="99"/>
      <c r="Z813" s="99"/>
      <c r="AA813" s="99"/>
      <c r="AB813" s="99"/>
      <c r="AC813" s="98"/>
      <c r="AD813" s="98"/>
      <c r="AE813" s="98"/>
      <c r="AF813" s="98"/>
      <c r="AG813" s="98"/>
      <c r="AH813" s="98"/>
    </row>
    <row r="814" spans="2:34" x14ac:dyDescent="0.25">
      <c r="B814" s="73"/>
      <c r="C814" s="74"/>
      <c r="D814" s="80"/>
      <c r="E814" s="81"/>
      <c r="F814" s="81"/>
      <c r="G814" s="81"/>
      <c r="H814" s="81"/>
      <c r="I814" s="82"/>
      <c r="J814" s="88"/>
      <c r="K814" s="89"/>
      <c r="L814" s="88"/>
      <c r="M814" s="89"/>
      <c r="N814" s="80"/>
      <c r="O814" s="82"/>
      <c r="P814" s="94"/>
      <c r="Q814" s="95"/>
      <c r="S814" s="99"/>
      <c r="T814" s="99"/>
      <c r="U814" s="99"/>
      <c r="V814" s="99"/>
      <c r="W814" s="99"/>
      <c r="X814" s="99"/>
      <c r="Y814" s="99"/>
      <c r="Z814" s="99"/>
      <c r="AA814" s="99"/>
      <c r="AB814" s="99"/>
      <c r="AC814" s="98"/>
      <c r="AD814" s="98"/>
      <c r="AE814" s="98"/>
      <c r="AF814" s="98"/>
      <c r="AG814" s="98"/>
      <c r="AH814" s="98"/>
    </row>
    <row r="815" spans="2:34" x14ac:dyDescent="0.25">
      <c r="B815" s="75"/>
      <c r="C815" s="76"/>
      <c r="D815" s="83"/>
      <c r="E815" s="84"/>
      <c r="F815" s="84"/>
      <c r="G815" s="84"/>
      <c r="H815" s="84"/>
      <c r="I815" s="85"/>
      <c r="J815" s="90"/>
      <c r="K815" s="91"/>
      <c r="L815" s="90"/>
      <c r="M815" s="91"/>
      <c r="N815" s="83"/>
      <c r="O815" s="85"/>
      <c r="P815" s="96"/>
      <c r="Q815" s="97"/>
      <c r="S815" s="99"/>
      <c r="T815" s="99"/>
      <c r="U815" s="99"/>
      <c r="V815" s="99"/>
      <c r="W815" s="99"/>
      <c r="X815" s="99"/>
      <c r="Y815" s="99"/>
      <c r="Z815" s="99"/>
      <c r="AA815" s="99"/>
      <c r="AB815" s="99"/>
      <c r="AC815" s="98"/>
      <c r="AD815" s="98"/>
      <c r="AE815" s="98"/>
      <c r="AF815" s="98"/>
      <c r="AG815" s="98"/>
      <c r="AH815" s="98"/>
    </row>
    <row r="816" spans="2:34" x14ac:dyDescent="0.25">
      <c r="B816" s="71"/>
      <c r="C816" s="72"/>
      <c r="D816" s="77"/>
      <c r="E816" s="78"/>
      <c r="F816" s="78"/>
      <c r="G816" s="78"/>
      <c r="H816" s="78"/>
      <c r="I816" s="79"/>
      <c r="J816" s="86"/>
      <c r="K816" s="87"/>
      <c r="L816" s="86"/>
      <c r="M816" s="87"/>
      <c r="N816" s="77"/>
      <c r="O816" s="79"/>
      <c r="P816" s="92"/>
      <c r="Q816" s="93"/>
      <c r="S816" s="99"/>
      <c r="T816" s="99"/>
      <c r="U816" s="99"/>
      <c r="V816" s="99"/>
      <c r="W816" s="99"/>
      <c r="X816" s="99"/>
      <c r="Y816" s="99"/>
      <c r="Z816" s="99"/>
      <c r="AA816" s="99"/>
      <c r="AB816" s="99"/>
      <c r="AC816" s="98"/>
      <c r="AD816" s="98"/>
      <c r="AE816" s="98"/>
      <c r="AF816" s="98"/>
      <c r="AG816" s="98"/>
      <c r="AH816" s="98"/>
    </row>
    <row r="817" spans="2:34" x14ac:dyDescent="0.25">
      <c r="B817" s="73"/>
      <c r="C817" s="74"/>
      <c r="D817" s="80"/>
      <c r="E817" s="81"/>
      <c r="F817" s="81"/>
      <c r="G817" s="81"/>
      <c r="H817" s="81"/>
      <c r="I817" s="82"/>
      <c r="J817" s="88"/>
      <c r="K817" s="89"/>
      <c r="L817" s="88"/>
      <c r="M817" s="89"/>
      <c r="N817" s="80"/>
      <c r="O817" s="82"/>
      <c r="P817" s="94"/>
      <c r="Q817" s="95"/>
      <c r="S817" s="99"/>
      <c r="T817" s="99"/>
      <c r="U817" s="99"/>
      <c r="V817" s="99"/>
      <c r="W817" s="99"/>
      <c r="X817" s="99"/>
      <c r="Y817" s="99"/>
      <c r="Z817" s="99"/>
      <c r="AA817" s="99"/>
      <c r="AB817" s="99"/>
      <c r="AC817" s="98"/>
      <c r="AD817" s="98"/>
      <c r="AE817" s="98"/>
      <c r="AF817" s="98"/>
      <c r="AG817" s="98"/>
      <c r="AH817" s="98"/>
    </row>
    <row r="818" spans="2:34" x14ac:dyDescent="0.25">
      <c r="B818" s="75"/>
      <c r="C818" s="76"/>
      <c r="D818" s="83"/>
      <c r="E818" s="84"/>
      <c r="F818" s="84"/>
      <c r="G818" s="84"/>
      <c r="H818" s="84"/>
      <c r="I818" s="85"/>
      <c r="J818" s="90"/>
      <c r="K818" s="91"/>
      <c r="L818" s="90"/>
      <c r="M818" s="91"/>
      <c r="N818" s="83"/>
      <c r="O818" s="85"/>
      <c r="P818" s="96"/>
      <c r="Q818" s="97"/>
      <c r="S818" s="99"/>
      <c r="T818" s="99"/>
      <c r="U818" s="99"/>
      <c r="V818" s="99"/>
      <c r="W818" s="99"/>
      <c r="X818" s="99"/>
      <c r="Y818" s="99"/>
      <c r="Z818" s="99"/>
      <c r="AA818" s="99"/>
      <c r="AB818" s="99"/>
      <c r="AC818" s="98"/>
      <c r="AD818" s="98"/>
      <c r="AE818" s="98"/>
      <c r="AF818" s="98"/>
      <c r="AG818" s="98"/>
      <c r="AH818" s="98"/>
    </row>
    <row r="819" spans="2:34" x14ac:dyDescent="0.25">
      <c r="B819" s="71"/>
      <c r="C819" s="72"/>
      <c r="D819" s="77"/>
      <c r="E819" s="78"/>
      <c r="F819" s="78"/>
      <c r="G819" s="78"/>
      <c r="H819" s="78"/>
      <c r="I819" s="79"/>
      <c r="J819" s="86"/>
      <c r="K819" s="87"/>
      <c r="L819" s="86"/>
      <c r="M819" s="87"/>
      <c r="N819" s="77"/>
      <c r="O819" s="79"/>
      <c r="P819" s="92"/>
      <c r="Q819" s="93"/>
      <c r="S819" s="99"/>
      <c r="T819" s="99"/>
      <c r="U819" s="99"/>
      <c r="V819" s="99"/>
      <c r="W819" s="99"/>
      <c r="X819" s="99"/>
      <c r="Y819" s="99"/>
      <c r="Z819" s="99"/>
      <c r="AA819" s="99"/>
      <c r="AB819" s="99"/>
      <c r="AC819" s="98"/>
      <c r="AD819" s="98"/>
      <c r="AE819" s="98"/>
      <c r="AF819" s="98"/>
      <c r="AG819" s="98"/>
      <c r="AH819" s="98"/>
    </row>
    <row r="820" spans="2:34" x14ac:dyDescent="0.25">
      <c r="B820" s="73"/>
      <c r="C820" s="74"/>
      <c r="D820" s="80"/>
      <c r="E820" s="81"/>
      <c r="F820" s="81"/>
      <c r="G820" s="81"/>
      <c r="H820" s="81"/>
      <c r="I820" s="82"/>
      <c r="J820" s="88"/>
      <c r="K820" s="89"/>
      <c r="L820" s="88"/>
      <c r="M820" s="89"/>
      <c r="N820" s="80"/>
      <c r="O820" s="82"/>
      <c r="P820" s="94"/>
      <c r="Q820" s="95"/>
      <c r="S820" s="99"/>
      <c r="T820" s="99"/>
      <c r="U820" s="99"/>
      <c r="V820" s="99"/>
      <c r="W820" s="99"/>
      <c r="X820" s="99"/>
      <c r="Y820" s="99"/>
      <c r="Z820" s="99"/>
      <c r="AA820" s="99"/>
      <c r="AB820" s="99"/>
      <c r="AC820" s="98"/>
      <c r="AD820" s="98"/>
      <c r="AE820" s="98"/>
      <c r="AF820" s="98"/>
      <c r="AG820" s="98"/>
      <c r="AH820" s="98"/>
    </row>
    <row r="821" spans="2:34" x14ac:dyDescent="0.25">
      <c r="B821" s="75"/>
      <c r="C821" s="76"/>
      <c r="D821" s="83"/>
      <c r="E821" s="84"/>
      <c r="F821" s="84"/>
      <c r="G821" s="84"/>
      <c r="H821" s="84"/>
      <c r="I821" s="85"/>
      <c r="J821" s="90"/>
      <c r="K821" s="91"/>
      <c r="L821" s="90"/>
      <c r="M821" s="91"/>
      <c r="N821" s="83"/>
      <c r="O821" s="85"/>
      <c r="P821" s="96"/>
      <c r="Q821" s="97"/>
      <c r="S821" s="99"/>
      <c r="T821" s="99"/>
      <c r="U821" s="99"/>
      <c r="V821" s="99"/>
      <c r="W821" s="99"/>
      <c r="X821" s="99"/>
      <c r="Y821" s="99"/>
      <c r="Z821" s="99"/>
      <c r="AA821" s="99"/>
      <c r="AB821" s="99"/>
      <c r="AC821" s="98"/>
      <c r="AD821" s="98"/>
      <c r="AE821" s="98"/>
      <c r="AF821" s="98"/>
      <c r="AG821" s="98"/>
      <c r="AH821" s="98"/>
    </row>
    <row r="822" spans="2:34" x14ac:dyDescent="0.25">
      <c r="B822" s="71"/>
      <c r="C822" s="72"/>
      <c r="D822" s="77"/>
      <c r="E822" s="78"/>
      <c r="F822" s="78"/>
      <c r="G822" s="78"/>
      <c r="H822" s="78"/>
      <c r="I822" s="79"/>
      <c r="J822" s="86"/>
      <c r="K822" s="87"/>
      <c r="L822" s="86"/>
      <c r="M822" s="87"/>
      <c r="N822" s="77"/>
      <c r="O822" s="79"/>
      <c r="P822" s="92"/>
      <c r="Q822" s="93"/>
      <c r="S822" s="99"/>
      <c r="T822" s="99"/>
      <c r="U822" s="99"/>
      <c r="V822" s="99"/>
      <c r="W822" s="99"/>
      <c r="X822" s="99"/>
      <c r="Y822" s="99"/>
      <c r="Z822" s="99"/>
      <c r="AA822" s="99"/>
      <c r="AB822" s="99"/>
      <c r="AC822" s="98"/>
      <c r="AD822" s="98"/>
      <c r="AE822" s="98"/>
      <c r="AF822" s="98"/>
      <c r="AG822" s="98"/>
      <c r="AH822" s="98"/>
    </row>
    <row r="823" spans="2:34" x14ac:dyDescent="0.25">
      <c r="B823" s="73"/>
      <c r="C823" s="74"/>
      <c r="D823" s="80"/>
      <c r="E823" s="81"/>
      <c r="F823" s="81"/>
      <c r="G823" s="81"/>
      <c r="H823" s="81"/>
      <c r="I823" s="82"/>
      <c r="J823" s="88"/>
      <c r="K823" s="89"/>
      <c r="L823" s="88"/>
      <c r="M823" s="89"/>
      <c r="N823" s="80"/>
      <c r="O823" s="82"/>
      <c r="P823" s="94"/>
      <c r="Q823" s="95"/>
      <c r="S823" s="99"/>
      <c r="T823" s="99"/>
      <c r="U823" s="99"/>
      <c r="V823" s="99"/>
      <c r="W823" s="99"/>
      <c r="X823" s="99"/>
      <c r="Y823" s="99"/>
      <c r="Z823" s="99"/>
      <c r="AA823" s="99"/>
      <c r="AB823" s="99"/>
      <c r="AC823" s="98"/>
      <c r="AD823" s="98"/>
      <c r="AE823" s="98"/>
      <c r="AF823" s="98"/>
      <c r="AG823" s="98"/>
      <c r="AH823" s="98"/>
    </row>
    <row r="824" spans="2:34" x14ac:dyDescent="0.25">
      <c r="B824" s="75"/>
      <c r="C824" s="76"/>
      <c r="D824" s="83"/>
      <c r="E824" s="84"/>
      <c r="F824" s="84"/>
      <c r="G824" s="84"/>
      <c r="H824" s="84"/>
      <c r="I824" s="85"/>
      <c r="J824" s="90"/>
      <c r="K824" s="91"/>
      <c r="L824" s="90"/>
      <c r="M824" s="91"/>
      <c r="N824" s="83"/>
      <c r="O824" s="85"/>
      <c r="P824" s="96"/>
      <c r="Q824" s="97"/>
      <c r="S824" s="99"/>
      <c r="T824" s="99"/>
      <c r="U824" s="99"/>
      <c r="V824" s="99"/>
      <c r="W824" s="99"/>
      <c r="X824" s="99"/>
      <c r="Y824" s="99"/>
      <c r="Z824" s="99"/>
      <c r="AA824" s="99"/>
      <c r="AB824" s="99"/>
      <c r="AC824" s="98"/>
      <c r="AD824" s="98"/>
      <c r="AE824" s="98"/>
      <c r="AF824" s="98"/>
      <c r="AG824" s="98"/>
      <c r="AH824" s="98"/>
    </row>
    <row r="825" spans="2:34" x14ac:dyDescent="0.25">
      <c r="B825" s="71"/>
      <c r="C825" s="72"/>
      <c r="D825" s="77"/>
      <c r="E825" s="78"/>
      <c r="F825" s="78"/>
      <c r="G825" s="78"/>
      <c r="H825" s="78"/>
      <c r="I825" s="79"/>
      <c r="J825" s="86"/>
      <c r="K825" s="87"/>
      <c r="L825" s="86"/>
      <c r="M825" s="87"/>
      <c r="N825" s="77"/>
      <c r="O825" s="79"/>
      <c r="P825" s="92"/>
      <c r="Q825" s="93"/>
      <c r="S825" s="99"/>
      <c r="T825" s="99"/>
      <c r="U825" s="99"/>
      <c r="V825" s="99"/>
      <c r="W825" s="99"/>
      <c r="X825" s="99"/>
      <c r="Y825" s="99"/>
      <c r="Z825" s="99"/>
      <c r="AA825" s="99"/>
      <c r="AB825" s="99"/>
      <c r="AC825" s="98"/>
      <c r="AD825" s="98"/>
      <c r="AE825" s="98"/>
      <c r="AF825" s="98"/>
      <c r="AG825" s="98"/>
      <c r="AH825" s="98"/>
    </row>
    <row r="826" spans="2:34" x14ac:dyDescent="0.25">
      <c r="B826" s="73"/>
      <c r="C826" s="74"/>
      <c r="D826" s="80"/>
      <c r="E826" s="81"/>
      <c r="F826" s="81"/>
      <c r="G826" s="81"/>
      <c r="H826" s="81"/>
      <c r="I826" s="82"/>
      <c r="J826" s="88"/>
      <c r="K826" s="89"/>
      <c r="L826" s="88"/>
      <c r="M826" s="89"/>
      <c r="N826" s="80"/>
      <c r="O826" s="82"/>
      <c r="P826" s="94"/>
      <c r="Q826" s="95"/>
      <c r="S826" s="99"/>
      <c r="T826" s="99"/>
      <c r="U826" s="99"/>
      <c r="V826" s="99"/>
      <c r="W826" s="99"/>
      <c r="X826" s="99"/>
      <c r="Y826" s="99"/>
      <c r="Z826" s="99"/>
      <c r="AA826" s="99"/>
      <c r="AB826" s="99"/>
      <c r="AC826" s="98"/>
      <c r="AD826" s="98"/>
      <c r="AE826" s="98"/>
      <c r="AF826" s="98"/>
      <c r="AG826" s="98"/>
      <c r="AH826" s="98"/>
    </row>
    <row r="827" spans="2:34" x14ac:dyDescent="0.25">
      <c r="B827" s="75"/>
      <c r="C827" s="76"/>
      <c r="D827" s="83"/>
      <c r="E827" s="84"/>
      <c r="F827" s="84"/>
      <c r="G827" s="84"/>
      <c r="H827" s="84"/>
      <c r="I827" s="85"/>
      <c r="J827" s="90"/>
      <c r="K827" s="91"/>
      <c r="L827" s="90"/>
      <c r="M827" s="91"/>
      <c r="N827" s="83"/>
      <c r="O827" s="85"/>
      <c r="P827" s="96"/>
      <c r="Q827" s="97"/>
      <c r="S827" s="99"/>
      <c r="T827" s="99"/>
      <c r="U827" s="99"/>
      <c r="V827" s="99"/>
      <c r="W827" s="99"/>
      <c r="X827" s="99"/>
      <c r="Y827" s="99"/>
      <c r="Z827" s="99"/>
      <c r="AA827" s="99"/>
      <c r="AB827" s="99"/>
      <c r="AC827" s="98"/>
      <c r="AD827" s="98"/>
      <c r="AE827" s="98"/>
      <c r="AF827" s="98"/>
      <c r="AG827" s="98"/>
      <c r="AH827" s="98"/>
    </row>
    <row r="828" spans="2:34" x14ac:dyDescent="0.25">
      <c r="B828" s="71"/>
      <c r="C828" s="72"/>
      <c r="D828" s="77"/>
      <c r="E828" s="78"/>
      <c r="F828" s="78"/>
      <c r="G828" s="78"/>
      <c r="H828" s="78"/>
      <c r="I828" s="79"/>
      <c r="J828" s="86"/>
      <c r="K828" s="87"/>
      <c r="L828" s="86"/>
      <c r="M828" s="87"/>
      <c r="N828" s="77"/>
      <c r="O828" s="79"/>
      <c r="P828" s="92"/>
      <c r="Q828" s="93"/>
      <c r="S828" s="99"/>
      <c r="T828" s="99"/>
      <c r="U828" s="99"/>
      <c r="V828" s="99"/>
      <c r="W828" s="99"/>
      <c r="X828" s="99"/>
      <c r="Y828" s="99"/>
      <c r="Z828" s="99"/>
      <c r="AA828" s="99"/>
      <c r="AB828" s="99"/>
      <c r="AC828" s="98"/>
      <c r="AD828" s="98"/>
      <c r="AE828" s="98"/>
      <c r="AF828" s="98"/>
      <c r="AG828" s="98"/>
      <c r="AH828" s="98"/>
    </row>
    <row r="829" spans="2:34" x14ac:dyDescent="0.25">
      <c r="B829" s="73"/>
      <c r="C829" s="74"/>
      <c r="D829" s="80"/>
      <c r="E829" s="81"/>
      <c r="F829" s="81"/>
      <c r="G829" s="81"/>
      <c r="H829" s="81"/>
      <c r="I829" s="82"/>
      <c r="J829" s="88"/>
      <c r="K829" s="89"/>
      <c r="L829" s="88"/>
      <c r="M829" s="89"/>
      <c r="N829" s="80"/>
      <c r="O829" s="82"/>
      <c r="P829" s="94"/>
      <c r="Q829" s="95"/>
      <c r="S829" s="99"/>
      <c r="T829" s="99"/>
      <c r="U829" s="99"/>
      <c r="V829" s="99"/>
      <c r="W829" s="99"/>
      <c r="X829" s="99"/>
      <c r="Y829" s="99"/>
      <c r="Z829" s="99"/>
      <c r="AA829" s="99"/>
      <c r="AB829" s="99"/>
      <c r="AC829" s="98"/>
      <c r="AD829" s="98"/>
      <c r="AE829" s="98"/>
      <c r="AF829" s="98"/>
      <c r="AG829" s="98"/>
      <c r="AH829" s="98"/>
    </row>
    <row r="830" spans="2:34" x14ac:dyDescent="0.25">
      <c r="B830" s="75"/>
      <c r="C830" s="76"/>
      <c r="D830" s="83"/>
      <c r="E830" s="84"/>
      <c r="F830" s="84"/>
      <c r="G830" s="84"/>
      <c r="H830" s="84"/>
      <c r="I830" s="85"/>
      <c r="J830" s="90"/>
      <c r="K830" s="91"/>
      <c r="L830" s="90"/>
      <c r="M830" s="91"/>
      <c r="N830" s="83"/>
      <c r="O830" s="85"/>
      <c r="P830" s="96"/>
      <c r="Q830" s="97"/>
      <c r="S830" s="99"/>
      <c r="T830" s="99"/>
      <c r="U830" s="99"/>
      <c r="V830" s="99"/>
      <c r="W830" s="99"/>
      <c r="X830" s="99"/>
      <c r="Y830" s="99"/>
      <c r="Z830" s="99"/>
      <c r="AA830" s="99"/>
      <c r="AB830" s="99"/>
      <c r="AC830" s="98"/>
      <c r="AD830" s="98"/>
      <c r="AE830" s="98"/>
      <c r="AF830" s="98"/>
      <c r="AG830" s="98"/>
      <c r="AH830" s="98"/>
    </row>
    <row r="831" spans="2:34" x14ac:dyDescent="0.25">
      <c r="B831" s="71"/>
      <c r="C831" s="72"/>
      <c r="D831" s="77"/>
      <c r="E831" s="78"/>
      <c r="F831" s="78"/>
      <c r="G831" s="78"/>
      <c r="H831" s="78"/>
      <c r="I831" s="79"/>
      <c r="J831" s="86"/>
      <c r="K831" s="87"/>
      <c r="L831" s="86"/>
      <c r="M831" s="87"/>
      <c r="N831" s="77"/>
      <c r="O831" s="79"/>
      <c r="P831" s="92"/>
      <c r="Q831" s="93"/>
      <c r="S831" s="99"/>
      <c r="T831" s="99"/>
      <c r="U831" s="99"/>
      <c r="V831" s="99"/>
      <c r="W831" s="99"/>
      <c r="X831" s="99"/>
      <c r="Y831" s="99"/>
      <c r="Z831" s="99"/>
      <c r="AA831" s="99"/>
      <c r="AB831" s="99"/>
      <c r="AC831" s="98"/>
      <c r="AD831" s="98"/>
      <c r="AE831" s="98"/>
      <c r="AF831" s="98"/>
      <c r="AG831" s="98"/>
      <c r="AH831" s="98"/>
    </row>
    <row r="832" spans="2:34" x14ac:dyDescent="0.25">
      <c r="B832" s="73"/>
      <c r="C832" s="74"/>
      <c r="D832" s="80"/>
      <c r="E832" s="81"/>
      <c r="F832" s="81"/>
      <c r="G832" s="81"/>
      <c r="H832" s="81"/>
      <c r="I832" s="82"/>
      <c r="J832" s="88"/>
      <c r="K832" s="89"/>
      <c r="L832" s="88"/>
      <c r="M832" s="89"/>
      <c r="N832" s="80"/>
      <c r="O832" s="82"/>
      <c r="P832" s="94"/>
      <c r="Q832" s="95"/>
      <c r="S832" s="99"/>
      <c r="T832" s="99"/>
      <c r="U832" s="99"/>
      <c r="V832" s="99"/>
      <c r="W832" s="99"/>
      <c r="X832" s="99"/>
      <c r="Y832" s="99"/>
      <c r="Z832" s="99"/>
      <c r="AA832" s="99"/>
      <c r="AB832" s="99"/>
      <c r="AC832" s="98"/>
      <c r="AD832" s="98"/>
      <c r="AE832" s="98"/>
      <c r="AF832" s="98"/>
      <c r="AG832" s="98"/>
      <c r="AH832" s="98"/>
    </row>
    <row r="833" spans="2:34" x14ac:dyDescent="0.25">
      <c r="B833" s="75"/>
      <c r="C833" s="76"/>
      <c r="D833" s="83"/>
      <c r="E833" s="84"/>
      <c r="F833" s="84"/>
      <c r="G833" s="84"/>
      <c r="H833" s="84"/>
      <c r="I833" s="85"/>
      <c r="J833" s="90"/>
      <c r="K833" s="91"/>
      <c r="L833" s="90"/>
      <c r="M833" s="91"/>
      <c r="N833" s="83"/>
      <c r="O833" s="85"/>
      <c r="P833" s="96"/>
      <c r="Q833" s="97"/>
      <c r="S833" s="99"/>
      <c r="T833" s="99"/>
      <c r="U833" s="99"/>
      <c r="V833" s="99"/>
      <c r="W833" s="99"/>
      <c r="X833" s="99"/>
      <c r="Y833" s="99"/>
      <c r="Z833" s="99"/>
      <c r="AA833" s="99"/>
      <c r="AB833" s="99"/>
      <c r="AC833" s="98"/>
      <c r="AD833" s="98"/>
      <c r="AE833" s="98"/>
      <c r="AF833" s="98"/>
      <c r="AG833" s="98"/>
      <c r="AH833" s="98"/>
    </row>
    <row r="834" spans="2:34" x14ac:dyDescent="0.25">
      <c r="B834" s="71"/>
      <c r="C834" s="72"/>
      <c r="D834" s="77"/>
      <c r="E834" s="78"/>
      <c r="F834" s="78"/>
      <c r="G834" s="78"/>
      <c r="H834" s="78"/>
      <c r="I834" s="79"/>
      <c r="J834" s="86"/>
      <c r="K834" s="87"/>
      <c r="L834" s="86"/>
      <c r="M834" s="87"/>
      <c r="N834" s="77"/>
      <c r="O834" s="79"/>
      <c r="P834" s="92"/>
      <c r="Q834" s="93"/>
      <c r="S834" s="99"/>
      <c r="T834" s="99"/>
      <c r="U834" s="99"/>
      <c r="V834" s="99"/>
      <c r="W834" s="99"/>
      <c r="X834" s="99"/>
      <c r="Y834" s="99"/>
      <c r="Z834" s="99"/>
      <c r="AA834" s="99"/>
      <c r="AB834" s="99"/>
      <c r="AC834" s="98"/>
      <c r="AD834" s="98"/>
      <c r="AE834" s="98"/>
      <c r="AF834" s="98"/>
      <c r="AG834" s="98"/>
      <c r="AH834" s="98"/>
    </row>
    <row r="835" spans="2:34" x14ac:dyDescent="0.25">
      <c r="B835" s="73"/>
      <c r="C835" s="74"/>
      <c r="D835" s="80"/>
      <c r="E835" s="81"/>
      <c r="F835" s="81"/>
      <c r="G835" s="81"/>
      <c r="H835" s="81"/>
      <c r="I835" s="82"/>
      <c r="J835" s="88"/>
      <c r="K835" s="89"/>
      <c r="L835" s="88"/>
      <c r="M835" s="89"/>
      <c r="N835" s="80"/>
      <c r="O835" s="82"/>
      <c r="P835" s="94"/>
      <c r="Q835" s="95"/>
      <c r="S835" s="99"/>
      <c r="T835" s="99"/>
      <c r="U835" s="99"/>
      <c r="V835" s="99"/>
      <c r="W835" s="99"/>
      <c r="X835" s="99"/>
      <c r="Y835" s="99"/>
      <c r="Z835" s="99"/>
      <c r="AA835" s="99"/>
      <c r="AB835" s="99"/>
      <c r="AC835" s="98"/>
      <c r="AD835" s="98"/>
      <c r="AE835" s="98"/>
      <c r="AF835" s="98"/>
      <c r="AG835" s="98"/>
      <c r="AH835" s="98"/>
    </row>
    <row r="836" spans="2:34" x14ac:dyDescent="0.25">
      <c r="B836" s="75"/>
      <c r="C836" s="76"/>
      <c r="D836" s="83"/>
      <c r="E836" s="84"/>
      <c r="F836" s="84"/>
      <c r="G836" s="84"/>
      <c r="H836" s="84"/>
      <c r="I836" s="85"/>
      <c r="J836" s="90"/>
      <c r="K836" s="91"/>
      <c r="L836" s="90"/>
      <c r="M836" s="91"/>
      <c r="N836" s="83"/>
      <c r="O836" s="85"/>
      <c r="P836" s="96"/>
      <c r="Q836" s="97"/>
      <c r="S836" s="99"/>
      <c r="T836" s="99"/>
      <c r="U836" s="99"/>
      <c r="V836" s="99"/>
      <c r="W836" s="99"/>
      <c r="X836" s="99"/>
      <c r="Y836" s="99"/>
      <c r="Z836" s="99"/>
      <c r="AA836" s="99"/>
      <c r="AB836" s="99"/>
      <c r="AC836" s="98"/>
      <c r="AD836" s="98"/>
      <c r="AE836" s="98"/>
      <c r="AF836" s="98"/>
      <c r="AG836" s="98"/>
      <c r="AH836" s="98"/>
    </row>
    <row r="837" spans="2:34" x14ac:dyDescent="0.25">
      <c r="B837" s="71"/>
      <c r="C837" s="72"/>
      <c r="D837" s="77"/>
      <c r="E837" s="78"/>
      <c r="F837" s="78"/>
      <c r="G837" s="78"/>
      <c r="H837" s="78"/>
      <c r="I837" s="79"/>
      <c r="J837" s="86"/>
      <c r="K837" s="87"/>
      <c r="L837" s="86"/>
      <c r="M837" s="87"/>
      <c r="N837" s="77"/>
      <c r="O837" s="79"/>
      <c r="P837" s="92"/>
      <c r="Q837" s="93"/>
      <c r="S837" s="99"/>
      <c r="T837" s="99"/>
      <c r="U837" s="99"/>
      <c r="V837" s="99"/>
      <c r="W837" s="99"/>
      <c r="X837" s="99"/>
      <c r="Y837" s="99"/>
      <c r="Z837" s="99"/>
      <c r="AA837" s="99"/>
      <c r="AB837" s="99"/>
      <c r="AC837" s="98"/>
      <c r="AD837" s="98"/>
      <c r="AE837" s="98"/>
      <c r="AF837" s="98"/>
      <c r="AG837" s="98"/>
      <c r="AH837" s="98"/>
    </row>
    <row r="838" spans="2:34" x14ac:dyDescent="0.25">
      <c r="B838" s="73"/>
      <c r="C838" s="74"/>
      <c r="D838" s="80"/>
      <c r="E838" s="81"/>
      <c r="F838" s="81"/>
      <c r="G838" s="81"/>
      <c r="H838" s="81"/>
      <c r="I838" s="82"/>
      <c r="J838" s="88"/>
      <c r="K838" s="89"/>
      <c r="L838" s="88"/>
      <c r="M838" s="89"/>
      <c r="N838" s="80"/>
      <c r="O838" s="82"/>
      <c r="P838" s="94"/>
      <c r="Q838" s="95"/>
      <c r="S838" s="99"/>
      <c r="T838" s="99"/>
      <c r="U838" s="99"/>
      <c r="V838" s="99"/>
      <c r="W838" s="99"/>
      <c r="X838" s="99"/>
      <c r="Y838" s="99"/>
      <c r="Z838" s="99"/>
      <c r="AA838" s="99"/>
      <c r="AB838" s="99"/>
      <c r="AC838" s="98"/>
      <c r="AD838" s="98"/>
      <c r="AE838" s="98"/>
      <c r="AF838" s="98"/>
      <c r="AG838" s="98"/>
      <c r="AH838" s="98"/>
    </row>
    <row r="839" spans="2:34" x14ac:dyDescent="0.25">
      <c r="B839" s="75"/>
      <c r="C839" s="76"/>
      <c r="D839" s="83"/>
      <c r="E839" s="84"/>
      <c r="F839" s="84"/>
      <c r="G839" s="84"/>
      <c r="H839" s="84"/>
      <c r="I839" s="85"/>
      <c r="J839" s="90"/>
      <c r="K839" s="91"/>
      <c r="L839" s="90"/>
      <c r="M839" s="91"/>
      <c r="N839" s="83"/>
      <c r="O839" s="85"/>
      <c r="P839" s="96"/>
      <c r="Q839" s="97"/>
      <c r="S839" s="99"/>
      <c r="T839" s="99"/>
      <c r="U839" s="99"/>
      <c r="V839" s="99"/>
      <c r="W839" s="99"/>
      <c r="X839" s="99"/>
      <c r="Y839" s="99"/>
      <c r="Z839" s="99"/>
      <c r="AA839" s="99"/>
      <c r="AB839" s="99"/>
      <c r="AC839" s="98"/>
      <c r="AD839" s="98"/>
      <c r="AE839" s="98"/>
      <c r="AF839" s="98"/>
      <c r="AG839" s="98"/>
      <c r="AH839" s="98"/>
    </row>
    <row r="840" spans="2:34" x14ac:dyDescent="0.25">
      <c r="B840" s="71"/>
      <c r="C840" s="72"/>
      <c r="D840" s="77"/>
      <c r="E840" s="78"/>
      <c r="F840" s="78"/>
      <c r="G840" s="78"/>
      <c r="H840" s="78"/>
      <c r="I840" s="79"/>
      <c r="J840" s="86"/>
      <c r="K840" s="87"/>
      <c r="L840" s="86"/>
      <c r="M840" s="87"/>
      <c r="N840" s="77"/>
      <c r="O840" s="79"/>
      <c r="P840" s="92"/>
      <c r="Q840" s="93"/>
      <c r="S840" s="99"/>
      <c r="T840" s="99"/>
      <c r="U840" s="99"/>
      <c r="V840" s="99"/>
      <c r="W840" s="99"/>
      <c r="X840" s="99"/>
      <c r="Y840" s="99"/>
      <c r="Z840" s="99"/>
      <c r="AA840" s="99"/>
      <c r="AB840" s="99"/>
      <c r="AC840" s="98"/>
      <c r="AD840" s="98"/>
      <c r="AE840" s="98"/>
      <c r="AF840" s="98"/>
      <c r="AG840" s="98"/>
      <c r="AH840" s="98"/>
    </row>
    <row r="841" spans="2:34" x14ac:dyDescent="0.25">
      <c r="B841" s="73"/>
      <c r="C841" s="74"/>
      <c r="D841" s="80"/>
      <c r="E841" s="81"/>
      <c r="F841" s="81"/>
      <c r="G841" s="81"/>
      <c r="H841" s="81"/>
      <c r="I841" s="82"/>
      <c r="J841" s="88"/>
      <c r="K841" s="89"/>
      <c r="L841" s="88"/>
      <c r="M841" s="89"/>
      <c r="N841" s="80"/>
      <c r="O841" s="82"/>
      <c r="P841" s="94"/>
      <c r="Q841" s="95"/>
      <c r="S841" s="99"/>
      <c r="T841" s="99"/>
      <c r="U841" s="99"/>
      <c r="V841" s="99"/>
      <c r="W841" s="99"/>
      <c r="X841" s="99"/>
      <c r="Y841" s="99"/>
      <c r="Z841" s="99"/>
      <c r="AA841" s="99"/>
      <c r="AB841" s="99"/>
      <c r="AC841" s="98"/>
      <c r="AD841" s="98"/>
      <c r="AE841" s="98"/>
      <c r="AF841" s="98"/>
      <c r="AG841" s="98"/>
      <c r="AH841" s="98"/>
    </row>
    <row r="842" spans="2:34" x14ac:dyDescent="0.25">
      <c r="B842" s="75"/>
      <c r="C842" s="76"/>
      <c r="D842" s="83"/>
      <c r="E842" s="84"/>
      <c r="F842" s="84"/>
      <c r="G842" s="84"/>
      <c r="H842" s="84"/>
      <c r="I842" s="85"/>
      <c r="J842" s="90"/>
      <c r="K842" s="91"/>
      <c r="L842" s="90"/>
      <c r="M842" s="91"/>
      <c r="N842" s="83"/>
      <c r="O842" s="85"/>
      <c r="P842" s="96"/>
      <c r="Q842" s="97"/>
      <c r="S842" s="99"/>
      <c r="T842" s="99"/>
      <c r="U842" s="99"/>
      <c r="V842" s="99"/>
      <c r="W842" s="99"/>
      <c r="X842" s="99"/>
      <c r="Y842" s="99"/>
      <c r="Z842" s="99"/>
      <c r="AA842" s="99"/>
      <c r="AB842" s="99"/>
      <c r="AC842" s="98"/>
      <c r="AD842" s="98"/>
      <c r="AE842" s="98"/>
      <c r="AF842" s="98"/>
      <c r="AG842" s="98"/>
      <c r="AH842" s="98"/>
    </row>
    <row r="843" spans="2:34" x14ac:dyDescent="0.25">
      <c r="B843" s="71"/>
      <c r="C843" s="72"/>
      <c r="D843" s="77"/>
      <c r="E843" s="78"/>
      <c r="F843" s="78"/>
      <c r="G843" s="78"/>
      <c r="H843" s="78"/>
      <c r="I843" s="79"/>
      <c r="J843" s="86"/>
      <c r="K843" s="87"/>
      <c r="L843" s="86"/>
      <c r="M843" s="87"/>
      <c r="N843" s="77"/>
      <c r="O843" s="79"/>
      <c r="P843" s="92"/>
      <c r="Q843" s="93"/>
      <c r="S843" s="99"/>
      <c r="T843" s="99"/>
      <c r="U843" s="99"/>
      <c r="V843" s="99"/>
      <c r="W843" s="99"/>
      <c r="X843" s="99"/>
      <c r="Y843" s="99"/>
      <c r="Z843" s="99"/>
      <c r="AA843" s="99"/>
      <c r="AB843" s="99"/>
      <c r="AC843" s="98"/>
      <c r="AD843" s="98"/>
      <c r="AE843" s="98"/>
      <c r="AF843" s="98"/>
      <c r="AG843" s="98"/>
      <c r="AH843" s="98"/>
    </row>
    <row r="844" spans="2:34" x14ac:dyDescent="0.25">
      <c r="B844" s="73"/>
      <c r="C844" s="74"/>
      <c r="D844" s="80"/>
      <c r="E844" s="81"/>
      <c r="F844" s="81"/>
      <c r="G844" s="81"/>
      <c r="H844" s="81"/>
      <c r="I844" s="82"/>
      <c r="J844" s="88"/>
      <c r="K844" s="89"/>
      <c r="L844" s="88"/>
      <c r="M844" s="89"/>
      <c r="N844" s="80"/>
      <c r="O844" s="82"/>
      <c r="P844" s="94"/>
      <c r="Q844" s="95"/>
      <c r="S844" s="99"/>
      <c r="T844" s="99"/>
      <c r="U844" s="99"/>
      <c r="V844" s="99"/>
      <c r="W844" s="99"/>
      <c r="X844" s="99"/>
      <c r="Y844" s="99"/>
      <c r="Z844" s="99"/>
      <c r="AA844" s="99"/>
      <c r="AB844" s="99"/>
      <c r="AC844" s="98"/>
      <c r="AD844" s="98"/>
      <c r="AE844" s="98"/>
      <c r="AF844" s="98"/>
      <c r="AG844" s="98"/>
      <c r="AH844" s="98"/>
    </row>
    <row r="845" spans="2:34" x14ac:dyDescent="0.25">
      <c r="B845" s="75"/>
      <c r="C845" s="76"/>
      <c r="D845" s="83"/>
      <c r="E845" s="84"/>
      <c r="F845" s="84"/>
      <c r="G845" s="84"/>
      <c r="H845" s="84"/>
      <c r="I845" s="85"/>
      <c r="J845" s="90"/>
      <c r="K845" s="91"/>
      <c r="L845" s="90"/>
      <c r="M845" s="91"/>
      <c r="N845" s="83"/>
      <c r="O845" s="85"/>
      <c r="P845" s="96"/>
      <c r="Q845" s="97"/>
      <c r="S845" s="99"/>
      <c r="T845" s="99"/>
      <c r="U845" s="99"/>
      <c r="V845" s="99"/>
      <c r="W845" s="99"/>
      <c r="X845" s="99"/>
      <c r="Y845" s="99"/>
      <c r="Z845" s="99"/>
      <c r="AA845" s="99"/>
      <c r="AB845" s="99"/>
      <c r="AC845" s="98"/>
      <c r="AD845" s="98"/>
      <c r="AE845" s="98"/>
      <c r="AF845" s="98"/>
      <c r="AG845" s="98"/>
      <c r="AH845" s="98"/>
    </row>
    <row r="846" spans="2:34" x14ac:dyDescent="0.25">
      <c r="B846" s="71"/>
      <c r="C846" s="72"/>
      <c r="D846" s="77"/>
      <c r="E846" s="78"/>
      <c r="F846" s="78"/>
      <c r="G846" s="78"/>
      <c r="H846" s="78"/>
      <c r="I846" s="79"/>
      <c r="J846" s="86"/>
      <c r="K846" s="87"/>
      <c r="L846" s="86"/>
      <c r="M846" s="87"/>
      <c r="N846" s="77"/>
      <c r="O846" s="79"/>
      <c r="P846" s="92"/>
      <c r="Q846" s="93"/>
      <c r="S846" s="99"/>
      <c r="T846" s="99"/>
      <c r="U846" s="99"/>
      <c r="V846" s="99"/>
      <c r="W846" s="99"/>
      <c r="X846" s="99"/>
      <c r="Y846" s="99"/>
      <c r="Z846" s="99"/>
      <c r="AA846" s="99"/>
      <c r="AB846" s="99"/>
      <c r="AC846" s="98"/>
      <c r="AD846" s="98"/>
      <c r="AE846" s="98"/>
      <c r="AF846" s="98"/>
      <c r="AG846" s="98"/>
      <c r="AH846" s="98"/>
    </row>
    <row r="847" spans="2:34" x14ac:dyDescent="0.25">
      <c r="B847" s="73"/>
      <c r="C847" s="74"/>
      <c r="D847" s="80"/>
      <c r="E847" s="81"/>
      <c r="F847" s="81"/>
      <c r="G847" s="81"/>
      <c r="H847" s="81"/>
      <c r="I847" s="82"/>
      <c r="J847" s="88"/>
      <c r="K847" s="89"/>
      <c r="L847" s="88"/>
      <c r="M847" s="89"/>
      <c r="N847" s="80"/>
      <c r="O847" s="82"/>
      <c r="P847" s="94"/>
      <c r="Q847" s="95"/>
      <c r="S847" s="99"/>
      <c r="T847" s="99"/>
      <c r="U847" s="99"/>
      <c r="V847" s="99"/>
      <c r="W847" s="99"/>
      <c r="X847" s="99"/>
      <c r="Y847" s="99"/>
      <c r="Z847" s="99"/>
      <c r="AA847" s="99"/>
      <c r="AB847" s="99"/>
      <c r="AC847" s="98"/>
      <c r="AD847" s="98"/>
      <c r="AE847" s="98"/>
      <c r="AF847" s="98"/>
      <c r="AG847" s="98"/>
      <c r="AH847" s="98"/>
    </row>
    <row r="848" spans="2:34" x14ac:dyDescent="0.25">
      <c r="B848" s="75"/>
      <c r="C848" s="76"/>
      <c r="D848" s="83"/>
      <c r="E848" s="84"/>
      <c r="F848" s="84"/>
      <c r="G848" s="84"/>
      <c r="H848" s="84"/>
      <c r="I848" s="85"/>
      <c r="J848" s="90"/>
      <c r="K848" s="91"/>
      <c r="L848" s="90"/>
      <c r="M848" s="91"/>
      <c r="N848" s="83"/>
      <c r="O848" s="85"/>
      <c r="P848" s="96"/>
      <c r="Q848" s="97"/>
      <c r="S848" s="99"/>
      <c r="T848" s="99"/>
      <c r="U848" s="99"/>
      <c r="V848" s="99"/>
      <c r="W848" s="99"/>
      <c r="X848" s="99"/>
      <c r="Y848" s="99"/>
      <c r="Z848" s="99"/>
      <c r="AA848" s="99"/>
      <c r="AB848" s="99"/>
      <c r="AC848" s="98"/>
      <c r="AD848" s="98"/>
      <c r="AE848" s="98"/>
      <c r="AF848" s="98"/>
      <c r="AG848" s="98"/>
      <c r="AH848" s="98"/>
    </row>
    <row r="849" spans="2:34" x14ac:dyDescent="0.25">
      <c r="B849" s="71"/>
      <c r="C849" s="72"/>
      <c r="D849" s="77"/>
      <c r="E849" s="78"/>
      <c r="F849" s="78"/>
      <c r="G849" s="78"/>
      <c r="H849" s="78"/>
      <c r="I849" s="79"/>
      <c r="J849" s="86"/>
      <c r="K849" s="87"/>
      <c r="L849" s="86"/>
      <c r="M849" s="87"/>
      <c r="N849" s="77"/>
      <c r="O849" s="79"/>
      <c r="P849" s="92"/>
      <c r="Q849" s="93"/>
      <c r="S849" s="99"/>
      <c r="T849" s="99"/>
      <c r="U849" s="99"/>
      <c r="V849" s="99"/>
      <c r="W849" s="99"/>
      <c r="X849" s="99"/>
      <c r="Y849" s="99"/>
      <c r="Z849" s="99"/>
      <c r="AA849" s="99"/>
      <c r="AB849" s="99"/>
      <c r="AC849" s="98"/>
      <c r="AD849" s="98"/>
      <c r="AE849" s="98"/>
      <c r="AF849" s="98"/>
      <c r="AG849" s="98"/>
      <c r="AH849" s="98"/>
    </row>
    <row r="850" spans="2:34" x14ac:dyDescent="0.25">
      <c r="B850" s="73"/>
      <c r="C850" s="74"/>
      <c r="D850" s="80"/>
      <c r="E850" s="81"/>
      <c r="F850" s="81"/>
      <c r="G850" s="81"/>
      <c r="H850" s="81"/>
      <c r="I850" s="82"/>
      <c r="J850" s="88"/>
      <c r="K850" s="89"/>
      <c r="L850" s="88"/>
      <c r="M850" s="89"/>
      <c r="N850" s="80"/>
      <c r="O850" s="82"/>
      <c r="P850" s="94"/>
      <c r="Q850" s="95"/>
      <c r="S850" s="99"/>
      <c r="T850" s="99"/>
      <c r="U850" s="99"/>
      <c r="V850" s="99"/>
      <c r="W850" s="99"/>
      <c r="X850" s="99"/>
      <c r="Y850" s="99"/>
      <c r="Z850" s="99"/>
      <c r="AA850" s="99"/>
      <c r="AB850" s="99"/>
      <c r="AC850" s="98"/>
      <c r="AD850" s="98"/>
      <c r="AE850" s="98"/>
      <c r="AF850" s="98"/>
      <c r="AG850" s="98"/>
      <c r="AH850" s="98"/>
    </row>
    <row r="851" spans="2:34" x14ac:dyDescent="0.25">
      <c r="B851" s="75"/>
      <c r="C851" s="76"/>
      <c r="D851" s="83"/>
      <c r="E851" s="84"/>
      <c r="F851" s="84"/>
      <c r="G851" s="84"/>
      <c r="H851" s="84"/>
      <c r="I851" s="85"/>
      <c r="J851" s="90"/>
      <c r="K851" s="91"/>
      <c r="L851" s="90"/>
      <c r="M851" s="91"/>
      <c r="N851" s="83"/>
      <c r="O851" s="85"/>
      <c r="P851" s="96"/>
      <c r="Q851" s="97"/>
      <c r="S851" s="99"/>
      <c r="T851" s="99"/>
      <c r="U851" s="99"/>
      <c r="V851" s="99"/>
      <c r="W851" s="99"/>
      <c r="X851" s="99"/>
      <c r="Y851" s="99"/>
      <c r="Z851" s="99"/>
      <c r="AA851" s="99"/>
      <c r="AB851" s="99"/>
      <c r="AC851" s="98"/>
      <c r="AD851" s="98"/>
      <c r="AE851" s="98"/>
      <c r="AF851" s="98"/>
      <c r="AG851" s="98"/>
      <c r="AH851" s="98"/>
    </row>
    <row r="852" spans="2:34" x14ac:dyDescent="0.25">
      <c r="B852" s="71"/>
      <c r="C852" s="72"/>
      <c r="D852" s="77"/>
      <c r="E852" s="78"/>
      <c r="F852" s="78"/>
      <c r="G852" s="78"/>
      <c r="H852" s="78"/>
      <c r="I852" s="79"/>
      <c r="J852" s="86"/>
      <c r="K852" s="87"/>
      <c r="L852" s="86"/>
      <c r="M852" s="87"/>
      <c r="N852" s="77"/>
      <c r="O852" s="79"/>
      <c r="P852" s="92"/>
      <c r="Q852" s="93"/>
      <c r="S852" s="99"/>
      <c r="T852" s="99"/>
      <c r="U852" s="99"/>
      <c r="V852" s="99"/>
      <c r="W852" s="99"/>
      <c r="X852" s="99"/>
      <c r="Y852" s="99"/>
      <c r="Z852" s="99"/>
      <c r="AA852" s="99"/>
      <c r="AB852" s="99"/>
      <c r="AC852" s="98"/>
      <c r="AD852" s="98"/>
      <c r="AE852" s="98"/>
      <c r="AF852" s="98"/>
      <c r="AG852" s="98"/>
      <c r="AH852" s="98"/>
    </row>
    <row r="853" spans="2:34" x14ac:dyDescent="0.25">
      <c r="B853" s="73"/>
      <c r="C853" s="74"/>
      <c r="D853" s="80"/>
      <c r="E853" s="81"/>
      <c r="F853" s="81"/>
      <c r="G853" s="81"/>
      <c r="H853" s="81"/>
      <c r="I853" s="82"/>
      <c r="J853" s="88"/>
      <c r="K853" s="89"/>
      <c r="L853" s="88"/>
      <c r="M853" s="89"/>
      <c r="N853" s="80"/>
      <c r="O853" s="82"/>
      <c r="P853" s="94"/>
      <c r="Q853" s="95"/>
      <c r="S853" s="99"/>
      <c r="T853" s="99"/>
      <c r="U853" s="99"/>
      <c r="V853" s="99"/>
      <c r="W853" s="99"/>
      <c r="X853" s="99"/>
      <c r="Y853" s="99"/>
      <c r="Z853" s="99"/>
      <c r="AA853" s="99"/>
      <c r="AB853" s="99"/>
      <c r="AC853" s="98"/>
      <c r="AD853" s="98"/>
      <c r="AE853" s="98"/>
      <c r="AF853" s="98"/>
      <c r="AG853" s="98"/>
      <c r="AH853" s="98"/>
    </row>
    <row r="854" spans="2:34" x14ac:dyDescent="0.25">
      <c r="B854" s="75"/>
      <c r="C854" s="76"/>
      <c r="D854" s="83"/>
      <c r="E854" s="84"/>
      <c r="F854" s="84"/>
      <c r="G854" s="84"/>
      <c r="H854" s="84"/>
      <c r="I854" s="85"/>
      <c r="J854" s="90"/>
      <c r="K854" s="91"/>
      <c r="L854" s="90"/>
      <c r="M854" s="91"/>
      <c r="N854" s="83"/>
      <c r="O854" s="85"/>
      <c r="P854" s="96"/>
      <c r="Q854" s="97"/>
      <c r="S854" s="99"/>
      <c r="T854" s="99"/>
      <c r="U854" s="99"/>
      <c r="V854" s="99"/>
      <c r="W854" s="99"/>
      <c r="X854" s="99"/>
      <c r="Y854" s="99"/>
      <c r="Z854" s="99"/>
      <c r="AA854" s="99"/>
      <c r="AB854" s="99"/>
      <c r="AC854" s="98"/>
      <c r="AD854" s="98"/>
      <c r="AE854" s="98"/>
      <c r="AF854" s="98"/>
      <c r="AG854" s="98"/>
      <c r="AH854" s="98"/>
    </row>
    <row r="855" spans="2:34" x14ac:dyDescent="0.25">
      <c r="B855" s="71"/>
      <c r="C855" s="72"/>
      <c r="D855" s="77"/>
      <c r="E855" s="78"/>
      <c r="F855" s="78"/>
      <c r="G855" s="78"/>
      <c r="H855" s="78"/>
      <c r="I855" s="79"/>
      <c r="J855" s="86"/>
      <c r="K855" s="87"/>
      <c r="L855" s="86"/>
      <c r="M855" s="87"/>
      <c r="N855" s="77"/>
      <c r="O855" s="79"/>
      <c r="P855" s="92"/>
      <c r="Q855" s="93"/>
      <c r="S855" s="99"/>
      <c r="T855" s="99"/>
      <c r="U855" s="99"/>
      <c r="V855" s="99"/>
      <c r="W855" s="99"/>
      <c r="X855" s="99"/>
      <c r="Y855" s="99"/>
      <c r="Z855" s="99"/>
      <c r="AA855" s="99"/>
      <c r="AB855" s="99"/>
      <c r="AC855" s="98"/>
      <c r="AD855" s="98"/>
      <c r="AE855" s="98"/>
      <c r="AF855" s="98"/>
      <c r="AG855" s="98"/>
      <c r="AH855" s="98"/>
    </row>
    <row r="856" spans="2:34" x14ac:dyDescent="0.25">
      <c r="B856" s="73"/>
      <c r="C856" s="74"/>
      <c r="D856" s="80"/>
      <c r="E856" s="81"/>
      <c r="F856" s="81"/>
      <c r="G856" s="81"/>
      <c r="H856" s="81"/>
      <c r="I856" s="82"/>
      <c r="J856" s="88"/>
      <c r="K856" s="89"/>
      <c r="L856" s="88"/>
      <c r="M856" s="89"/>
      <c r="N856" s="80"/>
      <c r="O856" s="82"/>
      <c r="P856" s="94"/>
      <c r="Q856" s="95"/>
      <c r="S856" s="99"/>
      <c r="T856" s="99"/>
      <c r="U856" s="99"/>
      <c r="V856" s="99"/>
      <c r="W856" s="99"/>
      <c r="X856" s="99"/>
      <c r="Y856" s="99"/>
      <c r="Z856" s="99"/>
      <c r="AA856" s="99"/>
      <c r="AB856" s="99"/>
      <c r="AC856" s="98"/>
      <c r="AD856" s="98"/>
      <c r="AE856" s="98"/>
      <c r="AF856" s="98"/>
      <c r="AG856" s="98"/>
      <c r="AH856" s="98"/>
    </row>
    <row r="857" spans="2:34" x14ac:dyDescent="0.25">
      <c r="B857" s="75"/>
      <c r="C857" s="76"/>
      <c r="D857" s="83"/>
      <c r="E857" s="84"/>
      <c r="F857" s="84"/>
      <c r="G857" s="84"/>
      <c r="H857" s="84"/>
      <c r="I857" s="85"/>
      <c r="J857" s="90"/>
      <c r="K857" s="91"/>
      <c r="L857" s="90"/>
      <c r="M857" s="91"/>
      <c r="N857" s="83"/>
      <c r="O857" s="85"/>
      <c r="P857" s="96"/>
      <c r="Q857" s="97"/>
      <c r="S857" s="99"/>
      <c r="T857" s="99"/>
      <c r="U857" s="99"/>
      <c r="V857" s="99"/>
      <c r="W857" s="99"/>
      <c r="X857" s="99"/>
      <c r="Y857" s="99"/>
      <c r="Z857" s="99"/>
      <c r="AA857" s="99"/>
      <c r="AB857" s="99"/>
      <c r="AC857" s="98"/>
      <c r="AD857" s="98"/>
      <c r="AE857" s="98"/>
      <c r="AF857" s="98"/>
      <c r="AG857" s="98"/>
      <c r="AH857" s="98"/>
    </row>
    <row r="858" spans="2:34" x14ac:dyDescent="0.25">
      <c r="B858" s="71"/>
      <c r="C858" s="72"/>
      <c r="D858" s="77"/>
      <c r="E858" s="78"/>
      <c r="F858" s="78"/>
      <c r="G858" s="78"/>
      <c r="H858" s="78"/>
      <c r="I858" s="79"/>
      <c r="J858" s="86"/>
      <c r="K858" s="87"/>
      <c r="L858" s="86"/>
      <c r="M858" s="87"/>
      <c r="N858" s="77"/>
      <c r="O858" s="79"/>
      <c r="P858" s="92"/>
      <c r="Q858" s="93"/>
      <c r="S858" s="99"/>
      <c r="T858" s="99"/>
      <c r="U858" s="99"/>
      <c r="V858" s="99"/>
      <c r="W858" s="99"/>
      <c r="X858" s="99"/>
      <c r="Y858" s="99"/>
      <c r="Z858" s="99"/>
      <c r="AA858" s="99"/>
      <c r="AB858" s="99"/>
      <c r="AC858" s="98"/>
      <c r="AD858" s="98"/>
      <c r="AE858" s="98"/>
      <c r="AF858" s="98"/>
      <c r="AG858" s="98"/>
      <c r="AH858" s="98"/>
    </row>
    <row r="859" spans="2:34" x14ac:dyDescent="0.25">
      <c r="B859" s="73"/>
      <c r="C859" s="74"/>
      <c r="D859" s="80"/>
      <c r="E859" s="81"/>
      <c r="F859" s="81"/>
      <c r="G859" s="81"/>
      <c r="H859" s="81"/>
      <c r="I859" s="82"/>
      <c r="J859" s="88"/>
      <c r="K859" s="89"/>
      <c r="L859" s="88"/>
      <c r="M859" s="89"/>
      <c r="N859" s="80"/>
      <c r="O859" s="82"/>
      <c r="P859" s="94"/>
      <c r="Q859" s="95"/>
      <c r="S859" s="99"/>
      <c r="T859" s="99"/>
      <c r="U859" s="99"/>
      <c r="V859" s="99"/>
      <c r="W859" s="99"/>
      <c r="X859" s="99"/>
      <c r="Y859" s="99"/>
      <c r="Z859" s="99"/>
      <c r="AA859" s="99"/>
      <c r="AB859" s="99"/>
      <c r="AC859" s="98"/>
      <c r="AD859" s="98"/>
      <c r="AE859" s="98"/>
      <c r="AF859" s="98"/>
      <c r="AG859" s="98"/>
      <c r="AH859" s="98"/>
    </row>
    <row r="860" spans="2:34" x14ac:dyDescent="0.25">
      <c r="B860" s="75"/>
      <c r="C860" s="76"/>
      <c r="D860" s="83"/>
      <c r="E860" s="84"/>
      <c r="F860" s="84"/>
      <c r="G860" s="84"/>
      <c r="H860" s="84"/>
      <c r="I860" s="85"/>
      <c r="J860" s="90"/>
      <c r="K860" s="91"/>
      <c r="L860" s="90"/>
      <c r="M860" s="91"/>
      <c r="N860" s="83"/>
      <c r="O860" s="85"/>
      <c r="P860" s="96"/>
      <c r="Q860" s="97"/>
      <c r="S860" s="99"/>
      <c r="T860" s="99"/>
      <c r="U860" s="99"/>
      <c r="V860" s="99"/>
      <c r="W860" s="99"/>
      <c r="X860" s="99"/>
      <c r="Y860" s="99"/>
      <c r="Z860" s="99"/>
      <c r="AA860" s="99"/>
      <c r="AB860" s="99"/>
      <c r="AC860" s="98"/>
      <c r="AD860" s="98"/>
      <c r="AE860" s="98"/>
      <c r="AF860" s="98"/>
      <c r="AG860" s="98"/>
      <c r="AH860" s="98"/>
    </row>
    <row r="861" spans="2:34" x14ac:dyDescent="0.25">
      <c r="B861" s="71"/>
      <c r="C861" s="72"/>
      <c r="D861" s="77"/>
      <c r="E861" s="78"/>
      <c r="F861" s="78"/>
      <c r="G861" s="78"/>
      <c r="H861" s="78"/>
      <c r="I861" s="79"/>
      <c r="J861" s="86"/>
      <c r="K861" s="87"/>
      <c r="L861" s="86"/>
      <c r="M861" s="87"/>
      <c r="N861" s="77"/>
      <c r="O861" s="79"/>
      <c r="P861" s="92"/>
      <c r="Q861" s="93"/>
      <c r="S861" s="99"/>
      <c r="T861" s="99"/>
      <c r="U861" s="99"/>
      <c r="V861" s="99"/>
      <c r="W861" s="99"/>
      <c r="X861" s="99"/>
      <c r="Y861" s="99"/>
      <c r="Z861" s="99"/>
      <c r="AA861" s="99"/>
      <c r="AB861" s="99"/>
      <c r="AC861" s="98"/>
      <c r="AD861" s="98"/>
      <c r="AE861" s="98"/>
      <c r="AF861" s="98"/>
      <c r="AG861" s="98"/>
      <c r="AH861" s="98"/>
    </row>
    <row r="862" spans="2:34" x14ac:dyDescent="0.25">
      <c r="B862" s="73"/>
      <c r="C862" s="74"/>
      <c r="D862" s="80"/>
      <c r="E862" s="81"/>
      <c r="F862" s="81"/>
      <c r="G862" s="81"/>
      <c r="H862" s="81"/>
      <c r="I862" s="82"/>
      <c r="J862" s="88"/>
      <c r="K862" s="89"/>
      <c r="L862" s="88"/>
      <c r="M862" s="89"/>
      <c r="N862" s="80"/>
      <c r="O862" s="82"/>
      <c r="P862" s="94"/>
      <c r="Q862" s="95"/>
      <c r="S862" s="99"/>
      <c r="T862" s="99"/>
      <c r="U862" s="99"/>
      <c r="V862" s="99"/>
      <c r="W862" s="99"/>
      <c r="X862" s="99"/>
      <c r="Y862" s="99"/>
      <c r="Z862" s="99"/>
      <c r="AA862" s="99"/>
      <c r="AB862" s="99"/>
      <c r="AC862" s="98"/>
      <c r="AD862" s="98"/>
      <c r="AE862" s="98"/>
      <c r="AF862" s="98"/>
      <c r="AG862" s="98"/>
      <c r="AH862" s="98"/>
    </row>
    <row r="863" spans="2:34" x14ac:dyDescent="0.25">
      <c r="B863" s="75"/>
      <c r="C863" s="76"/>
      <c r="D863" s="83"/>
      <c r="E863" s="84"/>
      <c r="F863" s="84"/>
      <c r="G863" s="84"/>
      <c r="H863" s="84"/>
      <c r="I863" s="85"/>
      <c r="J863" s="90"/>
      <c r="K863" s="91"/>
      <c r="L863" s="90"/>
      <c r="M863" s="91"/>
      <c r="N863" s="83"/>
      <c r="O863" s="85"/>
      <c r="P863" s="96"/>
      <c r="Q863" s="97"/>
      <c r="S863" s="99"/>
      <c r="T863" s="99"/>
      <c r="U863" s="99"/>
      <c r="V863" s="99"/>
      <c r="W863" s="99"/>
      <c r="X863" s="99"/>
      <c r="Y863" s="99"/>
      <c r="Z863" s="99"/>
      <c r="AA863" s="99"/>
      <c r="AB863" s="99"/>
      <c r="AC863" s="98"/>
      <c r="AD863" s="98"/>
      <c r="AE863" s="98"/>
      <c r="AF863" s="98"/>
      <c r="AG863" s="98"/>
      <c r="AH863" s="98"/>
    </row>
    <row r="864" spans="2:34" x14ac:dyDescent="0.25">
      <c r="B864" s="71"/>
      <c r="C864" s="72"/>
      <c r="D864" s="77"/>
      <c r="E864" s="78"/>
      <c r="F864" s="78"/>
      <c r="G864" s="78"/>
      <c r="H864" s="78"/>
      <c r="I864" s="79"/>
      <c r="J864" s="86"/>
      <c r="K864" s="87"/>
      <c r="L864" s="86"/>
      <c r="M864" s="87"/>
      <c r="N864" s="77"/>
      <c r="O864" s="79"/>
      <c r="P864" s="92"/>
      <c r="Q864" s="93"/>
      <c r="S864" s="99"/>
      <c r="T864" s="99"/>
      <c r="U864" s="99"/>
      <c r="V864" s="99"/>
      <c r="W864" s="99"/>
      <c r="X864" s="99"/>
      <c r="Y864" s="99"/>
      <c r="Z864" s="99"/>
      <c r="AA864" s="99"/>
      <c r="AB864" s="99"/>
      <c r="AC864" s="98"/>
      <c r="AD864" s="98"/>
      <c r="AE864" s="98"/>
      <c r="AF864" s="98"/>
      <c r="AG864" s="98"/>
      <c r="AH864" s="98"/>
    </row>
    <row r="865" spans="2:34" x14ac:dyDescent="0.25">
      <c r="B865" s="73"/>
      <c r="C865" s="74"/>
      <c r="D865" s="80"/>
      <c r="E865" s="81"/>
      <c r="F865" s="81"/>
      <c r="G865" s="81"/>
      <c r="H865" s="81"/>
      <c r="I865" s="82"/>
      <c r="J865" s="88"/>
      <c r="K865" s="89"/>
      <c r="L865" s="88"/>
      <c r="M865" s="89"/>
      <c r="N865" s="80"/>
      <c r="O865" s="82"/>
      <c r="P865" s="94"/>
      <c r="Q865" s="95"/>
      <c r="S865" s="99"/>
      <c r="T865" s="99"/>
      <c r="U865" s="99"/>
      <c r="V865" s="99"/>
      <c r="W865" s="99"/>
      <c r="X865" s="99"/>
      <c r="Y865" s="99"/>
      <c r="Z865" s="99"/>
      <c r="AA865" s="99"/>
      <c r="AB865" s="99"/>
      <c r="AC865" s="98"/>
      <c r="AD865" s="98"/>
      <c r="AE865" s="98"/>
      <c r="AF865" s="98"/>
      <c r="AG865" s="98"/>
      <c r="AH865" s="98"/>
    </row>
    <row r="866" spans="2:34" x14ac:dyDescent="0.25">
      <c r="B866" s="75"/>
      <c r="C866" s="76"/>
      <c r="D866" s="83"/>
      <c r="E866" s="84"/>
      <c r="F866" s="84"/>
      <c r="G866" s="84"/>
      <c r="H866" s="84"/>
      <c r="I866" s="85"/>
      <c r="J866" s="90"/>
      <c r="K866" s="91"/>
      <c r="L866" s="90"/>
      <c r="M866" s="91"/>
      <c r="N866" s="83"/>
      <c r="O866" s="85"/>
      <c r="P866" s="96"/>
      <c r="Q866" s="97"/>
      <c r="S866" s="99"/>
      <c r="T866" s="99"/>
      <c r="U866" s="99"/>
      <c r="V866" s="99"/>
      <c r="W866" s="99"/>
      <c r="X866" s="99"/>
      <c r="Y866" s="99"/>
      <c r="Z866" s="99"/>
      <c r="AA866" s="99"/>
      <c r="AB866" s="99"/>
      <c r="AC866" s="98"/>
      <c r="AD866" s="98"/>
      <c r="AE866" s="98"/>
      <c r="AF866" s="98"/>
      <c r="AG866" s="98"/>
      <c r="AH866" s="98"/>
    </row>
    <row r="867" spans="2:34" x14ac:dyDescent="0.25">
      <c r="B867" s="71"/>
      <c r="C867" s="72"/>
      <c r="D867" s="77"/>
      <c r="E867" s="78"/>
      <c r="F867" s="78"/>
      <c r="G867" s="78"/>
      <c r="H867" s="78"/>
      <c r="I867" s="79"/>
      <c r="J867" s="86"/>
      <c r="K867" s="87"/>
      <c r="L867" s="86"/>
      <c r="M867" s="87"/>
      <c r="N867" s="77"/>
      <c r="O867" s="79"/>
      <c r="P867" s="92"/>
      <c r="Q867" s="93"/>
      <c r="S867" s="99"/>
      <c r="T867" s="99"/>
      <c r="U867" s="99"/>
      <c r="V867" s="99"/>
      <c r="W867" s="99"/>
      <c r="X867" s="99"/>
      <c r="Y867" s="99"/>
      <c r="Z867" s="99"/>
      <c r="AA867" s="99"/>
      <c r="AB867" s="99"/>
      <c r="AC867" s="98"/>
      <c r="AD867" s="98"/>
      <c r="AE867" s="98"/>
      <c r="AF867" s="98"/>
      <c r="AG867" s="98"/>
      <c r="AH867" s="98"/>
    </row>
    <row r="868" spans="2:34" x14ac:dyDescent="0.25">
      <c r="B868" s="73"/>
      <c r="C868" s="74"/>
      <c r="D868" s="80"/>
      <c r="E868" s="81"/>
      <c r="F868" s="81"/>
      <c r="G868" s="81"/>
      <c r="H868" s="81"/>
      <c r="I868" s="82"/>
      <c r="J868" s="88"/>
      <c r="K868" s="89"/>
      <c r="L868" s="88"/>
      <c r="M868" s="89"/>
      <c r="N868" s="80"/>
      <c r="O868" s="82"/>
      <c r="P868" s="94"/>
      <c r="Q868" s="95"/>
      <c r="S868" s="99"/>
      <c r="T868" s="99"/>
      <c r="U868" s="99"/>
      <c r="V868" s="99"/>
      <c r="W868" s="99"/>
      <c r="X868" s="99"/>
      <c r="Y868" s="99"/>
      <c r="Z868" s="99"/>
      <c r="AA868" s="99"/>
      <c r="AB868" s="99"/>
      <c r="AC868" s="98"/>
      <c r="AD868" s="98"/>
      <c r="AE868" s="98"/>
      <c r="AF868" s="98"/>
      <c r="AG868" s="98"/>
      <c r="AH868" s="98"/>
    </row>
    <row r="869" spans="2:34" x14ac:dyDescent="0.25">
      <c r="B869" s="75"/>
      <c r="C869" s="76"/>
      <c r="D869" s="83"/>
      <c r="E869" s="84"/>
      <c r="F869" s="84"/>
      <c r="G869" s="84"/>
      <c r="H869" s="84"/>
      <c r="I869" s="85"/>
      <c r="J869" s="90"/>
      <c r="K869" s="91"/>
      <c r="L869" s="90"/>
      <c r="M869" s="91"/>
      <c r="N869" s="83"/>
      <c r="O869" s="85"/>
      <c r="P869" s="96"/>
      <c r="Q869" s="97"/>
      <c r="S869" s="99"/>
      <c r="T869" s="99"/>
      <c r="U869" s="99"/>
      <c r="V869" s="99"/>
      <c r="W869" s="99"/>
      <c r="X869" s="99"/>
      <c r="Y869" s="99"/>
      <c r="Z869" s="99"/>
      <c r="AA869" s="99"/>
      <c r="AB869" s="99"/>
      <c r="AC869" s="98"/>
      <c r="AD869" s="98"/>
      <c r="AE869" s="98"/>
      <c r="AF869" s="98"/>
      <c r="AG869" s="98"/>
      <c r="AH869" s="98"/>
    </row>
    <row r="870" spans="2:34" x14ac:dyDescent="0.25">
      <c r="B870" s="71"/>
      <c r="C870" s="72"/>
      <c r="D870" s="77"/>
      <c r="E870" s="78"/>
      <c r="F870" s="78"/>
      <c r="G870" s="78"/>
      <c r="H870" s="78"/>
      <c r="I870" s="79"/>
      <c r="J870" s="86"/>
      <c r="K870" s="87"/>
      <c r="L870" s="86"/>
      <c r="M870" s="87"/>
      <c r="N870" s="77"/>
      <c r="O870" s="79"/>
      <c r="P870" s="92"/>
      <c r="Q870" s="93"/>
      <c r="S870" s="99"/>
      <c r="T870" s="99"/>
      <c r="U870" s="99"/>
      <c r="V870" s="99"/>
      <c r="W870" s="99"/>
      <c r="X870" s="99"/>
      <c r="Y870" s="99"/>
      <c r="Z870" s="99"/>
      <c r="AA870" s="99"/>
      <c r="AB870" s="99"/>
      <c r="AC870" s="98"/>
      <c r="AD870" s="98"/>
      <c r="AE870" s="98"/>
      <c r="AF870" s="98"/>
      <c r="AG870" s="98"/>
      <c r="AH870" s="98"/>
    </row>
    <row r="871" spans="2:34" x14ac:dyDescent="0.25">
      <c r="B871" s="73"/>
      <c r="C871" s="74"/>
      <c r="D871" s="80"/>
      <c r="E871" s="81"/>
      <c r="F871" s="81"/>
      <c r="G871" s="81"/>
      <c r="H871" s="81"/>
      <c r="I871" s="82"/>
      <c r="J871" s="88"/>
      <c r="K871" s="89"/>
      <c r="L871" s="88"/>
      <c r="M871" s="89"/>
      <c r="N871" s="80"/>
      <c r="O871" s="82"/>
      <c r="P871" s="94"/>
      <c r="Q871" s="95"/>
      <c r="S871" s="99"/>
      <c r="T871" s="99"/>
      <c r="U871" s="99"/>
      <c r="V871" s="99"/>
      <c r="W871" s="99"/>
      <c r="X871" s="99"/>
      <c r="Y871" s="99"/>
      <c r="Z871" s="99"/>
      <c r="AA871" s="99"/>
      <c r="AB871" s="99"/>
      <c r="AC871" s="98"/>
      <c r="AD871" s="98"/>
      <c r="AE871" s="98"/>
      <c r="AF871" s="98"/>
      <c r="AG871" s="98"/>
      <c r="AH871" s="98"/>
    </row>
    <row r="872" spans="2:34" x14ac:dyDescent="0.25">
      <c r="B872" s="75"/>
      <c r="C872" s="76"/>
      <c r="D872" s="83"/>
      <c r="E872" s="84"/>
      <c r="F872" s="84"/>
      <c r="G872" s="84"/>
      <c r="H872" s="84"/>
      <c r="I872" s="85"/>
      <c r="J872" s="90"/>
      <c r="K872" s="91"/>
      <c r="L872" s="90"/>
      <c r="M872" s="91"/>
      <c r="N872" s="83"/>
      <c r="O872" s="85"/>
      <c r="P872" s="96"/>
      <c r="Q872" s="97"/>
      <c r="S872" s="99"/>
      <c r="T872" s="99"/>
      <c r="U872" s="99"/>
      <c r="V872" s="99"/>
      <c r="W872" s="99"/>
      <c r="X872" s="99"/>
      <c r="Y872" s="99"/>
      <c r="Z872" s="99"/>
      <c r="AA872" s="99"/>
      <c r="AB872" s="99"/>
      <c r="AC872" s="98"/>
      <c r="AD872" s="98"/>
      <c r="AE872" s="98"/>
      <c r="AF872" s="98"/>
      <c r="AG872" s="98"/>
      <c r="AH872" s="98"/>
    </row>
  </sheetData>
  <mergeCells count="3480">
    <mergeCell ref="AC870:AD872"/>
    <mergeCell ref="AE870:AF872"/>
    <mergeCell ref="AG870:AH872"/>
    <mergeCell ref="B870:C872"/>
    <mergeCell ref="D870:I872"/>
    <mergeCell ref="J870:K872"/>
    <mergeCell ref="L870:M872"/>
    <mergeCell ref="N870:O872"/>
    <mergeCell ref="P870:Q872"/>
    <mergeCell ref="S870:T872"/>
    <mergeCell ref="U870:Z872"/>
    <mergeCell ref="AA870:AB872"/>
    <mergeCell ref="AC864:AD866"/>
    <mergeCell ref="AE864:AF866"/>
    <mergeCell ref="AG864:AH866"/>
    <mergeCell ref="B867:C869"/>
    <mergeCell ref="D867:I869"/>
    <mergeCell ref="J867:K869"/>
    <mergeCell ref="L867:M869"/>
    <mergeCell ref="N867:O869"/>
    <mergeCell ref="P867:Q869"/>
    <mergeCell ref="S867:T869"/>
    <mergeCell ref="U867:Z869"/>
    <mergeCell ref="AA867:AB869"/>
    <mergeCell ref="AC867:AD869"/>
    <mergeCell ref="AE867:AF869"/>
    <mergeCell ref="AG867:AH869"/>
    <mergeCell ref="B864:C866"/>
    <mergeCell ref="D864:I866"/>
    <mergeCell ref="J864:K866"/>
    <mergeCell ref="L864:M866"/>
    <mergeCell ref="N864:O866"/>
    <mergeCell ref="P864:Q866"/>
    <mergeCell ref="S864:T866"/>
    <mergeCell ref="U864:Z866"/>
    <mergeCell ref="AA864:AB866"/>
    <mergeCell ref="AC858:AD860"/>
    <mergeCell ref="AE858:AF860"/>
    <mergeCell ref="AG858:AH860"/>
    <mergeCell ref="B861:C863"/>
    <mergeCell ref="D861:I863"/>
    <mergeCell ref="J861:K863"/>
    <mergeCell ref="L861:M863"/>
    <mergeCell ref="N861:O863"/>
    <mergeCell ref="P861:Q863"/>
    <mergeCell ref="S861:T863"/>
    <mergeCell ref="U861:Z863"/>
    <mergeCell ref="AA861:AB863"/>
    <mergeCell ref="AC861:AD863"/>
    <mergeCell ref="AE861:AF863"/>
    <mergeCell ref="AG861:AH863"/>
    <mergeCell ref="B858:C860"/>
    <mergeCell ref="D858:I860"/>
    <mergeCell ref="J858:K860"/>
    <mergeCell ref="L858:M860"/>
    <mergeCell ref="N858:O860"/>
    <mergeCell ref="P858:Q860"/>
    <mergeCell ref="S858:T860"/>
    <mergeCell ref="U858:Z860"/>
    <mergeCell ref="AA858:AB860"/>
    <mergeCell ref="AC852:AD854"/>
    <mergeCell ref="AE852:AF854"/>
    <mergeCell ref="AG852:AH854"/>
    <mergeCell ref="B855:C857"/>
    <mergeCell ref="D855:I857"/>
    <mergeCell ref="J855:K857"/>
    <mergeCell ref="L855:M857"/>
    <mergeCell ref="N855:O857"/>
    <mergeCell ref="P855:Q857"/>
    <mergeCell ref="S855:T857"/>
    <mergeCell ref="U855:Z857"/>
    <mergeCell ref="AA855:AB857"/>
    <mergeCell ref="AC855:AD857"/>
    <mergeCell ref="AE855:AF857"/>
    <mergeCell ref="AG855:AH857"/>
    <mergeCell ref="B852:C854"/>
    <mergeCell ref="D852:I854"/>
    <mergeCell ref="J852:K854"/>
    <mergeCell ref="L852:M854"/>
    <mergeCell ref="N852:O854"/>
    <mergeCell ref="P852:Q854"/>
    <mergeCell ref="S852:T854"/>
    <mergeCell ref="U852:Z854"/>
    <mergeCell ref="AA852:AB854"/>
    <mergeCell ref="AC846:AD848"/>
    <mergeCell ref="AE846:AF848"/>
    <mergeCell ref="AG846:AH848"/>
    <mergeCell ref="B849:C851"/>
    <mergeCell ref="D849:I851"/>
    <mergeCell ref="J849:K851"/>
    <mergeCell ref="L849:M851"/>
    <mergeCell ref="N849:O851"/>
    <mergeCell ref="P849:Q851"/>
    <mergeCell ref="S849:T851"/>
    <mergeCell ref="U849:Z851"/>
    <mergeCell ref="AA849:AB851"/>
    <mergeCell ref="AC849:AD851"/>
    <mergeCell ref="AE849:AF851"/>
    <mergeCell ref="AG849:AH851"/>
    <mergeCell ref="B846:C848"/>
    <mergeCell ref="D846:I848"/>
    <mergeCell ref="J846:K848"/>
    <mergeCell ref="L846:M848"/>
    <mergeCell ref="N846:O848"/>
    <mergeCell ref="P846:Q848"/>
    <mergeCell ref="S846:T848"/>
    <mergeCell ref="U846:Z848"/>
    <mergeCell ref="AA846:AB848"/>
    <mergeCell ref="AC840:AD842"/>
    <mergeCell ref="AE840:AF842"/>
    <mergeCell ref="AG840:AH842"/>
    <mergeCell ref="B843:C845"/>
    <mergeCell ref="D843:I845"/>
    <mergeCell ref="J843:K845"/>
    <mergeCell ref="L843:M845"/>
    <mergeCell ref="N843:O845"/>
    <mergeCell ref="P843:Q845"/>
    <mergeCell ref="S843:T845"/>
    <mergeCell ref="U843:Z845"/>
    <mergeCell ref="AA843:AB845"/>
    <mergeCell ref="AC843:AD845"/>
    <mergeCell ref="AE843:AF845"/>
    <mergeCell ref="AG843:AH845"/>
    <mergeCell ref="B840:C842"/>
    <mergeCell ref="D840:I842"/>
    <mergeCell ref="J840:K842"/>
    <mergeCell ref="L840:M842"/>
    <mergeCell ref="N840:O842"/>
    <mergeCell ref="P840:Q842"/>
    <mergeCell ref="S840:T842"/>
    <mergeCell ref="U840:Z842"/>
    <mergeCell ref="AA840:AB842"/>
    <mergeCell ref="AC834:AD836"/>
    <mergeCell ref="AE834:AF836"/>
    <mergeCell ref="AG834:AH836"/>
    <mergeCell ref="B837:C839"/>
    <mergeCell ref="D837:I839"/>
    <mergeCell ref="J837:K839"/>
    <mergeCell ref="L837:M839"/>
    <mergeCell ref="N837:O839"/>
    <mergeCell ref="P837:Q839"/>
    <mergeCell ref="S837:T839"/>
    <mergeCell ref="U837:Z839"/>
    <mergeCell ref="AA837:AB839"/>
    <mergeCell ref="AC837:AD839"/>
    <mergeCell ref="AE837:AF839"/>
    <mergeCell ref="AG837:AH839"/>
    <mergeCell ref="B834:C836"/>
    <mergeCell ref="D834:I836"/>
    <mergeCell ref="J834:K836"/>
    <mergeCell ref="L834:M836"/>
    <mergeCell ref="N834:O836"/>
    <mergeCell ref="P834:Q836"/>
    <mergeCell ref="S834:T836"/>
    <mergeCell ref="U834:Z836"/>
    <mergeCell ref="AA834:AB836"/>
    <mergeCell ref="AC828:AD830"/>
    <mergeCell ref="AE828:AF830"/>
    <mergeCell ref="AG828:AH830"/>
    <mergeCell ref="B831:C833"/>
    <mergeCell ref="D831:I833"/>
    <mergeCell ref="J831:K833"/>
    <mergeCell ref="L831:M833"/>
    <mergeCell ref="N831:O833"/>
    <mergeCell ref="P831:Q833"/>
    <mergeCell ref="S831:T833"/>
    <mergeCell ref="U831:Z833"/>
    <mergeCell ref="AA831:AB833"/>
    <mergeCell ref="AC831:AD833"/>
    <mergeCell ref="AE831:AF833"/>
    <mergeCell ref="AG831:AH833"/>
    <mergeCell ref="B828:C830"/>
    <mergeCell ref="D828:I830"/>
    <mergeCell ref="J828:K830"/>
    <mergeCell ref="L828:M830"/>
    <mergeCell ref="N828:O830"/>
    <mergeCell ref="P828:Q830"/>
    <mergeCell ref="S828:T830"/>
    <mergeCell ref="U828:Z830"/>
    <mergeCell ref="AA828:AB830"/>
    <mergeCell ref="AC822:AD824"/>
    <mergeCell ref="AE822:AF824"/>
    <mergeCell ref="AG822:AH824"/>
    <mergeCell ref="B825:C827"/>
    <mergeCell ref="D825:I827"/>
    <mergeCell ref="J825:K827"/>
    <mergeCell ref="L825:M827"/>
    <mergeCell ref="N825:O827"/>
    <mergeCell ref="P825:Q827"/>
    <mergeCell ref="S825:T827"/>
    <mergeCell ref="U825:Z827"/>
    <mergeCell ref="AA825:AB827"/>
    <mergeCell ref="AC825:AD827"/>
    <mergeCell ref="AE825:AF827"/>
    <mergeCell ref="AG825:AH827"/>
    <mergeCell ref="B822:C824"/>
    <mergeCell ref="D822:I824"/>
    <mergeCell ref="J822:K824"/>
    <mergeCell ref="L822:M824"/>
    <mergeCell ref="N822:O824"/>
    <mergeCell ref="P822:Q824"/>
    <mergeCell ref="S822:T824"/>
    <mergeCell ref="U822:Z824"/>
    <mergeCell ref="AA822:AB824"/>
    <mergeCell ref="AC816:AD818"/>
    <mergeCell ref="AE816:AF818"/>
    <mergeCell ref="AG816:AH818"/>
    <mergeCell ref="B819:C821"/>
    <mergeCell ref="D819:I821"/>
    <mergeCell ref="J819:K821"/>
    <mergeCell ref="L819:M821"/>
    <mergeCell ref="N819:O821"/>
    <mergeCell ref="P819:Q821"/>
    <mergeCell ref="S819:T821"/>
    <mergeCell ref="U819:Z821"/>
    <mergeCell ref="AA819:AB821"/>
    <mergeCell ref="AC819:AD821"/>
    <mergeCell ref="AE819:AF821"/>
    <mergeCell ref="AG819:AH821"/>
    <mergeCell ref="B816:C818"/>
    <mergeCell ref="D816:I818"/>
    <mergeCell ref="J816:K818"/>
    <mergeCell ref="L816:M818"/>
    <mergeCell ref="N816:O818"/>
    <mergeCell ref="P816:Q818"/>
    <mergeCell ref="S816:T818"/>
    <mergeCell ref="U816:Z818"/>
    <mergeCell ref="AA816:AB818"/>
    <mergeCell ref="AC810:AD812"/>
    <mergeCell ref="AE810:AF812"/>
    <mergeCell ref="AG810:AH812"/>
    <mergeCell ref="B813:C815"/>
    <mergeCell ref="D813:I815"/>
    <mergeCell ref="J813:K815"/>
    <mergeCell ref="L813:M815"/>
    <mergeCell ref="N813:O815"/>
    <mergeCell ref="P813:Q815"/>
    <mergeCell ref="S813:T815"/>
    <mergeCell ref="U813:Z815"/>
    <mergeCell ref="AA813:AB815"/>
    <mergeCell ref="AC813:AD815"/>
    <mergeCell ref="AE813:AF815"/>
    <mergeCell ref="AG813:AH815"/>
    <mergeCell ref="B810:C812"/>
    <mergeCell ref="D810:I812"/>
    <mergeCell ref="J810:K812"/>
    <mergeCell ref="L810:M812"/>
    <mergeCell ref="N810:O812"/>
    <mergeCell ref="P810:Q812"/>
    <mergeCell ref="S810:T812"/>
    <mergeCell ref="U810:Z812"/>
    <mergeCell ref="AA810:AB812"/>
    <mergeCell ref="AC804:AD806"/>
    <mergeCell ref="AE804:AF806"/>
    <mergeCell ref="AG804:AH806"/>
    <mergeCell ref="B807:C809"/>
    <mergeCell ref="D807:I809"/>
    <mergeCell ref="J807:K809"/>
    <mergeCell ref="L807:M809"/>
    <mergeCell ref="N807:O809"/>
    <mergeCell ref="P807:Q809"/>
    <mergeCell ref="S807:T809"/>
    <mergeCell ref="U807:Z809"/>
    <mergeCell ref="AA807:AB809"/>
    <mergeCell ref="AC807:AD809"/>
    <mergeCell ref="AE807:AF809"/>
    <mergeCell ref="AG807:AH809"/>
    <mergeCell ref="B804:C806"/>
    <mergeCell ref="D804:I806"/>
    <mergeCell ref="J804:K806"/>
    <mergeCell ref="L804:M806"/>
    <mergeCell ref="N804:O806"/>
    <mergeCell ref="P804:Q806"/>
    <mergeCell ref="S804:T806"/>
    <mergeCell ref="U804:Z806"/>
    <mergeCell ref="AA804:AB806"/>
    <mergeCell ref="AC798:AD800"/>
    <mergeCell ref="AE798:AF800"/>
    <mergeCell ref="AG798:AH800"/>
    <mergeCell ref="B801:C803"/>
    <mergeCell ref="D801:I803"/>
    <mergeCell ref="J801:K803"/>
    <mergeCell ref="L801:M803"/>
    <mergeCell ref="N801:O803"/>
    <mergeCell ref="P801:Q803"/>
    <mergeCell ref="S801:T803"/>
    <mergeCell ref="U801:Z803"/>
    <mergeCell ref="AA801:AB803"/>
    <mergeCell ref="AC801:AD803"/>
    <mergeCell ref="AE801:AF803"/>
    <mergeCell ref="AG801:AH803"/>
    <mergeCell ref="B798:C800"/>
    <mergeCell ref="D798:I800"/>
    <mergeCell ref="J798:K800"/>
    <mergeCell ref="L798:M800"/>
    <mergeCell ref="N798:O800"/>
    <mergeCell ref="P798:Q800"/>
    <mergeCell ref="S798:T800"/>
    <mergeCell ref="U798:Z800"/>
    <mergeCell ref="AA798:AB800"/>
    <mergeCell ref="AC792:AD794"/>
    <mergeCell ref="AE792:AF794"/>
    <mergeCell ref="AG792:AH794"/>
    <mergeCell ref="B795:C797"/>
    <mergeCell ref="D795:I797"/>
    <mergeCell ref="J795:K797"/>
    <mergeCell ref="L795:M797"/>
    <mergeCell ref="N795:O797"/>
    <mergeCell ref="P795:Q797"/>
    <mergeCell ref="S795:T797"/>
    <mergeCell ref="U795:Z797"/>
    <mergeCell ref="AA795:AB797"/>
    <mergeCell ref="AC795:AD797"/>
    <mergeCell ref="AE795:AF797"/>
    <mergeCell ref="AG795:AH797"/>
    <mergeCell ref="B792:C794"/>
    <mergeCell ref="D792:I794"/>
    <mergeCell ref="J792:K794"/>
    <mergeCell ref="L792:M794"/>
    <mergeCell ref="N792:O794"/>
    <mergeCell ref="P792:Q794"/>
    <mergeCell ref="S792:T794"/>
    <mergeCell ref="U792:Z794"/>
    <mergeCell ref="AA792:AB794"/>
    <mergeCell ref="AC786:AD788"/>
    <mergeCell ref="AE786:AF788"/>
    <mergeCell ref="AG786:AH788"/>
    <mergeCell ref="B789:C791"/>
    <mergeCell ref="D789:I791"/>
    <mergeCell ref="J789:K791"/>
    <mergeCell ref="L789:M791"/>
    <mergeCell ref="N789:O791"/>
    <mergeCell ref="P789:Q791"/>
    <mergeCell ref="S789:T791"/>
    <mergeCell ref="U789:Z791"/>
    <mergeCell ref="AA789:AB791"/>
    <mergeCell ref="AC789:AD791"/>
    <mergeCell ref="AE789:AF791"/>
    <mergeCell ref="AG789:AH791"/>
    <mergeCell ref="B786:C788"/>
    <mergeCell ref="D786:I788"/>
    <mergeCell ref="J786:K788"/>
    <mergeCell ref="L786:M788"/>
    <mergeCell ref="N786:O788"/>
    <mergeCell ref="P786:Q788"/>
    <mergeCell ref="S786:T788"/>
    <mergeCell ref="U786:Z788"/>
    <mergeCell ref="AA786:AB788"/>
    <mergeCell ref="AC780:AD782"/>
    <mergeCell ref="AE780:AF782"/>
    <mergeCell ref="AG780:AH782"/>
    <mergeCell ref="B783:C785"/>
    <mergeCell ref="D783:I785"/>
    <mergeCell ref="J783:K785"/>
    <mergeCell ref="L783:M785"/>
    <mergeCell ref="N783:O785"/>
    <mergeCell ref="P783:Q785"/>
    <mergeCell ref="S783:T785"/>
    <mergeCell ref="U783:Z785"/>
    <mergeCell ref="AA783:AB785"/>
    <mergeCell ref="AC783:AD785"/>
    <mergeCell ref="AE783:AF785"/>
    <mergeCell ref="AG783:AH785"/>
    <mergeCell ref="B780:C782"/>
    <mergeCell ref="D780:I782"/>
    <mergeCell ref="J780:K782"/>
    <mergeCell ref="L780:M782"/>
    <mergeCell ref="N780:O782"/>
    <mergeCell ref="P780:Q782"/>
    <mergeCell ref="S780:T782"/>
    <mergeCell ref="U780:Z782"/>
    <mergeCell ref="AA780:AB782"/>
    <mergeCell ref="AC774:AD776"/>
    <mergeCell ref="AE774:AF776"/>
    <mergeCell ref="AG774:AH776"/>
    <mergeCell ref="B777:C779"/>
    <mergeCell ref="D777:I779"/>
    <mergeCell ref="J777:K779"/>
    <mergeCell ref="L777:M779"/>
    <mergeCell ref="N777:O779"/>
    <mergeCell ref="P777:Q779"/>
    <mergeCell ref="S777:T779"/>
    <mergeCell ref="U777:Z779"/>
    <mergeCell ref="AA777:AB779"/>
    <mergeCell ref="AC777:AD779"/>
    <mergeCell ref="AE777:AF779"/>
    <mergeCell ref="AG777:AH779"/>
    <mergeCell ref="B774:C776"/>
    <mergeCell ref="D774:I776"/>
    <mergeCell ref="J774:K776"/>
    <mergeCell ref="L774:M776"/>
    <mergeCell ref="N774:O776"/>
    <mergeCell ref="P774:Q776"/>
    <mergeCell ref="S774:T776"/>
    <mergeCell ref="U774:Z776"/>
    <mergeCell ref="AA774:AB776"/>
    <mergeCell ref="AC768:AD770"/>
    <mergeCell ref="AE768:AF770"/>
    <mergeCell ref="AG768:AH770"/>
    <mergeCell ref="B771:C773"/>
    <mergeCell ref="D771:I773"/>
    <mergeCell ref="J771:K773"/>
    <mergeCell ref="L771:M773"/>
    <mergeCell ref="N771:O773"/>
    <mergeCell ref="P771:Q773"/>
    <mergeCell ref="S771:T773"/>
    <mergeCell ref="U771:Z773"/>
    <mergeCell ref="AA771:AB773"/>
    <mergeCell ref="AC771:AD773"/>
    <mergeCell ref="AE771:AF773"/>
    <mergeCell ref="AG771:AH773"/>
    <mergeCell ref="B768:C770"/>
    <mergeCell ref="D768:I770"/>
    <mergeCell ref="J768:K770"/>
    <mergeCell ref="L768:M770"/>
    <mergeCell ref="N768:O770"/>
    <mergeCell ref="P768:Q770"/>
    <mergeCell ref="S768:T770"/>
    <mergeCell ref="U768:Z770"/>
    <mergeCell ref="AA768:AB770"/>
    <mergeCell ref="AC762:AD764"/>
    <mergeCell ref="AE762:AF764"/>
    <mergeCell ref="AG762:AH764"/>
    <mergeCell ref="B765:C767"/>
    <mergeCell ref="D765:I767"/>
    <mergeCell ref="J765:K767"/>
    <mergeCell ref="L765:M767"/>
    <mergeCell ref="N765:O767"/>
    <mergeCell ref="P765:Q767"/>
    <mergeCell ref="S765:T767"/>
    <mergeCell ref="U765:Z767"/>
    <mergeCell ref="AA765:AB767"/>
    <mergeCell ref="AC765:AD767"/>
    <mergeCell ref="AE765:AF767"/>
    <mergeCell ref="AG765:AH767"/>
    <mergeCell ref="B762:C764"/>
    <mergeCell ref="D762:I764"/>
    <mergeCell ref="J762:K764"/>
    <mergeCell ref="L762:M764"/>
    <mergeCell ref="N762:O764"/>
    <mergeCell ref="P762:Q764"/>
    <mergeCell ref="S762:T764"/>
    <mergeCell ref="U762:Z764"/>
    <mergeCell ref="AA762:AB764"/>
    <mergeCell ref="AC756:AD758"/>
    <mergeCell ref="AE756:AF758"/>
    <mergeCell ref="AG756:AH758"/>
    <mergeCell ref="B759:C761"/>
    <mergeCell ref="D759:I761"/>
    <mergeCell ref="J759:K761"/>
    <mergeCell ref="L759:M761"/>
    <mergeCell ref="N759:O761"/>
    <mergeCell ref="P759:Q761"/>
    <mergeCell ref="S759:T761"/>
    <mergeCell ref="U759:Z761"/>
    <mergeCell ref="AA759:AB761"/>
    <mergeCell ref="AC759:AD761"/>
    <mergeCell ref="AE759:AF761"/>
    <mergeCell ref="AG759:AH761"/>
    <mergeCell ref="B756:C758"/>
    <mergeCell ref="D756:I758"/>
    <mergeCell ref="J756:K758"/>
    <mergeCell ref="L756:M758"/>
    <mergeCell ref="N756:O758"/>
    <mergeCell ref="P756:Q758"/>
    <mergeCell ref="S756:T758"/>
    <mergeCell ref="U756:Z758"/>
    <mergeCell ref="AA756:AB758"/>
    <mergeCell ref="AC750:AD752"/>
    <mergeCell ref="AE750:AF752"/>
    <mergeCell ref="AG750:AH752"/>
    <mergeCell ref="B753:C755"/>
    <mergeCell ref="D753:I755"/>
    <mergeCell ref="J753:K755"/>
    <mergeCell ref="L753:M755"/>
    <mergeCell ref="N753:O755"/>
    <mergeCell ref="P753:Q755"/>
    <mergeCell ref="S753:T755"/>
    <mergeCell ref="U753:Z755"/>
    <mergeCell ref="AA753:AB755"/>
    <mergeCell ref="AC753:AD755"/>
    <mergeCell ref="AE753:AF755"/>
    <mergeCell ref="AG753:AH755"/>
    <mergeCell ref="B750:C752"/>
    <mergeCell ref="D750:I752"/>
    <mergeCell ref="J750:K752"/>
    <mergeCell ref="L750:M752"/>
    <mergeCell ref="N750:O752"/>
    <mergeCell ref="P750:Q752"/>
    <mergeCell ref="S750:T752"/>
    <mergeCell ref="U750:Z752"/>
    <mergeCell ref="AA750:AB752"/>
    <mergeCell ref="AC744:AD746"/>
    <mergeCell ref="AE744:AF746"/>
    <mergeCell ref="AG744:AH746"/>
    <mergeCell ref="B747:C749"/>
    <mergeCell ref="D747:I749"/>
    <mergeCell ref="J747:K749"/>
    <mergeCell ref="L747:M749"/>
    <mergeCell ref="N747:O749"/>
    <mergeCell ref="P747:Q749"/>
    <mergeCell ref="S747:T749"/>
    <mergeCell ref="U747:Z749"/>
    <mergeCell ref="AA747:AB749"/>
    <mergeCell ref="AC747:AD749"/>
    <mergeCell ref="AE747:AF749"/>
    <mergeCell ref="AG747:AH749"/>
    <mergeCell ref="B744:C746"/>
    <mergeCell ref="D744:I746"/>
    <mergeCell ref="J744:K746"/>
    <mergeCell ref="L744:M746"/>
    <mergeCell ref="N744:O746"/>
    <mergeCell ref="P744:Q746"/>
    <mergeCell ref="S744:T746"/>
    <mergeCell ref="U744:Z746"/>
    <mergeCell ref="AA744:AB746"/>
    <mergeCell ref="AC738:AD740"/>
    <mergeCell ref="AE738:AF740"/>
    <mergeCell ref="AG738:AH740"/>
    <mergeCell ref="B741:C743"/>
    <mergeCell ref="D741:I743"/>
    <mergeCell ref="J741:K743"/>
    <mergeCell ref="L741:M743"/>
    <mergeCell ref="N741:O743"/>
    <mergeCell ref="P741:Q743"/>
    <mergeCell ref="S741:T743"/>
    <mergeCell ref="U741:Z743"/>
    <mergeCell ref="AA741:AB743"/>
    <mergeCell ref="AC741:AD743"/>
    <mergeCell ref="AE741:AF743"/>
    <mergeCell ref="AG741:AH743"/>
    <mergeCell ref="B738:C740"/>
    <mergeCell ref="D738:I740"/>
    <mergeCell ref="J738:K740"/>
    <mergeCell ref="L738:M740"/>
    <mergeCell ref="N738:O740"/>
    <mergeCell ref="P738:Q740"/>
    <mergeCell ref="S738:T740"/>
    <mergeCell ref="U738:Z740"/>
    <mergeCell ref="AA738:AB740"/>
    <mergeCell ref="AC732:AD734"/>
    <mergeCell ref="AE732:AF734"/>
    <mergeCell ref="AG732:AH734"/>
    <mergeCell ref="B735:C737"/>
    <mergeCell ref="D735:I737"/>
    <mergeCell ref="J735:K737"/>
    <mergeCell ref="L735:M737"/>
    <mergeCell ref="N735:O737"/>
    <mergeCell ref="P735:Q737"/>
    <mergeCell ref="S735:T737"/>
    <mergeCell ref="U735:Z737"/>
    <mergeCell ref="AA735:AB737"/>
    <mergeCell ref="AC735:AD737"/>
    <mergeCell ref="AE735:AF737"/>
    <mergeCell ref="AG735:AH737"/>
    <mergeCell ref="B732:C734"/>
    <mergeCell ref="D732:I734"/>
    <mergeCell ref="J732:K734"/>
    <mergeCell ref="L732:M734"/>
    <mergeCell ref="N732:O734"/>
    <mergeCell ref="P732:Q734"/>
    <mergeCell ref="S732:T734"/>
    <mergeCell ref="U732:Z734"/>
    <mergeCell ref="AA732:AB734"/>
    <mergeCell ref="AC726:AD728"/>
    <mergeCell ref="AE726:AF728"/>
    <mergeCell ref="AG726:AH728"/>
    <mergeCell ref="B729:C731"/>
    <mergeCell ref="D729:I731"/>
    <mergeCell ref="J729:K731"/>
    <mergeCell ref="L729:M731"/>
    <mergeCell ref="N729:O731"/>
    <mergeCell ref="P729:Q731"/>
    <mergeCell ref="S729:T731"/>
    <mergeCell ref="U729:Z731"/>
    <mergeCell ref="AA729:AB731"/>
    <mergeCell ref="AC729:AD731"/>
    <mergeCell ref="AE729:AF731"/>
    <mergeCell ref="AG729:AH731"/>
    <mergeCell ref="B726:C728"/>
    <mergeCell ref="D726:I728"/>
    <mergeCell ref="J726:K728"/>
    <mergeCell ref="L726:M728"/>
    <mergeCell ref="N726:O728"/>
    <mergeCell ref="P726:Q728"/>
    <mergeCell ref="S726:T728"/>
    <mergeCell ref="U726:Z728"/>
    <mergeCell ref="AA726:AB728"/>
    <mergeCell ref="AC720:AD722"/>
    <mergeCell ref="AE720:AF722"/>
    <mergeCell ref="AG720:AH722"/>
    <mergeCell ref="B723:C725"/>
    <mergeCell ref="D723:I725"/>
    <mergeCell ref="J723:K725"/>
    <mergeCell ref="L723:M725"/>
    <mergeCell ref="N723:O725"/>
    <mergeCell ref="P723:Q725"/>
    <mergeCell ref="S723:T725"/>
    <mergeCell ref="U723:Z725"/>
    <mergeCell ref="AA723:AB725"/>
    <mergeCell ref="AC723:AD725"/>
    <mergeCell ref="AE723:AF725"/>
    <mergeCell ref="AG723:AH725"/>
    <mergeCell ref="B720:C722"/>
    <mergeCell ref="D720:I722"/>
    <mergeCell ref="J720:K722"/>
    <mergeCell ref="L720:M722"/>
    <mergeCell ref="N720:O722"/>
    <mergeCell ref="P720:Q722"/>
    <mergeCell ref="S720:T722"/>
    <mergeCell ref="U720:Z722"/>
    <mergeCell ref="AA720:AB722"/>
    <mergeCell ref="AC714:AD716"/>
    <mergeCell ref="AE714:AF716"/>
    <mergeCell ref="AG714:AH716"/>
    <mergeCell ref="B717:C719"/>
    <mergeCell ref="D717:I719"/>
    <mergeCell ref="J717:K719"/>
    <mergeCell ref="L717:M719"/>
    <mergeCell ref="N717:O719"/>
    <mergeCell ref="P717:Q719"/>
    <mergeCell ref="S717:T719"/>
    <mergeCell ref="U717:Z719"/>
    <mergeCell ref="AA717:AB719"/>
    <mergeCell ref="AC717:AD719"/>
    <mergeCell ref="AE717:AF719"/>
    <mergeCell ref="AG717:AH719"/>
    <mergeCell ref="B714:C716"/>
    <mergeCell ref="D714:I716"/>
    <mergeCell ref="J714:K716"/>
    <mergeCell ref="L714:M716"/>
    <mergeCell ref="N714:O716"/>
    <mergeCell ref="P714:Q716"/>
    <mergeCell ref="S714:T716"/>
    <mergeCell ref="U714:Z716"/>
    <mergeCell ref="AA714:AB716"/>
    <mergeCell ref="AC708:AD710"/>
    <mergeCell ref="AE708:AF710"/>
    <mergeCell ref="AG708:AH710"/>
    <mergeCell ref="B711:C713"/>
    <mergeCell ref="D711:I713"/>
    <mergeCell ref="J711:K713"/>
    <mergeCell ref="L711:M713"/>
    <mergeCell ref="N711:O713"/>
    <mergeCell ref="P711:Q713"/>
    <mergeCell ref="S711:T713"/>
    <mergeCell ref="U711:Z713"/>
    <mergeCell ref="AA711:AB713"/>
    <mergeCell ref="AC711:AD713"/>
    <mergeCell ref="AE711:AF713"/>
    <mergeCell ref="AG711:AH713"/>
    <mergeCell ref="B708:C710"/>
    <mergeCell ref="D708:I710"/>
    <mergeCell ref="J708:K710"/>
    <mergeCell ref="L708:M710"/>
    <mergeCell ref="N708:O710"/>
    <mergeCell ref="P708:Q710"/>
    <mergeCell ref="S708:T710"/>
    <mergeCell ref="U708:Z710"/>
    <mergeCell ref="AA708:AB710"/>
    <mergeCell ref="AC702:AD704"/>
    <mergeCell ref="AE702:AF704"/>
    <mergeCell ref="AG702:AH704"/>
    <mergeCell ref="B705:C707"/>
    <mergeCell ref="D705:I707"/>
    <mergeCell ref="J705:K707"/>
    <mergeCell ref="L705:M707"/>
    <mergeCell ref="N705:O707"/>
    <mergeCell ref="P705:Q707"/>
    <mergeCell ref="S705:T707"/>
    <mergeCell ref="U705:Z707"/>
    <mergeCell ref="AA705:AB707"/>
    <mergeCell ref="AC705:AD707"/>
    <mergeCell ref="AE705:AF707"/>
    <mergeCell ref="AG705:AH707"/>
    <mergeCell ref="B702:C704"/>
    <mergeCell ref="D702:I704"/>
    <mergeCell ref="J702:K704"/>
    <mergeCell ref="L702:M704"/>
    <mergeCell ref="N702:O704"/>
    <mergeCell ref="P702:Q704"/>
    <mergeCell ref="S702:T704"/>
    <mergeCell ref="U702:Z704"/>
    <mergeCell ref="AA702:AB704"/>
    <mergeCell ref="AC696:AD698"/>
    <mergeCell ref="AE696:AF698"/>
    <mergeCell ref="AG696:AH698"/>
    <mergeCell ref="B699:C701"/>
    <mergeCell ref="D699:I701"/>
    <mergeCell ref="J699:K701"/>
    <mergeCell ref="L699:M701"/>
    <mergeCell ref="N699:O701"/>
    <mergeCell ref="P699:Q701"/>
    <mergeCell ref="S699:T701"/>
    <mergeCell ref="U699:Z701"/>
    <mergeCell ref="AA699:AB701"/>
    <mergeCell ref="AC699:AD701"/>
    <mergeCell ref="AE699:AF701"/>
    <mergeCell ref="AG699:AH701"/>
    <mergeCell ref="B696:C698"/>
    <mergeCell ref="D696:I698"/>
    <mergeCell ref="J696:K698"/>
    <mergeCell ref="L696:M698"/>
    <mergeCell ref="N696:O698"/>
    <mergeCell ref="P696:Q698"/>
    <mergeCell ref="S696:T698"/>
    <mergeCell ref="U696:Z698"/>
    <mergeCell ref="AA696:AB698"/>
    <mergeCell ref="AC690:AD692"/>
    <mergeCell ref="AE690:AF692"/>
    <mergeCell ref="AG690:AH692"/>
    <mergeCell ref="B693:C695"/>
    <mergeCell ref="D693:I695"/>
    <mergeCell ref="J693:K695"/>
    <mergeCell ref="L693:M695"/>
    <mergeCell ref="N693:O695"/>
    <mergeCell ref="P693:Q695"/>
    <mergeCell ref="S693:T695"/>
    <mergeCell ref="U693:Z695"/>
    <mergeCell ref="AA693:AB695"/>
    <mergeCell ref="AC693:AD695"/>
    <mergeCell ref="AE693:AF695"/>
    <mergeCell ref="AG693:AH695"/>
    <mergeCell ref="B690:C692"/>
    <mergeCell ref="D690:I692"/>
    <mergeCell ref="J690:K692"/>
    <mergeCell ref="L690:M692"/>
    <mergeCell ref="N690:O692"/>
    <mergeCell ref="P690:Q692"/>
    <mergeCell ref="S690:T692"/>
    <mergeCell ref="U690:Z692"/>
    <mergeCell ref="AA690:AB692"/>
    <mergeCell ref="AC684:AD686"/>
    <mergeCell ref="AE684:AF686"/>
    <mergeCell ref="AG684:AH686"/>
    <mergeCell ref="B687:C689"/>
    <mergeCell ref="D687:I689"/>
    <mergeCell ref="J687:K689"/>
    <mergeCell ref="L687:M689"/>
    <mergeCell ref="N687:O689"/>
    <mergeCell ref="P687:Q689"/>
    <mergeCell ref="S687:T689"/>
    <mergeCell ref="U687:Z689"/>
    <mergeCell ref="AA687:AB689"/>
    <mergeCell ref="AC687:AD689"/>
    <mergeCell ref="AE687:AF689"/>
    <mergeCell ref="AG687:AH689"/>
    <mergeCell ref="B684:C686"/>
    <mergeCell ref="D684:I686"/>
    <mergeCell ref="J684:K686"/>
    <mergeCell ref="L684:M686"/>
    <mergeCell ref="N684:O686"/>
    <mergeCell ref="P684:Q686"/>
    <mergeCell ref="S684:T686"/>
    <mergeCell ref="U684:Z686"/>
    <mergeCell ref="AA684:AB686"/>
    <mergeCell ref="AC678:AD680"/>
    <mergeCell ref="AE678:AF680"/>
    <mergeCell ref="AG678:AH680"/>
    <mergeCell ref="B681:C683"/>
    <mergeCell ref="D681:I683"/>
    <mergeCell ref="J681:K683"/>
    <mergeCell ref="L681:M683"/>
    <mergeCell ref="N681:O683"/>
    <mergeCell ref="P681:Q683"/>
    <mergeCell ref="S681:T683"/>
    <mergeCell ref="U681:Z683"/>
    <mergeCell ref="AA681:AB683"/>
    <mergeCell ref="AC681:AD683"/>
    <mergeCell ref="AE681:AF683"/>
    <mergeCell ref="AG681:AH683"/>
    <mergeCell ref="B678:C680"/>
    <mergeCell ref="D678:I680"/>
    <mergeCell ref="J678:K680"/>
    <mergeCell ref="L678:M680"/>
    <mergeCell ref="N678:O680"/>
    <mergeCell ref="P678:Q680"/>
    <mergeCell ref="S678:T680"/>
    <mergeCell ref="U678:Z680"/>
    <mergeCell ref="AA678:AB680"/>
    <mergeCell ref="AC672:AD674"/>
    <mergeCell ref="AE672:AF674"/>
    <mergeCell ref="AG672:AH674"/>
    <mergeCell ref="B675:C677"/>
    <mergeCell ref="D675:I677"/>
    <mergeCell ref="J675:K677"/>
    <mergeCell ref="L675:M677"/>
    <mergeCell ref="N675:O677"/>
    <mergeCell ref="P675:Q677"/>
    <mergeCell ref="S675:T677"/>
    <mergeCell ref="U675:Z677"/>
    <mergeCell ref="AA675:AB677"/>
    <mergeCell ref="AC675:AD677"/>
    <mergeCell ref="AE675:AF677"/>
    <mergeCell ref="AG675:AH677"/>
    <mergeCell ref="B672:C674"/>
    <mergeCell ref="D672:I674"/>
    <mergeCell ref="J672:K674"/>
    <mergeCell ref="L672:M674"/>
    <mergeCell ref="N672:O674"/>
    <mergeCell ref="P672:Q674"/>
    <mergeCell ref="S672:T674"/>
    <mergeCell ref="U672:Z674"/>
    <mergeCell ref="AA672:AB674"/>
    <mergeCell ref="AC666:AD668"/>
    <mergeCell ref="AE666:AF668"/>
    <mergeCell ref="AG666:AH668"/>
    <mergeCell ref="B669:C671"/>
    <mergeCell ref="D669:I671"/>
    <mergeCell ref="J669:K671"/>
    <mergeCell ref="L669:M671"/>
    <mergeCell ref="N669:O671"/>
    <mergeCell ref="P669:Q671"/>
    <mergeCell ref="S669:T671"/>
    <mergeCell ref="U669:Z671"/>
    <mergeCell ref="AA669:AB671"/>
    <mergeCell ref="AC669:AD671"/>
    <mergeCell ref="AE669:AF671"/>
    <mergeCell ref="AG669:AH671"/>
    <mergeCell ref="B666:C668"/>
    <mergeCell ref="D666:I668"/>
    <mergeCell ref="J666:K668"/>
    <mergeCell ref="L666:M668"/>
    <mergeCell ref="N666:O668"/>
    <mergeCell ref="P666:Q668"/>
    <mergeCell ref="S666:T668"/>
    <mergeCell ref="U666:Z668"/>
    <mergeCell ref="AA666:AB668"/>
    <mergeCell ref="AC660:AD662"/>
    <mergeCell ref="AE660:AF662"/>
    <mergeCell ref="AG660:AH662"/>
    <mergeCell ref="B663:C665"/>
    <mergeCell ref="D663:I665"/>
    <mergeCell ref="J663:K665"/>
    <mergeCell ref="L663:M665"/>
    <mergeCell ref="N663:O665"/>
    <mergeCell ref="P663:Q665"/>
    <mergeCell ref="S663:T665"/>
    <mergeCell ref="U663:Z665"/>
    <mergeCell ref="AA663:AB665"/>
    <mergeCell ref="AC663:AD665"/>
    <mergeCell ref="AE663:AF665"/>
    <mergeCell ref="AG663:AH665"/>
    <mergeCell ref="B660:C662"/>
    <mergeCell ref="D660:I662"/>
    <mergeCell ref="J660:K662"/>
    <mergeCell ref="L660:M662"/>
    <mergeCell ref="N660:O662"/>
    <mergeCell ref="P660:Q662"/>
    <mergeCell ref="S660:T662"/>
    <mergeCell ref="U660:Z662"/>
    <mergeCell ref="AA660:AB662"/>
    <mergeCell ref="AC654:AD656"/>
    <mergeCell ref="AE654:AF656"/>
    <mergeCell ref="AG654:AH656"/>
    <mergeCell ref="B657:C659"/>
    <mergeCell ref="D657:I659"/>
    <mergeCell ref="J657:K659"/>
    <mergeCell ref="L657:M659"/>
    <mergeCell ref="N657:O659"/>
    <mergeCell ref="P657:Q659"/>
    <mergeCell ref="S657:T659"/>
    <mergeCell ref="U657:Z659"/>
    <mergeCell ref="AA657:AB659"/>
    <mergeCell ref="AC657:AD659"/>
    <mergeCell ref="AE657:AF659"/>
    <mergeCell ref="AG657:AH659"/>
    <mergeCell ref="B654:C656"/>
    <mergeCell ref="D654:I656"/>
    <mergeCell ref="J654:K656"/>
    <mergeCell ref="L654:M656"/>
    <mergeCell ref="N654:O656"/>
    <mergeCell ref="P654:Q656"/>
    <mergeCell ref="S654:T656"/>
    <mergeCell ref="U654:Z656"/>
    <mergeCell ref="AA654:AB656"/>
    <mergeCell ref="AC648:AD650"/>
    <mergeCell ref="AE648:AF650"/>
    <mergeCell ref="AG648:AH650"/>
    <mergeCell ref="B651:C653"/>
    <mergeCell ref="D651:I653"/>
    <mergeCell ref="J651:K653"/>
    <mergeCell ref="L651:M653"/>
    <mergeCell ref="N651:O653"/>
    <mergeCell ref="P651:Q653"/>
    <mergeCell ref="S651:T653"/>
    <mergeCell ref="U651:Z653"/>
    <mergeCell ref="AA651:AB653"/>
    <mergeCell ref="AC651:AD653"/>
    <mergeCell ref="AE651:AF653"/>
    <mergeCell ref="AG651:AH653"/>
    <mergeCell ref="B648:C650"/>
    <mergeCell ref="D648:I650"/>
    <mergeCell ref="J648:K650"/>
    <mergeCell ref="L648:M650"/>
    <mergeCell ref="N648:O650"/>
    <mergeCell ref="P648:Q650"/>
    <mergeCell ref="S648:T650"/>
    <mergeCell ref="U648:Z650"/>
    <mergeCell ref="AA648:AB650"/>
    <mergeCell ref="AC642:AD644"/>
    <mergeCell ref="AE642:AF644"/>
    <mergeCell ref="AG642:AH644"/>
    <mergeCell ref="B645:C647"/>
    <mergeCell ref="D645:I647"/>
    <mergeCell ref="J645:K647"/>
    <mergeCell ref="L645:M647"/>
    <mergeCell ref="N645:O647"/>
    <mergeCell ref="P645:Q647"/>
    <mergeCell ref="S645:T647"/>
    <mergeCell ref="U645:Z647"/>
    <mergeCell ref="AA645:AB647"/>
    <mergeCell ref="AC645:AD647"/>
    <mergeCell ref="AE645:AF647"/>
    <mergeCell ref="AG645:AH647"/>
    <mergeCell ref="B642:C644"/>
    <mergeCell ref="D642:I644"/>
    <mergeCell ref="J642:K644"/>
    <mergeCell ref="L642:M644"/>
    <mergeCell ref="N642:O644"/>
    <mergeCell ref="P642:Q644"/>
    <mergeCell ref="S642:T644"/>
    <mergeCell ref="U642:Z644"/>
    <mergeCell ref="AA642:AB644"/>
    <mergeCell ref="AC636:AD638"/>
    <mergeCell ref="AE636:AF638"/>
    <mergeCell ref="AG636:AH638"/>
    <mergeCell ref="B639:C641"/>
    <mergeCell ref="D639:I641"/>
    <mergeCell ref="J639:K641"/>
    <mergeCell ref="L639:M641"/>
    <mergeCell ref="N639:O641"/>
    <mergeCell ref="P639:Q641"/>
    <mergeCell ref="S639:T641"/>
    <mergeCell ref="U639:Z641"/>
    <mergeCell ref="AA639:AB641"/>
    <mergeCell ref="AC639:AD641"/>
    <mergeCell ref="AE639:AF641"/>
    <mergeCell ref="AG639:AH641"/>
    <mergeCell ref="B636:C638"/>
    <mergeCell ref="D636:I638"/>
    <mergeCell ref="J636:K638"/>
    <mergeCell ref="L636:M638"/>
    <mergeCell ref="N636:O638"/>
    <mergeCell ref="P636:Q638"/>
    <mergeCell ref="S636:T638"/>
    <mergeCell ref="U636:Z638"/>
    <mergeCell ref="AA636:AB638"/>
    <mergeCell ref="AC630:AD632"/>
    <mergeCell ref="AE630:AF632"/>
    <mergeCell ref="AG630:AH632"/>
    <mergeCell ref="B633:C635"/>
    <mergeCell ref="D633:I635"/>
    <mergeCell ref="J633:K635"/>
    <mergeCell ref="L633:M635"/>
    <mergeCell ref="N633:O635"/>
    <mergeCell ref="P633:Q635"/>
    <mergeCell ref="S633:T635"/>
    <mergeCell ref="U633:Z635"/>
    <mergeCell ref="AA633:AB635"/>
    <mergeCell ref="AC633:AD635"/>
    <mergeCell ref="AE633:AF635"/>
    <mergeCell ref="AG633:AH635"/>
    <mergeCell ref="B630:C632"/>
    <mergeCell ref="D630:I632"/>
    <mergeCell ref="J630:K632"/>
    <mergeCell ref="L630:M632"/>
    <mergeCell ref="N630:O632"/>
    <mergeCell ref="P630:Q632"/>
    <mergeCell ref="S630:T632"/>
    <mergeCell ref="U630:Z632"/>
    <mergeCell ref="AA630:AB632"/>
    <mergeCell ref="AC624:AD626"/>
    <mergeCell ref="AE624:AF626"/>
    <mergeCell ref="AG624:AH626"/>
    <mergeCell ref="B627:C629"/>
    <mergeCell ref="D627:I629"/>
    <mergeCell ref="J627:K629"/>
    <mergeCell ref="L627:M629"/>
    <mergeCell ref="N627:O629"/>
    <mergeCell ref="P627:Q629"/>
    <mergeCell ref="S627:T629"/>
    <mergeCell ref="U627:Z629"/>
    <mergeCell ref="AA627:AB629"/>
    <mergeCell ref="AC627:AD629"/>
    <mergeCell ref="AE627:AF629"/>
    <mergeCell ref="AG627:AH629"/>
    <mergeCell ref="B624:C626"/>
    <mergeCell ref="D624:I626"/>
    <mergeCell ref="J624:K626"/>
    <mergeCell ref="L624:M626"/>
    <mergeCell ref="N624:O626"/>
    <mergeCell ref="P624:Q626"/>
    <mergeCell ref="S624:T626"/>
    <mergeCell ref="U624:Z626"/>
    <mergeCell ref="AA624:AB626"/>
    <mergeCell ref="AC618:AD620"/>
    <mergeCell ref="AE618:AF620"/>
    <mergeCell ref="AG618:AH620"/>
    <mergeCell ref="B621:C623"/>
    <mergeCell ref="D621:I623"/>
    <mergeCell ref="J621:K623"/>
    <mergeCell ref="L621:M623"/>
    <mergeCell ref="N621:O623"/>
    <mergeCell ref="P621:Q623"/>
    <mergeCell ref="S621:T623"/>
    <mergeCell ref="U621:Z623"/>
    <mergeCell ref="AA621:AB623"/>
    <mergeCell ref="AC621:AD623"/>
    <mergeCell ref="AE621:AF623"/>
    <mergeCell ref="AG621:AH623"/>
    <mergeCell ref="B618:C620"/>
    <mergeCell ref="D618:I620"/>
    <mergeCell ref="J618:K620"/>
    <mergeCell ref="L618:M620"/>
    <mergeCell ref="N618:O620"/>
    <mergeCell ref="P618:Q620"/>
    <mergeCell ref="S618:T620"/>
    <mergeCell ref="U618:Z620"/>
    <mergeCell ref="AA618:AB620"/>
    <mergeCell ref="AC612:AD614"/>
    <mergeCell ref="AE612:AF614"/>
    <mergeCell ref="AG612:AH614"/>
    <mergeCell ref="B615:C617"/>
    <mergeCell ref="D615:I617"/>
    <mergeCell ref="J615:K617"/>
    <mergeCell ref="L615:M617"/>
    <mergeCell ref="N615:O617"/>
    <mergeCell ref="P615:Q617"/>
    <mergeCell ref="S615:T617"/>
    <mergeCell ref="U615:Z617"/>
    <mergeCell ref="AA615:AB617"/>
    <mergeCell ref="AC615:AD617"/>
    <mergeCell ref="AE615:AF617"/>
    <mergeCell ref="AG615:AH617"/>
    <mergeCell ref="B612:C614"/>
    <mergeCell ref="D612:I614"/>
    <mergeCell ref="J612:K614"/>
    <mergeCell ref="L612:M614"/>
    <mergeCell ref="N612:O614"/>
    <mergeCell ref="P612:Q614"/>
    <mergeCell ref="S612:T614"/>
    <mergeCell ref="U612:Z614"/>
    <mergeCell ref="AA612:AB614"/>
    <mergeCell ref="AC606:AD608"/>
    <mergeCell ref="AE606:AF608"/>
    <mergeCell ref="AG606:AH608"/>
    <mergeCell ref="B609:C611"/>
    <mergeCell ref="D609:I611"/>
    <mergeCell ref="J609:K611"/>
    <mergeCell ref="L609:M611"/>
    <mergeCell ref="N609:O611"/>
    <mergeCell ref="P609:Q611"/>
    <mergeCell ref="S609:T611"/>
    <mergeCell ref="U609:Z611"/>
    <mergeCell ref="AA609:AB611"/>
    <mergeCell ref="AC609:AD611"/>
    <mergeCell ref="AE609:AF611"/>
    <mergeCell ref="AG609:AH611"/>
    <mergeCell ref="B606:C608"/>
    <mergeCell ref="D606:I608"/>
    <mergeCell ref="J606:K608"/>
    <mergeCell ref="L606:M608"/>
    <mergeCell ref="N606:O608"/>
    <mergeCell ref="P606:Q608"/>
    <mergeCell ref="S606:T608"/>
    <mergeCell ref="U606:Z608"/>
    <mergeCell ref="AA606:AB608"/>
    <mergeCell ref="AC600:AD602"/>
    <mergeCell ref="AE600:AF602"/>
    <mergeCell ref="AG600:AH602"/>
    <mergeCell ref="B603:C605"/>
    <mergeCell ref="D603:I605"/>
    <mergeCell ref="J603:K605"/>
    <mergeCell ref="L603:M605"/>
    <mergeCell ref="N603:O605"/>
    <mergeCell ref="P603:Q605"/>
    <mergeCell ref="S603:T605"/>
    <mergeCell ref="U603:Z605"/>
    <mergeCell ref="AA603:AB605"/>
    <mergeCell ref="AC603:AD605"/>
    <mergeCell ref="AE603:AF605"/>
    <mergeCell ref="AG603:AH605"/>
    <mergeCell ref="B600:C602"/>
    <mergeCell ref="D600:I602"/>
    <mergeCell ref="J600:K602"/>
    <mergeCell ref="L600:M602"/>
    <mergeCell ref="N600:O602"/>
    <mergeCell ref="P600:Q602"/>
    <mergeCell ref="S600:T602"/>
    <mergeCell ref="U600:Z602"/>
    <mergeCell ref="AA600:AB602"/>
    <mergeCell ref="AC594:AD596"/>
    <mergeCell ref="AE594:AF596"/>
    <mergeCell ref="AG594:AH596"/>
    <mergeCell ref="B597:C599"/>
    <mergeCell ref="D597:I599"/>
    <mergeCell ref="J597:K599"/>
    <mergeCell ref="L597:M599"/>
    <mergeCell ref="N597:O599"/>
    <mergeCell ref="P597:Q599"/>
    <mergeCell ref="S597:T599"/>
    <mergeCell ref="U597:Z599"/>
    <mergeCell ref="AA597:AB599"/>
    <mergeCell ref="AC597:AD599"/>
    <mergeCell ref="AE597:AF599"/>
    <mergeCell ref="AG597:AH599"/>
    <mergeCell ref="B594:C596"/>
    <mergeCell ref="D594:I596"/>
    <mergeCell ref="J594:K596"/>
    <mergeCell ref="L594:M596"/>
    <mergeCell ref="N594:O596"/>
    <mergeCell ref="P594:Q596"/>
    <mergeCell ref="S594:T596"/>
    <mergeCell ref="U594:Z596"/>
    <mergeCell ref="AA594:AB596"/>
    <mergeCell ref="AC588:AD590"/>
    <mergeCell ref="AE588:AF590"/>
    <mergeCell ref="AG588:AH590"/>
    <mergeCell ref="B591:C593"/>
    <mergeCell ref="D591:I593"/>
    <mergeCell ref="J591:K593"/>
    <mergeCell ref="L591:M593"/>
    <mergeCell ref="N591:O593"/>
    <mergeCell ref="P591:Q593"/>
    <mergeCell ref="S591:T593"/>
    <mergeCell ref="U591:Z593"/>
    <mergeCell ref="AA591:AB593"/>
    <mergeCell ref="AC591:AD593"/>
    <mergeCell ref="AE591:AF593"/>
    <mergeCell ref="AG591:AH593"/>
    <mergeCell ref="B588:C590"/>
    <mergeCell ref="D588:I590"/>
    <mergeCell ref="J588:K590"/>
    <mergeCell ref="L588:M590"/>
    <mergeCell ref="N588:O590"/>
    <mergeCell ref="P588:Q590"/>
    <mergeCell ref="S588:T590"/>
    <mergeCell ref="U588:Z590"/>
    <mergeCell ref="AA588:AB590"/>
    <mergeCell ref="AC582:AD584"/>
    <mergeCell ref="AE582:AF584"/>
    <mergeCell ref="AG582:AH584"/>
    <mergeCell ref="B585:C587"/>
    <mergeCell ref="D585:I587"/>
    <mergeCell ref="J585:K587"/>
    <mergeCell ref="L585:M587"/>
    <mergeCell ref="N585:O587"/>
    <mergeCell ref="P585:Q587"/>
    <mergeCell ref="S585:T587"/>
    <mergeCell ref="U585:Z587"/>
    <mergeCell ref="AA585:AB587"/>
    <mergeCell ref="AC585:AD587"/>
    <mergeCell ref="AE585:AF587"/>
    <mergeCell ref="AG585:AH587"/>
    <mergeCell ref="B582:C584"/>
    <mergeCell ref="D582:I584"/>
    <mergeCell ref="J582:K584"/>
    <mergeCell ref="L582:M584"/>
    <mergeCell ref="N582:O584"/>
    <mergeCell ref="P582:Q584"/>
    <mergeCell ref="S582:T584"/>
    <mergeCell ref="U582:Z584"/>
    <mergeCell ref="AA582:AB584"/>
    <mergeCell ref="AC576:AD578"/>
    <mergeCell ref="AE576:AF578"/>
    <mergeCell ref="AG576:AH578"/>
    <mergeCell ref="B579:C581"/>
    <mergeCell ref="D579:I581"/>
    <mergeCell ref="J579:K581"/>
    <mergeCell ref="L579:M581"/>
    <mergeCell ref="N579:O581"/>
    <mergeCell ref="P579:Q581"/>
    <mergeCell ref="S579:T581"/>
    <mergeCell ref="U579:Z581"/>
    <mergeCell ref="AA579:AB581"/>
    <mergeCell ref="AC579:AD581"/>
    <mergeCell ref="AE579:AF581"/>
    <mergeCell ref="AG579:AH581"/>
    <mergeCell ref="B576:C578"/>
    <mergeCell ref="D576:I578"/>
    <mergeCell ref="J576:K578"/>
    <mergeCell ref="L576:M578"/>
    <mergeCell ref="N576:O578"/>
    <mergeCell ref="P576:Q578"/>
    <mergeCell ref="S576:T578"/>
    <mergeCell ref="U576:Z578"/>
    <mergeCell ref="AA576:AB578"/>
    <mergeCell ref="AC570:AD572"/>
    <mergeCell ref="AE570:AF572"/>
    <mergeCell ref="AG570:AH572"/>
    <mergeCell ref="B573:C575"/>
    <mergeCell ref="D573:I575"/>
    <mergeCell ref="J573:K575"/>
    <mergeCell ref="L573:M575"/>
    <mergeCell ref="N573:O575"/>
    <mergeCell ref="P573:Q575"/>
    <mergeCell ref="S573:T575"/>
    <mergeCell ref="U573:Z575"/>
    <mergeCell ref="AA573:AB575"/>
    <mergeCell ref="AC573:AD575"/>
    <mergeCell ref="AE573:AF575"/>
    <mergeCell ref="AG573:AH575"/>
    <mergeCell ref="B570:C572"/>
    <mergeCell ref="D570:I572"/>
    <mergeCell ref="J570:K572"/>
    <mergeCell ref="L570:M572"/>
    <mergeCell ref="N570:O572"/>
    <mergeCell ref="P570:Q572"/>
    <mergeCell ref="S570:T572"/>
    <mergeCell ref="U570:Z572"/>
    <mergeCell ref="AA570:AB572"/>
    <mergeCell ref="AC564:AD566"/>
    <mergeCell ref="AE564:AF566"/>
    <mergeCell ref="AG564:AH566"/>
    <mergeCell ref="B567:C569"/>
    <mergeCell ref="D567:I569"/>
    <mergeCell ref="J567:K569"/>
    <mergeCell ref="L567:M569"/>
    <mergeCell ref="N567:O569"/>
    <mergeCell ref="P567:Q569"/>
    <mergeCell ref="S567:T569"/>
    <mergeCell ref="U567:Z569"/>
    <mergeCell ref="AA567:AB569"/>
    <mergeCell ref="AC567:AD569"/>
    <mergeCell ref="AE567:AF569"/>
    <mergeCell ref="AG567:AH569"/>
    <mergeCell ref="B564:C566"/>
    <mergeCell ref="D564:I566"/>
    <mergeCell ref="J564:K566"/>
    <mergeCell ref="L564:M566"/>
    <mergeCell ref="N564:O566"/>
    <mergeCell ref="P564:Q566"/>
    <mergeCell ref="S564:T566"/>
    <mergeCell ref="U564:Z566"/>
    <mergeCell ref="AA564:AB566"/>
    <mergeCell ref="AC558:AD560"/>
    <mergeCell ref="AE558:AF560"/>
    <mergeCell ref="AG558:AH560"/>
    <mergeCell ref="B561:C563"/>
    <mergeCell ref="D561:I563"/>
    <mergeCell ref="J561:K563"/>
    <mergeCell ref="L561:M563"/>
    <mergeCell ref="N561:O563"/>
    <mergeCell ref="P561:Q563"/>
    <mergeCell ref="S561:T563"/>
    <mergeCell ref="U561:Z563"/>
    <mergeCell ref="AA561:AB563"/>
    <mergeCell ref="AC561:AD563"/>
    <mergeCell ref="AE561:AF563"/>
    <mergeCell ref="AG561:AH563"/>
    <mergeCell ref="B558:C560"/>
    <mergeCell ref="D558:I560"/>
    <mergeCell ref="J558:K560"/>
    <mergeCell ref="L558:M560"/>
    <mergeCell ref="N558:O560"/>
    <mergeCell ref="P558:Q560"/>
    <mergeCell ref="S558:T560"/>
    <mergeCell ref="U558:Z560"/>
    <mergeCell ref="AA558:AB560"/>
    <mergeCell ref="AC552:AD554"/>
    <mergeCell ref="AE552:AF554"/>
    <mergeCell ref="AG552:AH554"/>
    <mergeCell ref="B555:C557"/>
    <mergeCell ref="D555:I557"/>
    <mergeCell ref="J555:K557"/>
    <mergeCell ref="L555:M557"/>
    <mergeCell ref="N555:O557"/>
    <mergeCell ref="P555:Q557"/>
    <mergeCell ref="S555:T557"/>
    <mergeCell ref="U555:Z557"/>
    <mergeCell ref="AA555:AB557"/>
    <mergeCell ref="AC555:AD557"/>
    <mergeCell ref="AE555:AF557"/>
    <mergeCell ref="AG555:AH557"/>
    <mergeCell ref="B552:C554"/>
    <mergeCell ref="D552:I554"/>
    <mergeCell ref="J552:K554"/>
    <mergeCell ref="L552:M554"/>
    <mergeCell ref="N552:O554"/>
    <mergeCell ref="P552:Q554"/>
    <mergeCell ref="S552:T554"/>
    <mergeCell ref="U552:Z554"/>
    <mergeCell ref="AA552:AB554"/>
    <mergeCell ref="AC546:AD548"/>
    <mergeCell ref="AE546:AF548"/>
    <mergeCell ref="AG546:AH548"/>
    <mergeCell ref="B549:C551"/>
    <mergeCell ref="D549:I551"/>
    <mergeCell ref="J549:K551"/>
    <mergeCell ref="L549:M551"/>
    <mergeCell ref="N549:O551"/>
    <mergeCell ref="P549:Q551"/>
    <mergeCell ref="S549:T551"/>
    <mergeCell ref="U549:Z551"/>
    <mergeCell ref="AA549:AB551"/>
    <mergeCell ref="AC549:AD551"/>
    <mergeCell ref="AE549:AF551"/>
    <mergeCell ref="AG549:AH551"/>
    <mergeCell ref="B546:C548"/>
    <mergeCell ref="D546:I548"/>
    <mergeCell ref="J546:K548"/>
    <mergeCell ref="L546:M548"/>
    <mergeCell ref="N546:O548"/>
    <mergeCell ref="P546:Q548"/>
    <mergeCell ref="S546:T548"/>
    <mergeCell ref="U546:Z548"/>
    <mergeCell ref="AA546:AB548"/>
    <mergeCell ref="AC540:AD542"/>
    <mergeCell ref="AE540:AF542"/>
    <mergeCell ref="AG540:AH542"/>
    <mergeCell ref="B543:C545"/>
    <mergeCell ref="D543:I545"/>
    <mergeCell ref="J543:K545"/>
    <mergeCell ref="L543:M545"/>
    <mergeCell ref="N543:O545"/>
    <mergeCell ref="P543:Q545"/>
    <mergeCell ref="S543:T545"/>
    <mergeCell ref="U543:Z545"/>
    <mergeCell ref="AA543:AB545"/>
    <mergeCell ref="AC543:AD545"/>
    <mergeCell ref="AE543:AF545"/>
    <mergeCell ref="AG543:AH545"/>
    <mergeCell ref="B540:C542"/>
    <mergeCell ref="D540:I542"/>
    <mergeCell ref="J540:K542"/>
    <mergeCell ref="L540:M542"/>
    <mergeCell ref="N540:O542"/>
    <mergeCell ref="P540:Q542"/>
    <mergeCell ref="S540:T542"/>
    <mergeCell ref="U540:Z542"/>
    <mergeCell ref="AA540:AB542"/>
    <mergeCell ref="AC534:AD536"/>
    <mergeCell ref="AE534:AF536"/>
    <mergeCell ref="AG534:AH536"/>
    <mergeCell ref="B537:C539"/>
    <mergeCell ref="D537:I539"/>
    <mergeCell ref="J537:K539"/>
    <mergeCell ref="L537:M539"/>
    <mergeCell ref="N537:O539"/>
    <mergeCell ref="P537:Q539"/>
    <mergeCell ref="S537:T539"/>
    <mergeCell ref="U537:Z539"/>
    <mergeCell ref="AA537:AB539"/>
    <mergeCell ref="AC537:AD539"/>
    <mergeCell ref="AE537:AF539"/>
    <mergeCell ref="AG537:AH539"/>
    <mergeCell ref="B534:C536"/>
    <mergeCell ref="D534:I536"/>
    <mergeCell ref="J534:K536"/>
    <mergeCell ref="L534:M536"/>
    <mergeCell ref="N534:O536"/>
    <mergeCell ref="P534:Q536"/>
    <mergeCell ref="S534:T536"/>
    <mergeCell ref="U534:Z536"/>
    <mergeCell ref="AA534:AB536"/>
    <mergeCell ref="AC528:AD530"/>
    <mergeCell ref="AE528:AF530"/>
    <mergeCell ref="AG528:AH530"/>
    <mergeCell ref="B531:C533"/>
    <mergeCell ref="D531:I533"/>
    <mergeCell ref="J531:K533"/>
    <mergeCell ref="L531:M533"/>
    <mergeCell ref="N531:O533"/>
    <mergeCell ref="P531:Q533"/>
    <mergeCell ref="S531:T533"/>
    <mergeCell ref="U531:Z533"/>
    <mergeCell ref="AA531:AB533"/>
    <mergeCell ref="AC531:AD533"/>
    <mergeCell ref="AE531:AF533"/>
    <mergeCell ref="AG531:AH533"/>
    <mergeCell ref="B528:C530"/>
    <mergeCell ref="D528:I530"/>
    <mergeCell ref="J528:K530"/>
    <mergeCell ref="L528:M530"/>
    <mergeCell ref="N528:O530"/>
    <mergeCell ref="P528:Q530"/>
    <mergeCell ref="S528:T530"/>
    <mergeCell ref="U528:Z530"/>
    <mergeCell ref="AA528:AB530"/>
    <mergeCell ref="AC522:AD524"/>
    <mergeCell ref="AE522:AF524"/>
    <mergeCell ref="AG522:AH524"/>
    <mergeCell ref="B525:C527"/>
    <mergeCell ref="D525:I527"/>
    <mergeCell ref="J525:K527"/>
    <mergeCell ref="L525:M527"/>
    <mergeCell ref="N525:O527"/>
    <mergeCell ref="P525:Q527"/>
    <mergeCell ref="S525:T527"/>
    <mergeCell ref="U525:Z527"/>
    <mergeCell ref="AA525:AB527"/>
    <mergeCell ref="AC525:AD527"/>
    <mergeCell ref="AE525:AF527"/>
    <mergeCell ref="AG525:AH527"/>
    <mergeCell ref="B522:C524"/>
    <mergeCell ref="D522:I524"/>
    <mergeCell ref="J522:K524"/>
    <mergeCell ref="L522:M524"/>
    <mergeCell ref="N522:O524"/>
    <mergeCell ref="P522:Q524"/>
    <mergeCell ref="S522:T524"/>
    <mergeCell ref="U522:Z524"/>
    <mergeCell ref="AA522:AB524"/>
    <mergeCell ref="AC516:AD518"/>
    <mergeCell ref="AE516:AF518"/>
    <mergeCell ref="AG516:AH518"/>
    <mergeCell ref="B519:C521"/>
    <mergeCell ref="D519:I521"/>
    <mergeCell ref="J519:K521"/>
    <mergeCell ref="L519:M521"/>
    <mergeCell ref="N519:O521"/>
    <mergeCell ref="P519:Q521"/>
    <mergeCell ref="S519:T521"/>
    <mergeCell ref="U519:Z521"/>
    <mergeCell ref="AA519:AB521"/>
    <mergeCell ref="AC519:AD521"/>
    <mergeCell ref="AE519:AF521"/>
    <mergeCell ref="AG519:AH521"/>
    <mergeCell ref="B516:C518"/>
    <mergeCell ref="D516:I518"/>
    <mergeCell ref="J516:K518"/>
    <mergeCell ref="L516:M518"/>
    <mergeCell ref="N516:O518"/>
    <mergeCell ref="P516:Q518"/>
    <mergeCell ref="S516:T518"/>
    <mergeCell ref="U516:Z518"/>
    <mergeCell ref="AA516:AB518"/>
    <mergeCell ref="AC510:AD512"/>
    <mergeCell ref="AE510:AF512"/>
    <mergeCell ref="AG510:AH512"/>
    <mergeCell ref="B513:C515"/>
    <mergeCell ref="D513:I515"/>
    <mergeCell ref="J513:K515"/>
    <mergeCell ref="L513:M515"/>
    <mergeCell ref="N513:O515"/>
    <mergeCell ref="P513:Q515"/>
    <mergeCell ref="S513:T515"/>
    <mergeCell ref="U513:Z515"/>
    <mergeCell ref="AA513:AB515"/>
    <mergeCell ref="AC513:AD515"/>
    <mergeCell ref="AE513:AF515"/>
    <mergeCell ref="AG513:AH515"/>
    <mergeCell ref="B510:C512"/>
    <mergeCell ref="D510:I512"/>
    <mergeCell ref="J510:K512"/>
    <mergeCell ref="L510:M512"/>
    <mergeCell ref="N510:O512"/>
    <mergeCell ref="P510:Q512"/>
    <mergeCell ref="S510:T512"/>
    <mergeCell ref="U510:Z512"/>
    <mergeCell ref="AA510:AB512"/>
    <mergeCell ref="AC504:AD506"/>
    <mergeCell ref="AE504:AF506"/>
    <mergeCell ref="AG504:AH506"/>
    <mergeCell ref="B507:C509"/>
    <mergeCell ref="D507:I509"/>
    <mergeCell ref="J507:K509"/>
    <mergeCell ref="L507:M509"/>
    <mergeCell ref="N507:O509"/>
    <mergeCell ref="P507:Q509"/>
    <mergeCell ref="S507:T509"/>
    <mergeCell ref="U507:Z509"/>
    <mergeCell ref="AA507:AB509"/>
    <mergeCell ref="AC507:AD509"/>
    <mergeCell ref="AE507:AF509"/>
    <mergeCell ref="AG507:AH509"/>
    <mergeCell ref="B504:C506"/>
    <mergeCell ref="D504:I506"/>
    <mergeCell ref="J504:K506"/>
    <mergeCell ref="L504:M506"/>
    <mergeCell ref="N504:O506"/>
    <mergeCell ref="P504:Q506"/>
    <mergeCell ref="S504:T506"/>
    <mergeCell ref="U504:Z506"/>
    <mergeCell ref="AA504:AB506"/>
    <mergeCell ref="AC498:AD500"/>
    <mergeCell ref="AE498:AF500"/>
    <mergeCell ref="AG498:AH500"/>
    <mergeCell ref="B501:C503"/>
    <mergeCell ref="D501:I503"/>
    <mergeCell ref="J501:K503"/>
    <mergeCell ref="L501:M503"/>
    <mergeCell ref="N501:O503"/>
    <mergeCell ref="P501:Q503"/>
    <mergeCell ref="S501:T503"/>
    <mergeCell ref="U501:Z503"/>
    <mergeCell ref="AA501:AB503"/>
    <mergeCell ref="AC501:AD503"/>
    <mergeCell ref="AE501:AF503"/>
    <mergeCell ref="AG501:AH503"/>
    <mergeCell ref="B498:C500"/>
    <mergeCell ref="D498:I500"/>
    <mergeCell ref="J498:K500"/>
    <mergeCell ref="L498:M500"/>
    <mergeCell ref="N498:O500"/>
    <mergeCell ref="P498:Q500"/>
    <mergeCell ref="S498:T500"/>
    <mergeCell ref="U498:Z500"/>
    <mergeCell ref="AA498:AB500"/>
    <mergeCell ref="AC492:AD494"/>
    <mergeCell ref="AE492:AF494"/>
    <mergeCell ref="AG492:AH494"/>
    <mergeCell ref="B495:C497"/>
    <mergeCell ref="D495:I497"/>
    <mergeCell ref="J495:K497"/>
    <mergeCell ref="L495:M497"/>
    <mergeCell ref="N495:O497"/>
    <mergeCell ref="P495:Q497"/>
    <mergeCell ref="S495:T497"/>
    <mergeCell ref="U495:Z497"/>
    <mergeCell ref="AA495:AB497"/>
    <mergeCell ref="AC495:AD497"/>
    <mergeCell ref="AE495:AF497"/>
    <mergeCell ref="AG495:AH497"/>
    <mergeCell ref="B492:C494"/>
    <mergeCell ref="D492:I494"/>
    <mergeCell ref="J492:K494"/>
    <mergeCell ref="L492:M494"/>
    <mergeCell ref="N492:O494"/>
    <mergeCell ref="P492:Q494"/>
    <mergeCell ref="S492:T494"/>
    <mergeCell ref="U492:Z494"/>
    <mergeCell ref="AA492:AB494"/>
    <mergeCell ref="AC486:AD488"/>
    <mergeCell ref="AE486:AF488"/>
    <mergeCell ref="AG486:AH488"/>
    <mergeCell ref="B489:C491"/>
    <mergeCell ref="D489:I491"/>
    <mergeCell ref="J489:K491"/>
    <mergeCell ref="L489:M491"/>
    <mergeCell ref="N489:O491"/>
    <mergeCell ref="P489:Q491"/>
    <mergeCell ref="S489:T491"/>
    <mergeCell ref="U489:Z491"/>
    <mergeCell ref="AA489:AB491"/>
    <mergeCell ref="AC489:AD491"/>
    <mergeCell ref="AE489:AF491"/>
    <mergeCell ref="AG489:AH491"/>
    <mergeCell ref="B486:C488"/>
    <mergeCell ref="D486:I488"/>
    <mergeCell ref="J486:K488"/>
    <mergeCell ref="L486:M488"/>
    <mergeCell ref="N486:O488"/>
    <mergeCell ref="P486:Q488"/>
    <mergeCell ref="S486:T488"/>
    <mergeCell ref="U486:Z488"/>
    <mergeCell ref="AA486:AB488"/>
    <mergeCell ref="AC480:AD482"/>
    <mergeCell ref="AE480:AF482"/>
    <mergeCell ref="AG480:AH482"/>
    <mergeCell ref="B483:C485"/>
    <mergeCell ref="D483:I485"/>
    <mergeCell ref="J483:K485"/>
    <mergeCell ref="L483:M485"/>
    <mergeCell ref="N483:O485"/>
    <mergeCell ref="P483:Q485"/>
    <mergeCell ref="S483:T485"/>
    <mergeCell ref="U483:Z485"/>
    <mergeCell ref="AA483:AB485"/>
    <mergeCell ref="AC483:AD485"/>
    <mergeCell ref="AE483:AF485"/>
    <mergeCell ref="AG483:AH485"/>
    <mergeCell ref="B480:C482"/>
    <mergeCell ref="D480:I482"/>
    <mergeCell ref="J480:K482"/>
    <mergeCell ref="L480:M482"/>
    <mergeCell ref="N480:O482"/>
    <mergeCell ref="P480:Q482"/>
    <mergeCell ref="S480:T482"/>
    <mergeCell ref="U480:Z482"/>
    <mergeCell ref="AA480:AB482"/>
    <mergeCell ref="AC474:AD476"/>
    <mergeCell ref="AE474:AF476"/>
    <mergeCell ref="AG474:AH476"/>
    <mergeCell ref="B477:C479"/>
    <mergeCell ref="D477:I479"/>
    <mergeCell ref="J477:K479"/>
    <mergeCell ref="L477:M479"/>
    <mergeCell ref="N477:O479"/>
    <mergeCell ref="P477:Q479"/>
    <mergeCell ref="S477:T479"/>
    <mergeCell ref="U477:Z479"/>
    <mergeCell ref="AA477:AB479"/>
    <mergeCell ref="AC477:AD479"/>
    <mergeCell ref="AE477:AF479"/>
    <mergeCell ref="AG477:AH479"/>
    <mergeCell ref="B474:C476"/>
    <mergeCell ref="D474:I476"/>
    <mergeCell ref="J474:K476"/>
    <mergeCell ref="L474:M476"/>
    <mergeCell ref="N474:O476"/>
    <mergeCell ref="P474:Q476"/>
    <mergeCell ref="S474:T476"/>
    <mergeCell ref="U474:Z476"/>
    <mergeCell ref="AA474:AB476"/>
    <mergeCell ref="AC468:AD470"/>
    <mergeCell ref="AE468:AF470"/>
    <mergeCell ref="AG468:AH470"/>
    <mergeCell ref="B471:C473"/>
    <mergeCell ref="D471:I473"/>
    <mergeCell ref="J471:K473"/>
    <mergeCell ref="L471:M473"/>
    <mergeCell ref="N471:O473"/>
    <mergeCell ref="P471:Q473"/>
    <mergeCell ref="S471:T473"/>
    <mergeCell ref="U471:Z473"/>
    <mergeCell ref="AA471:AB473"/>
    <mergeCell ref="AC471:AD473"/>
    <mergeCell ref="AE471:AF473"/>
    <mergeCell ref="AG471:AH473"/>
    <mergeCell ref="B468:C470"/>
    <mergeCell ref="D468:I470"/>
    <mergeCell ref="J468:K470"/>
    <mergeCell ref="L468:M470"/>
    <mergeCell ref="N468:O470"/>
    <mergeCell ref="P468:Q470"/>
    <mergeCell ref="S468:T470"/>
    <mergeCell ref="U468:Z470"/>
    <mergeCell ref="AA468:AB470"/>
    <mergeCell ref="AC462:AD464"/>
    <mergeCell ref="AE462:AF464"/>
    <mergeCell ref="AG462:AH464"/>
    <mergeCell ref="B465:C467"/>
    <mergeCell ref="D465:I467"/>
    <mergeCell ref="J465:K467"/>
    <mergeCell ref="L465:M467"/>
    <mergeCell ref="N465:O467"/>
    <mergeCell ref="P465:Q467"/>
    <mergeCell ref="S465:T467"/>
    <mergeCell ref="U465:Z467"/>
    <mergeCell ref="AA465:AB467"/>
    <mergeCell ref="AC465:AD467"/>
    <mergeCell ref="AE465:AF467"/>
    <mergeCell ref="AG465:AH467"/>
    <mergeCell ref="B462:C464"/>
    <mergeCell ref="D462:I464"/>
    <mergeCell ref="J462:K464"/>
    <mergeCell ref="L462:M464"/>
    <mergeCell ref="N462:O464"/>
    <mergeCell ref="P462:Q464"/>
    <mergeCell ref="S462:T464"/>
    <mergeCell ref="U462:Z464"/>
    <mergeCell ref="AA462:AB464"/>
    <mergeCell ref="AC456:AD458"/>
    <mergeCell ref="AE456:AF458"/>
    <mergeCell ref="AG456:AH458"/>
    <mergeCell ref="B459:C461"/>
    <mergeCell ref="D459:I461"/>
    <mergeCell ref="J459:K461"/>
    <mergeCell ref="L459:M461"/>
    <mergeCell ref="N459:O461"/>
    <mergeCell ref="P459:Q461"/>
    <mergeCell ref="S459:T461"/>
    <mergeCell ref="U459:Z461"/>
    <mergeCell ref="AA459:AB461"/>
    <mergeCell ref="AC459:AD461"/>
    <mergeCell ref="AE459:AF461"/>
    <mergeCell ref="AG459:AH461"/>
    <mergeCell ref="B456:C458"/>
    <mergeCell ref="D456:I458"/>
    <mergeCell ref="J456:K458"/>
    <mergeCell ref="L456:M458"/>
    <mergeCell ref="N456:O458"/>
    <mergeCell ref="P456:Q458"/>
    <mergeCell ref="S456:T458"/>
    <mergeCell ref="U456:Z458"/>
    <mergeCell ref="AA456:AB458"/>
    <mergeCell ref="AC450:AD452"/>
    <mergeCell ref="AE450:AF452"/>
    <mergeCell ref="AG450:AH452"/>
    <mergeCell ref="B453:C455"/>
    <mergeCell ref="D453:I455"/>
    <mergeCell ref="J453:K455"/>
    <mergeCell ref="L453:M455"/>
    <mergeCell ref="N453:O455"/>
    <mergeCell ref="P453:Q455"/>
    <mergeCell ref="S453:T455"/>
    <mergeCell ref="U453:Z455"/>
    <mergeCell ref="AA453:AB455"/>
    <mergeCell ref="AC453:AD455"/>
    <mergeCell ref="AE453:AF455"/>
    <mergeCell ref="AG453:AH455"/>
    <mergeCell ref="B450:C452"/>
    <mergeCell ref="D450:I452"/>
    <mergeCell ref="J450:K452"/>
    <mergeCell ref="L450:M452"/>
    <mergeCell ref="N450:O452"/>
    <mergeCell ref="P450:Q452"/>
    <mergeCell ref="S450:T452"/>
    <mergeCell ref="U450:Z452"/>
    <mergeCell ref="AA450:AB452"/>
    <mergeCell ref="AC444:AD446"/>
    <mergeCell ref="AE444:AF446"/>
    <mergeCell ref="AG444:AH446"/>
    <mergeCell ref="B447:C449"/>
    <mergeCell ref="D447:I449"/>
    <mergeCell ref="J447:K449"/>
    <mergeCell ref="L447:M449"/>
    <mergeCell ref="N447:O449"/>
    <mergeCell ref="P447:Q449"/>
    <mergeCell ref="S447:T449"/>
    <mergeCell ref="U447:Z449"/>
    <mergeCell ref="AA447:AB449"/>
    <mergeCell ref="AC447:AD449"/>
    <mergeCell ref="AE447:AF449"/>
    <mergeCell ref="AG447:AH449"/>
    <mergeCell ref="B444:C446"/>
    <mergeCell ref="D444:I446"/>
    <mergeCell ref="J444:K446"/>
    <mergeCell ref="L444:M446"/>
    <mergeCell ref="N444:O446"/>
    <mergeCell ref="P444:Q446"/>
    <mergeCell ref="S444:T446"/>
    <mergeCell ref="U444:Z446"/>
    <mergeCell ref="AA444:AB446"/>
    <mergeCell ref="AC438:AD440"/>
    <mergeCell ref="AE438:AF440"/>
    <mergeCell ref="AG438:AH440"/>
    <mergeCell ref="B441:C443"/>
    <mergeCell ref="D441:I443"/>
    <mergeCell ref="J441:K443"/>
    <mergeCell ref="L441:M443"/>
    <mergeCell ref="N441:O443"/>
    <mergeCell ref="P441:Q443"/>
    <mergeCell ref="S441:T443"/>
    <mergeCell ref="U441:Z443"/>
    <mergeCell ref="AA441:AB443"/>
    <mergeCell ref="AC441:AD443"/>
    <mergeCell ref="AE441:AF443"/>
    <mergeCell ref="AG441:AH443"/>
    <mergeCell ref="B438:C440"/>
    <mergeCell ref="D438:I440"/>
    <mergeCell ref="J438:K440"/>
    <mergeCell ref="L438:M440"/>
    <mergeCell ref="N438:O440"/>
    <mergeCell ref="P438:Q440"/>
    <mergeCell ref="S438:T440"/>
    <mergeCell ref="U438:Z440"/>
    <mergeCell ref="AA438:AB440"/>
    <mergeCell ref="AC432:AD434"/>
    <mergeCell ref="AE432:AF434"/>
    <mergeCell ref="AG432:AH434"/>
    <mergeCell ref="B435:C437"/>
    <mergeCell ref="D435:I437"/>
    <mergeCell ref="J435:K437"/>
    <mergeCell ref="L435:M437"/>
    <mergeCell ref="N435:O437"/>
    <mergeCell ref="P435:Q437"/>
    <mergeCell ref="S435:T437"/>
    <mergeCell ref="U435:Z437"/>
    <mergeCell ref="AA435:AB437"/>
    <mergeCell ref="AC435:AD437"/>
    <mergeCell ref="AE435:AF437"/>
    <mergeCell ref="AG435:AH437"/>
    <mergeCell ref="B432:C434"/>
    <mergeCell ref="D432:I434"/>
    <mergeCell ref="J432:K434"/>
    <mergeCell ref="L432:M434"/>
    <mergeCell ref="N432:O434"/>
    <mergeCell ref="P432:Q434"/>
    <mergeCell ref="S432:T434"/>
    <mergeCell ref="U432:Z434"/>
    <mergeCell ref="AA432:AB434"/>
    <mergeCell ref="AC426:AD428"/>
    <mergeCell ref="AE426:AF428"/>
    <mergeCell ref="AG426:AH428"/>
    <mergeCell ref="B429:C431"/>
    <mergeCell ref="D429:I431"/>
    <mergeCell ref="J429:K431"/>
    <mergeCell ref="L429:M431"/>
    <mergeCell ref="N429:O431"/>
    <mergeCell ref="P429:Q431"/>
    <mergeCell ref="S429:T431"/>
    <mergeCell ref="U429:Z431"/>
    <mergeCell ref="AA429:AB431"/>
    <mergeCell ref="AC429:AD431"/>
    <mergeCell ref="AE429:AF431"/>
    <mergeCell ref="AG429:AH431"/>
    <mergeCell ref="B426:C428"/>
    <mergeCell ref="D426:I428"/>
    <mergeCell ref="J426:K428"/>
    <mergeCell ref="L426:M428"/>
    <mergeCell ref="N426:O428"/>
    <mergeCell ref="P426:Q428"/>
    <mergeCell ref="S426:T428"/>
    <mergeCell ref="U426:Z428"/>
    <mergeCell ref="AA426:AB428"/>
    <mergeCell ref="AC420:AD422"/>
    <mergeCell ref="AE420:AF422"/>
    <mergeCell ref="AG420:AH422"/>
    <mergeCell ref="B423:C425"/>
    <mergeCell ref="D423:I425"/>
    <mergeCell ref="J423:K425"/>
    <mergeCell ref="L423:M425"/>
    <mergeCell ref="N423:O425"/>
    <mergeCell ref="P423:Q425"/>
    <mergeCell ref="S423:T425"/>
    <mergeCell ref="U423:Z425"/>
    <mergeCell ref="AA423:AB425"/>
    <mergeCell ref="AC423:AD425"/>
    <mergeCell ref="AE423:AF425"/>
    <mergeCell ref="AG423:AH425"/>
    <mergeCell ref="B420:C422"/>
    <mergeCell ref="D420:I422"/>
    <mergeCell ref="J420:K422"/>
    <mergeCell ref="L420:M422"/>
    <mergeCell ref="N420:O422"/>
    <mergeCell ref="P420:Q422"/>
    <mergeCell ref="S420:T422"/>
    <mergeCell ref="U420:Z422"/>
    <mergeCell ref="AA420:AB422"/>
    <mergeCell ref="AC414:AD416"/>
    <mergeCell ref="AE414:AF416"/>
    <mergeCell ref="AG414:AH416"/>
    <mergeCell ref="B417:C419"/>
    <mergeCell ref="D417:I419"/>
    <mergeCell ref="J417:K419"/>
    <mergeCell ref="L417:M419"/>
    <mergeCell ref="N417:O419"/>
    <mergeCell ref="P417:Q419"/>
    <mergeCell ref="S417:T419"/>
    <mergeCell ref="U417:Z419"/>
    <mergeCell ref="AA417:AB419"/>
    <mergeCell ref="AC417:AD419"/>
    <mergeCell ref="AE417:AF419"/>
    <mergeCell ref="AG417:AH419"/>
    <mergeCell ref="B414:C416"/>
    <mergeCell ref="D414:I416"/>
    <mergeCell ref="J414:K416"/>
    <mergeCell ref="L414:M416"/>
    <mergeCell ref="N414:O416"/>
    <mergeCell ref="P414:Q416"/>
    <mergeCell ref="S414:T416"/>
    <mergeCell ref="U414:Z416"/>
    <mergeCell ref="AA414:AB416"/>
    <mergeCell ref="AC408:AD410"/>
    <mergeCell ref="AE408:AF410"/>
    <mergeCell ref="AG408:AH410"/>
    <mergeCell ref="B411:C413"/>
    <mergeCell ref="D411:I413"/>
    <mergeCell ref="J411:K413"/>
    <mergeCell ref="L411:M413"/>
    <mergeCell ref="N411:O413"/>
    <mergeCell ref="P411:Q413"/>
    <mergeCell ref="S411:T413"/>
    <mergeCell ref="U411:Z413"/>
    <mergeCell ref="AA411:AB413"/>
    <mergeCell ref="AC411:AD413"/>
    <mergeCell ref="AE411:AF413"/>
    <mergeCell ref="AG411:AH413"/>
    <mergeCell ref="B408:C410"/>
    <mergeCell ref="D408:I410"/>
    <mergeCell ref="J408:K410"/>
    <mergeCell ref="L408:M410"/>
    <mergeCell ref="N408:O410"/>
    <mergeCell ref="P408:Q410"/>
    <mergeCell ref="S408:T410"/>
    <mergeCell ref="U408:Z410"/>
    <mergeCell ref="AA408:AB410"/>
    <mergeCell ref="AC402:AD404"/>
    <mergeCell ref="AE402:AF404"/>
    <mergeCell ref="AG402:AH404"/>
    <mergeCell ref="B405:C407"/>
    <mergeCell ref="D405:I407"/>
    <mergeCell ref="J405:K407"/>
    <mergeCell ref="L405:M407"/>
    <mergeCell ref="N405:O407"/>
    <mergeCell ref="P405:Q407"/>
    <mergeCell ref="S405:T407"/>
    <mergeCell ref="U405:Z407"/>
    <mergeCell ref="AA405:AB407"/>
    <mergeCell ref="AC405:AD407"/>
    <mergeCell ref="AE405:AF407"/>
    <mergeCell ref="AG405:AH407"/>
    <mergeCell ref="B402:C404"/>
    <mergeCell ref="D402:I404"/>
    <mergeCell ref="J402:K404"/>
    <mergeCell ref="L402:M404"/>
    <mergeCell ref="N402:O404"/>
    <mergeCell ref="P402:Q404"/>
    <mergeCell ref="S402:T404"/>
    <mergeCell ref="U402:Z404"/>
    <mergeCell ref="AA402:AB404"/>
    <mergeCell ref="AC396:AD398"/>
    <mergeCell ref="AE396:AF398"/>
    <mergeCell ref="AG396:AH398"/>
    <mergeCell ref="B399:C401"/>
    <mergeCell ref="D399:I401"/>
    <mergeCell ref="J399:K401"/>
    <mergeCell ref="L399:M401"/>
    <mergeCell ref="N399:O401"/>
    <mergeCell ref="P399:Q401"/>
    <mergeCell ref="S399:T401"/>
    <mergeCell ref="U399:Z401"/>
    <mergeCell ref="AA399:AB401"/>
    <mergeCell ref="AC399:AD401"/>
    <mergeCell ref="AE399:AF401"/>
    <mergeCell ref="AG399:AH401"/>
    <mergeCell ref="B396:C398"/>
    <mergeCell ref="D396:I398"/>
    <mergeCell ref="J396:K398"/>
    <mergeCell ref="L396:M398"/>
    <mergeCell ref="N396:O398"/>
    <mergeCell ref="P396:Q398"/>
    <mergeCell ref="S396:T398"/>
    <mergeCell ref="U396:Z398"/>
    <mergeCell ref="AA396:AB398"/>
    <mergeCell ref="AC390:AD392"/>
    <mergeCell ref="AE390:AF392"/>
    <mergeCell ref="AG390:AH392"/>
    <mergeCell ref="B393:C395"/>
    <mergeCell ref="D393:I395"/>
    <mergeCell ref="J393:K395"/>
    <mergeCell ref="L393:M395"/>
    <mergeCell ref="N393:O395"/>
    <mergeCell ref="P393:Q395"/>
    <mergeCell ref="S393:T395"/>
    <mergeCell ref="U393:Z395"/>
    <mergeCell ref="AA393:AB395"/>
    <mergeCell ref="AC393:AD395"/>
    <mergeCell ref="AE393:AF395"/>
    <mergeCell ref="AG393:AH395"/>
    <mergeCell ref="B390:C392"/>
    <mergeCell ref="D390:I392"/>
    <mergeCell ref="J390:K392"/>
    <mergeCell ref="L390:M392"/>
    <mergeCell ref="N390:O392"/>
    <mergeCell ref="P390:Q392"/>
    <mergeCell ref="S390:T392"/>
    <mergeCell ref="U390:Z392"/>
    <mergeCell ref="AA390:AB392"/>
    <mergeCell ref="AC384:AD386"/>
    <mergeCell ref="AE384:AF386"/>
    <mergeCell ref="AG384:AH386"/>
    <mergeCell ref="B387:C389"/>
    <mergeCell ref="D387:I389"/>
    <mergeCell ref="J387:K389"/>
    <mergeCell ref="L387:M389"/>
    <mergeCell ref="N387:O389"/>
    <mergeCell ref="P387:Q389"/>
    <mergeCell ref="S387:T389"/>
    <mergeCell ref="U387:Z389"/>
    <mergeCell ref="AA387:AB389"/>
    <mergeCell ref="AC387:AD389"/>
    <mergeCell ref="AE387:AF389"/>
    <mergeCell ref="AG387:AH389"/>
    <mergeCell ref="B384:C386"/>
    <mergeCell ref="D384:I386"/>
    <mergeCell ref="J384:K386"/>
    <mergeCell ref="L384:M386"/>
    <mergeCell ref="N384:O386"/>
    <mergeCell ref="P384:Q386"/>
    <mergeCell ref="S384:T386"/>
    <mergeCell ref="U384:Z386"/>
    <mergeCell ref="AA384:AB386"/>
    <mergeCell ref="AC378:AD380"/>
    <mergeCell ref="AE378:AF380"/>
    <mergeCell ref="AG378:AH380"/>
    <mergeCell ref="B381:C383"/>
    <mergeCell ref="D381:I383"/>
    <mergeCell ref="J381:K383"/>
    <mergeCell ref="L381:M383"/>
    <mergeCell ref="N381:O383"/>
    <mergeCell ref="P381:Q383"/>
    <mergeCell ref="S381:T383"/>
    <mergeCell ref="U381:Z383"/>
    <mergeCell ref="AA381:AB383"/>
    <mergeCell ref="AC381:AD383"/>
    <mergeCell ref="AE381:AF383"/>
    <mergeCell ref="AG381:AH383"/>
    <mergeCell ref="B378:C380"/>
    <mergeCell ref="D378:I380"/>
    <mergeCell ref="J378:K380"/>
    <mergeCell ref="L378:M380"/>
    <mergeCell ref="N378:O380"/>
    <mergeCell ref="P378:Q380"/>
    <mergeCell ref="S378:T380"/>
    <mergeCell ref="U378:Z380"/>
    <mergeCell ref="AA378:AB380"/>
    <mergeCell ref="AC372:AD374"/>
    <mergeCell ref="AE372:AF374"/>
    <mergeCell ref="AG372:AH374"/>
    <mergeCell ref="B375:C377"/>
    <mergeCell ref="D375:I377"/>
    <mergeCell ref="J375:K377"/>
    <mergeCell ref="L375:M377"/>
    <mergeCell ref="N375:O377"/>
    <mergeCell ref="P375:Q377"/>
    <mergeCell ref="S375:T377"/>
    <mergeCell ref="U375:Z377"/>
    <mergeCell ref="AA375:AB377"/>
    <mergeCell ref="AC375:AD377"/>
    <mergeCell ref="AE375:AF377"/>
    <mergeCell ref="AG375:AH377"/>
    <mergeCell ref="B372:C374"/>
    <mergeCell ref="D372:I374"/>
    <mergeCell ref="J372:K374"/>
    <mergeCell ref="L372:M374"/>
    <mergeCell ref="N372:O374"/>
    <mergeCell ref="P372:Q374"/>
    <mergeCell ref="S372:T374"/>
    <mergeCell ref="U372:Z374"/>
    <mergeCell ref="AA372:AB374"/>
    <mergeCell ref="AC366:AD368"/>
    <mergeCell ref="AE366:AF368"/>
    <mergeCell ref="AG366:AH368"/>
    <mergeCell ref="B369:C371"/>
    <mergeCell ref="D369:I371"/>
    <mergeCell ref="J369:K371"/>
    <mergeCell ref="L369:M371"/>
    <mergeCell ref="N369:O371"/>
    <mergeCell ref="P369:Q371"/>
    <mergeCell ref="S369:T371"/>
    <mergeCell ref="U369:Z371"/>
    <mergeCell ref="AA369:AB371"/>
    <mergeCell ref="AC369:AD371"/>
    <mergeCell ref="AE369:AF371"/>
    <mergeCell ref="AG369:AH371"/>
    <mergeCell ref="B366:C368"/>
    <mergeCell ref="D366:I368"/>
    <mergeCell ref="J366:K368"/>
    <mergeCell ref="L366:M368"/>
    <mergeCell ref="N366:O368"/>
    <mergeCell ref="P366:Q368"/>
    <mergeCell ref="S366:T368"/>
    <mergeCell ref="U366:Z368"/>
    <mergeCell ref="AA366:AB368"/>
    <mergeCell ref="AC360:AD362"/>
    <mergeCell ref="AE360:AF362"/>
    <mergeCell ref="AG360:AH362"/>
    <mergeCell ref="B363:C365"/>
    <mergeCell ref="D363:I365"/>
    <mergeCell ref="J363:K365"/>
    <mergeCell ref="L363:M365"/>
    <mergeCell ref="N363:O365"/>
    <mergeCell ref="P363:Q365"/>
    <mergeCell ref="S363:T365"/>
    <mergeCell ref="U363:Z365"/>
    <mergeCell ref="AA363:AB365"/>
    <mergeCell ref="AC363:AD365"/>
    <mergeCell ref="AE363:AF365"/>
    <mergeCell ref="AG363:AH365"/>
    <mergeCell ref="B360:C362"/>
    <mergeCell ref="D360:I362"/>
    <mergeCell ref="J360:K362"/>
    <mergeCell ref="L360:M362"/>
    <mergeCell ref="N360:O362"/>
    <mergeCell ref="P360:Q362"/>
    <mergeCell ref="S360:T362"/>
    <mergeCell ref="U360:Z362"/>
    <mergeCell ref="AA360:AB362"/>
    <mergeCell ref="AC354:AD356"/>
    <mergeCell ref="AE354:AF356"/>
    <mergeCell ref="AG354:AH356"/>
    <mergeCell ref="B357:C359"/>
    <mergeCell ref="D357:I359"/>
    <mergeCell ref="J357:K359"/>
    <mergeCell ref="L357:M359"/>
    <mergeCell ref="N357:O359"/>
    <mergeCell ref="P357:Q359"/>
    <mergeCell ref="S357:T359"/>
    <mergeCell ref="U357:Z359"/>
    <mergeCell ref="AA357:AB359"/>
    <mergeCell ref="AC357:AD359"/>
    <mergeCell ref="AE357:AF359"/>
    <mergeCell ref="AG357:AH359"/>
    <mergeCell ref="B354:C356"/>
    <mergeCell ref="D354:I356"/>
    <mergeCell ref="J354:K356"/>
    <mergeCell ref="L354:M356"/>
    <mergeCell ref="N354:O356"/>
    <mergeCell ref="P354:Q356"/>
    <mergeCell ref="S354:T356"/>
    <mergeCell ref="U354:Z356"/>
    <mergeCell ref="AA354:AB356"/>
    <mergeCell ref="AC348:AD350"/>
    <mergeCell ref="AE348:AF350"/>
    <mergeCell ref="AG348:AH350"/>
    <mergeCell ref="B351:C353"/>
    <mergeCell ref="D351:I353"/>
    <mergeCell ref="J351:K353"/>
    <mergeCell ref="L351:M353"/>
    <mergeCell ref="N351:O353"/>
    <mergeCell ref="P351:Q353"/>
    <mergeCell ref="S351:T353"/>
    <mergeCell ref="U351:Z353"/>
    <mergeCell ref="AA351:AB353"/>
    <mergeCell ref="AC351:AD353"/>
    <mergeCell ref="AE351:AF353"/>
    <mergeCell ref="AG351:AH353"/>
    <mergeCell ref="B348:C350"/>
    <mergeCell ref="D348:I350"/>
    <mergeCell ref="J348:K350"/>
    <mergeCell ref="L348:M350"/>
    <mergeCell ref="N348:O350"/>
    <mergeCell ref="P348:Q350"/>
    <mergeCell ref="S348:T350"/>
    <mergeCell ref="U348:Z350"/>
    <mergeCell ref="AA348:AB350"/>
    <mergeCell ref="AC342:AD344"/>
    <mergeCell ref="AE342:AF344"/>
    <mergeCell ref="AG342:AH344"/>
    <mergeCell ref="B345:C347"/>
    <mergeCell ref="D345:I347"/>
    <mergeCell ref="J345:K347"/>
    <mergeCell ref="L345:M347"/>
    <mergeCell ref="N345:O347"/>
    <mergeCell ref="P345:Q347"/>
    <mergeCell ref="S345:T347"/>
    <mergeCell ref="U345:Z347"/>
    <mergeCell ref="AA345:AB347"/>
    <mergeCell ref="AC345:AD347"/>
    <mergeCell ref="AE345:AF347"/>
    <mergeCell ref="AG345:AH347"/>
    <mergeCell ref="B342:C344"/>
    <mergeCell ref="D342:I344"/>
    <mergeCell ref="J342:K344"/>
    <mergeCell ref="L342:M344"/>
    <mergeCell ref="N342:O344"/>
    <mergeCell ref="P342:Q344"/>
    <mergeCell ref="S342:T344"/>
    <mergeCell ref="U342:Z344"/>
    <mergeCell ref="AA342:AB344"/>
    <mergeCell ref="AC336:AD338"/>
    <mergeCell ref="AE336:AF338"/>
    <mergeCell ref="AG336:AH338"/>
    <mergeCell ref="B339:C341"/>
    <mergeCell ref="D339:I341"/>
    <mergeCell ref="J339:K341"/>
    <mergeCell ref="L339:M341"/>
    <mergeCell ref="N339:O341"/>
    <mergeCell ref="P339:Q341"/>
    <mergeCell ref="S339:T341"/>
    <mergeCell ref="U339:Z341"/>
    <mergeCell ref="AA339:AB341"/>
    <mergeCell ref="AC339:AD341"/>
    <mergeCell ref="AE339:AF341"/>
    <mergeCell ref="AG339:AH341"/>
    <mergeCell ref="B336:C338"/>
    <mergeCell ref="D336:I338"/>
    <mergeCell ref="J336:K338"/>
    <mergeCell ref="L336:M338"/>
    <mergeCell ref="N336:O338"/>
    <mergeCell ref="P336:Q338"/>
    <mergeCell ref="S336:T338"/>
    <mergeCell ref="U336:Z338"/>
    <mergeCell ref="AA336:AB338"/>
    <mergeCell ref="AC330:AD332"/>
    <mergeCell ref="AE330:AF332"/>
    <mergeCell ref="AG330:AH332"/>
    <mergeCell ref="B333:C335"/>
    <mergeCell ref="D333:I335"/>
    <mergeCell ref="J333:K335"/>
    <mergeCell ref="L333:M335"/>
    <mergeCell ref="N333:O335"/>
    <mergeCell ref="P333:Q335"/>
    <mergeCell ref="S333:T335"/>
    <mergeCell ref="U333:Z335"/>
    <mergeCell ref="AA333:AB335"/>
    <mergeCell ref="AC333:AD335"/>
    <mergeCell ref="AE333:AF335"/>
    <mergeCell ref="AG333:AH335"/>
    <mergeCell ref="B330:C332"/>
    <mergeCell ref="D330:I332"/>
    <mergeCell ref="J330:K332"/>
    <mergeCell ref="L330:M332"/>
    <mergeCell ref="N330:O332"/>
    <mergeCell ref="P330:Q332"/>
    <mergeCell ref="S330:T332"/>
    <mergeCell ref="U330:Z332"/>
    <mergeCell ref="AA330:AB332"/>
    <mergeCell ref="AC324:AD326"/>
    <mergeCell ref="AE324:AF326"/>
    <mergeCell ref="AG324:AH326"/>
    <mergeCell ref="B327:C329"/>
    <mergeCell ref="D327:I329"/>
    <mergeCell ref="J327:K329"/>
    <mergeCell ref="L327:M329"/>
    <mergeCell ref="N327:O329"/>
    <mergeCell ref="P327:Q329"/>
    <mergeCell ref="S327:T329"/>
    <mergeCell ref="U327:Z329"/>
    <mergeCell ref="AA327:AB329"/>
    <mergeCell ref="AC327:AD329"/>
    <mergeCell ref="AE327:AF329"/>
    <mergeCell ref="AG327:AH329"/>
    <mergeCell ref="B324:C326"/>
    <mergeCell ref="D324:I326"/>
    <mergeCell ref="J324:K326"/>
    <mergeCell ref="L324:M326"/>
    <mergeCell ref="N324:O326"/>
    <mergeCell ref="P324:Q326"/>
    <mergeCell ref="S324:T326"/>
    <mergeCell ref="U324:Z326"/>
    <mergeCell ref="AA324:AB326"/>
    <mergeCell ref="AC318:AD320"/>
    <mergeCell ref="AE318:AF320"/>
    <mergeCell ref="AG318:AH320"/>
    <mergeCell ref="B321:C323"/>
    <mergeCell ref="D321:I323"/>
    <mergeCell ref="J321:K323"/>
    <mergeCell ref="L321:M323"/>
    <mergeCell ref="N321:O323"/>
    <mergeCell ref="P321:Q323"/>
    <mergeCell ref="S321:T323"/>
    <mergeCell ref="U321:Z323"/>
    <mergeCell ref="AA321:AB323"/>
    <mergeCell ref="AC321:AD323"/>
    <mergeCell ref="AE321:AF323"/>
    <mergeCell ref="AG321:AH323"/>
    <mergeCell ref="B318:C320"/>
    <mergeCell ref="D318:I320"/>
    <mergeCell ref="J318:K320"/>
    <mergeCell ref="L318:M320"/>
    <mergeCell ref="N318:O320"/>
    <mergeCell ref="P318:Q320"/>
    <mergeCell ref="S318:T320"/>
    <mergeCell ref="U318:Z320"/>
    <mergeCell ref="AA318:AB320"/>
    <mergeCell ref="AC312:AD314"/>
    <mergeCell ref="AE312:AF314"/>
    <mergeCell ref="AG312:AH314"/>
    <mergeCell ref="B315:C317"/>
    <mergeCell ref="D315:I317"/>
    <mergeCell ref="J315:K317"/>
    <mergeCell ref="L315:M317"/>
    <mergeCell ref="N315:O317"/>
    <mergeCell ref="P315:Q317"/>
    <mergeCell ref="S315:T317"/>
    <mergeCell ref="U315:Z317"/>
    <mergeCell ref="AA315:AB317"/>
    <mergeCell ref="AC315:AD317"/>
    <mergeCell ref="AE315:AF317"/>
    <mergeCell ref="AG315:AH317"/>
    <mergeCell ref="B312:C314"/>
    <mergeCell ref="D312:I314"/>
    <mergeCell ref="J312:K314"/>
    <mergeCell ref="L312:M314"/>
    <mergeCell ref="N312:O314"/>
    <mergeCell ref="P312:Q314"/>
    <mergeCell ref="S312:T314"/>
    <mergeCell ref="U312:Z314"/>
    <mergeCell ref="AA312:AB314"/>
    <mergeCell ref="AC306:AD308"/>
    <mergeCell ref="AE306:AF308"/>
    <mergeCell ref="AG306:AH308"/>
    <mergeCell ref="B309:C311"/>
    <mergeCell ref="D309:I311"/>
    <mergeCell ref="J309:K311"/>
    <mergeCell ref="L309:M311"/>
    <mergeCell ref="N309:O311"/>
    <mergeCell ref="P309:Q311"/>
    <mergeCell ref="S309:T311"/>
    <mergeCell ref="U309:Z311"/>
    <mergeCell ref="AA309:AB311"/>
    <mergeCell ref="AC309:AD311"/>
    <mergeCell ref="AE309:AF311"/>
    <mergeCell ref="AG309:AH311"/>
    <mergeCell ref="B306:C308"/>
    <mergeCell ref="D306:I308"/>
    <mergeCell ref="J306:K308"/>
    <mergeCell ref="L306:M308"/>
    <mergeCell ref="N306:O308"/>
    <mergeCell ref="P306:Q308"/>
    <mergeCell ref="S306:T308"/>
    <mergeCell ref="U306:Z308"/>
    <mergeCell ref="AA306:AB308"/>
    <mergeCell ref="AC300:AD302"/>
    <mergeCell ref="AE300:AF302"/>
    <mergeCell ref="AG300:AH302"/>
    <mergeCell ref="B303:C305"/>
    <mergeCell ref="D303:I305"/>
    <mergeCell ref="J303:K305"/>
    <mergeCell ref="L303:M305"/>
    <mergeCell ref="N303:O305"/>
    <mergeCell ref="P303:Q305"/>
    <mergeCell ref="S303:T305"/>
    <mergeCell ref="U303:Z305"/>
    <mergeCell ref="AA303:AB305"/>
    <mergeCell ref="AC303:AD305"/>
    <mergeCell ref="AE303:AF305"/>
    <mergeCell ref="AG303:AH305"/>
    <mergeCell ref="B300:C302"/>
    <mergeCell ref="D300:I302"/>
    <mergeCell ref="J300:K302"/>
    <mergeCell ref="L300:M302"/>
    <mergeCell ref="N300:O302"/>
    <mergeCell ref="P300:Q302"/>
    <mergeCell ref="S300:T302"/>
    <mergeCell ref="U300:Z302"/>
    <mergeCell ref="AA300:AB302"/>
    <mergeCell ref="AC294:AD296"/>
    <mergeCell ref="AE294:AF296"/>
    <mergeCell ref="AG294:AH296"/>
    <mergeCell ref="B297:C299"/>
    <mergeCell ref="D297:I299"/>
    <mergeCell ref="J297:K299"/>
    <mergeCell ref="L297:M299"/>
    <mergeCell ref="N297:O299"/>
    <mergeCell ref="P297:Q299"/>
    <mergeCell ref="S297:T299"/>
    <mergeCell ref="U297:Z299"/>
    <mergeCell ref="AA297:AB299"/>
    <mergeCell ref="AC297:AD299"/>
    <mergeCell ref="AE297:AF299"/>
    <mergeCell ref="AG297:AH299"/>
    <mergeCell ref="B294:C296"/>
    <mergeCell ref="D294:I296"/>
    <mergeCell ref="J294:K296"/>
    <mergeCell ref="L294:M296"/>
    <mergeCell ref="N294:O296"/>
    <mergeCell ref="P294:Q296"/>
    <mergeCell ref="S294:T296"/>
    <mergeCell ref="U294:Z296"/>
    <mergeCell ref="AA294:AB296"/>
    <mergeCell ref="AC288:AD290"/>
    <mergeCell ref="AE288:AF290"/>
    <mergeCell ref="AG288:AH290"/>
    <mergeCell ref="B291:C293"/>
    <mergeCell ref="D291:I293"/>
    <mergeCell ref="J291:K293"/>
    <mergeCell ref="L291:M293"/>
    <mergeCell ref="N291:O293"/>
    <mergeCell ref="P291:Q293"/>
    <mergeCell ref="S291:T293"/>
    <mergeCell ref="U291:Z293"/>
    <mergeCell ref="AA291:AB293"/>
    <mergeCell ref="AC291:AD293"/>
    <mergeCell ref="AE291:AF293"/>
    <mergeCell ref="AG291:AH293"/>
    <mergeCell ref="B288:C290"/>
    <mergeCell ref="D288:I290"/>
    <mergeCell ref="J288:K290"/>
    <mergeCell ref="L288:M290"/>
    <mergeCell ref="N288:O290"/>
    <mergeCell ref="P288:Q290"/>
    <mergeCell ref="S288:T290"/>
    <mergeCell ref="U288:Z290"/>
    <mergeCell ref="AA288:AB290"/>
    <mergeCell ref="AC282:AD284"/>
    <mergeCell ref="AE282:AF284"/>
    <mergeCell ref="AG282:AH284"/>
    <mergeCell ref="B285:C287"/>
    <mergeCell ref="D285:I287"/>
    <mergeCell ref="J285:K287"/>
    <mergeCell ref="L285:M287"/>
    <mergeCell ref="N285:O287"/>
    <mergeCell ref="P285:Q287"/>
    <mergeCell ref="S285:T287"/>
    <mergeCell ref="U285:Z287"/>
    <mergeCell ref="AA285:AB287"/>
    <mergeCell ref="AC285:AD287"/>
    <mergeCell ref="AE285:AF287"/>
    <mergeCell ref="AG285:AH287"/>
    <mergeCell ref="B282:C284"/>
    <mergeCell ref="D282:I284"/>
    <mergeCell ref="J282:K284"/>
    <mergeCell ref="L282:M284"/>
    <mergeCell ref="N282:O284"/>
    <mergeCell ref="P282:Q284"/>
    <mergeCell ref="S282:T284"/>
    <mergeCell ref="U282:Z284"/>
    <mergeCell ref="AA282:AB284"/>
    <mergeCell ref="AC276:AD278"/>
    <mergeCell ref="AE276:AF278"/>
    <mergeCell ref="AG276:AH278"/>
    <mergeCell ref="B279:C281"/>
    <mergeCell ref="D279:I281"/>
    <mergeCell ref="J279:K281"/>
    <mergeCell ref="L279:M281"/>
    <mergeCell ref="N279:O281"/>
    <mergeCell ref="P279:Q281"/>
    <mergeCell ref="S279:T281"/>
    <mergeCell ref="U279:Z281"/>
    <mergeCell ref="AA279:AB281"/>
    <mergeCell ref="AC279:AD281"/>
    <mergeCell ref="AE279:AF281"/>
    <mergeCell ref="AG279:AH281"/>
    <mergeCell ref="B276:C278"/>
    <mergeCell ref="D276:I278"/>
    <mergeCell ref="J276:K278"/>
    <mergeCell ref="L276:M278"/>
    <mergeCell ref="N276:O278"/>
    <mergeCell ref="P276:Q278"/>
    <mergeCell ref="S276:T278"/>
    <mergeCell ref="U276:Z278"/>
    <mergeCell ref="AA276:AB278"/>
    <mergeCell ref="AC270:AD272"/>
    <mergeCell ref="AE270:AF272"/>
    <mergeCell ref="AG270:AH272"/>
    <mergeCell ref="B273:C275"/>
    <mergeCell ref="D273:I275"/>
    <mergeCell ref="J273:K275"/>
    <mergeCell ref="L273:M275"/>
    <mergeCell ref="N273:O275"/>
    <mergeCell ref="P273:Q275"/>
    <mergeCell ref="S273:T275"/>
    <mergeCell ref="U273:Z275"/>
    <mergeCell ref="AA273:AB275"/>
    <mergeCell ref="AC273:AD275"/>
    <mergeCell ref="AE273:AF275"/>
    <mergeCell ref="AG273:AH275"/>
    <mergeCell ref="B270:C272"/>
    <mergeCell ref="D270:I272"/>
    <mergeCell ref="J270:K272"/>
    <mergeCell ref="L270:M272"/>
    <mergeCell ref="N270:O272"/>
    <mergeCell ref="P270:Q272"/>
    <mergeCell ref="S270:T272"/>
    <mergeCell ref="U270:Z272"/>
    <mergeCell ref="AA270:AB272"/>
    <mergeCell ref="AC264:AD266"/>
    <mergeCell ref="AE264:AF266"/>
    <mergeCell ref="AG264:AH266"/>
    <mergeCell ref="B267:C269"/>
    <mergeCell ref="D267:I269"/>
    <mergeCell ref="J267:K269"/>
    <mergeCell ref="L267:M269"/>
    <mergeCell ref="N267:O269"/>
    <mergeCell ref="P267:Q269"/>
    <mergeCell ref="S267:T269"/>
    <mergeCell ref="U267:Z269"/>
    <mergeCell ref="AA267:AB269"/>
    <mergeCell ref="AC267:AD269"/>
    <mergeCell ref="AE267:AF269"/>
    <mergeCell ref="AG267:AH269"/>
    <mergeCell ref="B264:C266"/>
    <mergeCell ref="D264:I266"/>
    <mergeCell ref="J264:K266"/>
    <mergeCell ref="L264:M266"/>
    <mergeCell ref="N264:O266"/>
    <mergeCell ref="P264:Q266"/>
    <mergeCell ref="S264:T266"/>
    <mergeCell ref="U264:Z266"/>
    <mergeCell ref="AA264:AB266"/>
    <mergeCell ref="AC258:AD260"/>
    <mergeCell ref="AE258:AF260"/>
    <mergeCell ref="AG258:AH260"/>
    <mergeCell ref="B261:C263"/>
    <mergeCell ref="D261:I263"/>
    <mergeCell ref="J261:K263"/>
    <mergeCell ref="L261:M263"/>
    <mergeCell ref="N261:O263"/>
    <mergeCell ref="P261:Q263"/>
    <mergeCell ref="S261:T263"/>
    <mergeCell ref="U261:Z263"/>
    <mergeCell ref="AA261:AB263"/>
    <mergeCell ref="AC261:AD263"/>
    <mergeCell ref="AE261:AF263"/>
    <mergeCell ref="AG261:AH263"/>
    <mergeCell ref="B258:C260"/>
    <mergeCell ref="D258:I260"/>
    <mergeCell ref="J258:K260"/>
    <mergeCell ref="L258:M260"/>
    <mergeCell ref="N258:O260"/>
    <mergeCell ref="P258:Q260"/>
    <mergeCell ref="S258:T260"/>
    <mergeCell ref="U258:Z260"/>
    <mergeCell ref="AA258:AB260"/>
    <mergeCell ref="AC252:AD254"/>
    <mergeCell ref="AE252:AF254"/>
    <mergeCell ref="AG252:AH254"/>
    <mergeCell ref="B255:C257"/>
    <mergeCell ref="D255:I257"/>
    <mergeCell ref="J255:K257"/>
    <mergeCell ref="L255:M257"/>
    <mergeCell ref="N255:O257"/>
    <mergeCell ref="P255:Q257"/>
    <mergeCell ref="S255:T257"/>
    <mergeCell ref="U255:Z257"/>
    <mergeCell ref="AA255:AB257"/>
    <mergeCell ref="AC255:AD257"/>
    <mergeCell ref="AE255:AF257"/>
    <mergeCell ref="AG255:AH257"/>
    <mergeCell ref="B252:C254"/>
    <mergeCell ref="D252:I254"/>
    <mergeCell ref="J252:K254"/>
    <mergeCell ref="L252:M254"/>
    <mergeCell ref="N252:O254"/>
    <mergeCell ref="P252:Q254"/>
    <mergeCell ref="S252:T254"/>
    <mergeCell ref="U252:Z254"/>
    <mergeCell ref="AA252:AB254"/>
    <mergeCell ref="AC246:AD248"/>
    <mergeCell ref="AE246:AF248"/>
    <mergeCell ref="AG246:AH248"/>
    <mergeCell ref="B249:C251"/>
    <mergeCell ref="D249:I251"/>
    <mergeCell ref="J249:K251"/>
    <mergeCell ref="L249:M251"/>
    <mergeCell ref="N249:O251"/>
    <mergeCell ref="P249:Q251"/>
    <mergeCell ref="S249:T251"/>
    <mergeCell ref="U249:Z251"/>
    <mergeCell ref="AA249:AB251"/>
    <mergeCell ref="AC249:AD251"/>
    <mergeCell ref="AE249:AF251"/>
    <mergeCell ref="AG249:AH251"/>
    <mergeCell ref="B246:C248"/>
    <mergeCell ref="D246:I248"/>
    <mergeCell ref="J246:K248"/>
    <mergeCell ref="L246:M248"/>
    <mergeCell ref="N246:O248"/>
    <mergeCell ref="P246:Q248"/>
    <mergeCell ref="S246:T248"/>
    <mergeCell ref="U246:Z248"/>
    <mergeCell ref="AA246:AB248"/>
    <mergeCell ref="AC240:AD242"/>
    <mergeCell ref="AE240:AF242"/>
    <mergeCell ref="AG240:AH242"/>
    <mergeCell ref="B243:C245"/>
    <mergeCell ref="D243:I245"/>
    <mergeCell ref="J243:K245"/>
    <mergeCell ref="L243:M245"/>
    <mergeCell ref="N243:O245"/>
    <mergeCell ref="P243:Q245"/>
    <mergeCell ref="S243:T245"/>
    <mergeCell ref="U243:Z245"/>
    <mergeCell ref="AA243:AB245"/>
    <mergeCell ref="AC243:AD245"/>
    <mergeCell ref="AE243:AF245"/>
    <mergeCell ref="AG243:AH245"/>
    <mergeCell ref="B240:C242"/>
    <mergeCell ref="D240:I242"/>
    <mergeCell ref="J240:K242"/>
    <mergeCell ref="L240:M242"/>
    <mergeCell ref="N240:O242"/>
    <mergeCell ref="P240:Q242"/>
    <mergeCell ref="S240:T242"/>
    <mergeCell ref="U240:Z242"/>
    <mergeCell ref="AA240:AB242"/>
    <mergeCell ref="AC234:AD236"/>
    <mergeCell ref="AE234:AF236"/>
    <mergeCell ref="AG234:AH236"/>
    <mergeCell ref="B237:C239"/>
    <mergeCell ref="D237:I239"/>
    <mergeCell ref="J237:K239"/>
    <mergeCell ref="L237:M239"/>
    <mergeCell ref="N237:O239"/>
    <mergeCell ref="P237:Q239"/>
    <mergeCell ref="S237:T239"/>
    <mergeCell ref="U237:Z239"/>
    <mergeCell ref="AA237:AB239"/>
    <mergeCell ref="AC237:AD239"/>
    <mergeCell ref="AE237:AF239"/>
    <mergeCell ref="AG237:AH239"/>
    <mergeCell ref="B234:C236"/>
    <mergeCell ref="D234:I236"/>
    <mergeCell ref="J234:K236"/>
    <mergeCell ref="L234:M236"/>
    <mergeCell ref="N234:O236"/>
    <mergeCell ref="P234:Q236"/>
    <mergeCell ref="S234:T236"/>
    <mergeCell ref="U234:Z236"/>
    <mergeCell ref="AA234:AB236"/>
    <mergeCell ref="AC228:AD230"/>
    <mergeCell ref="AE228:AF230"/>
    <mergeCell ref="AG228:AH230"/>
    <mergeCell ref="B231:C233"/>
    <mergeCell ref="D231:I233"/>
    <mergeCell ref="J231:K233"/>
    <mergeCell ref="L231:M233"/>
    <mergeCell ref="N231:O233"/>
    <mergeCell ref="P231:Q233"/>
    <mergeCell ref="S231:T233"/>
    <mergeCell ref="U231:Z233"/>
    <mergeCell ref="AA231:AB233"/>
    <mergeCell ref="AC231:AD233"/>
    <mergeCell ref="AE231:AF233"/>
    <mergeCell ref="AG231:AH233"/>
    <mergeCell ref="B228:C230"/>
    <mergeCell ref="D228:I230"/>
    <mergeCell ref="J228:K230"/>
    <mergeCell ref="L228:M230"/>
    <mergeCell ref="N228:O230"/>
    <mergeCell ref="P228:Q230"/>
    <mergeCell ref="S228:T230"/>
    <mergeCell ref="U228:Z230"/>
    <mergeCell ref="AA228:AB230"/>
    <mergeCell ref="AC222:AD224"/>
    <mergeCell ref="AE222:AF224"/>
    <mergeCell ref="AG222:AH224"/>
    <mergeCell ref="B225:C227"/>
    <mergeCell ref="D225:I227"/>
    <mergeCell ref="J225:K227"/>
    <mergeCell ref="L225:M227"/>
    <mergeCell ref="N225:O227"/>
    <mergeCell ref="P225:Q227"/>
    <mergeCell ref="S225:T227"/>
    <mergeCell ref="U225:Z227"/>
    <mergeCell ref="AA225:AB227"/>
    <mergeCell ref="AC225:AD227"/>
    <mergeCell ref="AE225:AF227"/>
    <mergeCell ref="AG225:AH227"/>
    <mergeCell ref="B222:C224"/>
    <mergeCell ref="D222:I224"/>
    <mergeCell ref="J222:K224"/>
    <mergeCell ref="L222:M224"/>
    <mergeCell ref="N222:O224"/>
    <mergeCell ref="P222:Q224"/>
    <mergeCell ref="S222:T224"/>
    <mergeCell ref="U222:Z224"/>
    <mergeCell ref="AA222:AB224"/>
    <mergeCell ref="AC216:AD218"/>
    <mergeCell ref="AE216:AF218"/>
    <mergeCell ref="AG216:AH218"/>
    <mergeCell ref="B219:C221"/>
    <mergeCell ref="D219:I221"/>
    <mergeCell ref="J219:K221"/>
    <mergeCell ref="L219:M221"/>
    <mergeCell ref="N219:O221"/>
    <mergeCell ref="P219:Q221"/>
    <mergeCell ref="S219:T221"/>
    <mergeCell ref="U219:Z221"/>
    <mergeCell ref="AA219:AB221"/>
    <mergeCell ref="AC219:AD221"/>
    <mergeCell ref="AE219:AF221"/>
    <mergeCell ref="AG219:AH221"/>
    <mergeCell ref="B216:C218"/>
    <mergeCell ref="D216:I218"/>
    <mergeCell ref="J216:K218"/>
    <mergeCell ref="L216:M218"/>
    <mergeCell ref="N216:O218"/>
    <mergeCell ref="P216:Q218"/>
    <mergeCell ref="S216:T218"/>
    <mergeCell ref="U216:Z218"/>
    <mergeCell ref="AA216:AB218"/>
    <mergeCell ref="AC210:AD212"/>
    <mergeCell ref="AE210:AF212"/>
    <mergeCell ref="AG210:AH212"/>
    <mergeCell ref="B213:C215"/>
    <mergeCell ref="D213:I215"/>
    <mergeCell ref="J213:K215"/>
    <mergeCell ref="L213:M215"/>
    <mergeCell ref="N213:O215"/>
    <mergeCell ref="P213:Q215"/>
    <mergeCell ref="S213:T215"/>
    <mergeCell ref="U213:Z215"/>
    <mergeCell ref="AA213:AB215"/>
    <mergeCell ref="AC213:AD215"/>
    <mergeCell ref="AE213:AF215"/>
    <mergeCell ref="AG213:AH215"/>
    <mergeCell ref="B210:C212"/>
    <mergeCell ref="D210:I212"/>
    <mergeCell ref="J210:K212"/>
    <mergeCell ref="L210:M212"/>
    <mergeCell ref="N210:O212"/>
    <mergeCell ref="P210:Q212"/>
    <mergeCell ref="S210:T212"/>
    <mergeCell ref="U210:Z212"/>
    <mergeCell ref="AA210:AB212"/>
    <mergeCell ref="AC204:AD206"/>
    <mergeCell ref="AE204:AF206"/>
    <mergeCell ref="AG204:AH206"/>
    <mergeCell ref="B207:C209"/>
    <mergeCell ref="D207:I209"/>
    <mergeCell ref="J207:K209"/>
    <mergeCell ref="L207:M209"/>
    <mergeCell ref="N207:O209"/>
    <mergeCell ref="P207:Q209"/>
    <mergeCell ref="S207:T209"/>
    <mergeCell ref="U207:Z209"/>
    <mergeCell ref="AA207:AB209"/>
    <mergeCell ref="AC207:AD209"/>
    <mergeCell ref="AE207:AF209"/>
    <mergeCell ref="AG207:AH209"/>
    <mergeCell ref="B204:C206"/>
    <mergeCell ref="D204:I206"/>
    <mergeCell ref="J204:K206"/>
    <mergeCell ref="L204:M206"/>
    <mergeCell ref="N204:O206"/>
    <mergeCell ref="P204:Q206"/>
    <mergeCell ref="S204:T206"/>
    <mergeCell ref="U204:Z206"/>
    <mergeCell ref="AA204:AB206"/>
    <mergeCell ref="AC198:AD200"/>
    <mergeCell ref="AE198:AF200"/>
    <mergeCell ref="AG198:AH200"/>
    <mergeCell ref="B201:C203"/>
    <mergeCell ref="D201:I203"/>
    <mergeCell ref="J201:K203"/>
    <mergeCell ref="L201:M203"/>
    <mergeCell ref="N201:O203"/>
    <mergeCell ref="P201:Q203"/>
    <mergeCell ref="S201:T203"/>
    <mergeCell ref="U201:Z203"/>
    <mergeCell ref="AA201:AB203"/>
    <mergeCell ref="AC201:AD203"/>
    <mergeCell ref="AE201:AF203"/>
    <mergeCell ref="AG201:AH203"/>
    <mergeCell ref="B198:C200"/>
    <mergeCell ref="D198:I200"/>
    <mergeCell ref="J198:K200"/>
    <mergeCell ref="L198:M200"/>
    <mergeCell ref="N198:O200"/>
    <mergeCell ref="P198:Q200"/>
    <mergeCell ref="S198:T200"/>
    <mergeCell ref="U198:Z200"/>
    <mergeCell ref="AA198:AB200"/>
    <mergeCell ref="AC192:AD194"/>
    <mergeCell ref="AE192:AF194"/>
    <mergeCell ref="AG192:AH194"/>
    <mergeCell ref="B195:C197"/>
    <mergeCell ref="D195:I197"/>
    <mergeCell ref="J195:K197"/>
    <mergeCell ref="L195:M197"/>
    <mergeCell ref="N195:O197"/>
    <mergeCell ref="P195:Q197"/>
    <mergeCell ref="S195:T197"/>
    <mergeCell ref="U195:Z197"/>
    <mergeCell ref="AA195:AB197"/>
    <mergeCell ref="AC195:AD197"/>
    <mergeCell ref="AE195:AF197"/>
    <mergeCell ref="AG195:AH197"/>
    <mergeCell ref="B192:C194"/>
    <mergeCell ref="D192:I194"/>
    <mergeCell ref="J192:K194"/>
    <mergeCell ref="L192:M194"/>
    <mergeCell ref="N192:O194"/>
    <mergeCell ref="P192:Q194"/>
    <mergeCell ref="S192:T194"/>
    <mergeCell ref="U192:Z194"/>
    <mergeCell ref="AA192:AB194"/>
    <mergeCell ref="AC186:AD188"/>
    <mergeCell ref="AE186:AF188"/>
    <mergeCell ref="AG186:AH188"/>
    <mergeCell ref="B189:C191"/>
    <mergeCell ref="D189:I191"/>
    <mergeCell ref="J189:K191"/>
    <mergeCell ref="L189:M191"/>
    <mergeCell ref="N189:O191"/>
    <mergeCell ref="P189:Q191"/>
    <mergeCell ref="S189:T191"/>
    <mergeCell ref="U189:Z191"/>
    <mergeCell ref="AA189:AB191"/>
    <mergeCell ref="AC189:AD191"/>
    <mergeCell ref="AE189:AF191"/>
    <mergeCell ref="AG189:AH191"/>
    <mergeCell ref="B186:C188"/>
    <mergeCell ref="D186:I188"/>
    <mergeCell ref="J186:K188"/>
    <mergeCell ref="L186:M188"/>
    <mergeCell ref="N186:O188"/>
    <mergeCell ref="P186:Q188"/>
    <mergeCell ref="S186:T188"/>
    <mergeCell ref="U186:Z188"/>
    <mergeCell ref="AA186:AB188"/>
    <mergeCell ref="AC180:AD182"/>
    <mergeCell ref="AE180:AF182"/>
    <mergeCell ref="AG180:AH182"/>
    <mergeCell ref="B183:C185"/>
    <mergeCell ref="D183:I185"/>
    <mergeCell ref="J183:K185"/>
    <mergeCell ref="L183:M185"/>
    <mergeCell ref="N183:O185"/>
    <mergeCell ref="P183:Q185"/>
    <mergeCell ref="S183:T185"/>
    <mergeCell ref="U183:Z185"/>
    <mergeCell ref="AA183:AB185"/>
    <mergeCell ref="AC183:AD185"/>
    <mergeCell ref="AE183:AF185"/>
    <mergeCell ref="AG183:AH185"/>
    <mergeCell ref="B180:C182"/>
    <mergeCell ref="D180:I182"/>
    <mergeCell ref="J180:K182"/>
    <mergeCell ref="L180:M182"/>
    <mergeCell ref="N180:O182"/>
    <mergeCell ref="P180:Q182"/>
    <mergeCell ref="S180:T182"/>
    <mergeCell ref="U180:Z182"/>
    <mergeCell ref="AA180:AB182"/>
    <mergeCell ref="AC174:AD176"/>
    <mergeCell ref="AE174:AF176"/>
    <mergeCell ref="AG174:AH176"/>
    <mergeCell ref="B177:C179"/>
    <mergeCell ref="D177:I179"/>
    <mergeCell ref="J177:K179"/>
    <mergeCell ref="L177:M179"/>
    <mergeCell ref="N177:O179"/>
    <mergeCell ref="P177:Q179"/>
    <mergeCell ref="S177:T179"/>
    <mergeCell ref="U177:Z179"/>
    <mergeCell ref="AA177:AB179"/>
    <mergeCell ref="AC177:AD179"/>
    <mergeCell ref="AE177:AF179"/>
    <mergeCell ref="AG177:AH179"/>
    <mergeCell ref="B174:C176"/>
    <mergeCell ref="D174:I176"/>
    <mergeCell ref="J174:K176"/>
    <mergeCell ref="L174:M176"/>
    <mergeCell ref="N174:O176"/>
    <mergeCell ref="P174:Q176"/>
    <mergeCell ref="S174:T176"/>
    <mergeCell ref="U174:Z176"/>
    <mergeCell ref="AA174:AB176"/>
    <mergeCell ref="AC168:AD170"/>
    <mergeCell ref="AE168:AF170"/>
    <mergeCell ref="AG168:AH170"/>
    <mergeCell ref="B171:C173"/>
    <mergeCell ref="D171:I173"/>
    <mergeCell ref="J171:K173"/>
    <mergeCell ref="L171:M173"/>
    <mergeCell ref="N171:O173"/>
    <mergeCell ref="P171:Q173"/>
    <mergeCell ref="S171:T173"/>
    <mergeCell ref="U171:Z173"/>
    <mergeCell ref="AA171:AB173"/>
    <mergeCell ref="AC171:AD173"/>
    <mergeCell ref="AE171:AF173"/>
    <mergeCell ref="AG171:AH173"/>
    <mergeCell ref="B168:C170"/>
    <mergeCell ref="D168:I170"/>
    <mergeCell ref="J168:K170"/>
    <mergeCell ref="L168:M170"/>
    <mergeCell ref="N168:O170"/>
    <mergeCell ref="P168:Q170"/>
    <mergeCell ref="S168:T170"/>
    <mergeCell ref="U168:Z170"/>
    <mergeCell ref="AA168:AB170"/>
    <mergeCell ref="AC162:AD164"/>
    <mergeCell ref="AE162:AF164"/>
    <mergeCell ref="AG162:AH164"/>
    <mergeCell ref="B165:C167"/>
    <mergeCell ref="D165:I167"/>
    <mergeCell ref="J165:K167"/>
    <mergeCell ref="L165:M167"/>
    <mergeCell ref="N165:O167"/>
    <mergeCell ref="P165:Q167"/>
    <mergeCell ref="S165:T167"/>
    <mergeCell ref="U165:Z167"/>
    <mergeCell ref="AA165:AB167"/>
    <mergeCell ref="AC165:AD167"/>
    <mergeCell ref="AE165:AF167"/>
    <mergeCell ref="AG165:AH167"/>
    <mergeCell ref="B162:C164"/>
    <mergeCell ref="D162:I164"/>
    <mergeCell ref="J162:K164"/>
    <mergeCell ref="L162:M164"/>
    <mergeCell ref="N162:O164"/>
    <mergeCell ref="P162:Q164"/>
    <mergeCell ref="S162:T164"/>
    <mergeCell ref="U162:Z164"/>
    <mergeCell ref="AA162:AB164"/>
    <mergeCell ref="AC156:AD158"/>
    <mergeCell ref="AE156:AF158"/>
    <mergeCell ref="AG156:AH158"/>
    <mergeCell ref="B159:C161"/>
    <mergeCell ref="D159:I161"/>
    <mergeCell ref="J159:K161"/>
    <mergeCell ref="L159:M161"/>
    <mergeCell ref="N159:O161"/>
    <mergeCell ref="P159:Q161"/>
    <mergeCell ref="S159:T161"/>
    <mergeCell ref="U159:Z161"/>
    <mergeCell ref="AA159:AB161"/>
    <mergeCell ref="AC159:AD161"/>
    <mergeCell ref="AE159:AF161"/>
    <mergeCell ref="AG159:AH161"/>
    <mergeCell ref="B156:C158"/>
    <mergeCell ref="D156:I158"/>
    <mergeCell ref="J156:K158"/>
    <mergeCell ref="L156:M158"/>
    <mergeCell ref="N156:O158"/>
    <mergeCell ref="P156:Q158"/>
    <mergeCell ref="S156:T158"/>
    <mergeCell ref="U156:Z158"/>
    <mergeCell ref="AA156:AB158"/>
    <mergeCell ref="AC150:AD152"/>
    <mergeCell ref="AE150:AF152"/>
    <mergeCell ref="AG150:AH152"/>
    <mergeCell ref="B153:C155"/>
    <mergeCell ref="D153:I155"/>
    <mergeCell ref="J153:K155"/>
    <mergeCell ref="L153:M155"/>
    <mergeCell ref="N153:O155"/>
    <mergeCell ref="P153:Q155"/>
    <mergeCell ref="S153:T155"/>
    <mergeCell ref="U153:Z155"/>
    <mergeCell ref="AA153:AB155"/>
    <mergeCell ref="AC153:AD155"/>
    <mergeCell ref="AE153:AF155"/>
    <mergeCell ref="AG153:AH155"/>
    <mergeCell ref="B150:C152"/>
    <mergeCell ref="D150:I152"/>
    <mergeCell ref="J150:K152"/>
    <mergeCell ref="L150:M152"/>
    <mergeCell ref="N150:O152"/>
    <mergeCell ref="P150:Q152"/>
    <mergeCell ref="S150:T152"/>
    <mergeCell ref="U150:Z152"/>
    <mergeCell ref="AA150:AB152"/>
    <mergeCell ref="AC144:AD146"/>
    <mergeCell ref="AE144:AF146"/>
    <mergeCell ref="AG144:AH146"/>
    <mergeCell ref="B147:C149"/>
    <mergeCell ref="D147:I149"/>
    <mergeCell ref="J147:K149"/>
    <mergeCell ref="L147:M149"/>
    <mergeCell ref="N147:O149"/>
    <mergeCell ref="P147:Q149"/>
    <mergeCell ref="S147:T149"/>
    <mergeCell ref="U147:Z149"/>
    <mergeCell ref="AA147:AB149"/>
    <mergeCell ref="AC147:AD149"/>
    <mergeCell ref="AE147:AF149"/>
    <mergeCell ref="AG147:AH149"/>
    <mergeCell ref="B144:C146"/>
    <mergeCell ref="D144:I146"/>
    <mergeCell ref="J144:K146"/>
    <mergeCell ref="L144:M146"/>
    <mergeCell ref="N144:O146"/>
    <mergeCell ref="P144:Q146"/>
    <mergeCell ref="S144:T146"/>
    <mergeCell ref="U144:Z146"/>
    <mergeCell ref="AA144:AB146"/>
    <mergeCell ref="AC138:AD140"/>
    <mergeCell ref="AE138:AF140"/>
    <mergeCell ref="AG138:AH140"/>
    <mergeCell ref="B141:C143"/>
    <mergeCell ref="D141:I143"/>
    <mergeCell ref="J141:K143"/>
    <mergeCell ref="L141:M143"/>
    <mergeCell ref="N141:O143"/>
    <mergeCell ref="P141:Q143"/>
    <mergeCell ref="S141:T143"/>
    <mergeCell ref="U141:Z143"/>
    <mergeCell ref="AA141:AB143"/>
    <mergeCell ref="AC141:AD143"/>
    <mergeCell ref="AE141:AF143"/>
    <mergeCell ref="AG141:AH143"/>
    <mergeCell ref="B138:C140"/>
    <mergeCell ref="D138:I140"/>
    <mergeCell ref="J138:K140"/>
    <mergeCell ref="L138:M140"/>
    <mergeCell ref="N138:O140"/>
    <mergeCell ref="P138:Q140"/>
    <mergeCell ref="S138:T140"/>
    <mergeCell ref="U138:Z140"/>
    <mergeCell ref="AA138:AB140"/>
    <mergeCell ref="AC132:AD134"/>
    <mergeCell ref="AE132:AF134"/>
    <mergeCell ref="AG132:AH134"/>
    <mergeCell ref="B135:C137"/>
    <mergeCell ref="D135:I137"/>
    <mergeCell ref="J135:K137"/>
    <mergeCell ref="L135:M137"/>
    <mergeCell ref="N135:O137"/>
    <mergeCell ref="P135:Q137"/>
    <mergeCell ref="S135:T137"/>
    <mergeCell ref="U135:Z137"/>
    <mergeCell ref="AA135:AB137"/>
    <mergeCell ref="AC135:AD137"/>
    <mergeCell ref="AE135:AF137"/>
    <mergeCell ref="AG135:AH137"/>
    <mergeCell ref="B132:C134"/>
    <mergeCell ref="D132:I134"/>
    <mergeCell ref="J132:K134"/>
    <mergeCell ref="L132:M134"/>
    <mergeCell ref="N132:O134"/>
    <mergeCell ref="P132:Q134"/>
    <mergeCell ref="S132:T134"/>
    <mergeCell ref="U132:Z134"/>
    <mergeCell ref="AA132:AB134"/>
    <mergeCell ref="AC126:AD128"/>
    <mergeCell ref="AE126:AF128"/>
    <mergeCell ref="AG126:AH128"/>
    <mergeCell ref="B129:C131"/>
    <mergeCell ref="D129:I131"/>
    <mergeCell ref="J129:K131"/>
    <mergeCell ref="L129:M131"/>
    <mergeCell ref="N129:O131"/>
    <mergeCell ref="P129:Q131"/>
    <mergeCell ref="S129:T131"/>
    <mergeCell ref="U129:Z131"/>
    <mergeCell ref="AA129:AB131"/>
    <mergeCell ref="AC129:AD131"/>
    <mergeCell ref="AE129:AF131"/>
    <mergeCell ref="AG129:AH131"/>
    <mergeCell ref="B126:C128"/>
    <mergeCell ref="D126:I128"/>
    <mergeCell ref="J126:K128"/>
    <mergeCell ref="L126:M128"/>
    <mergeCell ref="N126:O128"/>
    <mergeCell ref="P126:Q128"/>
    <mergeCell ref="S126:T128"/>
    <mergeCell ref="U126:Z128"/>
    <mergeCell ref="AA126:AB128"/>
    <mergeCell ref="AC120:AD122"/>
    <mergeCell ref="AE120:AF122"/>
    <mergeCell ref="AG120:AH122"/>
    <mergeCell ref="B123:C125"/>
    <mergeCell ref="D123:I125"/>
    <mergeCell ref="J123:K125"/>
    <mergeCell ref="L123:M125"/>
    <mergeCell ref="N123:O125"/>
    <mergeCell ref="P123:Q125"/>
    <mergeCell ref="S123:T125"/>
    <mergeCell ref="U123:Z125"/>
    <mergeCell ref="AA123:AB125"/>
    <mergeCell ref="AC123:AD125"/>
    <mergeCell ref="AE123:AF125"/>
    <mergeCell ref="AG123:AH125"/>
    <mergeCell ref="B120:C122"/>
    <mergeCell ref="D120:I122"/>
    <mergeCell ref="J120:K122"/>
    <mergeCell ref="L120:M122"/>
    <mergeCell ref="N120:O122"/>
    <mergeCell ref="P120:Q122"/>
    <mergeCell ref="S120:T122"/>
    <mergeCell ref="U120:Z122"/>
    <mergeCell ref="AA120:AB122"/>
    <mergeCell ref="AC114:AD116"/>
    <mergeCell ref="AE114:AF116"/>
    <mergeCell ref="AG114:AH116"/>
    <mergeCell ref="B117:C119"/>
    <mergeCell ref="D117:I119"/>
    <mergeCell ref="J117:K119"/>
    <mergeCell ref="L117:M119"/>
    <mergeCell ref="N117:O119"/>
    <mergeCell ref="P117:Q119"/>
    <mergeCell ref="S117:T119"/>
    <mergeCell ref="U117:Z119"/>
    <mergeCell ref="AA117:AB119"/>
    <mergeCell ref="AC117:AD119"/>
    <mergeCell ref="AE117:AF119"/>
    <mergeCell ref="AG117:AH119"/>
    <mergeCell ref="B114:C116"/>
    <mergeCell ref="D114:I116"/>
    <mergeCell ref="J114:K116"/>
    <mergeCell ref="L114:M116"/>
    <mergeCell ref="N114:O116"/>
    <mergeCell ref="P114:Q116"/>
    <mergeCell ref="S114:T116"/>
    <mergeCell ref="U114:Z116"/>
    <mergeCell ref="AA114:AB116"/>
    <mergeCell ref="AC108:AD110"/>
    <mergeCell ref="AE108:AF110"/>
    <mergeCell ref="AG108:AH110"/>
    <mergeCell ref="B111:C113"/>
    <mergeCell ref="D111:I113"/>
    <mergeCell ref="J111:K113"/>
    <mergeCell ref="L111:M113"/>
    <mergeCell ref="N111:O113"/>
    <mergeCell ref="P111:Q113"/>
    <mergeCell ref="S111:T113"/>
    <mergeCell ref="U111:Z113"/>
    <mergeCell ref="AA111:AB113"/>
    <mergeCell ref="AC111:AD113"/>
    <mergeCell ref="AE111:AF113"/>
    <mergeCell ref="AG111:AH113"/>
    <mergeCell ref="B108:C110"/>
    <mergeCell ref="D108:I110"/>
    <mergeCell ref="J108:K110"/>
    <mergeCell ref="L108:M110"/>
    <mergeCell ref="N108:O110"/>
    <mergeCell ref="P108:Q110"/>
    <mergeCell ref="S108:T110"/>
    <mergeCell ref="U108:Z110"/>
    <mergeCell ref="AA108:AB110"/>
    <mergeCell ref="S102:T104"/>
    <mergeCell ref="U102:Z104"/>
    <mergeCell ref="AA102:AB104"/>
    <mergeCell ref="AC102:AD104"/>
    <mergeCell ref="AE102:AF104"/>
    <mergeCell ref="AG102:AH104"/>
    <mergeCell ref="B105:C107"/>
    <mergeCell ref="D105:I107"/>
    <mergeCell ref="J105:K107"/>
    <mergeCell ref="L105:M107"/>
    <mergeCell ref="N105:O107"/>
    <mergeCell ref="P105:Q107"/>
    <mergeCell ref="S105:T107"/>
    <mergeCell ref="U105:Z107"/>
    <mergeCell ref="AA105:AB107"/>
    <mergeCell ref="AC105:AD107"/>
    <mergeCell ref="AE105:AF107"/>
    <mergeCell ref="AG105:AH107"/>
    <mergeCell ref="S96:T98"/>
    <mergeCell ref="U96:Z98"/>
    <mergeCell ref="AA96:AB98"/>
    <mergeCell ref="AC96:AD98"/>
    <mergeCell ref="AE96:AF98"/>
    <mergeCell ref="AG96:AH98"/>
    <mergeCell ref="S99:T101"/>
    <mergeCell ref="U99:Z101"/>
    <mergeCell ref="AA99:AB101"/>
    <mergeCell ref="AC99:AD101"/>
    <mergeCell ref="AE99:AF101"/>
    <mergeCell ref="AG99:AH101"/>
    <mergeCell ref="S90:T92"/>
    <mergeCell ref="U90:Z92"/>
    <mergeCell ref="AA90:AB92"/>
    <mergeCell ref="AC90:AD92"/>
    <mergeCell ref="AE90:AF92"/>
    <mergeCell ref="AG90:AH92"/>
    <mergeCell ref="S93:T95"/>
    <mergeCell ref="U93:Z95"/>
    <mergeCell ref="AA93:AB95"/>
    <mergeCell ref="AC93:AD95"/>
    <mergeCell ref="AE93:AF95"/>
    <mergeCell ref="AG93:AH95"/>
    <mergeCell ref="S84:T86"/>
    <mergeCell ref="U84:Z86"/>
    <mergeCell ref="AA84:AB86"/>
    <mergeCell ref="AC84:AD86"/>
    <mergeCell ref="AE84:AF86"/>
    <mergeCell ref="AG84:AH86"/>
    <mergeCell ref="S87:T89"/>
    <mergeCell ref="U87:Z89"/>
    <mergeCell ref="AA87:AB89"/>
    <mergeCell ref="AC87:AD89"/>
    <mergeCell ref="AE87:AF89"/>
    <mergeCell ref="AG87:AH89"/>
    <mergeCell ref="S78:T80"/>
    <mergeCell ref="U78:Z80"/>
    <mergeCell ref="AA78:AB80"/>
    <mergeCell ref="AC78:AD80"/>
    <mergeCell ref="AE78:AF80"/>
    <mergeCell ref="AG78:AH80"/>
    <mergeCell ref="S81:T83"/>
    <mergeCell ref="U81:Z83"/>
    <mergeCell ref="AA81:AB83"/>
    <mergeCell ref="AC81:AD83"/>
    <mergeCell ref="AE81:AF83"/>
    <mergeCell ref="AG81:AH83"/>
    <mergeCell ref="B6:C8"/>
    <mergeCell ref="D6:I8"/>
    <mergeCell ref="J6:K8"/>
    <mergeCell ref="L6:M8"/>
    <mergeCell ref="N6:O8"/>
    <mergeCell ref="P6:Q8"/>
    <mergeCell ref="B3:C5"/>
    <mergeCell ref="D3:I5"/>
    <mergeCell ref="J3:K5"/>
    <mergeCell ref="L3:M5"/>
    <mergeCell ref="N3:O5"/>
    <mergeCell ref="P3:Q5"/>
    <mergeCell ref="B12:C14"/>
    <mergeCell ref="D12:I14"/>
    <mergeCell ref="J12:K14"/>
    <mergeCell ref="L12:M14"/>
    <mergeCell ref="N12:O14"/>
    <mergeCell ref="P12:Q14"/>
    <mergeCell ref="B9:C11"/>
    <mergeCell ref="D9:I11"/>
    <mergeCell ref="J9:K11"/>
    <mergeCell ref="L9:M11"/>
    <mergeCell ref="N9:O11"/>
    <mergeCell ref="P9:Q11"/>
    <mergeCell ref="B18:C20"/>
    <mergeCell ref="D18:I20"/>
    <mergeCell ref="J18:K20"/>
    <mergeCell ref="L18:M20"/>
    <mergeCell ref="N18:O20"/>
    <mergeCell ref="P18:Q20"/>
    <mergeCell ref="B15:C17"/>
    <mergeCell ref="D15:I17"/>
    <mergeCell ref="J15:K17"/>
    <mergeCell ref="L15:M17"/>
    <mergeCell ref="N15:O17"/>
    <mergeCell ref="P15:Q17"/>
    <mergeCell ref="B24:C26"/>
    <mergeCell ref="D24:I26"/>
    <mergeCell ref="J24:K26"/>
    <mergeCell ref="L24:M26"/>
    <mergeCell ref="N24:O26"/>
    <mergeCell ref="P24:Q26"/>
    <mergeCell ref="B21:C23"/>
    <mergeCell ref="D21:I23"/>
    <mergeCell ref="J21:K23"/>
    <mergeCell ref="L21:M23"/>
    <mergeCell ref="N21:O23"/>
    <mergeCell ref="P21:Q23"/>
    <mergeCell ref="B30:C32"/>
    <mergeCell ref="D30:I32"/>
    <mergeCell ref="J30:K32"/>
    <mergeCell ref="L30:M32"/>
    <mergeCell ref="N30:O32"/>
    <mergeCell ref="P30:Q32"/>
    <mergeCell ref="B27:C29"/>
    <mergeCell ref="D27:I29"/>
    <mergeCell ref="J27:K29"/>
    <mergeCell ref="L27:M29"/>
    <mergeCell ref="N27:O29"/>
    <mergeCell ref="P27:Q29"/>
    <mergeCell ref="B36:C38"/>
    <mergeCell ref="D36:I38"/>
    <mergeCell ref="J36:K38"/>
    <mergeCell ref="L36:M38"/>
    <mergeCell ref="N36:O38"/>
    <mergeCell ref="P36:Q38"/>
    <mergeCell ref="B33:C35"/>
    <mergeCell ref="D33:I35"/>
    <mergeCell ref="J33:K35"/>
    <mergeCell ref="L33:M35"/>
    <mergeCell ref="N33:O35"/>
    <mergeCell ref="P33:Q35"/>
    <mergeCell ref="B42:C44"/>
    <mergeCell ref="D42:I44"/>
    <mergeCell ref="J42:K44"/>
    <mergeCell ref="L42:M44"/>
    <mergeCell ref="N42:O44"/>
    <mergeCell ref="P42:Q44"/>
    <mergeCell ref="B39:C41"/>
    <mergeCell ref="D39:I41"/>
    <mergeCell ref="J39:K41"/>
    <mergeCell ref="L39:M41"/>
    <mergeCell ref="N39:O41"/>
    <mergeCell ref="P39:Q41"/>
    <mergeCell ref="B48:C50"/>
    <mergeCell ref="D48:I50"/>
    <mergeCell ref="J48:K50"/>
    <mergeCell ref="L48:M50"/>
    <mergeCell ref="N48:O50"/>
    <mergeCell ref="P48:Q50"/>
    <mergeCell ref="B45:C47"/>
    <mergeCell ref="D45:I47"/>
    <mergeCell ref="J45:K47"/>
    <mergeCell ref="L45:M47"/>
    <mergeCell ref="N45:O47"/>
    <mergeCell ref="P45:Q47"/>
    <mergeCell ref="B54:C56"/>
    <mergeCell ref="D54:I56"/>
    <mergeCell ref="J54:K56"/>
    <mergeCell ref="L54:M56"/>
    <mergeCell ref="N54:O56"/>
    <mergeCell ref="P54:Q56"/>
    <mergeCell ref="B51:C53"/>
    <mergeCell ref="D51:I53"/>
    <mergeCell ref="J51:K53"/>
    <mergeCell ref="L51:M53"/>
    <mergeCell ref="N51:O53"/>
    <mergeCell ref="P51:Q53"/>
    <mergeCell ref="B60:C62"/>
    <mergeCell ref="D60:I62"/>
    <mergeCell ref="J60:K62"/>
    <mergeCell ref="L60:M62"/>
    <mergeCell ref="N60:O62"/>
    <mergeCell ref="P60:Q62"/>
    <mergeCell ref="B57:C59"/>
    <mergeCell ref="D57:I59"/>
    <mergeCell ref="J57:K59"/>
    <mergeCell ref="L57:M59"/>
    <mergeCell ref="N57:O59"/>
    <mergeCell ref="P57:Q59"/>
    <mergeCell ref="B66:C68"/>
    <mergeCell ref="D66:I68"/>
    <mergeCell ref="J66:K68"/>
    <mergeCell ref="L66:M68"/>
    <mergeCell ref="N66:O68"/>
    <mergeCell ref="P66:Q68"/>
    <mergeCell ref="B63:C65"/>
    <mergeCell ref="D63:I65"/>
    <mergeCell ref="J63:K65"/>
    <mergeCell ref="L63:M65"/>
    <mergeCell ref="N63:O65"/>
    <mergeCell ref="P63:Q65"/>
    <mergeCell ref="B72:C74"/>
    <mergeCell ref="D72:I74"/>
    <mergeCell ref="J72:K74"/>
    <mergeCell ref="L72:M74"/>
    <mergeCell ref="N72:O74"/>
    <mergeCell ref="P72:Q74"/>
    <mergeCell ref="B69:C71"/>
    <mergeCell ref="D69:I71"/>
    <mergeCell ref="J69:K71"/>
    <mergeCell ref="L69:M71"/>
    <mergeCell ref="N69:O71"/>
    <mergeCell ref="P69:Q71"/>
    <mergeCell ref="B78:C80"/>
    <mergeCell ref="D78:I80"/>
    <mergeCell ref="J78:K80"/>
    <mergeCell ref="L78:M80"/>
    <mergeCell ref="N78:O80"/>
    <mergeCell ref="P78:Q80"/>
    <mergeCell ref="B75:C77"/>
    <mergeCell ref="D75:I77"/>
    <mergeCell ref="J75:K77"/>
    <mergeCell ref="L75:M77"/>
    <mergeCell ref="N75:O77"/>
    <mergeCell ref="P75:Q77"/>
    <mergeCell ref="L84:M86"/>
    <mergeCell ref="N84:O86"/>
    <mergeCell ref="P84:Q86"/>
    <mergeCell ref="B81:C83"/>
    <mergeCell ref="D81:I83"/>
    <mergeCell ref="J81:K83"/>
    <mergeCell ref="L81:M83"/>
    <mergeCell ref="N81:O83"/>
    <mergeCell ref="P81:Q83"/>
    <mergeCell ref="S3:T5"/>
    <mergeCell ref="U3:Z5"/>
    <mergeCell ref="AA3:AB5"/>
    <mergeCell ref="AC3:AD5"/>
    <mergeCell ref="AE3:AF5"/>
    <mergeCell ref="AG3:AH5"/>
    <mergeCell ref="S12:T14"/>
    <mergeCell ref="U12:Z14"/>
    <mergeCell ref="AA12:AB14"/>
    <mergeCell ref="AC12:AD14"/>
    <mergeCell ref="AE12:AF14"/>
    <mergeCell ref="AG12:AH14"/>
    <mergeCell ref="S9:T11"/>
    <mergeCell ref="U9:Z11"/>
    <mergeCell ref="AA9:AB11"/>
    <mergeCell ref="AC9:AD11"/>
    <mergeCell ref="AE9:AF11"/>
    <mergeCell ref="AG9:AH11"/>
    <mergeCell ref="S6:T8"/>
    <mergeCell ref="AC6:AD8"/>
    <mergeCell ref="AE6:AF8"/>
    <mergeCell ref="AG6:AH8"/>
    <mergeCell ref="S15:T17"/>
    <mergeCell ref="U15:Z17"/>
    <mergeCell ref="AA15:AB17"/>
    <mergeCell ref="AC15:AD17"/>
    <mergeCell ref="AE15:AF17"/>
    <mergeCell ref="U6:Z8"/>
    <mergeCell ref="AA6:AB8"/>
    <mergeCell ref="S18:T20"/>
    <mergeCell ref="U18:Z20"/>
    <mergeCell ref="AA18:AB20"/>
    <mergeCell ref="AC18:AD20"/>
    <mergeCell ref="AE18:AF20"/>
    <mergeCell ref="S21:T23"/>
    <mergeCell ref="U21:Z23"/>
    <mergeCell ref="AA21:AB23"/>
    <mergeCell ref="AC21:AD23"/>
    <mergeCell ref="AE21:AF23"/>
    <mergeCell ref="S24:T26"/>
    <mergeCell ref="U24:Z26"/>
    <mergeCell ref="AA24:AB26"/>
    <mergeCell ref="AC24:AD26"/>
    <mergeCell ref="AE24:AF26"/>
    <mergeCell ref="S27:T29"/>
    <mergeCell ref="U27:Z29"/>
    <mergeCell ref="AA27:AB29"/>
    <mergeCell ref="AC27:AD29"/>
    <mergeCell ref="AE27:AF29"/>
    <mergeCell ref="S30:T32"/>
    <mergeCell ref="U30:Z32"/>
    <mergeCell ref="AA30:AB32"/>
    <mergeCell ref="AC30:AD32"/>
    <mergeCell ref="AE30:AF32"/>
    <mergeCell ref="S33:T35"/>
    <mergeCell ref="U33:Z35"/>
    <mergeCell ref="AA33:AB35"/>
    <mergeCell ref="AC33:AD35"/>
    <mergeCell ref="AE33:AF35"/>
    <mergeCell ref="S36:T38"/>
    <mergeCell ref="U36:Z38"/>
    <mergeCell ref="AA36:AB38"/>
    <mergeCell ref="AC36:AD38"/>
    <mergeCell ref="AE36:AF38"/>
    <mergeCell ref="S39:T41"/>
    <mergeCell ref="U39:Z41"/>
    <mergeCell ref="AA39:AB41"/>
    <mergeCell ref="AC39:AD41"/>
    <mergeCell ref="AE39:AF41"/>
    <mergeCell ref="S42:T44"/>
    <mergeCell ref="U42:Z44"/>
    <mergeCell ref="AA42:AB44"/>
    <mergeCell ref="AC42:AD44"/>
    <mergeCell ref="AE42:AF44"/>
    <mergeCell ref="S45:T47"/>
    <mergeCell ref="U45:Z47"/>
    <mergeCell ref="AA45:AB47"/>
    <mergeCell ref="AC45:AD47"/>
    <mergeCell ref="AE45:AF47"/>
    <mergeCell ref="S51:T53"/>
    <mergeCell ref="U51:Z53"/>
    <mergeCell ref="AA51:AB53"/>
    <mergeCell ref="AC51:AD53"/>
    <mergeCell ref="AE51:AF53"/>
    <mergeCell ref="AC60:AD62"/>
    <mergeCell ref="AE60:AF62"/>
    <mergeCell ref="S63:T65"/>
    <mergeCell ref="U63:Z65"/>
    <mergeCell ref="AA63:AB65"/>
    <mergeCell ref="AC63:AD65"/>
    <mergeCell ref="AE63:AF65"/>
    <mergeCell ref="S54:T56"/>
    <mergeCell ref="U54:Z56"/>
    <mergeCell ref="AA54:AB56"/>
    <mergeCell ref="AC54:AD56"/>
    <mergeCell ref="AE54:AF56"/>
    <mergeCell ref="S57:T59"/>
    <mergeCell ref="U57:Z59"/>
    <mergeCell ref="AA57:AB59"/>
    <mergeCell ref="AC57:AD59"/>
    <mergeCell ref="AE57:AF59"/>
    <mergeCell ref="AG15:AH17"/>
    <mergeCell ref="AG18:AH20"/>
    <mergeCell ref="AG21:AH23"/>
    <mergeCell ref="AG24:AH26"/>
    <mergeCell ref="AG27:AH29"/>
    <mergeCell ref="S72:T74"/>
    <mergeCell ref="U72:Z74"/>
    <mergeCell ref="AA72:AB74"/>
    <mergeCell ref="AC72:AD74"/>
    <mergeCell ref="AE72:AF74"/>
    <mergeCell ref="S66:T68"/>
    <mergeCell ref="U66:Z68"/>
    <mergeCell ref="AA66:AB68"/>
    <mergeCell ref="AC66:AD68"/>
    <mergeCell ref="AE66:AF68"/>
    <mergeCell ref="S69:T71"/>
    <mergeCell ref="U69:Z71"/>
    <mergeCell ref="AA69:AB71"/>
    <mergeCell ref="AC69:AD71"/>
    <mergeCell ref="AE69:AF71"/>
    <mergeCell ref="S60:T62"/>
    <mergeCell ref="U60:Z62"/>
    <mergeCell ref="AA60:AB62"/>
    <mergeCell ref="AG48:AH50"/>
    <mergeCell ref="AG51:AH53"/>
    <mergeCell ref="AG54:AH56"/>
    <mergeCell ref="AG57:AH59"/>
    <mergeCell ref="AG60:AH62"/>
    <mergeCell ref="AG63:AH65"/>
    <mergeCell ref="AG30:AH32"/>
    <mergeCell ref="AG33:AH35"/>
    <mergeCell ref="AG36:AH38"/>
    <mergeCell ref="AG39:AH41"/>
    <mergeCell ref="AG42:AH44"/>
    <mergeCell ref="AG45:AH47"/>
    <mergeCell ref="AG66:AH68"/>
    <mergeCell ref="AG69:AH71"/>
    <mergeCell ref="AG72:AH74"/>
    <mergeCell ref="AG75:AH77"/>
    <mergeCell ref="B90:C92"/>
    <mergeCell ref="D90:I92"/>
    <mergeCell ref="J90:K92"/>
    <mergeCell ref="L90:M92"/>
    <mergeCell ref="N90:O92"/>
    <mergeCell ref="P90:Q92"/>
    <mergeCell ref="S75:T77"/>
    <mergeCell ref="U75:Z77"/>
    <mergeCell ref="AA75:AB77"/>
    <mergeCell ref="AC75:AD77"/>
    <mergeCell ref="AE75:AF77"/>
    <mergeCell ref="B87:C89"/>
    <mergeCell ref="D87:I89"/>
    <mergeCell ref="J87:K89"/>
    <mergeCell ref="L87:M89"/>
    <mergeCell ref="N87:O89"/>
    <mergeCell ref="P87:Q89"/>
    <mergeCell ref="B84:C86"/>
    <mergeCell ref="D84:I86"/>
    <mergeCell ref="J84:K86"/>
    <mergeCell ref="S48:T50"/>
    <mergeCell ref="U48:Z50"/>
    <mergeCell ref="AA48:AB50"/>
    <mergeCell ref="AC48:AD50"/>
    <mergeCell ref="AE48:AF50"/>
    <mergeCell ref="B96:C98"/>
    <mergeCell ref="D96:I98"/>
    <mergeCell ref="J96:K98"/>
    <mergeCell ref="L96:M98"/>
    <mergeCell ref="N96:O98"/>
    <mergeCell ref="P96:Q98"/>
    <mergeCell ref="B93:C95"/>
    <mergeCell ref="D93:I95"/>
    <mergeCell ref="J93:K95"/>
    <mergeCell ref="L93:M95"/>
    <mergeCell ref="N93:O95"/>
    <mergeCell ref="P93:Q95"/>
    <mergeCell ref="B102:C104"/>
    <mergeCell ref="D102:I104"/>
    <mergeCell ref="J102:K104"/>
    <mergeCell ref="L102:M104"/>
    <mergeCell ref="N102:O104"/>
    <mergeCell ref="P102:Q104"/>
    <mergeCell ref="B99:C101"/>
    <mergeCell ref="D99:I101"/>
    <mergeCell ref="J99:K101"/>
    <mergeCell ref="L99:M101"/>
    <mergeCell ref="N99:O101"/>
    <mergeCell ref="P99:Q101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F6A8B0-C4AD-41CC-8BA1-28942DC5DDFD}">
          <x14:formula1>
            <xm:f>DataBase!$F$3:$F$5</xm:f>
          </x14:formula1>
          <xm:sqref>AG6:AH23 P6:Q872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BAADC-00F2-4383-8005-DA151FAEDAFF}">
  <sheetPr codeName="Planilha2"/>
  <dimension ref="A1:AH298"/>
  <sheetViews>
    <sheetView showGridLines="0" tabSelected="1" zoomScaleNormal="100" workbookViewId="0">
      <pane ySplit="5" topLeftCell="A6" activePane="bottomLeft" state="frozen"/>
      <selection pane="bottomLeft" activeCell="O1" sqref="O1:O1048576"/>
    </sheetView>
  </sheetViews>
  <sheetFormatPr defaultRowHeight="15" x14ac:dyDescent="0.25"/>
  <sheetData>
    <row r="1" spans="1:34" x14ac:dyDescent="0.25">
      <c r="A1" s="32" t="s">
        <v>3</v>
      </c>
      <c r="B1" s="32"/>
      <c r="C1" s="32"/>
      <c r="D1" s="5"/>
      <c r="E1" s="35"/>
      <c r="F1" s="35"/>
      <c r="G1" s="116" t="s">
        <v>3</v>
      </c>
      <c r="H1" s="4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34" x14ac:dyDescent="0.25">
      <c r="A2" s="32"/>
      <c r="B2" s="32"/>
      <c r="C2" s="32"/>
      <c r="D2" s="5"/>
      <c r="E2" s="35"/>
      <c r="F2" s="35"/>
      <c r="G2" s="46"/>
      <c r="H2" s="4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34" x14ac:dyDescent="0.25">
      <c r="A3" s="33"/>
      <c r="B3" s="33"/>
      <c r="C3" s="33"/>
      <c r="D3" s="4"/>
      <c r="E3" s="36"/>
      <c r="F3" s="36"/>
      <c r="G3" s="46"/>
      <c r="H3" s="46"/>
      <c r="I3" s="4"/>
      <c r="J3" s="4"/>
      <c r="K3" s="4"/>
      <c r="L3" s="4"/>
      <c r="M3" s="4"/>
      <c r="N3" s="4"/>
      <c r="O3" s="4"/>
      <c r="P3" s="4"/>
      <c r="Q3" s="4"/>
      <c r="R3" s="4"/>
      <c r="S3" s="5"/>
      <c r="T3" s="5"/>
      <c r="U3" s="5"/>
      <c r="V3" s="5"/>
      <c r="W3" s="5"/>
      <c r="X3" s="5"/>
    </row>
    <row r="4" spans="1:3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  <c r="Y4" s="26"/>
      <c r="Z4" s="26"/>
      <c r="AA4" s="27"/>
      <c r="AB4" s="27"/>
      <c r="AC4" s="27"/>
      <c r="AD4" s="27"/>
      <c r="AE4" s="26"/>
      <c r="AF4" s="26"/>
      <c r="AG4" s="28"/>
      <c r="AH4" s="28"/>
    </row>
    <row r="5" spans="1:34" x14ac:dyDescent="0.25">
      <c r="A5" s="2"/>
      <c r="B5" s="2"/>
      <c r="C5" s="2"/>
      <c r="D5" s="3"/>
      <c r="E5" s="117" t="s">
        <v>4</v>
      </c>
      <c r="F5" s="117"/>
      <c r="G5" s="115" t="s">
        <v>5</v>
      </c>
      <c r="H5" s="115"/>
      <c r="I5" s="115"/>
      <c r="J5" s="115"/>
      <c r="K5" s="115"/>
      <c r="L5" s="115"/>
      <c r="M5" s="115"/>
      <c r="N5" s="115"/>
      <c r="O5" s="3"/>
      <c r="P5" s="3"/>
      <c r="Q5" s="3"/>
      <c r="R5" s="3"/>
      <c r="S5" s="3"/>
      <c r="T5" s="3"/>
      <c r="U5" s="3"/>
      <c r="V5" s="3"/>
      <c r="W5" s="3"/>
      <c r="X5" s="3"/>
      <c r="Y5" s="26"/>
      <c r="Z5" s="26"/>
      <c r="AA5" s="27"/>
      <c r="AB5" s="27"/>
      <c r="AC5" s="27"/>
      <c r="AD5" s="27"/>
      <c r="AE5" s="26"/>
      <c r="AF5" s="26"/>
      <c r="AG5" s="28"/>
      <c r="AH5" s="28"/>
    </row>
    <row r="6" spans="1:34" x14ac:dyDescent="0.25">
      <c r="S6" s="26"/>
      <c r="T6" s="26"/>
      <c r="U6" s="26"/>
      <c r="V6" s="26"/>
      <c r="W6" s="26"/>
      <c r="X6" s="26"/>
      <c r="Y6" s="26"/>
      <c r="Z6" s="26"/>
      <c r="AA6" s="27"/>
      <c r="AB6" s="27"/>
      <c r="AC6" s="27"/>
      <c r="AD6" s="27"/>
      <c r="AE6" s="26"/>
      <c r="AF6" s="26"/>
      <c r="AG6" s="28"/>
      <c r="AH6" s="28"/>
    </row>
    <row r="7" spans="1:3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26"/>
      <c r="T7" s="26"/>
      <c r="U7" s="26"/>
      <c r="V7" s="26"/>
      <c r="W7" s="26"/>
      <c r="X7" s="26"/>
      <c r="Y7" s="26"/>
      <c r="Z7" s="26"/>
      <c r="AA7" s="27"/>
      <c r="AB7" s="27"/>
      <c r="AC7" s="27"/>
      <c r="AD7" s="27"/>
      <c r="AE7" s="26"/>
      <c r="AF7" s="26"/>
      <c r="AG7" s="28"/>
      <c r="AH7" s="28"/>
    </row>
    <row r="8" spans="1:34" x14ac:dyDescent="0.25">
      <c r="B8" s="100" t="s">
        <v>9</v>
      </c>
      <c r="C8" s="101"/>
      <c r="D8" s="118" t="s">
        <v>10</v>
      </c>
      <c r="E8" s="118"/>
      <c r="F8" s="118"/>
      <c r="G8" s="118"/>
      <c r="H8" s="118"/>
      <c r="I8" s="118"/>
      <c r="J8" s="119" t="s">
        <v>11</v>
      </c>
      <c r="K8" s="119"/>
      <c r="L8" s="119" t="s">
        <v>12</v>
      </c>
      <c r="M8" s="119"/>
      <c r="N8" s="119" t="s">
        <v>13</v>
      </c>
      <c r="O8" s="119"/>
      <c r="P8" s="119" t="s">
        <v>14</v>
      </c>
      <c r="Q8" s="119"/>
      <c r="R8" s="8"/>
      <c r="S8" s="26"/>
      <c r="T8" s="26"/>
      <c r="U8" s="26"/>
      <c r="V8" s="26"/>
      <c r="W8" s="26"/>
      <c r="X8" s="26"/>
      <c r="Y8" s="26"/>
      <c r="Z8" s="26"/>
      <c r="AA8" s="27"/>
      <c r="AB8" s="27"/>
      <c r="AC8" s="27"/>
      <c r="AD8" s="27"/>
      <c r="AE8" s="26"/>
      <c r="AF8" s="26"/>
      <c r="AG8" s="28"/>
      <c r="AH8" s="28"/>
    </row>
    <row r="9" spans="1:34" x14ac:dyDescent="0.25">
      <c r="B9" s="102"/>
      <c r="C9" s="103"/>
      <c r="D9" s="118"/>
      <c r="E9" s="118"/>
      <c r="F9" s="118"/>
      <c r="G9" s="118"/>
      <c r="H9" s="118"/>
      <c r="I9" s="118"/>
      <c r="J9" s="119"/>
      <c r="K9" s="119"/>
      <c r="L9" s="119"/>
      <c r="M9" s="119"/>
      <c r="N9" s="119"/>
      <c r="O9" s="119"/>
      <c r="P9" s="119"/>
      <c r="Q9" s="119"/>
      <c r="R9" s="8"/>
      <c r="S9" s="26"/>
      <c r="T9" s="26"/>
      <c r="U9" s="26"/>
      <c r="V9" s="26"/>
      <c r="W9" s="26"/>
      <c r="X9" s="26"/>
      <c r="Y9" s="26"/>
      <c r="Z9" s="26"/>
      <c r="AA9" s="27"/>
      <c r="AB9" s="27"/>
      <c r="AC9" s="27"/>
      <c r="AD9" s="27"/>
      <c r="AE9" s="26"/>
      <c r="AF9" s="26"/>
      <c r="AG9" s="28"/>
      <c r="AH9" s="28"/>
    </row>
    <row r="10" spans="1:34" x14ac:dyDescent="0.25">
      <c r="B10" s="102"/>
      <c r="C10" s="103"/>
      <c r="D10" s="118"/>
      <c r="E10" s="118"/>
      <c r="F10" s="118"/>
      <c r="G10" s="118"/>
      <c r="H10" s="118"/>
      <c r="I10" s="118"/>
      <c r="J10" s="119"/>
      <c r="K10" s="119"/>
      <c r="L10" s="119"/>
      <c r="M10" s="119"/>
      <c r="N10" s="119"/>
      <c r="O10" s="119"/>
      <c r="P10" s="119"/>
      <c r="Q10" s="119"/>
      <c r="R10" s="8"/>
    </row>
    <row r="11" spans="1:34" x14ac:dyDescent="0.25">
      <c r="A11" s="31"/>
      <c r="B11" s="77"/>
      <c r="C11" s="79"/>
      <c r="D11" s="120"/>
      <c r="E11" s="121"/>
      <c r="F11" s="121"/>
      <c r="G11" s="121"/>
      <c r="H11" s="121"/>
      <c r="I11" s="122"/>
      <c r="J11" s="86"/>
      <c r="K11" s="87"/>
      <c r="L11" s="86">
        <v>43579</v>
      </c>
      <c r="M11" s="87"/>
      <c r="N11" s="77"/>
      <c r="O11" s="79"/>
      <c r="P11" s="92" t="s">
        <v>23</v>
      </c>
      <c r="Q11" s="93"/>
      <c r="R11" s="80" t="str">
        <f ca="1">IF(L11=""," ",IF(P11="Concluída"," ",IF(TODAY()&gt;L11,"EM ATRASO",IF(TODAY()=L11,"HOJE"," "))))</f>
        <v>EM ATRASO</v>
      </c>
      <c r="S11" s="81"/>
      <c r="T11" s="30"/>
    </row>
    <row r="12" spans="1:34" x14ac:dyDescent="0.25">
      <c r="A12" s="31"/>
      <c r="B12" s="80"/>
      <c r="C12" s="82"/>
      <c r="D12" s="123"/>
      <c r="E12" s="124"/>
      <c r="F12" s="124"/>
      <c r="G12" s="124"/>
      <c r="H12" s="124"/>
      <c r="I12" s="125"/>
      <c r="J12" s="88"/>
      <c r="K12" s="89"/>
      <c r="L12" s="88"/>
      <c r="M12" s="89"/>
      <c r="N12" s="80"/>
      <c r="O12" s="82"/>
      <c r="P12" s="94"/>
      <c r="Q12" s="95"/>
      <c r="R12" s="80"/>
      <c r="S12" s="81"/>
      <c r="T12" s="30"/>
    </row>
    <row r="13" spans="1:34" x14ac:dyDescent="0.25">
      <c r="A13" s="31"/>
      <c r="B13" s="83"/>
      <c r="C13" s="85"/>
      <c r="D13" s="126"/>
      <c r="E13" s="127"/>
      <c r="F13" s="127"/>
      <c r="G13" s="127"/>
      <c r="H13" s="127"/>
      <c r="I13" s="128"/>
      <c r="J13" s="90"/>
      <c r="K13" s="91"/>
      <c r="L13" s="90"/>
      <c r="M13" s="91"/>
      <c r="N13" s="83"/>
      <c r="O13" s="85"/>
      <c r="P13" s="96"/>
      <c r="Q13" s="97"/>
      <c r="R13" s="80"/>
      <c r="S13" s="81"/>
      <c r="T13" s="30"/>
    </row>
    <row r="14" spans="1:34" x14ac:dyDescent="0.25">
      <c r="B14" s="77"/>
      <c r="C14" s="79"/>
      <c r="D14" s="77"/>
      <c r="E14" s="78"/>
      <c r="F14" s="78"/>
      <c r="G14" s="78"/>
      <c r="H14" s="78"/>
      <c r="I14" s="79"/>
      <c r="J14" s="86"/>
      <c r="K14" s="87"/>
      <c r="L14" s="86"/>
      <c r="M14" s="87"/>
      <c r="N14" s="77"/>
      <c r="O14" s="79"/>
      <c r="P14" s="92"/>
      <c r="Q14" s="93"/>
      <c r="R14" s="80" t="str">
        <f ca="1">IF(L14=""," ",IF(P14="Concluída"," ",IF(TODAY()&gt;L14,"EM ATRASO",IF(TODAY()=L14,"HOJE"," "))))</f>
        <v xml:space="preserve"> </v>
      </c>
      <c r="S14" s="81"/>
      <c r="T14" s="29"/>
    </row>
    <row r="15" spans="1:34" x14ac:dyDescent="0.25">
      <c r="B15" s="80"/>
      <c r="C15" s="82"/>
      <c r="D15" s="80"/>
      <c r="E15" s="81"/>
      <c r="F15" s="81"/>
      <c r="G15" s="81"/>
      <c r="H15" s="81"/>
      <c r="I15" s="82"/>
      <c r="J15" s="88"/>
      <c r="K15" s="89"/>
      <c r="L15" s="88"/>
      <c r="M15" s="89"/>
      <c r="N15" s="80"/>
      <c r="O15" s="82"/>
      <c r="P15" s="94"/>
      <c r="Q15" s="95"/>
      <c r="R15" s="80"/>
      <c r="S15" s="81"/>
      <c r="T15" s="29"/>
    </row>
    <row r="16" spans="1:34" x14ac:dyDescent="0.25">
      <c r="B16" s="83"/>
      <c r="C16" s="85"/>
      <c r="D16" s="83"/>
      <c r="E16" s="84"/>
      <c r="F16" s="84"/>
      <c r="G16" s="84"/>
      <c r="H16" s="84"/>
      <c r="I16" s="85"/>
      <c r="J16" s="90"/>
      <c r="K16" s="91"/>
      <c r="L16" s="90"/>
      <c r="M16" s="91"/>
      <c r="N16" s="83"/>
      <c r="O16" s="85"/>
      <c r="P16" s="96"/>
      <c r="Q16" s="97"/>
      <c r="R16" s="80"/>
      <c r="S16" s="81"/>
      <c r="T16" s="29"/>
    </row>
    <row r="17" spans="2:19" x14ac:dyDescent="0.25">
      <c r="B17" s="77"/>
      <c r="C17" s="79"/>
      <c r="D17" s="77"/>
      <c r="E17" s="78"/>
      <c r="F17" s="78"/>
      <c r="G17" s="78"/>
      <c r="H17" s="78"/>
      <c r="I17" s="79"/>
      <c r="J17" s="86"/>
      <c r="K17" s="87"/>
      <c r="L17" s="86">
        <v>43581</v>
      </c>
      <c r="M17" s="87"/>
      <c r="N17" s="77"/>
      <c r="O17" s="79"/>
      <c r="P17" s="92" t="s">
        <v>23</v>
      </c>
      <c r="Q17" s="93"/>
      <c r="R17" s="80" t="str">
        <f ca="1">IF(L17=""," ",IF(P17="Concluída"," ",IF(TODAY()&gt;L17,"EM ATRASO",IF(TODAY()=L17,"HOJE"," "))))</f>
        <v>HOJE</v>
      </c>
      <c r="S17" s="81"/>
    </row>
    <row r="18" spans="2:19" x14ac:dyDescent="0.25">
      <c r="B18" s="80"/>
      <c r="C18" s="82"/>
      <c r="D18" s="80"/>
      <c r="E18" s="81"/>
      <c r="F18" s="81"/>
      <c r="G18" s="81"/>
      <c r="H18" s="81"/>
      <c r="I18" s="82"/>
      <c r="J18" s="88"/>
      <c r="K18" s="89"/>
      <c r="L18" s="88"/>
      <c r="M18" s="89"/>
      <c r="N18" s="80"/>
      <c r="O18" s="82"/>
      <c r="P18" s="94"/>
      <c r="Q18" s="95"/>
      <c r="R18" s="80"/>
      <c r="S18" s="81"/>
    </row>
    <row r="19" spans="2:19" x14ac:dyDescent="0.25">
      <c r="B19" s="83"/>
      <c r="C19" s="85"/>
      <c r="D19" s="83"/>
      <c r="E19" s="84"/>
      <c r="F19" s="84"/>
      <c r="G19" s="84"/>
      <c r="H19" s="84"/>
      <c r="I19" s="85"/>
      <c r="J19" s="90"/>
      <c r="K19" s="91"/>
      <c r="L19" s="90"/>
      <c r="M19" s="91"/>
      <c r="N19" s="83"/>
      <c r="O19" s="85"/>
      <c r="P19" s="96"/>
      <c r="Q19" s="97"/>
      <c r="R19" s="80"/>
      <c r="S19" s="81"/>
    </row>
    <row r="20" spans="2:19" x14ac:dyDescent="0.25">
      <c r="B20" s="77"/>
      <c r="C20" s="79"/>
      <c r="D20" s="77"/>
      <c r="E20" s="78"/>
      <c r="F20" s="78"/>
      <c r="G20" s="78"/>
      <c r="H20" s="78"/>
      <c r="I20" s="79"/>
      <c r="J20" s="86"/>
      <c r="K20" s="87"/>
      <c r="L20" s="86"/>
      <c r="M20" s="87"/>
      <c r="N20" s="77"/>
      <c r="O20" s="79"/>
      <c r="P20" s="92"/>
      <c r="Q20" s="93"/>
      <c r="R20" s="80" t="str">
        <f ca="1">IF(L20=""," ",IF(P20="Concluída"," ",IF(TODAY()&gt;L20,"EM ATRASO",IF(TODAY()=L20,"HOJE"," "))))</f>
        <v xml:space="preserve"> </v>
      </c>
      <c r="S20" s="81"/>
    </row>
    <row r="21" spans="2:19" x14ac:dyDescent="0.25">
      <c r="B21" s="80"/>
      <c r="C21" s="82"/>
      <c r="D21" s="80"/>
      <c r="E21" s="81"/>
      <c r="F21" s="81"/>
      <c r="G21" s="81"/>
      <c r="H21" s="81"/>
      <c r="I21" s="82"/>
      <c r="J21" s="88"/>
      <c r="K21" s="89"/>
      <c r="L21" s="88"/>
      <c r="M21" s="89"/>
      <c r="N21" s="80"/>
      <c r="O21" s="82"/>
      <c r="P21" s="94"/>
      <c r="Q21" s="95"/>
      <c r="R21" s="80"/>
      <c r="S21" s="81"/>
    </row>
    <row r="22" spans="2:19" ht="15" customHeight="1" x14ac:dyDescent="0.25">
      <c r="B22" s="83"/>
      <c r="C22" s="85"/>
      <c r="D22" s="83"/>
      <c r="E22" s="84"/>
      <c r="F22" s="84"/>
      <c r="G22" s="84"/>
      <c r="H22" s="84"/>
      <c r="I22" s="85"/>
      <c r="J22" s="90"/>
      <c r="K22" s="91"/>
      <c r="L22" s="90"/>
      <c r="M22" s="91"/>
      <c r="N22" s="83"/>
      <c r="O22" s="85"/>
      <c r="P22" s="96"/>
      <c r="Q22" s="97"/>
      <c r="R22" s="80"/>
      <c r="S22" s="81"/>
    </row>
    <row r="23" spans="2:19" ht="15" customHeight="1" x14ac:dyDescent="0.25">
      <c r="B23" s="77"/>
      <c r="C23" s="79"/>
      <c r="D23" s="77"/>
      <c r="E23" s="78"/>
      <c r="F23" s="78"/>
      <c r="G23" s="78"/>
      <c r="H23" s="78"/>
      <c r="I23" s="79"/>
      <c r="J23" s="86"/>
      <c r="K23" s="87"/>
      <c r="L23" s="86"/>
      <c r="M23" s="87"/>
      <c r="N23" s="77"/>
      <c r="O23" s="79"/>
      <c r="P23" s="92"/>
      <c r="Q23" s="93"/>
      <c r="R23" s="80" t="str">
        <f ca="1">IF(L23=""," ",IF(P23="Concluída"," ",IF(TODAY()&gt;L23,"EM ATRASO",IF(TODAY()=L23,"HOJE"," "))))</f>
        <v xml:space="preserve"> </v>
      </c>
      <c r="S23" s="81"/>
    </row>
    <row r="24" spans="2:19" x14ac:dyDescent="0.25">
      <c r="B24" s="80"/>
      <c r="C24" s="82"/>
      <c r="D24" s="80"/>
      <c r="E24" s="81"/>
      <c r="F24" s="81"/>
      <c r="G24" s="81"/>
      <c r="H24" s="81"/>
      <c r="I24" s="82"/>
      <c r="J24" s="88"/>
      <c r="K24" s="89"/>
      <c r="L24" s="88"/>
      <c r="M24" s="89"/>
      <c r="N24" s="80"/>
      <c r="O24" s="82"/>
      <c r="P24" s="94"/>
      <c r="Q24" s="95"/>
      <c r="R24" s="80"/>
      <c r="S24" s="81"/>
    </row>
    <row r="25" spans="2:19" x14ac:dyDescent="0.25">
      <c r="B25" s="83"/>
      <c r="C25" s="85"/>
      <c r="D25" s="83"/>
      <c r="E25" s="84"/>
      <c r="F25" s="84"/>
      <c r="G25" s="84"/>
      <c r="H25" s="84"/>
      <c r="I25" s="85"/>
      <c r="J25" s="90"/>
      <c r="K25" s="91"/>
      <c r="L25" s="90"/>
      <c r="M25" s="91"/>
      <c r="N25" s="83"/>
      <c r="O25" s="85"/>
      <c r="P25" s="96"/>
      <c r="Q25" s="97"/>
      <c r="R25" s="80"/>
      <c r="S25" s="81"/>
    </row>
    <row r="26" spans="2:19" x14ac:dyDescent="0.25">
      <c r="B26" s="77"/>
      <c r="C26" s="79"/>
      <c r="D26" s="77"/>
      <c r="E26" s="78"/>
      <c r="F26" s="78"/>
      <c r="G26" s="78"/>
      <c r="H26" s="78"/>
      <c r="I26" s="79"/>
      <c r="J26" s="86"/>
      <c r="K26" s="87"/>
      <c r="L26" s="86"/>
      <c r="M26" s="87"/>
      <c r="N26" s="77"/>
      <c r="O26" s="79"/>
      <c r="P26" s="92"/>
      <c r="Q26" s="93"/>
      <c r="R26" s="80" t="str">
        <f t="shared" ref="R26" ca="1" si="0">IF(L26=""," ",IF(P26="Concluída"," ",IF(TODAY()&gt;L26,"EM ATRASO",IF(TODAY()=L26,"HOJE"," "))))</f>
        <v xml:space="preserve"> </v>
      </c>
      <c r="S26" s="81"/>
    </row>
    <row r="27" spans="2:19" x14ac:dyDescent="0.25">
      <c r="B27" s="80"/>
      <c r="C27" s="82"/>
      <c r="D27" s="80"/>
      <c r="E27" s="81"/>
      <c r="F27" s="81"/>
      <c r="G27" s="81"/>
      <c r="H27" s="81"/>
      <c r="I27" s="82"/>
      <c r="J27" s="88"/>
      <c r="K27" s="89"/>
      <c r="L27" s="88"/>
      <c r="M27" s="89"/>
      <c r="N27" s="80"/>
      <c r="O27" s="82"/>
      <c r="P27" s="94"/>
      <c r="Q27" s="95"/>
      <c r="R27" s="80"/>
      <c r="S27" s="81"/>
    </row>
    <row r="28" spans="2:19" x14ac:dyDescent="0.25">
      <c r="B28" s="83"/>
      <c r="C28" s="85"/>
      <c r="D28" s="83"/>
      <c r="E28" s="84"/>
      <c r="F28" s="84"/>
      <c r="G28" s="84"/>
      <c r="H28" s="84"/>
      <c r="I28" s="85"/>
      <c r="J28" s="90"/>
      <c r="K28" s="91"/>
      <c r="L28" s="90"/>
      <c r="M28" s="91"/>
      <c r="N28" s="83"/>
      <c r="O28" s="85"/>
      <c r="P28" s="96"/>
      <c r="Q28" s="97"/>
      <c r="R28" s="80"/>
      <c r="S28" s="81"/>
    </row>
    <row r="29" spans="2:19" x14ac:dyDescent="0.25">
      <c r="B29" s="77"/>
      <c r="C29" s="79"/>
      <c r="D29" s="77"/>
      <c r="E29" s="78"/>
      <c r="F29" s="78"/>
      <c r="G29" s="78"/>
      <c r="H29" s="78"/>
      <c r="I29" s="79"/>
      <c r="J29" s="86"/>
      <c r="K29" s="87"/>
      <c r="L29" s="86"/>
      <c r="M29" s="87"/>
      <c r="N29" s="77"/>
      <c r="O29" s="79"/>
      <c r="P29" s="92"/>
      <c r="Q29" s="93"/>
      <c r="R29" s="80" t="str">
        <f t="shared" ref="R29" ca="1" si="1">IF(L29=""," ",IF(P29="Concluída"," ",IF(TODAY()&gt;L29,"EM ATRASO",IF(TODAY()=L29,"HOJE"," "))))</f>
        <v xml:space="preserve"> </v>
      </c>
      <c r="S29" s="81"/>
    </row>
    <row r="30" spans="2:19" x14ac:dyDescent="0.25">
      <c r="B30" s="80"/>
      <c r="C30" s="82"/>
      <c r="D30" s="80"/>
      <c r="E30" s="81"/>
      <c r="F30" s="81"/>
      <c r="G30" s="81"/>
      <c r="H30" s="81"/>
      <c r="I30" s="82"/>
      <c r="J30" s="88"/>
      <c r="K30" s="89"/>
      <c r="L30" s="88"/>
      <c r="M30" s="89"/>
      <c r="N30" s="80"/>
      <c r="O30" s="82"/>
      <c r="P30" s="94"/>
      <c r="Q30" s="95"/>
      <c r="R30" s="80"/>
      <c r="S30" s="81"/>
    </row>
    <row r="31" spans="2:19" x14ac:dyDescent="0.25">
      <c r="B31" s="83"/>
      <c r="C31" s="85"/>
      <c r="D31" s="83"/>
      <c r="E31" s="84"/>
      <c r="F31" s="84"/>
      <c r="G31" s="84"/>
      <c r="H31" s="84"/>
      <c r="I31" s="85"/>
      <c r="J31" s="90"/>
      <c r="K31" s="91"/>
      <c r="L31" s="90"/>
      <c r="M31" s="91"/>
      <c r="N31" s="83"/>
      <c r="O31" s="85"/>
      <c r="P31" s="96"/>
      <c r="Q31" s="97"/>
      <c r="R31" s="80"/>
      <c r="S31" s="81"/>
    </row>
    <row r="32" spans="2:19" x14ac:dyDescent="0.25">
      <c r="B32" s="77"/>
      <c r="C32" s="79"/>
      <c r="D32" s="77"/>
      <c r="E32" s="78"/>
      <c r="F32" s="78"/>
      <c r="G32" s="78"/>
      <c r="H32" s="78"/>
      <c r="I32" s="79"/>
      <c r="J32" s="86"/>
      <c r="K32" s="87"/>
      <c r="L32" s="86"/>
      <c r="M32" s="87"/>
      <c r="N32" s="77"/>
      <c r="O32" s="79"/>
      <c r="P32" s="92"/>
      <c r="Q32" s="93"/>
      <c r="R32" s="80" t="str">
        <f t="shared" ref="R32" ca="1" si="2">IF(L32=""," ",IF(P32="Concluída"," ",IF(TODAY()&gt;L32,"EM ATRASO",IF(TODAY()=L32,"HOJE"," "))))</f>
        <v xml:space="preserve"> </v>
      </c>
      <c r="S32" s="81"/>
    </row>
    <row r="33" spans="2:19" x14ac:dyDescent="0.25">
      <c r="B33" s="80"/>
      <c r="C33" s="82"/>
      <c r="D33" s="80"/>
      <c r="E33" s="81"/>
      <c r="F33" s="81"/>
      <c r="G33" s="81"/>
      <c r="H33" s="81"/>
      <c r="I33" s="82"/>
      <c r="J33" s="88"/>
      <c r="K33" s="89"/>
      <c r="L33" s="88"/>
      <c r="M33" s="89"/>
      <c r="N33" s="80"/>
      <c r="O33" s="82"/>
      <c r="P33" s="94"/>
      <c r="Q33" s="95"/>
      <c r="R33" s="80"/>
      <c r="S33" s="81"/>
    </row>
    <row r="34" spans="2:19" x14ac:dyDescent="0.25">
      <c r="B34" s="83"/>
      <c r="C34" s="85"/>
      <c r="D34" s="83"/>
      <c r="E34" s="84"/>
      <c r="F34" s="84"/>
      <c r="G34" s="84"/>
      <c r="H34" s="84"/>
      <c r="I34" s="85"/>
      <c r="J34" s="90"/>
      <c r="K34" s="91"/>
      <c r="L34" s="90"/>
      <c r="M34" s="91"/>
      <c r="N34" s="83"/>
      <c r="O34" s="85"/>
      <c r="P34" s="96"/>
      <c r="Q34" s="97"/>
      <c r="R34" s="80"/>
      <c r="S34" s="81"/>
    </row>
    <row r="35" spans="2:19" x14ac:dyDescent="0.25">
      <c r="B35" s="77"/>
      <c r="C35" s="79"/>
      <c r="D35" s="77"/>
      <c r="E35" s="78"/>
      <c r="F35" s="78"/>
      <c r="G35" s="78"/>
      <c r="H35" s="78"/>
      <c r="I35" s="79"/>
      <c r="J35" s="86"/>
      <c r="K35" s="87"/>
      <c r="L35" s="86"/>
      <c r="M35" s="87"/>
      <c r="N35" s="77"/>
      <c r="O35" s="79"/>
      <c r="P35" s="92"/>
      <c r="Q35" s="93"/>
      <c r="R35" s="80" t="str">
        <f t="shared" ref="R35" ca="1" si="3">IF(L35=""," ",IF(P35="Concluída"," ",IF(TODAY()&gt;L35,"EM ATRASO",IF(TODAY()=L35,"HOJE"," "))))</f>
        <v xml:space="preserve"> </v>
      </c>
      <c r="S35" s="81"/>
    </row>
    <row r="36" spans="2:19" x14ac:dyDescent="0.25">
      <c r="B36" s="80"/>
      <c r="C36" s="82"/>
      <c r="D36" s="80"/>
      <c r="E36" s="81"/>
      <c r="F36" s="81"/>
      <c r="G36" s="81"/>
      <c r="H36" s="81"/>
      <c r="I36" s="82"/>
      <c r="J36" s="88"/>
      <c r="K36" s="89"/>
      <c r="L36" s="88"/>
      <c r="M36" s="89"/>
      <c r="N36" s="80"/>
      <c r="O36" s="82"/>
      <c r="P36" s="94"/>
      <c r="Q36" s="95"/>
      <c r="R36" s="80"/>
      <c r="S36" s="81"/>
    </row>
    <row r="37" spans="2:19" x14ac:dyDescent="0.25">
      <c r="B37" s="83"/>
      <c r="C37" s="85"/>
      <c r="D37" s="83"/>
      <c r="E37" s="84"/>
      <c r="F37" s="84"/>
      <c r="G37" s="84"/>
      <c r="H37" s="84"/>
      <c r="I37" s="85"/>
      <c r="J37" s="90"/>
      <c r="K37" s="91"/>
      <c r="L37" s="90"/>
      <c r="M37" s="91"/>
      <c r="N37" s="83"/>
      <c r="O37" s="85"/>
      <c r="P37" s="96"/>
      <c r="Q37" s="97"/>
      <c r="R37" s="80"/>
      <c r="S37" s="81"/>
    </row>
    <row r="38" spans="2:19" x14ac:dyDescent="0.25">
      <c r="B38" s="77"/>
      <c r="C38" s="79"/>
      <c r="D38" s="77"/>
      <c r="E38" s="78"/>
      <c r="F38" s="78"/>
      <c r="G38" s="78"/>
      <c r="H38" s="78"/>
      <c r="I38" s="79"/>
      <c r="J38" s="86"/>
      <c r="K38" s="87"/>
      <c r="L38" s="86"/>
      <c r="M38" s="87"/>
      <c r="N38" s="77"/>
      <c r="O38" s="79"/>
      <c r="P38" s="92"/>
      <c r="Q38" s="93"/>
      <c r="R38" s="80" t="str">
        <f t="shared" ref="R38" ca="1" si="4">IF(L38=""," ",IF(P38="Concluída"," ",IF(TODAY()&gt;L38,"EM ATRASO",IF(TODAY()=L38,"HOJE"," "))))</f>
        <v xml:space="preserve"> </v>
      </c>
      <c r="S38" s="81"/>
    </row>
    <row r="39" spans="2:19" x14ac:dyDescent="0.25">
      <c r="B39" s="80"/>
      <c r="C39" s="82"/>
      <c r="D39" s="80"/>
      <c r="E39" s="81"/>
      <c r="F39" s="81"/>
      <c r="G39" s="81"/>
      <c r="H39" s="81"/>
      <c r="I39" s="82"/>
      <c r="J39" s="88"/>
      <c r="K39" s="89"/>
      <c r="L39" s="88"/>
      <c r="M39" s="89"/>
      <c r="N39" s="80"/>
      <c r="O39" s="82"/>
      <c r="P39" s="94"/>
      <c r="Q39" s="95"/>
      <c r="R39" s="80"/>
      <c r="S39" s="81"/>
    </row>
    <row r="40" spans="2:19" x14ac:dyDescent="0.25">
      <c r="B40" s="83"/>
      <c r="C40" s="85"/>
      <c r="D40" s="83"/>
      <c r="E40" s="84"/>
      <c r="F40" s="84"/>
      <c r="G40" s="84"/>
      <c r="H40" s="84"/>
      <c r="I40" s="85"/>
      <c r="J40" s="90"/>
      <c r="K40" s="91"/>
      <c r="L40" s="90"/>
      <c r="M40" s="91"/>
      <c r="N40" s="83"/>
      <c r="O40" s="85"/>
      <c r="P40" s="96"/>
      <c r="Q40" s="97"/>
      <c r="R40" s="80"/>
      <c r="S40" s="81"/>
    </row>
    <row r="41" spans="2:19" x14ac:dyDescent="0.25">
      <c r="B41" s="77"/>
      <c r="C41" s="79"/>
      <c r="D41" s="77"/>
      <c r="E41" s="78"/>
      <c r="F41" s="78"/>
      <c r="G41" s="78"/>
      <c r="H41" s="78"/>
      <c r="I41" s="79"/>
      <c r="J41" s="86"/>
      <c r="K41" s="87"/>
      <c r="L41" s="86"/>
      <c r="M41" s="87"/>
      <c r="N41" s="77"/>
      <c r="O41" s="79"/>
      <c r="P41" s="92"/>
      <c r="Q41" s="93"/>
      <c r="R41" s="80" t="str">
        <f t="shared" ref="R41" ca="1" si="5">IF(L41=""," ",IF(P41="Concluída"," ",IF(TODAY()&gt;L41,"EM ATRASO",IF(TODAY()=L41,"HOJE"," "))))</f>
        <v xml:space="preserve"> </v>
      </c>
      <c r="S41" s="81"/>
    </row>
    <row r="42" spans="2:19" x14ac:dyDescent="0.25">
      <c r="B42" s="80"/>
      <c r="C42" s="82"/>
      <c r="D42" s="80"/>
      <c r="E42" s="81"/>
      <c r="F42" s="81"/>
      <c r="G42" s="81"/>
      <c r="H42" s="81"/>
      <c r="I42" s="82"/>
      <c r="J42" s="88"/>
      <c r="K42" s="89"/>
      <c r="L42" s="88"/>
      <c r="M42" s="89"/>
      <c r="N42" s="80"/>
      <c r="O42" s="82"/>
      <c r="P42" s="94"/>
      <c r="Q42" s="95"/>
      <c r="R42" s="80"/>
      <c r="S42" s="81"/>
    </row>
    <row r="43" spans="2:19" x14ac:dyDescent="0.25">
      <c r="B43" s="83"/>
      <c r="C43" s="85"/>
      <c r="D43" s="83"/>
      <c r="E43" s="84"/>
      <c r="F43" s="84"/>
      <c r="G43" s="84"/>
      <c r="H43" s="84"/>
      <c r="I43" s="85"/>
      <c r="J43" s="90"/>
      <c r="K43" s="91"/>
      <c r="L43" s="90"/>
      <c r="M43" s="91"/>
      <c r="N43" s="83"/>
      <c r="O43" s="85"/>
      <c r="P43" s="96"/>
      <c r="Q43" s="97"/>
      <c r="R43" s="80"/>
      <c r="S43" s="81"/>
    </row>
    <row r="44" spans="2:19" x14ac:dyDescent="0.25">
      <c r="B44" s="77"/>
      <c r="C44" s="79"/>
      <c r="D44" s="77"/>
      <c r="E44" s="78"/>
      <c r="F44" s="78"/>
      <c r="G44" s="78"/>
      <c r="H44" s="78"/>
      <c r="I44" s="79"/>
      <c r="J44" s="86"/>
      <c r="K44" s="87"/>
      <c r="L44" s="86"/>
      <c r="M44" s="87"/>
      <c r="N44" s="77"/>
      <c r="O44" s="79"/>
      <c r="P44" s="92"/>
      <c r="Q44" s="93"/>
      <c r="R44" s="80" t="str">
        <f t="shared" ref="R44" ca="1" si="6">IF(L44=""," ",IF(P44="Concluída"," ",IF(TODAY()&gt;L44,"EM ATRASO",IF(TODAY()=L44,"HOJE"," "))))</f>
        <v xml:space="preserve"> </v>
      </c>
      <c r="S44" s="81"/>
    </row>
    <row r="45" spans="2:19" x14ac:dyDescent="0.25">
      <c r="B45" s="80"/>
      <c r="C45" s="82"/>
      <c r="D45" s="80"/>
      <c r="E45" s="81"/>
      <c r="F45" s="81"/>
      <c r="G45" s="81"/>
      <c r="H45" s="81"/>
      <c r="I45" s="82"/>
      <c r="J45" s="88"/>
      <c r="K45" s="89"/>
      <c r="L45" s="88"/>
      <c r="M45" s="89"/>
      <c r="N45" s="80"/>
      <c r="O45" s="82"/>
      <c r="P45" s="94"/>
      <c r="Q45" s="95"/>
      <c r="R45" s="80"/>
      <c r="S45" s="81"/>
    </row>
    <row r="46" spans="2:19" x14ac:dyDescent="0.25">
      <c r="B46" s="83"/>
      <c r="C46" s="85"/>
      <c r="D46" s="83"/>
      <c r="E46" s="84"/>
      <c r="F46" s="84"/>
      <c r="G46" s="84"/>
      <c r="H46" s="84"/>
      <c r="I46" s="85"/>
      <c r="J46" s="90"/>
      <c r="K46" s="91"/>
      <c r="L46" s="90"/>
      <c r="M46" s="91"/>
      <c r="N46" s="83"/>
      <c r="O46" s="85"/>
      <c r="P46" s="96"/>
      <c r="Q46" s="97"/>
      <c r="R46" s="80"/>
      <c r="S46" s="81"/>
    </row>
    <row r="47" spans="2:19" x14ac:dyDescent="0.25">
      <c r="B47" s="71"/>
      <c r="C47" s="72"/>
      <c r="D47" s="77"/>
      <c r="E47" s="78"/>
      <c r="F47" s="78"/>
      <c r="G47" s="78"/>
      <c r="H47" s="78"/>
      <c r="I47" s="79"/>
      <c r="J47" s="77"/>
      <c r="K47" s="79"/>
      <c r="L47" s="77"/>
      <c r="M47" s="79"/>
      <c r="N47" s="77"/>
      <c r="O47" s="79"/>
      <c r="P47" s="92"/>
      <c r="Q47" s="93"/>
      <c r="R47" s="80" t="str">
        <f t="shared" ref="R47" ca="1" si="7">IF(L47=""," ",IF(P47="Concluída"," ",IF(TODAY()&gt;L47,"EM ATRASO",IF(TODAY()=L47,"HOJE"," "))))</f>
        <v xml:space="preserve"> </v>
      </c>
      <c r="S47" s="81"/>
    </row>
    <row r="48" spans="2:19" x14ac:dyDescent="0.25">
      <c r="B48" s="73"/>
      <c r="C48" s="74"/>
      <c r="D48" s="80"/>
      <c r="E48" s="81"/>
      <c r="F48" s="81"/>
      <c r="G48" s="81"/>
      <c r="H48" s="81"/>
      <c r="I48" s="82"/>
      <c r="J48" s="80"/>
      <c r="K48" s="82"/>
      <c r="L48" s="80"/>
      <c r="M48" s="82"/>
      <c r="N48" s="80"/>
      <c r="O48" s="82"/>
      <c r="P48" s="94"/>
      <c r="Q48" s="95"/>
      <c r="R48" s="80"/>
      <c r="S48" s="81"/>
    </row>
    <row r="49" spans="2:19" x14ac:dyDescent="0.25">
      <c r="B49" s="75"/>
      <c r="C49" s="76"/>
      <c r="D49" s="83"/>
      <c r="E49" s="84"/>
      <c r="F49" s="84"/>
      <c r="G49" s="84"/>
      <c r="H49" s="84"/>
      <c r="I49" s="85"/>
      <c r="J49" s="83"/>
      <c r="K49" s="85"/>
      <c r="L49" s="83"/>
      <c r="M49" s="85"/>
      <c r="N49" s="83"/>
      <c r="O49" s="85"/>
      <c r="P49" s="96"/>
      <c r="Q49" s="97"/>
      <c r="R49" s="80"/>
      <c r="S49" s="81"/>
    </row>
    <row r="50" spans="2:19" x14ac:dyDescent="0.25">
      <c r="B50" s="71"/>
      <c r="C50" s="72"/>
      <c r="D50" s="77"/>
      <c r="E50" s="78"/>
      <c r="F50" s="78"/>
      <c r="G50" s="78"/>
      <c r="H50" s="78"/>
      <c r="I50" s="79"/>
      <c r="J50" s="77"/>
      <c r="K50" s="79"/>
      <c r="L50" s="77"/>
      <c r="M50" s="79"/>
      <c r="N50" s="77"/>
      <c r="O50" s="79"/>
      <c r="P50" s="92"/>
      <c r="Q50" s="93"/>
      <c r="R50" s="80" t="str">
        <f t="shared" ref="R50" ca="1" si="8">IF(L50=""," ",IF(P50="Concluída"," ",IF(TODAY()&gt;L50,"EM ATRASO",IF(TODAY()=L50,"HOJE"," "))))</f>
        <v xml:space="preserve"> </v>
      </c>
      <c r="S50" s="81"/>
    </row>
    <row r="51" spans="2:19" x14ac:dyDescent="0.25">
      <c r="B51" s="73"/>
      <c r="C51" s="74"/>
      <c r="D51" s="80"/>
      <c r="E51" s="81"/>
      <c r="F51" s="81"/>
      <c r="G51" s="81"/>
      <c r="H51" s="81"/>
      <c r="I51" s="82"/>
      <c r="J51" s="80"/>
      <c r="K51" s="82"/>
      <c r="L51" s="80"/>
      <c r="M51" s="82"/>
      <c r="N51" s="80"/>
      <c r="O51" s="82"/>
      <c r="P51" s="94"/>
      <c r="Q51" s="95"/>
      <c r="R51" s="80"/>
      <c r="S51" s="81"/>
    </row>
    <row r="52" spans="2:19" x14ac:dyDescent="0.25">
      <c r="B52" s="75"/>
      <c r="C52" s="76"/>
      <c r="D52" s="83"/>
      <c r="E52" s="84"/>
      <c r="F52" s="84"/>
      <c r="G52" s="84"/>
      <c r="H52" s="84"/>
      <c r="I52" s="85"/>
      <c r="J52" s="83"/>
      <c r="K52" s="85"/>
      <c r="L52" s="83"/>
      <c r="M52" s="85"/>
      <c r="N52" s="83"/>
      <c r="O52" s="85"/>
      <c r="P52" s="96"/>
      <c r="Q52" s="97"/>
      <c r="R52" s="80"/>
      <c r="S52" s="81"/>
    </row>
    <row r="53" spans="2:19" x14ac:dyDescent="0.25">
      <c r="B53" s="71"/>
      <c r="C53" s="72"/>
      <c r="D53" s="77"/>
      <c r="E53" s="78"/>
      <c r="F53" s="78"/>
      <c r="G53" s="78"/>
      <c r="H53" s="78"/>
      <c r="I53" s="79"/>
      <c r="J53" s="77"/>
      <c r="K53" s="79"/>
      <c r="L53" s="77"/>
      <c r="M53" s="79"/>
      <c r="N53" s="77"/>
      <c r="O53" s="79"/>
      <c r="P53" s="92"/>
      <c r="Q53" s="93"/>
      <c r="R53" s="80" t="str">
        <f t="shared" ref="R53" ca="1" si="9">IF(L53=""," ",IF(P53="Concluída"," ",IF(TODAY()&gt;L53,"EM ATRASO",IF(TODAY()=L53,"HOJE"," "))))</f>
        <v xml:space="preserve"> </v>
      </c>
      <c r="S53" s="81"/>
    </row>
    <row r="54" spans="2:19" x14ac:dyDescent="0.25">
      <c r="B54" s="73"/>
      <c r="C54" s="74"/>
      <c r="D54" s="80"/>
      <c r="E54" s="81"/>
      <c r="F54" s="81"/>
      <c r="G54" s="81"/>
      <c r="H54" s="81"/>
      <c r="I54" s="82"/>
      <c r="J54" s="80"/>
      <c r="K54" s="82"/>
      <c r="L54" s="80"/>
      <c r="M54" s="82"/>
      <c r="N54" s="80"/>
      <c r="O54" s="82"/>
      <c r="P54" s="94"/>
      <c r="Q54" s="95"/>
      <c r="R54" s="80"/>
      <c r="S54" s="81"/>
    </row>
    <row r="55" spans="2:19" x14ac:dyDescent="0.25">
      <c r="B55" s="75"/>
      <c r="C55" s="76"/>
      <c r="D55" s="83"/>
      <c r="E55" s="84"/>
      <c r="F55" s="84"/>
      <c r="G55" s="84"/>
      <c r="H55" s="84"/>
      <c r="I55" s="85"/>
      <c r="J55" s="83"/>
      <c r="K55" s="85"/>
      <c r="L55" s="83"/>
      <c r="M55" s="85"/>
      <c r="N55" s="83"/>
      <c r="O55" s="85"/>
      <c r="P55" s="96"/>
      <c r="Q55" s="97"/>
      <c r="R55" s="80"/>
      <c r="S55" s="81"/>
    </row>
    <row r="56" spans="2:19" x14ac:dyDescent="0.25">
      <c r="B56" s="71"/>
      <c r="C56" s="72"/>
      <c r="D56" s="77"/>
      <c r="E56" s="78"/>
      <c r="F56" s="78"/>
      <c r="G56" s="78"/>
      <c r="H56" s="78"/>
      <c r="I56" s="79"/>
      <c r="J56" s="77"/>
      <c r="K56" s="79"/>
      <c r="L56" s="77"/>
      <c r="M56" s="79"/>
      <c r="N56" s="77"/>
      <c r="O56" s="79"/>
      <c r="P56" s="92"/>
      <c r="Q56" s="93"/>
      <c r="R56" s="80" t="str">
        <f t="shared" ref="R56" ca="1" si="10">IF(L56=""," ",IF(P56="Concluída"," ",IF(TODAY()&gt;L56,"EM ATRASO",IF(TODAY()=L56,"HOJE"," "))))</f>
        <v xml:space="preserve"> </v>
      </c>
      <c r="S56" s="81"/>
    </row>
    <row r="57" spans="2:19" x14ac:dyDescent="0.25">
      <c r="B57" s="73"/>
      <c r="C57" s="74"/>
      <c r="D57" s="80"/>
      <c r="E57" s="81"/>
      <c r="F57" s="81"/>
      <c r="G57" s="81"/>
      <c r="H57" s="81"/>
      <c r="I57" s="82"/>
      <c r="J57" s="80"/>
      <c r="K57" s="82"/>
      <c r="L57" s="80"/>
      <c r="M57" s="82"/>
      <c r="N57" s="80"/>
      <c r="O57" s="82"/>
      <c r="P57" s="94"/>
      <c r="Q57" s="95"/>
      <c r="R57" s="80"/>
      <c r="S57" s="81"/>
    </row>
    <row r="58" spans="2:19" x14ac:dyDescent="0.25">
      <c r="B58" s="75"/>
      <c r="C58" s="76"/>
      <c r="D58" s="83"/>
      <c r="E58" s="84"/>
      <c r="F58" s="84"/>
      <c r="G58" s="84"/>
      <c r="H58" s="84"/>
      <c r="I58" s="85"/>
      <c r="J58" s="83"/>
      <c r="K58" s="85"/>
      <c r="L58" s="83"/>
      <c r="M58" s="85"/>
      <c r="N58" s="83"/>
      <c r="O58" s="85"/>
      <c r="P58" s="96"/>
      <c r="Q58" s="97"/>
      <c r="R58" s="80"/>
      <c r="S58" s="81"/>
    </row>
    <row r="59" spans="2:19" x14ac:dyDescent="0.25">
      <c r="B59" s="71"/>
      <c r="C59" s="72"/>
      <c r="D59" s="77"/>
      <c r="E59" s="78"/>
      <c r="F59" s="78"/>
      <c r="G59" s="78"/>
      <c r="H59" s="78"/>
      <c r="I59" s="79"/>
      <c r="J59" s="77"/>
      <c r="K59" s="79"/>
      <c r="L59" s="77"/>
      <c r="M59" s="79"/>
      <c r="N59" s="77"/>
      <c r="O59" s="79"/>
      <c r="P59" s="92"/>
      <c r="Q59" s="93"/>
      <c r="R59" s="80" t="str">
        <f t="shared" ref="R59" ca="1" si="11">IF(L59=""," ",IF(P59="Concluída"," ",IF(TODAY()&gt;L59,"EM ATRASO",IF(TODAY()=L59,"HOJE"," "))))</f>
        <v xml:space="preserve"> </v>
      </c>
      <c r="S59" s="81"/>
    </row>
    <row r="60" spans="2:19" x14ac:dyDescent="0.25">
      <c r="B60" s="73"/>
      <c r="C60" s="74"/>
      <c r="D60" s="80"/>
      <c r="E60" s="81"/>
      <c r="F60" s="81"/>
      <c r="G60" s="81"/>
      <c r="H60" s="81"/>
      <c r="I60" s="82"/>
      <c r="J60" s="80"/>
      <c r="K60" s="82"/>
      <c r="L60" s="80"/>
      <c r="M60" s="82"/>
      <c r="N60" s="80"/>
      <c r="O60" s="82"/>
      <c r="P60" s="94"/>
      <c r="Q60" s="95"/>
      <c r="R60" s="80"/>
      <c r="S60" s="81"/>
    </row>
    <row r="61" spans="2:19" x14ac:dyDescent="0.25">
      <c r="B61" s="75"/>
      <c r="C61" s="76"/>
      <c r="D61" s="83"/>
      <c r="E61" s="84"/>
      <c r="F61" s="84"/>
      <c r="G61" s="84"/>
      <c r="H61" s="84"/>
      <c r="I61" s="85"/>
      <c r="J61" s="83"/>
      <c r="K61" s="85"/>
      <c r="L61" s="83"/>
      <c r="M61" s="85"/>
      <c r="N61" s="83"/>
      <c r="O61" s="85"/>
      <c r="P61" s="96"/>
      <c r="Q61" s="97"/>
      <c r="R61" s="80"/>
      <c r="S61" s="81"/>
    </row>
    <row r="62" spans="2:19" x14ac:dyDescent="0.25">
      <c r="B62" s="71"/>
      <c r="C62" s="72"/>
      <c r="D62" s="77"/>
      <c r="E62" s="78"/>
      <c r="F62" s="78"/>
      <c r="G62" s="78"/>
      <c r="H62" s="78"/>
      <c r="I62" s="79"/>
      <c r="J62" s="77"/>
      <c r="K62" s="79"/>
      <c r="L62" s="77"/>
      <c r="M62" s="79"/>
      <c r="N62" s="77"/>
      <c r="O62" s="79"/>
      <c r="P62" s="92"/>
      <c r="Q62" s="93"/>
      <c r="R62" s="80" t="str">
        <f t="shared" ref="R62" ca="1" si="12">IF(L62=""," ",IF(P62="Concluída"," ",IF(TODAY()&gt;L62,"EM ATRASO",IF(TODAY()=L62,"HOJE"," "))))</f>
        <v xml:space="preserve"> </v>
      </c>
      <c r="S62" s="81"/>
    </row>
    <row r="63" spans="2:19" x14ac:dyDescent="0.25">
      <c r="B63" s="73"/>
      <c r="C63" s="74"/>
      <c r="D63" s="80"/>
      <c r="E63" s="81"/>
      <c r="F63" s="81"/>
      <c r="G63" s="81"/>
      <c r="H63" s="81"/>
      <c r="I63" s="82"/>
      <c r="J63" s="80"/>
      <c r="K63" s="82"/>
      <c r="L63" s="80"/>
      <c r="M63" s="82"/>
      <c r="N63" s="80"/>
      <c r="O63" s="82"/>
      <c r="P63" s="94"/>
      <c r="Q63" s="95"/>
      <c r="R63" s="80"/>
      <c r="S63" s="81"/>
    </row>
    <row r="64" spans="2:19" x14ac:dyDescent="0.25">
      <c r="B64" s="75"/>
      <c r="C64" s="76"/>
      <c r="D64" s="83"/>
      <c r="E64" s="84"/>
      <c r="F64" s="84"/>
      <c r="G64" s="84"/>
      <c r="H64" s="84"/>
      <c r="I64" s="85"/>
      <c r="J64" s="83"/>
      <c r="K64" s="85"/>
      <c r="L64" s="83"/>
      <c r="M64" s="85"/>
      <c r="N64" s="83"/>
      <c r="O64" s="85"/>
      <c r="P64" s="96"/>
      <c r="Q64" s="97"/>
      <c r="R64" s="80"/>
      <c r="S64" s="81"/>
    </row>
    <row r="65" spans="2:19" x14ac:dyDescent="0.25">
      <c r="B65" s="71"/>
      <c r="C65" s="72"/>
      <c r="D65" s="77"/>
      <c r="E65" s="78"/>
      <c r="F65" s="78"/>
      <c r="G65" s="78"/>
      <c r="H65" s="78"/>
      <c r="I65" s="79"/>
      <c r="J65" s="77"/>
      <c r="K65" s="79"/>
      <c r="L65" s="77"/>
      <c r="M65" s="79"/>
      <c r="N65" s="77"/>
      <c r="O65" s="79"/>
      <c r="P65" s="92"/>
      <c r="Q65" s="93"/>
      <c r="R65" s="80" t="str">
        <f t="shared" ref="R65" ca="1" si="13">IF(L65=""," ",IF(P65="Concluída"," ",IF(TODAY()&gt;L65,"EM ATRASO",IF(TODAY()=L65,"HOJE"," "))))</f>
        <v xml:space="preserve"> </v>
      </c>
      <c r="S65" s="81"/>
    </row>
    <row r="66" spans="2:19" x14ac:dyDescent="0.25">
      <c r="B66" s="73"/>
      <c r="C66" s="74"/>
      <c r="D66" s="80"/>
      <c r="E66" s="81"/>
      <c r="F66" s="81"/>
      <c r="G66" s="81"/>
      <c r="H66" s="81"/>
      <c r="I66" s="82"/>
      <c r="J66" s="80"/>
      <c r="K66" s="82"/>
      <c r="L66" s="80"/>
      <c r="M66" s="82"/>
      <c r="N66" s="80"/>
      <c r="O66" s="82"/>
      <c r="P66" s="94"/>
      <c r="Q66" s="95"/>
      <c r="R66" s="80"/>
      <c r="S66" s="81"/>
    </row>
    <row r="67" spans="2:19" x14ac:dyDescent="0.25">
      <c r="B67" s="75"/>
      <c r="C67" s="76"/>
      <c r="D67" s="83"/>
      <c r="E67" s="84"/>
      <c r="F67" s="84"/>
      <c r="G67" s="84"/>
      <c r="H67" s="84"/>
      <c r="I67" s="85"/>
      <c r="J67" s="83"/>
      <c r="K67" s="85"/>
      <c r="L67" s="83"/>
      <c r="M67" s="85"/>
      <c r="N67" s="83"/>
      <c r="O67" s="85"/>
      <c r="P67" s="96"/>
      <c r="Q67" s="97"/>
      <c r="R67" s="80"/>
      <c r="S67" s="81"/>
    </row>
    <row r="68" spans="2:19" x14ac:dyDescent="0.25">
      <c r="B68" s="71"/>
      <c r="C68" s="72"/>
      <c r="D68" s="77"/>
      <c r="E68" s="78"/>
      <c r="F68" s="78"/>
      <c r="G68" s="78"/>
      <c r="H68" s="78"/>
      <c r="I68" s="79"/>
      <c r="J68" s="77"/>
      <c r="K68" s="79"/>
      <c r="L68" s="77"/>
      <c r="M68" s="79"/>
      <c r="N68" s="77"/>
      <c r="O68" s="79"/>
      <c r="P68" s="92"/>
      <c r="Q68" s="93"/>
      <c r="R68" s="80" t="str">
        <f t="shared" ref="R68" ca="1" si="14">IF(L68=""," ",IF(P68="Concluída"," ",IF(TODAY()&gt;L68,"EM ATRASO",IF(TODAY()=L68,"HOJE"," "))))</f>
        <v xml:space="preserve"> </v>
      </c>
      <c r="S68" s="81"/>
    </row>
    <row r="69" spans="2:19" x14ac:dyDescent="0.25">
      <c r="B69" s="73"/>
      <c r="C69" s="74"/>
      <c r="D69" s="80"/>
      <c r="E69" s="81"/>
      <c r="F69" s="81"/>
      <c r="G69" s="81"/>
      <c r="H69" s="81"/>
      <c r="I69" s="82"/>
      <c r="J69" s="80"/>
      <c r="K69" s="82"/>
      <c r="L69" s="80"/>
      <c r="M69" s="82"/>
      <c r="N69" s="80"/>
      <c r="O69" s="82"/>
      <c r="P69" s="94"/>
      <c r="Q69" s="95"/>
      <c r="R69" s="80"/>
      <c r="S69" s="81"/>
    </row>
    <row r="70" spans="2:19" x14ac:dyDescent="0.25">
      <c r="B70" s="75"/>
      <c r="C70" s="76"/>
      <c r="D70" s="83"/>
      <c r="E70" s="84"/>
      <c r="F70" s="84"/>
      <c r="G70" s="84"/>
      <c r="H70" s="84"/>
      <c r="I70" s="85"/>
      <c r="J70" s="83"/>
      <c r="K70" s="85"/>
      <c r="L70" s="83"/>
      <c r="M70" s="85"/>
      <c r="N70" s="83"/>
      <c r="O70" s="85"/>
      <c r="P70" s="96"/>
      <c r="Q70" s="97"/>
      <c r="R70" s="80"/>
      <c r="S70" s="81"/>
    </row>
    <row r="71" spans="2:19" x14ac:dyDescent="0.25">
      <c r="B71" s="71"/>
      <c r="C71" s="72"/>
      <c r="D71" s="77"/>
      <c r="E71" s="78"/>
      <c r="F71" s="78"/>
      <c r="G71" s="78"/>
      <c r="H71" s="78"/>
      <c r="I71" s="79"/>
      <c r="J71" s="77"/>
      <c r="K71" s="79"/>
      <c r="L71" s="77"/>
      <c r="M71" s="79"/>
      <c r="N71" s="77"/>
      <c r="O71" s="79"/>
      <c r="P71" s="92"/>
      <c r="Q71" s="93"/>
      <c r="R71" s="80" t="str">
        <f t="shared" ref="R71" ca="1" si="15">IF(L71=""," ",IF(P71="Concluída"," ",IF(TODAY()&gt;L71,"EM ATRASO",IF(TODAY()=L71,"HOJE"," "))))</f>
        <v xml:space="preserve"> </v>
      </c>
      <c r="S71" s="81"/>
    </row>
    <row r="72" spans="2:19" x14ac:dyDescent="0.25">
      <c r="B72" s="73"/>
      <c r="C72" s="74"/>
      <c r="D72" s="80"/>
      <c r="E72" s="81"/>
      <c r="F72" s="81"/>
      <c r="G72" s="81"/>
      <c r="H72" s="81"/>
      <c r="I72" s="82"/>
      <c r="J72" s="80"/>
      <c r="K72" s="82"/>
      <c r="L72" s="80"/>
      <c r="M72" s="82"/>
      <c r="N72" s="80"/>
      <c r="O72" s="82"/>
      <c r="P72" s="94"/>
      <c r="Q72" s="95"/>
      <c r="R72" s="80"/>
      <c r="S72" s="81"/>
    </row>
    <row r="73" spans="2:19" x14ac:dyDescent="0.25">
      <c r="B73" s="75"/>
      <c r="C73" s="76"/>
      <c r="D73" s="83"/>
      <c r="E73" s="84"/>
      <c r="F73" s="84"/>
      <c r="G73" s="84"/>
      <c r="H73" s="84"/>
      <c r="I73" s="85"/>
      <c r="J73" s="83"/>
      <c r="K73" s="85"/>
      <c r="L73" s="83"/>
      <c r="M73" s="85"/>
      <c r="N73" s="83"/>
      <c r="O73" s="85"/>
      <c r="P73" s="96"/>
      <c r="Q73" s="97"/>
      <c r="R73" s="80"/>
      <c r="S73" s="81"/>
    </row>
    <row r="74" spans="2:19" x14ac:dyDescent="0.25">
      <c r="B74" s="71"/>
      <c r="C74" s="72"/>
      <c r="D74" s="77"/>
      <c r="E74" s="78"/>
      <c r="F74" s="78"/>
      <c r="G74" s="78"/>
      <c r="H74" s="78"/>
      <c r="I74" s="79"/>
      <c r="J74" s="77"/>
      <c r="K74" s="79"/>
      <c r="L74" s="77"/>
      <c r="M74" s="79"/>
      <c r="N74" s="77"/>
      <c r="O74" s="79"/>
      <c r="P74" s="92"/>
      <c r="Q74" s="93"/>
      <c r="R74" s="80" t="str">
        <f t="shared" ref="R74" ca="1" si="16">IF(L74=""," ",IF(P74="Concluída"," ",IF(TODAY()&gt;L74,"EM ATRASO",IF(TODAY()=L74,"HOJE"," "))))</f>
        <v xml:space="preserve"> </v>
      </c>
      <c r="S74" s="81"/>
    </row>
    <row r="75" spans="2:19" x14ac:dyDescent="0.25">
      <c r="B75" s="73"/>
      <c r="C75" s="74"/>
      <c r="D75" s="80"/>
      <c r="E75" s="81"/>
      <c r="F75" s="81"/>
      <c r="G75" s="81"/>
      <c r="H75" s="81"/>
      <c r="I75" s="82"/>
      <c r="J75" s="80"/>
      <c r="K75" s="82"/>
      <c r="L75" s="80"/>
      <c r="M75" s="82"/>
      <c r="N75" s="80"/>
      <c r="O75" s="82"/>
      <c r="P75" s="94"/>
      <c r="Q75" s="95"/>
      <c r="R75" s="80"/>
      <c r="S75" s="81"/>
    </row>
    <row r="76" spans="2:19" x14ac:dyDescent="0.25">
      <c r="B76" s="75"/>
      <c r="C76" s="76"/>
      <c r="D76" s="83"/>
      <c r="E76" s="84"/>
      <c r="F76" s="84"/>
      <c r="G76" s="84"/>
      <c r="H76" s="84"/>
      <c r="I76" s="85"/>
      <c r="J76" s="83"/>
      <c r="K76" s="85"/>
      <c r="L76" s="83"/>
      <c r="M76" s="85"/>
      <c r="N76" s="83"/>
      <c r="O76" s="85"/>
      <c r="P76" s="96"/>
      <c r="Q76" s="97"/>
      <c r="R76" s="80"/>
      <c r="S76" s="81"/>
    </row>
    <row r="77" spans="2:19" x14ac:dyDescent="0.25">
      <c r="B77" s="71"/>
      <c r="C77" s="72"/>
      <c r="D77" s="77"/>
      <c r="E77" s="78"/>
      <c r="F77" s="78"/>
      <c r="G77" s="78"/>
      <c r="H77" s="78"/>
      <c r="I77" s="79"/>
      <c r="J77" s="77"/>
      <c r="K77" s="79"/>
      <c r="L77" s="77"/>
      <c r="M77" s="79"/>
      <c r="N77" s="77"/>
      <c r="O77" s="79"/>
      <c r="P77" s="92"/>
      <c r="Q77" s="93"/>
      <c r="R77" s="80" t="str">
        <f t="shared" ref="R77" ca="1" si="17">IF(L77=""," ",IF(P77="Concluída"," ",IF(TODAY()&gt;L77,"EM ATRASO",IF(TODAY()=L77,"HOJE"," "))))</f>
        <v xml:space="preserve"> </v>
      </c>
      <c r="S77" s="81"/>
    </row>
    <row r="78" spans="2:19" x14ac:dyDescent="0.25">
      <c r="B78" s="73"/>
      <c r="C78" s="74"/>
      <c r="D78" s="80"/>
      <c r="E78" s="81"/>
      <c r="F78" s="81"/>
      <c r="G78" s="81"/>
      <c r="H78" s="81"/>
      <c r="I78" s="82"/>
      <c r="J78" s="80"/>
      <c r="K78" s="82"/>
      <c r="L78" s="80"/>
      <c r="M78" s="82"/>
      <c r="N78" s="80"/>
      <c r="O78" s="82"/>
      <c r="P78" s="94"/>
      <c r="Q78" s="95"/>
      <c r="R78" s="80"/>
      <c r="S78" s="81"/>
    </row>
    <row r="79" spans="2:19" x14ac:dyDescent="0.25">
      <c r="B79" s="75"/>
      <c r="C79" s="76"/>
      <c r="D79" s="83"/>
      <c r="E79" s="84"/>
      <c r="F79" s="84"/>
      <c r="G79" s="84"/>
      <c r="H79" s="84"/>
      <c r="I79" s="85"/>
      <c r="J79" s="83"/>
      <c r="K79" s="85"/>
      <c r="L79" s="83"/>
      <c r="M79" s="85"/>
      <c r="N79" s="83"/>
      <c r="O79" s="85"/>
      <c r="P79" s="96"/>
      <c r="Q79" s="97"/>
      <c r="R79" s="80"/>
      <c r="S79" s="81"/>
    </row>
    <row r="80" spans="2:19" x14ac:dyDescent="0.25">
      <c r="B80" s="71"/>
      <c r="C80" s="72"/>
      <c r="D80" s="77"/>
      <c r="E80" s="78"/>
      <c r="F80" s="78"/>
      <c r="G80" s="78"/>
      <c r="H80" s="78"/>
      <c r="I80" s="79"/>
      <c r="J80" s="77"/>
      <c r="K80" s="79"/>
      <c r="L80" s="77"/>
      <c r="M80" s="79"/>
      <c r="N80" s="77"/>
      <c r="O80" s="79"/>
      <c r="P80" s="92"/>
      <c r="Q80" s="93"/>
      <c r="R80" s="80" t="str">
        <f t="shared" ref="R80" ca="1" si="18">IF(L80=""," ",IF(P80="Concluída"," ",IF(TODAY()&gt;L80,"EM ATRASO",IF(TODAY()=L80,"HOJE"," "))))</f>
        <v xml:space="preserve"> </v>
      </c>
      <c r="S80" s="81"/>
    </row>
    <row r="81" spans="2:19" x14ac:dyDescent="0.25">
      <c r="B81" s="73"/>
      <c r="C81" s="74"/>
      <c r="D81" s="80"/>
      <c r="E81" s="81"/>
      <c r="F81" s="81"/>
      <c r="G81" s="81"/>
      <c r="H81" s="81"/>
      <c r="I81" s="82"/>
      <c r="J81" s="80"/>
      <c r="K81" s="82"/>
      <c r="L81" s="80"/>
      <c r="M81" s="82"/>
      <c r="N81" s="80"/>
      <c r="O81" s="82"/>
      <c r="P81" s="94"/>
      <c r="Q81" s="95"/>
      <c r="R81" s="80"/>
      <c r="S81" s="81"/>
    </row>
    <row r="82" spans="2:19" x14ac:dyDescent="0.25">
      <c r="B82" s="75"/>
      <c r="C82" s="76"/>
      <c r="D82" s="83"/>
      <c r="E82" s="84"/>
      <c r="F82" s="84"/>
      <c r="G82" s="84"/>
      <c r="H82" s="84"/>
      <c r="I82" s="85"/>
      <c r="J82" s="83"/>
      <c r="K82" s="85"/>
      <c r="L82" s="83"/>
      <c r="M82" s="85"/>
      <c r="N82" s="83"/>
      <c r="O82" s="85"/>
      <c r="P82" s="96"/>
      <c r="Q82" s="97"/>
      <c r="R82" s="80"/>
      <c r="S82" s="81"/>
    </row>
    <row r="83" spans="2:19" x14ac:dyDescent="0.25">
      <c r="B83" s="71"/>
      <c r="C83" s="72"/>
      <c r="D83" s="77"/>
      <c r="E83" s="78"/>
      <c r="F83" s="78"/>
      <c r="G83" s="78"/>
      <c r="H83" s="78"/>
      <c r="I83" s="79"/>
      <c r="J83" s="77"/>
      <c r="K83" s="79"/>
      <c r="L83" s="77"/>
      <c r="M83" s="79"/>
      <c r="N83" s="77"/>
      <c r="O83" s="79"/>
      <c r="P83" s="92"/>
      <c r="Q83" s="93"/>
      <c r="R83" s="80" t="str">
        <f t="shared" ref="R83" ca="1" si="19">IF(L83=""," ",IF(P83="Concluída"," ",IF(TODAY()&gt;L83,"EM ATRASO",IF(TODAY()=L83,"HOJE"," "))))</f>
        <v xml:space="preserve"> </v>
      </c>
      <c r="S83" s="81"/>
    </row>
    <row r="84" spans="2:19" x14ac:dyDescent="0.25">
      <c r="B84" s="73"/>
      <c r="C84" s="74"/>
      <c r="D84" s="80"/>
      <c r="E84" s="81"/>
      <c r="F84" s="81"/>
      <c r="G84" s="81"/>
      <c r="H84" s="81"/>
      <c r="I84" s="82"/>
      <c r="J84" s="80"/>
      <c r="K84" s="82"/>
      <c r="L84" s="80"/>
      <c r="M84" s="82"/>
      <c r="N84" s="80"/>
      <c r="O84" s="82"/>
      <c r="P84" s="94"/>
      <c r="Q84" s="95"/>
      <c r="R84" s="80"/>
      <c r="S84" s="81"/>
    </row>
    <row r="85" spans="2:19" x14ac:dyDescent="0.25">
      <c r="B85" s="75"/>
      <c r="C85" s="76"/>
      <c r="D85" s="83"/>
      <c r="E85" s="84"/>
      <c r="F85" s="84"/>
      <c r="G85" s="84"/>
      <c r="H85" s="84"/>
      <c r="I85" s="85"/>
      <c r="J85" s="83"/>
      <c r="K85" s="85"/>
      <c r="L85" s="83"/>
      <c r="M85" s="85"/>
      <c r="N85" s="83"/>
      <c r="O85" s="85"/>
      <c r="P85" s="96"/>
      <c r="Q85" s="97"/>
      <c r="R85" s="80"/>
      <c r="S85" s="81"/>
    </row>
    <row r="86" spans="2:19" x14ac:dyDescent="0.25">
      <c r="B86" s="71"/>
      <c r="C86" s="72"/>
      <c r="D86" s="77"/>
      <c r="E86" s="78"/>
      <c r="F86" s="78"/>
      <c r="G86" s="78"/>
      <c r="H86" s="78"/>
      <c r="I86" s="79"/>
      <c r="J86" s="77"/>
      <c r="K86" s="79"/>
      <c r="L86" s="77"/>
      <c r="M86" s="79"/>
      <c r="N86" s="77"/>
      <c r="O86" s="79"/>
      <c r="P86" s="92"/>
      <c r="Q86" s="93"/>
      <c r="R86" s="80" t="str">
        <f t="shared" ref="R86" ca="1" si="20">IF(L86=""," ",IF(P86="Concluída"," ",IF(TODAY()&gt;L86,"EM ATRASO",IF(TODAY()=L86,"HOJE"," "))))</f>
        <v xml:space="preserve"> </v>
      </c>
      <c r="S86" s="81"/>
    </row>
    <row r="87" spans="2:19" x14ac:dyDescent="0.25">
      <c r="B87" s="73"/>
      <c r="C87" s="74"/>
      <c r="D87" s="80"/>
      <c r="E87" s="81"/>
      <c r="F87" s="81"/>
      <c r="G87" s="81"/>
      <c r="H87" s="81"/>
      <c r="I87" s="82"/>
      <c r="J87" s="80"/>
      <c r="K87" s="82"/>
      <c r="L87" s="80"/>
      <c r="M87" s="82"/>
      <c r="N87" s="80"/>
      <c r="O87" s="82"/>
      <c r="P87" s="94"/>
      <c r="Q87" s="95"/>
      <c r="R87" s="80"/>
      <c r="S87" s="81"/>
    </row>
    <row r="88" spans="2:19" x14ac:dyDescent="0.25">
      <c r="B88" s="75"/>
      <c r="C88" s="76"/>
      <c r="D88" s="83"/>
      <c r="E88" s="84"/>
      <c r="F88" s="84"/>
      <c r="G88" s="84"/>
      <c r="H88" s="84"/>
      <c r="I88" s="85"/>
      <c r="J88" s="83"/>
      <c r="K88" s="85"/>
      <c r="L88" s="83"/>
      <c r="M88" s="85"/>
      <c r="N88" s="83"/>
      <c r="O88" s="85"/>
      <c r="P88" s="96"/>
      <c r="Q88" s="97"/>
      <c r="R88" s="80"/>
      <c r="S88" s="81"/>
    </row>
    <row r="89" spans="2:19" x14ac:dyDescent="0.25">
      <c r="B89" s="71"/>
      <c r="C89" s="72"/>
      <c r="D89" s="77"/>
      <c r="E89" s="78"/>
      <c r="F89" s="78"/>
      <c r="G89" s="78"/>
      <c r="H89" s="78"/>
      <c r="I89" s="79"/>
      <c r="J89" s="77"/>
      <c r="K89" s="79"/>
      <c r="L89" s="77"/>
      <c r="M89" s="79"/>
      <c r="N89" s="77"/>
      <c r="O89" s="79"/>
      <c r="P89" s="92"/>
      <c r="Q89" s="93"/>
      <c r="R89" s="80" t="str">
        <f t="shared" ref="R89" ca="1" si="21">IF(L89=""," ",IF(P89="Concluída"," ",IF(TODAY()&gt;L89,"EM ATRASO",IF(TODAY()=L89,"HOJE"," "))))</f>
        <v xml:space="preserve"> </v>
      </c>
      <c r="S89" s="81"/>
    </row>
    <row r="90" spans="2:19" x14ac:dyDescent="0.25">
      <c r="B90" s="73"/>
      <c r="C90" s="74"/>
      <c r="D90" s="80"/>
      <c r="E90" s="81"/>
      <c r="F90" s="81"/>
      <c r="G90" s="81"/>
      <c r="H90" s="81"/>
      <c r="I90" s="82"/>
      <c r="J90" s="80"/>
      <c r="K90" s="82"/>
      <c r="L90" s="80"/>
      <c r="M90" s="82"/>
      <c r="N90" s="80"/>
      <c r="O90" s="82"/>
      <c r="P90" s="94"/>
      <c r="Q90" s="95"/>
      <c r="R90" s="80"/>
      <c r="S90" s="81"/>
    </row>
    <row r="91" spans="2:19" x14ac:dyDescent="0.25">
      <c r="B91" s="75"/>
      <c r="C91" s="76"/>
      <c r="D91" s="83"/>
      <c r="E91" s="84"/>
      <c r="F91" s="84"/>
      <c r="G91" s="84"/>
      <c r="H91" s="84"/>
      <c r="I91" s="85"/>
      <c r="J91" s="83"/>
      <c r="K91" s="85"/>
      <c r="L91" s="83"/>
      <c r="M91" s="85"/>
      <c r="N91" s="83"/>
      <c r="O91" s="85"/>
      <c r="P91" s="96"/>
      <c r="Q91" s="97"/>
      <c r="R91" s="80"/>
      <c r="S91" s="81"/>
    </row>
    <row r="92" spans="2:19" x14ac:dyDescent="0.25">
      <c r="B92" s="71"/>
      <c r="C92" s="72"/>
      <c r="D92" s="77"/>
      <c r="E92" s="78"/>
      <c r="F92" s="78"/>
      <c r="G92" s="78"/>
      <c r="H92" s="78"/>
      <c r="I92" s="79"/>
      <c r="J92" s="77"/>
      <c r="K92" s="79"/>
      <c r="L92" s="77"/>
      <c r="M92" s="79"/>
      <c r="N92" s="77"/>
      <c r="O92" s="79"/>
      <c r="P92" s="92"/>
      <c r="Q92" s="93"/>
      <c r="R92" s="80" t="str">
        <f t="shared" ref="R92" ca="1" si="22">IF(L92=""," ",IF(P92="Concluída"," ",IF(TODAY()&gt;L92,"EM ATRASO",IF(TODAY()=L92,"HOJE"," "))))</f>
        <v xml:space="preserve"> </v>
      </c>
      <c r="S92" s="81"/>
    </row>
    <row r="93" spans="2:19" x14ac:dyDescent="0.25">
      <c r="B93" s="73"/>
      <c r="C93" s="74"/>
      <c r="D93" s="80"/>
      <c r="E93" s="81"/>
      <c r="F93" s="81"/>
      <c r="G93" s="81"/>
      <c r="H93" s="81"/>
      <c r="I93" s="82"/>
      <c r="J93" s="80"/>
      <c r="K93" s="82"/>
      <c r="L93" s="80"/>
      <c r="M93" s="82"/>
      <c r="N93" s="80"/>
      <c r="O93" s="82"/>
      <c r="P93" s="94"/>
      <c r="Q93" s="95"/>
      <c r="R93" s="80"/>
      <c r="S93" s="81"/>
    </row>
    <row r="94" spans="2:19" x14ac:dyDescent="0.25">
      <c r="B94" s="75"/>
      <c r="C94" s="76"/>
      <c r="D94" s="83"/>
      <c r="E94" s="84"/>
      <c r="F94" s="84"/>
      <c r="G94" s="84"/>
      <c r="H94" s="84"/>
      <c r="I94" s="85"/>
      <c r="J94" s="83"/>
      <c r="K94" s="85"/>
      <c r="L94" s="83"/>
      <c r="M94" s="85"/>
      <c r="N94" s="83"/>
      <c r="O94" s="85"/>
      <c r="P94" s="96"/>
      <c r="Q94" s="97"/>
      <c r="R94" s="80"/>
      <c r="S94" s="81"/>
    </row>
    <row r="95" spans="2:19" x14ac:dyDescent="0.25">
      <c r="B95" s="71"/>
      <c r="C95" s="72"/>
      <c r="D95" s="77"/>
      <c r="E95" s="78"/>
      <c r="F95" s="78"/>
      <c r="G95" s="78"/>
      <c r="H95" s="78"/>
      <c r="I95" s="79"/>
      <c r="J95" s="77"/>
      <c r="K95" s="79"/>
      <c r="L95" s="77"/>
      <c r="M95" s="79"/>
      <c r="N95" s="77"/>
      <c r="O95" s="79"/>
      <c r="P95" s="92"/>
      <c r="Q95" s="93"/>
      <c r="R95" s="80" t="str">
        <f t="shared" ref="R95" ca="1" si="23">IF(L95=""," ",IF(P95="Concluída"," ",IF(TODAY()&gt;L95,"EM ATRASO",IF(TODAY()=L95,"HOJE"," "))))</f>
        <v xml:space="preserve"> </v>
      </c>
      <c r="S95" s="81"/>
    </row>
    <row r="96" spans="2:19" x14ac:dyDescent="0.25">
      <c r="B96" s="73"/>
      <c r="C96" s="74"/>
      <c r="D96" s="80"/>
      <c r="E96" s="81"/>
      <c r="F96" s="81"/>
      <c r="G96" s="81"/>
      <c r="H96" s="81"/>
      <c r="I96" s="82"/>
      <c r="J96" s="80"/>
      <c r="K96" s="82"/>
      <c r="L96" s="80"/>
      <c r="M96" s="82"/>
      <c r="N96" s="80"/>
      <c r="O96" s="82"/>
      <c r="P96" s="94"/>
      <c r="Q96" s="95"/>
      <c r="R96" s="80"/>
      <c r="S96" s="81"/>
    </row>
    <row r="97" spans="2:19" x14ac:dyDescent="0.25">
      <c r="B97" s="75"/>
      <c r="C97" s="76"/>
      <c r="D97" s="83"/>
      <c r="E97" s="84"/>
      <c r="F97" s="84"/>
      <c r="G97" s="84"/>
      <c r="H97" s="84"/>
      <c r="I97" s="85"/>
      <c r="J97" s="83"/>
      <c r="K97" s="85"/>
      <c r="L97" s="83"/>
      <c r="M97" s="85"/>
      <c r="N97" s="83"/>
      <c r="O97" s="85"/>
      <c r="P97" s="96"/>
      <c r="Q97" s="97"/>
      <c r="R97" s="80"/>
      <c r="S97" s="81"/>
    </row>
    <row r="98" spans="2:19" x14ac:dyDescent="0.25">
      <c r="B98" s="71"/>
      <c r="C98" s="72"/>
      <c r="D98" s="77"/>
      <c r="E98" s="78"/>
      <c r="F98" s="78"/>
      <c r="G98" s="78"/>
      <c r="H98" s="78"/>
      <c r="I98" s="79"/>
      <c r="J98" s="77"/>
      <c r="K98" s="79"/>
      <c r="L98" s="77"/>
      <c r="M98" s="79"/>
      <c r="N98" s="77"/>
      <c r="O98" s="79"/>
      <c r="P98" s="92"/>
      <c r="Q98" s="93"/>
      <c r="R98" s="80" t="str">
        <f t="shared" ref="R98" ca="1" si="24">IF(L98=""," ",IF(P98="Concluída"," ",IF(TODAY()&gt;L98,"EM ATRASO",IF(TODAY()=L98,"HOJE"," "))))</f>
        <v xml:space="preserve"> </v>
      </c>
      <c r="S98" s="81"/>
    </row>
    <row r="99" spans="2:19" x14ac:dyDescent="0.25">
      <c r="B99" s="73"/>
      <c r="C99" s="74"/>
      <c r="D99" s="80"/>
      <c r="E99" s="81"/>
      <c r="F99" s="81"/>
      <c r="G99" s="81"/>
      <c r="H99" s="81"/>
      <c r="I99" s="82"/>
      <c r="J99" s="80"/>
      <c r="K99" s="82"/>
      <c r="L99" s="80"/>
      <c r="M99" s="82"/>
      <c r="N99" s="80"/>
      <c r="O99" s="82"/>
      <c r="P99" s="94"/>
      <c r="Q99" s="95"/>
      <c r="R99" s="80"/>
      <c r="S99" s="81"/>
    </row>
    <row r="100" spans="2:19" x14ac:dyDescent="0.25">
      <c r="B100" s="75"/>
      <c r="C100" s="76"/>
      <c r="D100" s="83"/>
      <c r="E100" s="84"/>
      <c r="F100" s="84"/>
      <c r="G100" s="84"/>
      <c r="H100" s="84"/>
      <c r="I100" s="85"/>
      <c r="J100" s="83"/>
      <c r="K100" s="85"/>
      <c r="L100" s="83"/>
      <c r="M100" s="85"/>
      <c r="N100" s="83"/>
      <c r="O100" s="85"/>
      <c r="P100" s="96"/>
      <c r="Q100" s="97"/>
      <c r="R100" s="80"/>
      <c r="S100" s="81"/>
    </row>
    <row r="101" spans="2:19" x14ac:dyDescent="0.25">
      <c r="B101" s="71"/>
      <c r="C101" s="72"/>
      <c r="D101" s="77"/>
      <c r="E101" s="78"/>
      <c r="F101" s="78"/>
      <c r="G101" s="78"/>
      <c r="H101" s="78"/>
      <c r="I101" s="79"/>
      <c r="J101" s="77"/>
      <c r="K101" s="79"/>
      <c r="L101" s="77"/>
      <c r="M101" s="79"/>
      <c r="N101" s="77"/>
      <c r="O101" s="79"/>
      <c r="P101" s="92"/>
      <c r="Q101" s="93"/>
    </row>
    <row r="102" spans="2:19" x14ac:dyDescent="0.25">
      <c r="B102" s="73"/>
      <c r="C102" s="74"/>
      <c r="D102" s="80"/>
      <c r="E102" s="81"/>
      <c r="F102" s="81"/>
      <c r="G102" s="81"/>
      <c r="H102" s="81"/>
      <c r="I102" s="82"/>
      <c r="J102" s="80"/>
      <c r="K102" s="82"/>
      <c r="L102" s="80"/>
      <c r="M102" s="82"/>
      <c r="N102" s="80"/>
      <c r="O102" s="82"/>
      <c r="P102" s="94"/>
      <c r="Q102" s="95"/>
    </row>
    <row r="103" spans="2:19" x14ac:dyDescent="0.25">
      <c r="B103" s="75"/>
      <c r="C103" s="76"/>
      <c r="D103" s="83"/>
      <c r="E103" s="84"/>
      <c r="F103" s="84"/>
      <c r="G103" s="84"/>
      <c r="H103" s="84"/>
      <c r="I103" s="85"/>
      <c r="J103" s="83"/>
      <c r="K103" s="85"/>
      <c r="L103" s="83"/>
      <c r="M103" s="85"/>
      <c r="N103" s="83"/>
      <c r="O103" s="85"/>
      <c r="P103" s="96"/>
      <c r="Q103" s="97"/>
    </row>
    <row r="104" spans="2:19" x14ac:dyDescent="0.25">
      <c r="B104" s="71"/>
      <c r="C104" s="72"/>
      <c r="D104" s="77"/>
      <c r="E104" s="78"/>
      <c r="F104" s="78"/>
      <c r="G104" s="78"/>
      <c r="H104" s="78"/>
      <c r="I104" s="79"/>
      <c r="J104" s="77"/>
      <c r="K104" s="79"/>
      <c r="L104" s="77"/>
      <c r="M104" s="79"/>
      <c r="N104" s="77"/>
      <c r="O104" s="79"/>
      <c r="P104" s="92"/>
      <c r="Q104" s="93"/>
    </row>
    <row r="105" spans="2:19" x14ac:dyDescent="0.25">
      <c r="B105" s="73"/>
      <c r="C105" s="74"/>
      <c r="D105" s="80"/>
      <c r="E105" s="81"/>
      <c r="F105" s="81"/>
      <c r="G105" s="81"/>
      <c r="H105" s="81"/>
      <c r="I105" s="82"/>
      <c r="J105" s="80"/>
      <c r="K105" s="82"/>
      <c r="L105" s="80"/>
      <c r="M105" s="82"/>
      <c r="N105" s="80"/>
      <c r="O105" s="82"/>
      <c r="P105" s="94"/>
      <c r="Q105" s="95"/>
    </row>
    <row r="106" spans="2:19" x14ac:dyDescent="0.25">
      <c r="B106" s="75"/>
      <c r="C106" s="76"/>
      <c r="D106" s="83"/>
      <c r="E106" s="84"/>
      <c r="F106" s="84"/>
      <c r="G106" s="84"/>
      <c r="H106" s="84"/>
      <c r="I106" s="85"/>
      <c r="J106" s="83"/>
      <c r="K106" s="85"/>
      <c r="L106" s="83"/>
      <c r="M106" s="85"/>
      <c r="N106" s="83"/>
      <c r="O106" s="85"/>
      <c r="P106" s="96"/>
      <c r="Q106" s="97"/>
    </row>
    <row r="107" spans="2:19" x14ac:dyDescent="0.25">
      <c r="B107" s="71"/>
      <c r="C107" s="72"/>
      <c r="D107" s="77"/>
      <c r="E107" s="78"/>
      <c r="F107" s="78"/>
      <c r="G107" s="78"/>
      <c r="H107" s="78"/>
      <c r="I107" s="79"/>
      <c r="J107" s="77"/>
      <c r="K107" s="79"/>
      <c r="L107" s="77"/>
      <c r="M107" s="79"/>
      <c r="N107" s="77"/>
      <c r="O107" s="79"/>
      <c r="P107" s="92"/>
      <c r="Q107" s="93"/>
    </row>
    <row r="108" spans="2:19" x14ac:dyDescent="0.25">
      <c r="B108" s="73"/>
      <c r="C108" s="74"/>
      <c r="D108" s="80"/>
      <c r="E108" s="81"/>
      <c r="F108" s="81"/>
      <c r="G108" s="81"/>
      <c r="H108" s="81"/>
      <c r="I108" s="82"/>
      <c r="J108" s="80"/>
      <c r="K108" s="82"/>
      <c r="L108" s="80"/>
      <c r="M108" s="82"/>
      <c r="N108" s="80"/>
      <c r="O108" s="82"/>
      <c r="P108" s="94"/>
      <c r="Q108" s="95"/>
    </row>
    <row r="109" spans="2:19" x14ac:dyDescent="0.25">
      <c r="B109" s="75"/>
      <c r="C109" s="76"/>
      <c r="D109" s="83"/>
      <c r="E109" s="84"/>
      <c r="F109" s="84"/>
      <c r="G109" s="84"/>
      <c r="H109" s="84"/>
      <c r="I109" s="85"/>
      <c r="J109" s="83"/>
      <c r="K109" s="85"/>
      <c r="L109" s="83"/>
      <c r="M109" s="85"/>
      <c r="N109" s="83"/>
      <c r="O109" s="85"/>
      <c r="P109" s="96"/>
      <c r="Q109" s="97"/>
    </row>
    <row r="110" spans="2:19" x14ac:dyDescent="0.25">
      <c r="B110" s="71"/>
      <c r="C110" s="72"/>
      <c r="D110" s="77"/>
      <c r="E110" s="78"/>
      <c r="F110" s="78"/>
      <c r="G110" s="78"/>
      <c r="H110" s="78"/>
      <c r="I110" s="79"/>
      <c r="J110" s="77"/>
      <c r="K110" s="79"/>
      <c r="L110" s="77"/>
      <c r="M110" s="79"/>
      <c r="N110" s="77"/>
      <c r="O110" s="79"/>
      <c r="P110" s="92"/>
      <c r="Q110" s="93"/>
    </row>
    <row r="111" spans="2:19" x14ac:dyDescent="0.25">
      <c r="B111" s="73"/>
      <c r="C111" s="74"/>
      <c r="D111" s="80"/>
      <c r="E111" s="81"/>
      <c r="F111" s="81"/>
      <c r="G111" s="81"/>
      <c r="H111" s="81"/>
      <c r="I111" s="82"/>
      <c r="J111" s="80"/>
      <c r="K111" s="82"/>
      <c r="L111" s="80"/>
      <c r="M111" s="82"/>
      <c r="N111" s="80"/>
      <c r="O111" s="82"/>
      <c r="P111" s="94"/>
      <c r="Q111" s="95"/>
    </row>
    <row r="112" spans="2:19" x14ac:dyDescent="0.25">
      <c r="B112" s="75"/>
      <c r="C112" s="76"/>
      <c r="D112" s="83"/>
      <c r="E112" s="84"/>
      <c r="F112" s="84"/>
      <c r="G112" s="84"/>
      <c r="H112" s="84"/>
      <c r="I112" s="85"/>
      <c r="J112" s="83"/>
      <c r="K112" s="85"/>
      <c r="L112" s="83"/>
      <c r="M112" s="85"/>
      <c r="N112" s="83"/>
      <c r="O112" s="85"/>
      <c r="P112" s="96"/>
      <c r="Q112" s="97"/>
    </row>
    <row r="113" spans="2:17" x14ac:dyDescent="0.25">
      <c r="B113" s="71"/>
      <c r="C113" s="72"/>
      <c r="D113" s="77"/>
      <c r="E113" s="78"/>
      <c r="F113" s="78"/>
      <c r="G113" s="78"/>
      <c r="H113" s="78"/>
      <c r="I113" s="79"/>
      <c r="J113" s="77"/>
      <c r="K113" s="79"/>
      <c r="L113" s="77"/>
      <c r="M113" s="79"/>
      <c r="N113" s="77"/>
      <c r="O113" s="79"/>
      <c r="P113" s="92"/>
      <c r="Q113" s="93"/>
    </row>
    <row r="114" spans="2:17" x14ac:dyDescent="0.25">
      <c r="B114" s="73"/>
      <c r="C114" s="74"/>
      <c r="D114" s="80"/>
      <c r="E114" s="81"/>
      <c r="F114" s="81"/>
      <c r="G114" s="81"/>
      <c r="H114" s="81"/>
      <c r="I114" s="82"/>
      <c r="J114" s="80"/>
      <c r="K114" s="82"/>
      <c r="L114" s="80"/>
      <c r="M114" s="82"/>
      <c r="N114" s="80"/>
      <c r="O114" s="82"/>
      <c r="P114" s="94"/>
      <c r="Q114" s="95"/>
    </row>
    <row r="115" spans="2:17" x14ac:dyDescent="0.25">
      <c r="B115" s="75"/>
      <c r="C115" s="76"/>
      <c r="D115" s="83"/>
      <c r="E115" s="84"/>
      <c r="F115" s="84"/>
      <c r="G115" s="84"/>
      <c r="H115" s="84"/>
      <c r="I115" s="85"/>
      <c r="J115" s="83"/>
      <c r="K115" s="85"/>
      <c r="L115" s="83"/>
      <c r="M115" s="85"/>
      <c r="N115" s="83"/>
      <c r="O115" s="85"/>
      <c r="P115" s="96"/>
      <c r="Q115" s="97"/>
    </row>
    <row r="116" spans="2:17" x14ac:dyDescent="0.25">
      <c r="B116" s="71"/>
      <c r="C116" s="72"/>
      <c r="D116" s="77"/>
      <c r="E116" s="78"/>
      <c r="F116" s="78"/>
      <c r="G116" s="78"/>
      <c r="H116" s="78"/>
      <c r="I116" s="79"/>
      <c r="J116" s="77"/>
      <c r="K116" s="79"/>
      <c r="L116" s="77"/>
      <c r="M116" s="79"/>
      <c r="N116" s="77"/>
      <c r="O116" s="79"/>
      <c r="P116" s="92"/>
      <c r="Q116" s="93"/>
    </row>
    <row r="117" spans="2:17" x14ac:dyDescent="0.25">
      <c r="B117" s="73"/>
      <c r="C117" s="74"/>
      <c r="D117" s="80"/>
      <c r="E117" s="81"/>
      <c r="F117" s="81"/>
      <c r="G117" s="81"/>
      <c r="H117" s="81"/>
      <c r="I117" s="82"/>
      <c r="J117" s="80"/>
      <c r="K117" s="82"/>
      <c r="L117" s="80"/>
      <c r="M117" s="82"/>
      <c r="N117" s="80"/>
      <c r="O117" s="82"/>
      <c r="P117" s="94"/>
      <c r="Q117" s="95"/>
    </row>
    <row r="118" spans="2:17" x14ac:dyDescent="0.25">
      <c r="B118" s="75"/>
      <c r="C118" s="76"/>
      <c r="D118" s="83"/>
      <c r="E118" s="84"/>
      <c r="F118" s="84"/>
      <c r="G118" s="84"/>
      <c r="H118" s="84"/>
      <c r="I118" s="85"/>
      <c r="J118" s="83"/>
      <c r="K118" s="85"/>
      <c r="L118" s="83"/>
      <c r="M118" s="85"/>
      <c r="N118" s="83"/>
      <c r="O118" s="85"/>
      <c r="P118" s="96"/>
      <c r="Q118" s="97"/>
    </row>
    <row r="119" spans="2:17" x14ac:dyDescent="0.25">
      <c r="B119" s="71"/>
      <c r="C119" s="72"/>
      <c r="D119" s="77"/>
      <c r="E119" s="78"/>
      <c r="F119" s="78"/>
      <c r="G119" s="78"/>
      <c r="H119" s="78"/>
      <c r="I119" s="79"/>
      <c r="J119" s="77"/>
      <c r="K119" s="79"/>
      <c r="L119" s="77"/>
      <c r="M119" s="79"/>
      <c r="N119" s="77"/>
      <c r="O119" s="79"/>
      <c r="P119" s="92"/>
      <c r="Q119" s="93"/>
    </row>
    <row r="120" spans="2:17" x14ac:dyDescent="0.25">
      <c r="B120" s="73"/>
      <c r="C120" s="74"/>
      <c r="D120" s="80"/>
      <c r="E120" s="81"/>
      <c r="F120" s="81"/>
      <c r="G120" s="81"/>
      <c r="H120" s="81"/>
      <c r="I120" s="82"/>
      <c r="J120" s="80"/>
      <c r="K120" s="82"/>
      <c r="L120" s="80"/>
      <c r="M120" s="82"/>
      <c r="N120" s="80"/>
      <c r="O120" s="82"/>
      <c r="P120" s="94"/>
      <c r="Q120" s="95"/>
    </row>
    <row r="121" spans="2:17" x14ac:dyDescent="0.25">
      <c r="B121" s="75"/>
      <c r="C121" s="76"/>
      <c r="D121" s="83"/>
      <c r="E121" s="84"/>
      <c r="F121" s="84"/>
      <c r="G121" s="84"/>
      <c r="H121" s="84"/>
      <c r="I121" s="85"/>
      <c r="J121" s="83"/>
      <c r="K121" s="85"/>
      <c r="L121" s="83"/>
      <c r="M121" s="85"/>
      <c r="N121" s="83"/>
      <c r="O121" s="85"/>
      <c r="P121" s="96"/>
      <c r="Q121" s="97"/>
    </row>
    <row r="122" spans="2:17" x14ac:dyDescent="0.25">
      <c r="B122" s="71"/>
      <c r="C122" s="72"/>
      <c r="D122" s="77"/>
      <c r="E122" s="78"/>
      <c r="F122" s="78"/>
      <c r="G122" s="78"/>
      <c r="H122" s="78"/>
      <c r="I122" s="79"/>
      <c r="J122" s="77"/>
      <c r="K122" s="79"/>
      <c r="L122" s="77"/>
      <c r="M122" s="79"/>
      <c r="N122" s="77"/>
      <c r="O122" s="79"/>
      <c r="P122" s="92"/>
      <c r="Q122" s="93"/>
    </row>
    <row r="123" spans="2:17" x14ac:dyDescent="0.25">
      <c r="B123" s="73"/>
      <c r="C123" s="74"/>
      <c r="D123" s="80"/>
      <c r="E123" s="81"/>
      <c r="F123" s="81"/>
      <c r="G123" s="81"/>
      <c r="H123" s="81"/>
      <c r="I123" s="82"/>
      <c r="J123" s="80"/>
      <c r="K123" s="82"/>
      <c r="L123" s="80"/>
      <c r="M123" s="82"/>
      <c r="N123" s="80"/>
      <c r="O123" s="82"/>
      <c r="P123" s="94"/>
      <c r="Q123" s="95"/>
    </row>
    <row r="124" spans="2:17" x14ac:dyDescent="0.25">
      <c r="B124" s="75"/>
      <c r="C124" s="76"/>
      <c r="D124" s="83"/>
      <c r="E124" s="84"/>
      <c r="F124" s="84"/>
      <c r="G124" s="84"/>
      <c r="H124" s="84"/>
      <c r="I124" s="85"/>
      <c r="J124" s="83"/>
      <c r="K124" s="85"/>
      <c r="L124" s="83"/>
      <c r="M124" s="85"/>
      <c r="N124" s="83"/>
      <c r="O124" s="85"/>
      <c r="P124" s="96"/>
      <c r="Q124" s="97"/>
    </row>
    <row r="125" spans="2:17" x14ac:dyDescent="0.25">
      <c r="B125" s="71"/>
      <c r="C125" s="72"/>
      <c r="D125" s="77"/>
      <c r="E125" s="78"/>
      <c r="F125" s="78"/>
      <c r="G125" s="78"/>
      <c r="H125" s="78"/>
      <c r="I125" s="79"/>
      <c r="J125" s="77"/>
      <c r="K125" s="79"/>
      <c r="L125" s="77"/>
      <c r="M125" s="79"/>
      <c r="N125" s="77"/>
      <c r="O125" s="79"/>
      <c r="P125" s="92"/>
      <c r="Q125" s="93"/>
    </row>
    <row r="126" spans="2:17" x14ac:dyDescent="0.25">
      <c r="B126" s="73"/>
      <c r="C126" s="74"/>
      <c r="D126" s="80"/>
      <c r="E126" s="81"/>
      <c r="F126" s="81"/>
      <c r="G126" s="81"/>
      <c r="H126" s="81"/>
      <c r="I126" s="82"/>
      <c r="J126" s="80"/>
      <c r="K126" s="82"/>
      <c r="L126" s="80"/>
      <c r="M126" s="82"/>
      <c r="N126" s="80"/>
      <c r="O126" s="82"/>
      <c r="P126" s="94"/>
      <c r="Q126" s="95"/>
    </row>
    <row r="127" spans="2:17" x14ac:dyDescent="0.25">
      <c r="B127" s="75"/>
      <c r="C127" s="76"/>
      <c r="D127" s="83"/>
      <c r="E127" s="84"/>
      <c r="F127" s="84"/>
      <c r="G127" s="84"/>
      <c r="H127" s="84"/>
      <c r="I127" s="85"/>
      <c r="J127" s="83"/>
      <c r="K127" s="85"/>
      <c r="L127" s="83"/>
      <c r="M127" s="85"/>
      <c r="N127" s="83"/>
      <c r="O127" s="85"/>
      <c r="P127" s="96"/>
      <c r="Q127" s="97"/>
    </row>
    <row r="128" spans="2:17" x14ac:dyDescent="0.25">
      <c r="B128" s="71"/>
      <c r="C128" s="72"/>
      <c r="D128" s="77"/>
      <c r="E128" s="78"/>
      <c r="F128" s="78"/>
      <c r="G128" s="78"/>
      <c r="H128" s="78"/>
      <c r="I128" s="79"/>
      <c r="J128" s="77"/>
      <c r="K128" s="79"/>
      <c r="L128" s="77"/>
      <c r="M128" s="79"/>
      <c r="N128" s="77"/>
      <c r="O128" s="79"/>
      <c r="P128" s="92"/>
      <c r="Q128" s="93"/>
    </row>
    <row r="129" spans="2:17" x14ac:dyDescent="0.25">
      <c r="B129" s="73"/>
      <c r="C129" s="74"/>
      <c r="D129" s="80"/>
      <c r="E129" s="81"/>
      <c r="F129" s="81"/>
      <c r="G129" s="81"/>
      <c r="H129" s="81"/>
      <c r="I129" s="82"/>
      <c r="J129" s="80"/>
      <c r="K129" s="82"/>
      <c r="L129" s="80"/>
      <c r="M129" s="82"/>
      <c r="N129" s="80"/>
      <c r="O129" s="82"/>
      <c r="P129" s="94"/>
      <c r="Q129" s="95"/>
    </row>
    <row r="130" spans="2:17" x14ac:dyDescent="0.25">
      <c r="B130" s="75"/>
      <c r="C130" s="76"/>
      <c r="D130" s="83"/>
      <c r="E130" s="84"/>
      <c r="F130" s="84"/>
      <c r="G130" s="84"/>
      <c r="H130" s="84"/>
      <c r="I130" s="85"/>
      <c r="J130" s="83"/>
      <c r="K130" s="85"/>
      <c r="L130" s="83"/>
      <c r="M130" s="85"/>
      <c r="N130" s="83"/>
      <c r="O130" s="85"/>
      <c r="P130" s="96"/>
      <c r="Q130" s="97"/>
    </row>
    <row r="131" spans="2:17" x14ac:dyDescent="0.25">
      <c r="B131" s="71"/>
      <c r="C131" s="72"/>
      <c r="D131" s="77"/>
      <c r="E131" s="78"/>
      <c r="F131" s="78"/>
      <c r="G131" s="78"/>
      <c r="H131" s="78"/>
      <c r="I131" s="79"/>
      <c r="J131" s="77"/>
      <c r="K131" s="79"/>
      <c r="L131" s="77"/>
      <c r="M131" s="79"/>
      <c r="N131" s="77"/>
      <c r="O131" s="79"/>
      <c r="P131" s="92"/>
      <c r="Q131" s="93"/>
    </row>
    <row r="132" spans="2:17" x14ac:dyDescent="0.25">
      <c r="B132" s="73"/>
      <c r="C132" s="74"/>
      <c r="D132" s="80"/>
      <c r="E132" s="81"/>
      <c r="F132" s="81"/>
      <c r="G132" s="81"/>
      <c r="H132" s="81"/>
      <c r="I132" s="82"/>
      <c r="J132" s="80"/>
      <c r="K132" s="82"/>
      <c r="L132" s="80"/>
      <c r="M132" s="82"/>
      <c r="N132" s="80"/>
      <c r="O132" s="82"/>
      <c r="P132" s="94"/>
      <c r="Q132" s="95"/>
    </row>
    <row r="133" spans="2:17" x14ac:dyDescent="0.25">
      <c r="B133" s="75"/>
      <c r="C133" s="76"/>
      <c r="D133" s="83"/>
      <c r="E133" s="84"/>
      <c r="F133" s="84"/>
      <c r="G133" s="84"/>
      <c r="H133" s="84"/>
      <c r="I133" s="85"/>
      <c r="J133" s="83"/>
      <c r="K133" s="85"/>
      <c r="L133" s="83"/>
      <c r="M133" s="85"/>
      <c r="N133" s="83"/>
      <c r="O133" s="85"/>
      <c r="P133" s="96"/>
      <c r="Q133" s="97"/>
    </row>
    <row r="134" spans="2:17" x14ac:dyDescent="0.25">
      <c r="B134" s="71"/>
      <c r="C134" s="72"/>
      <c r="D134" s="77"/>
      <c r="E134" s="78"/>
      <c r="F134" s="78"/>
      <c r="G134" s="78"/>
      <c r="H134" s="78"/>
      <c r="I134" s="79"/>
      <c r="J134" s="77"/>
      <c r="K134" s="79"/>
      <c r="L134" s="77"/>
      <c r="M134" s="79"/>
      <c r="N134" s="77"/>
      <c r="O134" s="79"/>
      <c r="P134" s="92"/>
      <c r="Q134" s="93"/>
    </row>
    <row r="135" spans="2:17" x14ac:dyDescent="0.25">
      <c r="B135" s="73"/>
      <c r="C135" s="74"/>
      <c r="D135" s="80"/>
      <c r="E135" s="81"/>
      <c r="F135" s="81"/>
      <c r="G135" s="81"/>
      <c r="H135" s="81"/>
      <c r="I135" s="82"/>
      <c r="J135" s="80"/>
      <c r="K135" s="82"/>
      <c r="L135" s="80"/>
      <c r="M135" s="82"/>
      <c r="N135" s="80"/>
      <c r="O135" s="82"/>
      <c r="P135" s="94"/>
      <c r="Q135" s="95"/>
    </row>
    <row r="136" spans="2:17" x14ac:dyDescent="0.25">
      <c r="B136" s="75"/>
      <c r="C136" s="76"/>
      <c r="D136" s="83"/>
      <c r="E136" s="84"/>
      <c r="F136" s="84"/>
      <c r="G136" s="84"/>
      <c r="H136" s="84"/>
      <c r="I136" s="85"/>
      <c r="J136" s="83"/>
      <c r="K136" s="85"/>
      <c r="L136" s="83"/>
      <c r="M136" s="85"/>
      <c r="N136" s="83"/>
      <c r="O136" s="85"/>
      <c r="P136" s="96"/>
      <c r="Q136" s="97"/>
    </row>
    <row r="137" spans="2:17" x14ac:dyDescent="0.25">
      <c r="B137" s="71"/>
      <c r="C137" s="72"/>
      <c r="D137" s="77"/>
      <c r="E137" s="78"/>
      <c r="F137" s="78"/>
      <c r="G137" s="78"/>
      <c r="H137" s="78"/>
      <c r="I137" s="79"/>
      <c r="J137" s="77"/>
      <c r="K137" s="79"/>
      <c r="L137" s="77"/>
      <c r="M137" s="79"/>
      <c r="N137" s="77"/>
      <c r="O137" s="79"/>
      <c r="P137" s="92"/>
      <c r="Q137" s="93"/>
    </row>
    <row r="138" spans="2:17" x14ac:dyDescent="0.25">
      <c r="B138" s="73"/>
      <c r="C138" s="74"/>
      <c r="D138" s="80"/>
      <c r="E138" s="81"/>
      <c r="F138" s="81"/>
      <c r="G138" s="81"/>
      <c r="H138" s="81"/>
      <c r="I138" s="82"/>
      <c r="J138" s="80"/>
      <c r="K138" s="82"/>
      <c r="L138" s="80"/>
      <c r="M138" s="82"/>
      <c r="N138" s="80"/>
      <c r="O138" s="82"/>
      <c r="P138" s="94"/>
      <c r="Q138" s="95"/>
    </row>
    <row r="139" spans="2:17" x14ac:dyDescent="0.25">
      <c r="B139" s="75"/>
      <c r="C139" s="76"/>
      <c r="D139" s="83"/>
      <c r="E139" s="84"/>
      <c r="F139" s="84"/>
      <c r="G139" s="84"/>
      <c r="H139" s="84"/>
      <c r="I139" s="85"/>
      <c r="J139" s="83"/>
      <c r="K139" s="85"/>
      <c r="L139" s="83"/>
      <c r="M139" s="85"/>
      <c r="N139" s="83"/>
      <c r="O139" s="85"/>
      <c r="P139" s="96"/>
      <c r="Q139" s="97"/>
    </row>
    <row r="140" spans="2:17" x14ac:dyDescent="0.25">
      <c r="B140" s="71"/>
      <c r="C140" s="72"/>
      <c r="D140" s="77"/>
      <c r="E140" s="78"/>
      <c r="F140" s="78"/>
      <c r="G140" s="78"/>
      <c r="H140" s="78"/>
      <c r="I140" s="79"/>
      <c r="J140" s="77"/>
      <c r="K140" s="79"/>
      <c r="L140" s="77"/>
      <c r="M140" s="79"/>
      <c r="N140" s="77"/>
      <c r="O140" s="79"/>
      <c r="P140" s="92"/>
      <c r="Q140" s="93"/>
    </row>
    <row r="141" spans="2:17" x14ac:dyDescent="0.25">
      <c r="B141" s="73"/>
      <c r="C141" s="74"/>
      <c r="D141" s="80"/>
      <c r="E141" s="81"/>
      <c r="F141" s="81"/>
      <c r="G141" s="81"/>
      <c r="H141" s="81"/>
      <c r="I141" s="82"/>
      <c r="J141" s="80"/>
      <c r="K141" s="82"/>
      <c r="L141" s="80"/>
      <c r="M141" s="82"/>
      <c r="N141" s="80"/>
      <c r="O141" s="82"/>
      <c r="P141" s="94"/>
      <c r="Q141" s="95"/>
    </row>
    <row r="142" spans="2:17" x14ac:dyDescent="0.25">
      <c r="B142" s="75"/>
      <c r="C142" s="76"/>
      <c r="D142" s="83"/>
      <c r="E142" s="84"/>
      <c r="F142" s="84"/>
      <c r="G142" s="84"/>
      <c r="H142" s="84"/>
      <c r="I142" s="85"/>
      <c r="J142" s="83"/>
      <c r="K142" s="85"/>
      <c r="L142" s="83"/>
      <c r="M142" s="85"/>
      <c r="N142" s="83"/>
      <c r="O142" s="85"/>
      <c r="P142" s="96"/>
      <c r="Q142" s="97"/>
    </row>
    <row r="143" spans="2:17" x14ac:dyDescent="0.25">
      <c r="B143" s="71"/>
      <c r="C143" s="72"/>
      <c r="D143" s="77"/>
      <c r="E143" s="78"/>
      <c r="F143" s="78"/>
      <c r="G143" s="78"/>
      <c r="H143" s="78"/>
      <c r="I143" s="79"/>
      <c r="J143" s="77"/>
      <c r="K143" s="79"/>
      <c r="L143" s="77"/>
      <c r="M143" s="79"/>
      <c r="N143" s="77"/>
      <c r="O143" s="79"/>
      <c r="P143" s="92"/>
      <c r="Q143" s="93"/>
    </row>
    <row r="144" spans="2:17" x14ac:dyDescent="0.25">
      <c r="B144" s="73"/>
      <c r="C144" s="74"/>
      <c r="D144" s="80"/>
      <c r="E144" s="81"/>
      <c r="F144" s="81"/>
      <c r="G144" s="81"/>
      <c r="H144" s="81"/>
      <c r="I144" s="82"/>
      <c r="J144" s="80"/>
      <c r="K144" s="82"/>
      <c r="L144" s="80"/>
      <c r="M144" s="82"/>
      <c r="N144" s="80"/>
      <c r="O144" s="82"/>
      <c r="P144" s="94"/>
      <c r="Q144" s="95"/>
    </row>
    <row r="145" spans="2:17" x14ac:dyDescent="0.25">
      <c r="B145" s="75"/>
      <c r="C145" s="76"/>
      <c r="D145" s="83"/>
      <c r="E145" s="84"/>
      <c r="F145" s="84"/>
      <c r="G145" s="84"/>
      <c r="H145" s="84"/>
      <c r="I145" s="85"/>
      <c r="J145" s="83"/>
      <c r="K145" s="85"/>
      <c r="L145" s="83"/>
      <c r="M145" s="85"/>
      <c r="N145" s="83"/>
      <c r="O145" s="85"/>
      <c r="P145" s="96"/>
      <c r="Q145" s="97"/>
    </row>
    <row r="146" spans="2:17" x14ac:dyDescent="0.25">
      <c r="B146" s="71"/>
      <c r="C146" s="72"/>
      <c r="D146" s="77"/>
      <c r="E146" s="78"/>
      <c r="F146" s="78"/>
      <c r="G146" s="78"/>
      <c r="H146" s="78"/>
      <c r="I146" s="79"/>
      <c r="J146" s="77"/>
      <c r="K146" s="79"/>
      <c r="L146" s="77"/>
      <c r="M146" s="79"/>
      <c r="N146" s="77"/>
      <c r="O146" s="79"/>
      <c r="P146" s="92"/>
      <c r="Q146" s="93"/>
    </row>
    <row r="147" spans="2:17" x14ac:dyDescent="0.25">
      <c r="B147" s="73"/>
      <c r="C147" s="74"/>
      <c r="D147" s="80"/>
      <c r="E147" s="81"/>
      <c r="F147" s="81"/>
      <c r="G147" s="81"/>
      <c r="H147" s="81"/>
      <c r="I147" s="82"/>
      <c r="J147" s="80"/>
      <c r="K147" s="82"/>
      <c r="L147" s="80"/>
      <c r="M147" s="82"/>
      <c r="N147" s="80"/>
      <c r="O147" s="82"/>
      <c r="P147" s="94"/>
      <c r="Q147" s="95"/>
    </row>
    <row r="148" spans="2:17" x14ac:dyDescent="0.25">
      <c r="B148" s="75"/>
      <c r="C148" s="76"/>
      <c r="D148" s="83"/>
      <c r="E148" s="84"/>
      <c r="F148" s="84"/>
      <c r="G148" s="84"/>
      <c r="H148" s="84"/>
      <c r="I148" s="85"/>
      <c r="J148" s="83"/>
      <c r="K148" s="85"/>
      <c r="L148" s="83"/>
      <c r="M148" s="85"/>
      <c r="N148" s="83"/>
      <c r="O148" s="85"/>
      <c r="P148" s="96"/>
      <c r="Q148" s="97"/>
    </row>
    <row r="149" spans="2:17" x14ac:dyDescent="0.25">
      <c r="B149" s="71"/>
      <c r="C149" s="72"/>
      <c r="D149" s="77"/>
      <c r="E149" s="78"/>
      <c r="F149" s="78"/>
      <c r="G149" s="78"/>
      <c r="H149" s="78"/>
      <c r="I149" s="79"/>
      <c r="J149" s="77"/>
      <c r="K149" s="79"/>
      <c r="L149" s="77"/>
      <c r="M149" s="79"/>
      <c r="N149" s="77"/>
      <c r="O149" s="79"/>
      <c r="P149" s="92"/>
      <c r="Q149" s="93"/>
    </row>
    <row r="150" spans="2:17" x14ac:dyDescent="0.25">
      <c r="B150" s="73"/>
      <c r="C150" s="74"/>
      <c r="D150" s="80"/>
      <c r="E150" s="81"/>
      <c r="F150" s="81"/>
      <c r="G150" s="81"/>
      <c r="H150" s="81"/>
      <c r="I150" s="82"/>
      <c r="J150" s="80"/>
      <c r="K150" s="82"/>
      <c r="L150" s="80"/>
      <c r="M150" s="82"/>
      <c r="N150" s="80"/>
      <c r="O150" s="82"/>
      <c r="P150" s="94"/>
      <c r="Q150" s="95"/>
    </row>
    <row r="151" spans="2:17" x14ac:dyDescent="0.25">
      <c r="B151" s="75"/>
      <c r="C151" s="76"/>
      <c r="D151" s="83"/>
      <c r="E151" s="84"/>
      <c r="F151" s="84"/>
      <c r="G151" s="84"/>
      <c r="H151" s="84"/>
      <c r="I151" s="85"/>
      <c r="J151" s="83"/>
      <c r="K151" s="85"/>
      <c r="L151" s="83"/>
      <c r="M151" s="85"/>
      <c r="N151" s="83"/>
      <c r="O151" s="85"/>
      <c r="P151" s="96"/>
      <c r="Q151" s="97"/>
    </row>
    <row r="152" spans="2:17" x14ac:dyDescent="0.25">
      <c r="B152" s="71"/>
      <c r="C152" s="72"/>
      <c r="D152" s="77"/>
      <c r="E152" s="78"/>
      <c r="F152" s="78"/>
      <c r="G152" s="78"/>
      <c r="H152" s="78"/>
      <c r="I152" s="79"/>
      <c r="J152" s="77"/>
      <c r="K152" s="79"/>
      <c r="L152" s="77"/>
      <c r="M152" s="79"/>
      <c r="N152" s="77"/>
      <c r="O152" s="79"/>
      <c r="P152" s="92"/>
      <c r="Q152" s="93"/>
    </row>
    <row r="153" spans="2:17" x14ac:dyDescent="0.25">
      <c r="B153" s="73"/>
      <c r="C153" s="74"/>
      <c r="D153" s="80"/>
      <c r="E153" s="81"/>
      <c r="F153" s="81"/>
      <c r="G153" s="81"/>
      <c r="H153" s="81"/>
      <c r="I153" s="82"/>
      <c r="J153" s="80"/>
      <c r="K153" s="82"/>
      <c r="L153" s="80"/>
      <c r="M153" s="82"/>
      <c r="N153" s="80"/>
      <c r="O153" s="82"/>
      <c r="P153" s="94"/>
      <c r="Q153" s="95"/>
    </row>
    <row r="154" spans="2:17" x14ac:dyDescent="0.25">
      <c r="B154" s="75"/>
      <c r="C154" s="76"/>
      <c r="D154" s="83"/>
      <c r="E154" s="84"/>
      <c r="F154" s="84"/>
      <c r="G154" s="84"/>
      <c r="H154" s="84"/>
      <c r="I154" s="85"/>
      <c r="J154" s="83"/>
      <c r="K154" s="85"/>
      <c r="L154" s="83"/>
      <c r="M154" s="85"/>
      <c r="N154" s="83"/>
      <c r="O154" s="85"/>
      <c r="P154" s="96"/>
      <c r="Q154" s="97"/>
    </row>
    <row r="155" spans="2:17" x14ac:dyDescent="0.25">
      <c r="B155" s="71"/>
      <c r="C155" s="72"/>
      <c r="D155" s="77"/>
      <c r="E155" s="78"/>
      <c r="F155" s="78"/>
      <c r="G155" s="78"/>
      <c r="H155" s="78"/>
      <c r="I155" s="79"/>
      <c r="J155" s="77"/>
      <c r="K155" s="79"/>
      <c r="L155" s="77"/>
      <c r="M155" s="79"/>
      <c r="N155" s="77"/>
      <c r="O155" s="79"/>
      <c r="P155" s="92"/>
      <c r="Q155" s="93"/>
    </row>
    <row r="156" spans="2:17" x14ac:dyDescent="0.25">
      <c r="B156" s="73"/>
      <c r="C156" s="74"/>
      <c r="D156" s="80"/>
      <c r="E156" s="81"/>
      <c r="F156" s="81"/>
      <c r="G156" s="81"/>
      <c r="H156" s="81"/>
      <c r="I156" s="82"/>
      <c r="J156" s="80"/>
      <c r="K156" s="82"/>
      <c r="L156" s="80"/>
      <c r="M156" s="82"/>
      <c r="N156" s="80"/>
      <c r="O156" s="82"/>
      <c r="P156" s="94"/>
      <c r="Q156" s="95"/>
    </row>
    <row r="157" spans="2:17" x14ac:dyDescent="0.25">
      <c r="B157" s="75"/>
      <c r="C157" s="76"/>
      <c r="D157" s="83"/>
      <c r="E157" s="84"/>
      <c r="F157" s="84"/>
      <c r="G157" s="84"/>
      <c r="H157" s="84"/>
      <c r="I157" s="85"/>
      <c r="J157" s="83"/>
      <c r="K157" s="85"/>
      <c r="L157" s="83"/>
      <c r="M157" s="85"/>
      <c r="N157" s="83"/>
      <c r="O157" s="85"/>
      <c r="P157" s="96"/>
      <c r="Q157" s="97"/>
    </row>
    <row r="158" spans="2:17" x14ac:dyDescent="0.25">
      <c r="B158" s="71"/>
      <c r="C158" s="72"/>
      <c r="D158" s="77"/>
      <c r="E158" s="78"/>
      <c r="F158" s="78"/>
      <c r="G158" s="78"/>
      <c r="H158" s="78"/>
      <c r="I158" s="79"/>
      <c r="J158" s="77"/>
      <c r="K158" s="79"/>
      <c r="L158" s="77"/>
      <c r="M158" s="79"/>
      <c r="N158" s="77"/>
      <c r="O158" s="79"/>
      <c r="P158" s="92"/>
      <c r="Q158" s="93"/>
    </row>
    <row r="159" spans="2:17" x14ac:dyDescent="0.25">
      <c r="B159" s="73"/>
      <c r="C159" s="74"/>
      <c r="D159" s="80"/>
      <c r="E159" s="81"/>
      <c r="F159" s="81"/>
      <c r="G159" s="81"/>
      <c r="H159" s="81"/>
      <c r="I159" s="82"/>
      <c r="J159" s="80"/>
      <c r="K159" s="82"/>
      <c r="L159" s="80"/>
      <c r="M159" s="82"/>
      <c r="N159" s="80"/>
      <c r="O159" s="82"/>
      <c r="P159" s="94"/>
      <c r="Q159" s="95"/>
    </row>
    <row r="160" spans="2:17" x14ac:dyDescent="0.25">
      <c r="B160" s="75"/>
      <c r="C160" s="76"/>
      <c r="D160" s="83"/>
      <c r="E160" s="84"/>
      <c r="F160" s="84"/>
      <c r="G160" s="84"/>
      <c r="H160" s="84"/>
      <c r="I160" s="85"/>
      <c r="J160" s="83"/>
      <c r="K160" s="85"/>
      <c r="L160" s="83"/>
      <c r="M160" s="85"/>
      <c r="N160" s="83"/>
      <c r="O160" s="85"/>
      <c r="P160" s="96"/>
      <c r="Q160" s="97"/>
    </row>
    <row r="161" spans="2:17" x14ac:dyDescent="0.25">
      <c r="B161" s="71"/>
      <c r="C161" s="72"/>
      <c r="D161" s="77"/>
      <c r="E161" s="78"/>
      <c r="F161" s="78"/>
      <c r="G161" s="78"/>
      <c r="H161" s="78"/>
      <c r="I161" s="79"/>
      <c r="J161" s="77"/>
      <c r="K161" s="79"/>
      <c r="L161" s="77"/>
      <c r="M161" s="79"/>
      <c r="N161" s="77"/>
      <c r="O161" s="79"/>
      <c r="P161" s="92"/>
      <c r="Q161" s="93"/>
    </row>
    <row r="162" spans="2:17" x14ac:dyDescent="0.25">
      <c r="B162" s="73"/>
      <c r="C162" s="74"/>
      <c r="D162" s="80"/>
      <c r="E162" s="81"/>
      <c r="F162" s="81"/>
      <c r="G162" s="81"/>
      <c r="H162" s="81"/>
      <c r="I162" s="82"/>
      <c r="J162" s="80"/>
      <c r="K162" s="82"/>
      <c r="L162" s="80"/>
      <c r="M162" s="82"/>
      <c r="N162" s="80"/>
      <c r="O162" s="82"/>
      <c r="P162" s="94"/>
      <c r="Q162" s="95"/>
    </row>
    <row r="163" spans="2:17" x14ac:dyDescent="0.25">
      <c r="B163" s="75"/>
      <c r="C163" s="76"/>
      <c r="D163" s="83"/>
      <c r="E163" s="84"/>
      <c r="F163" s="84"/>
      <c r="G163" s="84"/>
      <c r="H163" s="84"/>
      <c r="I163" s="85"/>
      <c r="J163" s="83"/>
      <c r="K163" s="85"/>
      <c r="L163" s="83"/>
      <c r="M163" s="85"/>
      <c r="N163" s="83"/>
      <c r="O163" s="85"/>
      <c r="P163" s="96"/>
      <c r="Q163" s="97"/>
    </row>
    <row r="164" spans="2:17" x14ac:dyDescent="0.25">
      <c r="B164" s="71"/>
      <c r="C164" s="72"/>
      <c r="D164" s="77"/>
      <c r="E164" s="78"/>
      <c r="F164" s="78"/>
      <c r="G164" s="78"/>
      <c r="H164" s="78"/>
      <c r="I164" s="79"/>
      <c r="J164" s="77"/>
      <c r="K164" s="79"/>
      <c r="L164" s="77"/>
      <c r="M164" s="79"/>
      <c r="N164" s="77"/>
      <c r="O164" s="79"/>
      <c r="P164" s="92"/>
      <c r="Q164" s="93"/>
    </row>
    <row r="165" spans="2:17" x14ac:dyDescent="0.25">
      <c r="B165" s="73"/>
      <c r="C165" s="74"/>
      <c r="D165" s="80"/>
      <c r="E165" s="81"/>
      <c r="F165" s="81"/>
      <c r="G165" s="81"/>
      <c r="H165" s="81"/>
      <c r="I165" s="82"/>
      <c r="J165" s="80"/>
      <c r="K165" s="82"/>
      <c r="L165" s="80"/>
      <c r="M165" s="82"/>
      <c r="N165" s="80"/>
      <c r="O165" s="82"/>
      <c r="P165" s="94"/>
      <c r="Q165" s="95"/>
    </row>
    <row r="166" spans="2:17" x14ac:dyDescent="0.25">
      <c r="B166" s="75"/>
      <c r="C166" s="76"/>
      <c r="D166" s="83"/>
      <c r="E166" s="84"/>
      <c r="F166" s="84"/>
      <c r="G166" s="84"/>
      <c r="H166" s="84"/>
      <c r="I166" s="85"/>
      <c r="J166" s="83"/>
      <c r="K166" s="85"/>
      <c r="L166" s="83"/>
      <c r="M166" s="85"/>
      <c r="N166" s="83"/>
      <c r="O166" s="85"/>
      <c r="P166" s="96"/>
      <c r="Q166" s="97"/>
    </row>
    <row r="167" spans="2:17" x14ac:dyDescent="0.25">
      <c r="B167" s="71"/>
      <c r="C167" s="72"/>
      <c r="D167" s="77"/>
      <c r="E167" s="78"/>
      <c r="F167" s="78"/>
      <c r="G167" s="78"/>
      <c r="H167" s="78"/>
      <c r="I167" s="79"/>
      <c r="J167" s="77"/>
      <c r="K167" s="79"/>
      <c r="L167" s="77"/>
      <c r="M167" s="79"/>
      <c r="N167" s="77"/>
      <c r="O167" s="79"/>
      <c r="P167" s="92"/>
      <c r="Q167" s="93"/>
    </row>
    <row r="168" spans="2:17" x14ac:dyDescent="0.25">
      <c r="B168" s="73"/>
      <c r="C168" s="74"/>
      <c r="D168" s="80"/>
      <c r="E168" s="81"/>
      <c r="F168" s="81"/>
      <c r="G168" s="81"/>
      <c r="H168" s="81"/>
      <c r="I168" s="82"/>
      <c r="J168" s="80"/>
      <c r="K168" s="82"/>
      <c r="L168" s="80"/>
      <c r="M168" s="82"/>
      <c r="N168" s="80"/>
      <c r="O168" s="82"/>
      <c r="P168" s="94"/>
      <c r="Q168" s="95"/>
    </row>
    <row r="169" spans="2:17" x14ac:dyDescent="0.25">
      <c r="B169" s="75"/>
      <c r="C169" s="76"/>
      <c r="D169" s="83"/>
      <c r="E169" s="84"/>
      <c r="F169" s="84"/>
      <c r="G169" s="84"/>
      <c r="H169" s="84"/>
      <c r="I169" s="85"/>
      <c r="J169" s="83"/>
      <c r="K169" s="85"/>
      <c r="L169" s="83"/>
      <c r="M169" s="85"/>
      <c r="N169" s="83"/>
      <c r="O169" s="85"/>
      <c r="P169" s="96"/>
      <c r="Q169" s="97"/>
    </row>
    <row r="170" spans="2:17" x14ac:dyDescent="0.25">
      <c r="B170" s="71"/>
      <c r="C170" s="72"/>
      <c r="D170" s="77"/>
      <c r="E170" s="78"/>
      <c r="F170" s="78"/>
      <c r="G170" s="78"/>
      <c r="H170" s="78"/>
      <c r="I170" s="79"/>
      <c r="J170" s="77"/>
      <c r="K170" s="79"/>
      <c r="L170" s="77"/>
      <c r="M170" s="79"/>
      <c r="N170" s="77"/>
      <c r="O170" s="79"/>
      <c r="P170" s="92"/>
      <c r="Q170" s="93"/>
    </row>
    <row r="171" spans="2:17" x14ac:dyDescent="0.25">
      <c r="B171" s="73"/>
      <c r="C171" s="74"/>
      <c r="D171" s="80"/>
      <c r="E171" s="81"/>
      <c r="F171" s="81"/>
      <c r="G171" s="81"/>
      <c r="H171" s="81"/>
      <c r="I171" s="82"/>
      <c r="J171" s="80"/>
      <c r="K171" s="82"/>
      <c r="L171" s="80"/>
      <c r="M171" s="82"/>
      <c r="N171" s="80"/>
      <c r="O171" s="82"/>
      <c r="P171" s="94"/>
      <c r="Q171" s="95"/>
    </row>
    <row r="172" spans="2:17" x14ac:dyDescent="0.25">
      <c r="B172" s="75"/>
      <c r="C172" s="76"/>
      <c r="D172" s="83"/>
      <c r="E172" s="84"/>
      <c r="F172" s="84"/>
      <c r="G172" s="84"/>
      <c r="H172" s="84"/>
      <c r="I172" s="85"/>
      <c r="J172" s="83"/>
      <c r="K172" s="85"/>
      <c r="L172" s="83"/>
      <c r="M172" s="85"/>
      <c r="N172" s="83"/>
      <c r="O172" s="85"/>
      <c r="P172" s="96"/>
      <c r="Q172" s="97"/>
    </row>
    <row r="173" spans="2:17" x14ac:dyDescent="0.25">
      <c r="B173" s="71"/>
      <c r="C173" s="72"/>
      <c r="D173" s="77"/>
      <c r="E173" s="78"/>
      <c r="F173" s="78"/>
      <c r="G173" s="78"/>
      <c r="H173" s="78"/>
      <c r="I173" s="79"/>
      <c r="J173" s="77"/>
      <c r="K173" s="79"/>
      <c r="L173" s="77"/>
      <c r="M173" s="79"/>
      <c r="N173" s="77"/>
      <c r="O173" s="79"/>
      <c r="P173" s="92"/>
      <c r="Q173" s="93"/>
    </row>
    <row r="174" spans="2:17" x14ac:dyDescent="0.25">
      <c r="B174" s="73"/>
      <c r="C174" s="74"/>
      <c r="D174" s="80"/>
      <c r="E174" s="81"/>
      <c r="F174" s="81"/>
      <c r="G174" s="81"/>
      <c r="H174" s="81"/>
      <c r="I174" s="82"/>
      <c r="J174" s="80"/>
      <c r="K174" s="82"/>
      <c r="L174" s="80"/>
      <c r="M174" s="82"/>
      <c r="N174" s="80"/>
      <c r="O174" s="82"/>
      <c r="P174" s="94"/>
      <c r="Q174" s="95"/>
    </row>
    <row r="175" spans="2:17" x14ac:dyDescent="0.25">
      <c r="B175" s="75"/>
      <c r="C175" s="76"/>
      <c r="D175" s="83"/>
      <c r="E175" s="84"/>
      <c r="F175" s="84"/>
      <c r="G175" s="84"/>
      <c r="H175" s="84"/>
      <c r="I175" s="85"/>
      <c r="J175" s="83"/>
      <c r="K175" s="85"/>
      <c r="L175" s="83"/>
      <c r="M175" s="85"/>
      <c r="N175" s="83"/>
      <c r="O175" s="85"/>
      <c r="P175" s="96"/>
      <c r="Q175" s="97"/>
    </row>
    <row r="176" spans="2:17" x14ac:dyDescent="0.25">
      <c r="B176" s="71"/>
      <c r="C176" s="72"/>
      <c r="D176" s="77"/>
      <c r="E176" s="78"/>
      <c r="F176" s="78"/>
      <c r="G176" s="78"/>
      <c r="H176" s="78"/>
      <c r="I176" s="79"/>
      <c r="J176" s="77"/>
      <c r="K176" s="79"/>
      <c r="L176" s="77"/>
      <c r="M176" s="79"/>
      <c r="N176" s="77"/>
      <c r="O176" s="79"/>
      <c r="P176" s="92"/>
      <c r="Q176" s="93"/>
    </row>
    <row r="177" spans="2:17" x14ac:dyDescent="0.25">
      <c r="B177" s="73"/>
      <c r="C177" s="74"/>
      <c r="D177" s="80"/>
      <c r="E177" s="81"/>
      <c r="F177" s="81"/>
      <c r="G177" s="81"/>
      <c r="H177" s="81"/>
      <c r="I177" s="82"/>
      <c r="J177" s="80"/>
      <c r="K177" s="82"/>
      <c r="L177" s="80"/>
      <c r="M177" s="82"/>
      <c r="N177" s="80"/>
      <c r="O177" s="82"/>
      <c r="P177" s="94"/>
      <c r="Q177" s="95"/>
    </row>
    <row r="178" spans="2:17" x14ac:dyDescent="0.25">
      <c r="B178" s="75"/>
      <c r="C178" s="76"/>
      <c r="D178" s="83"/>
      <c r="E178" s="84"/>
      <c r="F178" s="84"/>
      <c r="G178" s="84"/>
      <c r="H178" s="84"/>
      <c r="I178" s="85"/>
      <c r="J178" s="83"/>
      <c r="K178" s="85"/>
      <c r="L178" s="83"/>
      <c r="M178" s="85"/>
      <c r="N178" s="83"/>
      <c r="O178" s="85"/>
      <c r="P178" s="96"/>
      <c r="Q178" s="97"/>
    </row>
    <row r="179" spans="2:17" x14ac:dyDescent="0.25">
      <c r="B179" s="71"/>
      <c r="C179" s="72"/>
      <c r="D179" s="77"/>
      <c r="E179" s="78"/>
      <c r="F179" s="78"/>
      <c r="G179" s="78"/>
      <c r="H179" s="78"/>
      <c r="I179" s="79"/>
      <c r="J179" s="77"/>
      <c r="K179" s="79"/>
      <c r="L179" s="77"/>
      <c r="M179" s="79"/>
      <c r="N179" s="77"/>
      <c r="O179" s="79"/>
      <c r="P179" s="92"/>
      <c r="Q179" s="93"/>
    </row>
    <row r="180" spans="2:17" x14ac:dyDescent="0.25">
      <c r="B180" s="73"/>
      <c r="C180" s="74"/>
      <c r="D180" s="80"/>
      <c r="E180" s="81"/>
      <c r="F180" s="81"/>
      <c r="G180" s="81"/>
      <c r="H180" s="81"/>
      <c r="I180" s="82"/>
      <c r="J180" s="80"/>
      <c r="K180" s="82"/>
      <c r="L180" s="80"/>
      <c r="M180" s="82"/>
      <c r="N180" s="80"/>
      <c r="O180" s="82"/>
      <c r="P180" s="94"/>
      <c r="Q180" s="95"/>
    </row>
    <row r="181" spans="2:17" x14ac:dyDescent="0.25">
      <c r="B181" s="75"/>
      <c r="C181" s="76"/>
      <c r="D181" s="83"/>
      <c r="E181" s="84"/>
      <c r="F181" s="84"/>
      <c r="G181" s="84"/>
      <c r="H181" s="84"/>
      <c r="I181" s="85"/>
      <c r="J181" s="83"/>
      <c r="K181" s="85"/>
      <c r="L181" s="83"/>
      <c r="M181" s="85"/>
      <c r="N181" s="83"/>
      <c r="O181" s="85"/>
      <c r="P181" s="96"/>
      <c r="Q181" s="97"/>
    </row>
    <row r="182" spans="2:17" x14ac:dyDescent="0.25">
      <c r="B182" s="71"/>
      <c r="C182" s="72"/>
      <c r="D182" s="77"/>
      <c r="E182" s="78"/>
      <c r="F182" s="78"/>
      <c r="G182" s="78"/>
      <c r="H182" s="78"/>
      <c r="I182" s="79"/>
      <c r="J182" s="77"/>
      <c r="K182" s="79"/>
      <c r="L182" s="77"/>
      <c r="M182" s="79"/>
      <c r="N182" s="77"/>
      <c r="O182" s="79"/>
      <c r="P182" s="92"/>
      <c r="Q182" s="93"/>
    </row>
    <row r="183" spans="2:17" x14ac:dyDescent="0.25">
      <c r="B183" s="73"/>
      <c r="C183" s="74"/>
      <c r="D183" s="80"/>
      <c r="E183" s="81"/>
      <c r="F183" s="81"/>
      <c r="G183" s="81"/>
      <c r="H183" s="81"/>
      <c r="I183" s="82"/>
      <c r="J183" s="80"/>
      <c r="K183" s="82"/>
      <c r="L183" s="80"/>
      <c r="M183" s="82"/>
      <c r="N183" s="80"/>
      <c r="O183" s="82"/>
      <c r="P183" s="94"/>
      <c r="Q183" s="95"/>
    </row>
    <row r="184" spans="2:17" x14ac:dyDescent="0.25">
      <c r="B184" s="75"/>
      <c r="C184" s="76"/>
      <c r="D184" s="83"/>
      <c r="E184" s="84"/>
      <c r="F184" s="84"/>
      <c r="G184" s="84"/>
      <c r="H184" s="84"/>
      <c r="I184" s="85"/>
      <c r="J184" s="83"/>
      <c r="K184" s="85"/>
      <c r="L184" s="83"/>
      <c r="M184" s="85"/>
      <c r="N184" s="83"/>
      <c r="O184" s="85"/>
      <c r="P184" s="96"/>
      <c r="Q184" s="97"/>
    </row>
    <row r="185" spans="2:17" x14ac:dyDescent="0.25">
      <c r="B185" s="71"/>
      <c r="C185" s="72"/>
      <c r="D185" s="77"/>
      <c r="E185" s="78"/>
      <c r="F185" s="78"/>
      <c r="G185" s="78"/>
      <c r="H185" s="78"/>
      <c r="I185" s="79"/>
      <c r="J185" s="77"/>
      <c r="K185" s="79"/>
      <c r="L185" s="77"/>
      <c r="M185" s="79"/>
      <c r="N185" s="77"/>
      <c r="O185" s="79"/>
      <c r="P185" s="92"/>
      <c r="Q185" s="93"/>
    </row>
    <row r="186" spans="2:17" x14ac:dyDescent="0.25">
      <c r="B186" s="73"/>
      <c r="C186" s="74"/>
      <c r="D186" s="80"/>
      <c r="E186" s="81"/>
      <c r="F186" s="81"/>
      <c r="G186" s="81"/>
      <c r="H186" s="81"/>
      <c r="I186" s="82"/>
      <c r="J186" s="80"/>
      <c r="K186" s="82"/>
      <c r="L186" s="80"/>
      <c r="M186" s="82"/>
      <c r="N186" s="80"/>
      <c r="O186" s="82"/>
      <c r="P186" s="94"/>
      <c r="Q186" s="95"/>
    </row>
    <row r="187" spans="2:17" x14ac:dyDescent="0.25">
      <c r="B187" s="75"/>
      <c r="C187" s="76"/>
      <c r="D187" s="83"/>
      <c r="E187" s="84"/>
      <c r="F187" s="84"/>
      <c r="G187" s="84"/>
      <c r="H187" s="84"/>
      <c r="I187" s="85"/>
      <c r="J187" s="83"/>
      <c r="K187" s="85"/>
      <c r="L187" s="83"/>
      <c r="M187" s="85"/>
      <c r="N187" s="83"/>
      <c r="O187" s="85"/>
      <c r="P187" s="96"/>
      <c r="Q187" s="97"/>
    </row>
    <row r="188" spans="2:17" x14ac:dyDescent="0.25">
      <c r="B188" s="71"/>
      <c r="C188" s="72"/>
      <c r="D188" s="77"/>
      <c r="E188" s="78"/>
      <c r="F188" s="78"/>
      <c r="G188" s="78"/>
      <c r="H188" s="78"/>
      <c r="I188" s="79"/>
      <c r="J188" s="77"/>
      <c r="K188" s="79"/>
      <c r="L188" s="77"/>
      <c r="M188" s="79"/>
      <c r="N188" s="77"/>
      <c r="O188" s="79"/>
      <c r="P188" s="92"/>
      <c r="Q188" s="93"/>
    </row>
    <row r="189" spans="2:17" x14ac:dyDescent="0.25">
      <c r="B189" s="73"/>
      <c r="C189" s="74"/>
      <c r="D189" s="80"/>
      <c r="E189" s="81"/>
      <c r="F189" s="81"/>
      <c r="G189" s="81"/>
      <c r="H189" s="81"/>
      <c r="I189" s="82"/>
      <c r="J189" s="80"/>
      <c r="K189" s="82"/>
      <c r="L189" s="80"/>
      <c r="M189" s="82"/>
      <c r="N189" s="80"/>
      <c r="O189" s="82"/>
      <c r="P189" s="94"/>
      <c r="Q189" s="95"/>
    </row>
    <row r="190" spans="2:17" x14ac:dyDescent="0.25">
      <c r="B190" s="75"/>
      <c r="C190" s="76"/>
      <c r="D190" s="83"/>
      <c r="E190" s="84"/>
      <c r="F190" s="84"/>
      <c r="G190" s="84"/>
      <c r="H190" s="84"/>
      <c r="I190" s="85"/>
      <c r="J190" s="83"/>
      <c r="K190" s="85"/>
      <c r="L190" s="83"/>
      <c r="M190" s="85"/>
      <c r="N190" s="83"/>
      <c r="O190" s="85"/>
      <c r="P190" s="96"/>
      <c r="Q190" s="97"/>
    </row>
    <row r="191" spans="2:17" x14ac:dyDescent="0.25">
      <c r="B191" s="71"/>
      <c r="C191" s="72"/>
      <c r="D191" s="77"/>
      <c r="E191" s="78"/>
      <c r="F191" s="78"/>
      <c r="G191" s="78"/>
      <c r="H191" s="78"/>
      <c r="I191" s="79"/>
      <c r="J191" s="77"/>
      <c r="K191" s="79"/>
      <c r="L191" s="77"/>
      <c r="M191" s="79"/>
      <c r="N191" s="77"/>
      <c r="O191" s="79"/>
      <c r="P191" s="92"/>
      <c r="Q191" s="93"/>
    </row>
    <row r="192" spans="2:17" x14ac:dyDescent="0.25">
      <c r="B192" s="73"/>
      <c r="C192" s="74"/>
      <c r="D192" s="80"/>
      <c r="E192" s="81"/>
      <c r="F192" s="81"/>
      <c r="G192" s="81"/>
      <c r="H192" s="81"/>
      <c r="I192" s="82"/>
      <c r="J192" s="80"/>
      <c r="K192" s="82"/>
      <c r="L192" s="80"/>
      <c r="M192" s="82"/>
      <c r="N192" s="80"/>
      <c r="O192" s="82"/>
      <c r="P192" s="94"/>
      <c r="Q192" s="95"/>
    </row>
    <row r="193" spans="2:17" x14ac:dyDescent="0.25">
      <c r="B193" s="75"/>
      <c r="C193" s="76"/>
      <c r="D193" s="83"/>
      <c r="E193" s="84"/>
      <c r="F193" s="84"/>
      <c r="G193" s="84"/>
      <c r="H193" s="84"/>
      <c r="I193" s="85"/>
      <c r="J193" s="83"/>
      <c r="K193" s="85"/>
      <c r="L193" s="83"/>
      <c r="M193" s="85"/>
      <c r="N193" s="83"/>
      <c r="O193" s="85"/>
      <c r="P193" s="96"/>
      <c r="Q193" s="97"/>
    </row>
    <row r="194" spans="2:17" x14ac:dyDescent="0.25">
      <c r="B194" s="71"/>
      <c r="C194" s="72"/>
      <c r="D194" s="77"/>
      <c r="E194" s="78"/>
      <c r="F194" s="78"/>
      <c r="G194" s="78"/>
      <c r="H194" s="78"/>
      <c r="I194" s="79"/>
      <c r="J194" s="77"/>
      <c r="K194" s="79"/>
      <c r="L194" s="77"/>
      <c r="M194" s="79"/>
      <c r="N194" s="77"/>
      <c r="O194" s="79"/>
      <c r="P194" s="92"/>
      <c r="Q194" s="93"/>
    </row>
    <row r="195" spans="2:17" x14ac:dyDescent="0.25">
      <c r="B195" s="73"/>
      <c r="C195" s="74"/>
      <c r="D195" s="80"/>
      <c r="E195" s="81"/>
      <c r="F195" s="81"/>
      <c r="G195" s="81"/>
      <c r="H195" s="81"/>
      <c r="I195" s="82"/>
      <c r="J195" s="80"/>
      <c r="K195" s="82"/>
      <c r="L195" s="80"/>
      <c r="M195" s="82"/>
      <c r="N195" s="80"/>
      <c r="O195" s="82"/>
      <c r="P195" s="94"/>
      <c r="Q195" s="95"/>
    </row>
    <row r="196" spans="2:17" x14ac:dyDescent="0.25">
      <c r="B196" s="75"/>
      <c r="C196" s="76"/>
      <c r="D196" s="83"/>
      <c r="E196" s="84"/>
      <c r="F196" s="84"/>
      <c r="G196" s="84"/>
      <c r="H196" s="84"/>
      <c r="I196" s="85"/>
      <c r="J196" s="83"/>
      <c r="K196" s="85"/>
      <c r="L196" s="83"/>
      <c r="M196" s="85"/>
      <c r="N196" s="83"/>
      <c r="O196" s="85"/>
      <c r="P196" s="96"/>
      <c r="Q196" s="97"/>
    </row>
    <row r="197" spans="2:17" x14ac:dyDescent="0.25">
      <c r="B197" s="71"/>
      <c r="C197" s="72"/>
      <c r="D197" s="77"/>
      <c r="E197" s="78"/>
      <c r="F197" s="78"/>
      <c r="G197" s="78"/>
      <c r="H197" s="78"/>
      <c r="I197" s="79"/>
      <c r="J197" s="77"/>
      <c r="K197" s="79"/>
      <c r="L197" s="77"/>
      <c r="M197" s="79"/>
      <c r="N197" s="77"/>
      <c r="O197" s="79"/>
      <c r="P197" s="92"/>
      <c r="Q197" s="93"/>
    </row>
    <row r="198" spans="2:17" x14ac:dyDescent="0.25">
      <c r="B198" s="73"/>
      <c r="C198" s="74"/>
      <c r="D198" s="80"/>
      <c r="E198" s="81"/>
      <c r="F198" s="81"/>
      <c r="G198" s="81"/>
      <c r="H198" s="81"/>
      <c r="I198" s="82"/>
      <c r="J198" s="80"/>
      <c r="K198" s="82"/>
      <c r="L198" s="80"/>
      <c r="M198" s="82"/>
      <c r="N198" s="80"/>
      <c r="O198" s="82"/>
      <c r="P198" s="94"/>
      <c r="Q198" s="95"/>
    </row>
    <row r="199" spans="2:17" x14ac:dyDescent="0.25">
      <c r="B199" s="75"/>
      <c r="C199" s="76"/>
      <c r="D199" s="83"/>
      <c r="E199" s="84"/>
      <c r="F199" s="84"/>
      <c r="G199" s="84"/>
      <c r="H199" s="84"/>
      <c r="I199" s="85"/>
      <c r="J199" s="83"/>
      <c r="K199" s="85"/>
      <c r="L199" s="83"/>
      <c r="M199" s="85"/>
      <c r="N199" s="83"/>
      <c r="O199" s="85"/>
      <c r="P199" s="96"/>
      <c r="Q199" s="97"/>
    </row>
    <row r="200" spans="2:17" x14ac:dyDescent="0.25">
      <c r="B200" s="71"/>
      <c r="C200" s="72"/>
      <c r="D200" s="77"/>
      <c r="E200" s="78"/>
      <c r="F200" s="78"/>
      <c r="G200" s="78"/>
      <c r="H200" s="78"/>
      <c r="I200" s="79"/>
      <c r="J200" s="77"/>
      <c r="K200" s="79"/>
      <c r="L200" s="77"/>
      <c r="M200" s="79"/>
      <c r="N200" s="77"/>
      <c r="O200" s="79"/>
      <c r="P200" s="92"/>
      <c r="Q200" s="93"/>
    </row>
    <row r="201" spans="2:17" x14ac:dyDescent="0.25">
      <c r="B201" s="73"/>
      <c r="C201" s="74"/>
      <c r="D201" s="80"/>
      <c r="E201" s="81"/>
      <c r="F201" s="81"/>
      <c r="G201" s="81"/>
      <c r="H201" s="81"/>
      <c r="I201" s="82"/>
      <c r="J201" s="80"/>
      <c r="K201" s="82"/>
      <c r="L201" s="80"/>
      <c r="M201" s="82"/>
      <c r="N201" s="80"/>
      <c r="O201" s="82"/>
      <c r="P201" s="94"/>
      <c r="Q201" s="95"/>
    </row>
    <row r="202" spans="2:17" x14ac:dyDescent="0.25">
      <c r="B202" s="75"/>
      <c r="C202" s="76"/>
      <c r="D202" s="83"/>
      <c r="E202" s="84"/>
      <c r="F202" s="84"/>
      <c r="G202" s="84"/>
      <c r="H202" s="84"/>
      <c r="I202" s="85"/>
      <c r="J202" s="83"/>
      <c r="K202" s="85"/>
      <c r="L202" s="83"/>
      <c r="M202" s="85"/>
      <c r="N202" s="83"/>
      <c r="O202" s="85"/>
      <c r="P202" s="96"/>
      <c r="Q202" s="97"/>
    </row>
    <row r="203" spans="2:17" x14ac:dyDescent="0.25">
      <c r="B203" s="71"/>
      <c r="C203" s="72"/>
      <c r="D203" s="77"/>
      <c r="E203" s="78"/>
      <c r="F203" s="78"/>
      <c r="G203" s="78"/>
      <c r="H203" s="78"/>
      <c r="I203" s="79"/>
      <c r="J203" s="77"/>
      <c r="K203" s="79"/>
      <c r="L203" s="77"/>
      <c r="M203" s="79"/>
      <c r="N203" s="77"/>
      <c r="O203" s="79"/>
      <c r="P203" s="92"/>
      <c r="Q203" s="93"/>
    </row>
    <row r="204" spans="2:17" x14ac:dyDescent="0.25">
      <c r="B204" s="73"/>
      <c r="C204" s="74"/>
      <c r="D204" s="80"/>
      <c r="E204" s="81"/>
      <c r="F204" s="81"/>
      <c r="G204" s="81"/>
      <c r="H204" s="81"/>
      <c r="I204" s="82"/>
      <c r="J204" s="80"/>
      <c r="K204" s="82"/>
      <c r="L204" s="80"/>
      <c r="M204" s="82"/>
      <c r="N204" s="80"/>
      <c r="O204" s="82"/>
      <c r="P204" s="94"/>
      <c r="Q204" s="95"/>
    </row>
    <row r="205" spans="2:17" x14ac:dyDescent="0.25">
      <c r="B205" s="75"/>
      <c r="C205" s="76"/>
      <c r="D205" s="83"/>
      <c r="E205" s="84"/>
      <c r="F205" s="84"/>
      <c r="G205" s="84"/>
      <c r="H205" s="84"/>
      <c r="I205" s="85"/>
      <c r="J205" s="83"/>
      <c r="K205" s="85"/>
      <c r="L205" s="83"/>
      <c r="M205" s="85"/>
      <c r="N205" s="83"/>
      <c r="O205" s="85"/>
      <c r="P205" s="96"/>
      <c r="Q205" s="97"/>
    </row>
    <row r="206" spans="2:17" x14ac:dyDescent="0.25">
      <c r="B206" s="71"/>
      <c r="C206" s="72"/>
      <c r="D206" s="77"/>
      <c r="E206" s="78"/>
      <c r="F206" s="78"/>
      <c r="G206" s="78"/>
      <c r="H206" s="78"/>
      <c r="I206" s="79"/>
      <c r="J206" s="77"/>
      <c r="K206" s="79"/>
      <c r="L206" s="77"/>
      <c r="M206" s="79"/>
      <c r="N206" s="77"/>
      <c r="O206" s="79"/>
      <c r="P206" s="92"/>
      <c r="Q206" s="93"/>
    </row>
    <row r="207" spans="2:17" x14ac:dyDescent="0.25">
      <c r="B207" s="73"/>
      <c r="C207" s="74"/>
      <c r="D207" s="80"/>
      <c r="E207" s="81"/>
      <c r="F207" s="81"/>
      <c r="G207" s="81"/>
      <c r="H207" s="81"/>
      <c r="I207" s="82"/>
      <c r="J207" s="80"/>
      <c r="K207" s="82"/>
      <c r="L207" s="80"/>
      <c r="M207" s="82"/>
      <c r="N207" s="80"/>
      <c r="O207" s="82"/>
      <c r="P207" s="94"/>
      <c r="Q207" s="95"/>
    </row>
    <row r="208" spans="2:17" x14ac:dyDescent="0.25">
      <c r="B208" s="75"/>
      <c r="C208" s="76"/>
      <c r="D208" s="83"/>
      <c r="E208" s="84"/>
      <c r="F208" s="84"/>
      <c r="G208" s="84"/>
      <c r="H208" s="84"/>
      <c r="I208" s="85"/>
      <c r="J208" s="83"/>
      <c r="K208" s="85"/>
      <c r="L208" s="83"/>
      <c r="M208" s="85"/>
      <c r="N208" s="83"/>
      <c r="O208" s="85"/>
      <c r="P208" s="96"/>
      <c r="Q208" s="97"/>
    </row>
    <row r="209" spans="2:17" x14ac:dyDescent="0.25">
      <c r="B209" s="71"/>
      <c r="C209" s="72"/>
      <c r="D209" s="77"/>
      <c r="E209" s="78"/>
      <c r="F209" s="78"/>
      <c r="G209" s="78"/>
      <c r="H209" s="78"/>
      <c r="I209" s="79"/>
      <c r="J209" s="77"/>
      <c r="K209" s="79"/>
      <c r="L209" s="77"/>
      <c r="M209" s="79"/>
      <c r="N209" s="77"/>
      <c r="O209" s="79"/>
      <c r="P209" s="92"/>
      <c r="Q209" s="93"/>
    </row>
    <row r="210" spans="2:17" x14ac:dyDescent="0.25">
      <c r="B210" s="73"/>
      <c r="C210" s="74"/>
      <c r="D210" s="80"/>
      <c r="E210" s="81"/>
      <c r="F210" s="81"/>
      <c r="G210" s="81"/>
      <c r="H210" s="81"/>
      <c r="I210" s="82"/>
      <c r="J210" s="80"/>
      <c r="K210" s="82"/>
      <c r="L210" s="80"/>
      <c r="M210" s="82"/>
      <c r="N210" s="80"/>
      <c r="O210" s="82"/>
      <c r="P210" s="94"/>
      <c r="Q210" s="95"/>
    </row>
    <row r="211" spans="2:17" x14ac:dyDescent="0.25">
      <c r="B211" s="75"/>
      <c r="C211" s="76"/>
      <c r="D211" s="83"/>
      <c r="E211" s="84"/>
      <c r="F211" s="84"/>
      <c r="G211" s="84"/>
      <c r="H211" s="84"/>
      <c r="I211" s="85"/>
      <c r="J211" s="83"/>
      <c r="K211" s="85"/>
      <c r="L211" s="83"/>
      <c r="M211" s="85"/>
      <c r="N211" s="83"/>
      <c r="O211" s="85"/>
      <c r="P211" s="96"/>
      <c r="Q211" s="97"/>
    </row>
    <row r="212" spans="2:17" x14ac:dyDescent="0.25">
      <c r="B212" s="71"/>
      <c r="C212" s="72"/>
      <c r="D212" s="77"/>
      <c r="E212" s="78"/>
      <c r="F212" s="78"/>
      <c r="G212" s="78"/>
      <c r="H212" s="78"/>
      <c r="I212" s="79"/>
      <c r="J212" s="77"/>
      <c r="K212" s="79"/>
      <c r="L212" s="77"/>
      <c r="M212" s="79"/>
      <c r="N212" s="77"/>
      <c r="O212" s="79"/>
      <c r="P212" s="92"/>
      <c r="Q212" s="93"/>
    </row>
    <row r="213" spans="2:17" x14ac:dyDescent="0.25">
      <c r="B213" s="73"/>
      <c r="C213" s="74"/>
      <c r="D213" s="80"/>
      <c r="E213" s="81"/>
      <c r="F213" s="81"/>
      <c r="G213" s="81"/>
      <c r="H213" s="81"/>
      <c r="I213" s="82"/>
      <c r="J213" s="80"/>
      <c r="K213" s="82"/>
      <c r="L213" s="80"/>
      <c r="M213" s="82"/>
      <c r="N213" s="80"/>
      <c r="O213" s="82"/>
      <c r="P213" s="94"/>
      <c r="Q213" s="95"/>
    </row>
    <row r="214" spans="2:17" x14ac:dyDescent="0.25">
      <c r="B214" s="75"/>
      <c r="C214" s="76"/>
      <c r="D214" s="83"/>
      <c r="E214" s="84"/>
      <c r="F214" s="84"/>
      <c r="G214" s="84"/>
      <c r="H214" s="84"/>
      <c r="I214" s="85"/>
      <c r="J214" s="83"/>
      <c r="K214" s="85"/>
      <c r="L214" s="83"/>
      <c r="M214" s="85"/>
      <c r="N214" s="83"/>
      <c r="O214" s="85"/>
      <c r="P214" s="96"/>
      <c r="Q214" s="97"/>
    </row>
    <row r="215" spans="2:17" x14ac:dyDescent="0.25">
      <c r="B215" s="71"/>
      <c r="C215" s="72"/>
      <c r="D215" s="77"/>
      <c r="E215" s="78"/>
      <c r="F215" s="78"/>
      <c r="G215" s="78"/>
      <c r="H215" s="78"/>
      <c r="I215" s="79"/>
      <c r="J215" s="77"/>
      <c r="K215" s="79"/>
      <c r="L215" s="77"/>
      <c r="M215" s="79"/>
      <c r="N215" s="77"/>
      <c r="O215" s="79"/>
      <c r="P215" s="92"/>
      <c r="Q215" s="93"/>
    </row>
    <row r="216" spans="2:17" x14ac:dyDescent="0.25">
      <c r="B216" s="73"/>
      <c r="C216" s="74"/>
      <c r="D216" s="80"/>
      <c r="E216" s="81"/>
      <c r="F216" s="81"/>
      <c r="G216" s="81"/>
      <c r="H216" s="81"/>
      <c r="I216" s="82"/>
      <c r="J216" s="80"/>
      <c r="K216" s="82"/>
      <c r="L216" s="80"/>
      <c r="M216" s="82"/>
      <c r="N216" s="80"/>
      <c r="O216" s="82"/>
      <c r="P216" s="94"/>
      <c r="Q216" s="95"/>
    </row>
    <row r="217" spans="2:17" x14ac:dyDescent="0.25">
      <c r="B217" s="75"/>
      <c r="C217" s="76"/>
      <c r="D217" s="83"/>
      <c r="E217" s="84"/>
      <c r="F217" s="84"/>
      <c r="G217" s="84"/>
      <c r="H217" s="84"/>
      <c r="I217" s="85"/>
      <c r="J217" s="83"/>
      <c r="K217" s="85"/>
      <c r="L217" s="83"/>
      <c r="M217" s="85"/>
      <c r="N217" s="83"/>
      <c r="O217" s="85"/>
      <c r="P217" s="96"/>
      <c r="Q217" s="97"/>
    </row>
    <row r="218" spans="2:17" x14ac:dyDescent="0.25">
      <c r="B218" s="71"/>
      <c r="C218" s="72"/>
      <c r="D218" s="77"/>
      <c r="E218" s="78"/>
      <c r="F218" s="78"/>
      <c r="G218" s="78"/>
      <c r="H218" s="78"/>
      <c r="I218" s="79"/>
      <c r="J218" s="77"/>
      <c r="K218" s="79"/>
      <c r="L218" s="77"/>
      <c r="M218" s="79"/>
      <c r="N218" s="77"/>
      <c r="O218" s="79"/>
      <c r="P218" s="92"/>
      <c r="Q218" s="93"/>
    </row>
    <row r="219" spans="2:17" x14ac:dyDescent="0.25">
      <c r="B219" s="73"/>
      <c r="C219" s="74"/>
      <c r="D219" s="80"/>
      <c r="E219" s="81"/>
      <c r="F219" s="81"/>
      <c r="G219" s="81"/>
      <c r="H219" s="81"/>
      <c r="I219" s="82"/>
      <c r="J219" s="80"/>
      <c r="K219" s="82"/>
      <c r="L219" s="80"/>
      <c r="M219" s="82"/>
      <c r="N219" s="80"/>
      <c r="O219" s="82"/>
      <c r="P219" s="94"/>
      <c r="Q219" s="95"/>
    </row>
    <row r="220" spans="2:17" x14ac:dyDescent="0.25">
      <c r="B220" s="75"/>
      <c r="C220" s="76"/>
      <c r="D220" s="83"/>
      <c r="E220" s="84"/>
      <c r="F220" s="84"/>
      <c r="G220" s="84"/>
      <c r="H220" s="84"/>
      <c r="I220" s="85"/>
      <c r="J220" s="83"/>
      <c r="K220" s="85"/>
      <c r="L220" s="83"/>
      <c r="M220" s="85"/>
      <c r="N220" s="83"/>
      <c r="O220" s="85"/>
      <c r="P220" s="96"/>
      <c r="Q220" s="97"/>
    </row>
    <row r="221" spans="2:17" x14ac:dyDescent="0.25">
      <c r="B221" s="71"/>
      <c r="C221" s="72"/>
      <c r="D221" s="77"/>
      <c r="E221" s="78"/>
      <c r="F221" s="78"/>
      <c r="G221" s="78"/>
      <c r="H221" s="78"/>
      <c r="I221" s="79"/>
      <c r="J221" s="77"/>
      <c r="K221" s="79"/>
      <c r="L221" s="77"/>
      <c r="M221" s="79"/>
      <c r="N221" s="77"/>
      <c r="O221" s="79"/>
      <c r="P221" s="92"/>
      <c r="Q221" s="93"/>
    </row>
    <row r="222" spans="2:17" x14ac:dyDescent="0.25">
      <c r="B222" s="73"/>
      <c r="C222" s="74"/>
      <c r="D222" s="80"/>
      <c r="E222" s="81"/>
      <c r="F222" s="81"/>
      <c r="G222" s="81"/>
      <c r="H222" s="81"/>
      <c r="I222" s="82"/>
      <c r="J222" s="80"/>
      <c r="K222" s="82"/>
      <c r="L222" s="80"/>
      <c r="M222" s="82"/>
      <c r="N222" s="80"/>
      <c r="O222" s="82"/>
      <c r="P222" s="94"/>
      <c r="Q222" s="95"/>
    </row>
    <row r="223" spans="2:17" x14ac:dyDescent="0.25">
      <c r="B223" s="75"/>
      <c r="C223" s="76"/>
      <c r="D223" s="83"/>
      <c r="E223" s="84"/>
      <c r="F223" s="84"/>
      <c r="G223" s="84"/>
      <c r="H223" s="84"/>
      <c r="I223" s="85"/>
      <c r="J223" s="83"/>
      <c r="K223" s="85"/>
      <c r="L223" s="83"/>
      <c r="M223" s="85"/>
      <c r="N223" s="83"/>
      <c r="O223" s="85"/>
      <c r="P223" s="96"/>
      <c r="Q223" s="97"/>
    </row>
    <row r="224" spans="2:17" x14ac:dyDescent="0.25">
      <c r="B224" s="71"/>
      <c r="C224" s="72"/>
      <c r="D224" s="77"/>
      <c r="E224" s="78"/>
      <c r="F224" s="78"/>
      <c r="G224" s="78"/>
      <c r="H224" s="78"/>
      <c r="I224" s="79"/>
      <c r="J224" s="77"/>
      <c r="K224" s="79"/>
      <c r="L224" s="77"/>
      <c r="M224" s="79"/>
      <c r="N224" s="77"/>
      <c r="O224" s="79"/>
      <c r="P224" s="92"/>
      <c r="Q224" s="93"/>
    </row>
    <row r="225" spans="2:17" x14ac:dyDescent="0.25">
      <c r="B225" s="73"/>
      <c r="C225" s="74"/>
      <c r="D225" s="80"/>
      <c r="E225" s="81"/>
      <c r="F225" s="81"/>
      <c r="G225" s="81"/>
      <c r="H225" s="81"/>
      <c r="I225" s="82"/>
      <c r="J225" s="80"/>
      <c r="K225" s="82"/>
      <c r="L225" s="80"/>
      <c r="M225" s="82"/>
      <c r="N225" s="80"/>
      <c r="O225" s="82"/>
      <c r="P225" s="94"/>
      <c r="Q225" s="95"/>
    </row>
    <row r="226" spans="2:17" x14ac:dyDescent="0.25">
      <c r="B226" s="75"/>
      <c r="C226" s="76"/>
      <c r="D226" s="83"/>
      <c r="E226" s="84"/>
      <c r="F226" s="84"/>
      <c r="G226" s="84"/>
      <c r="H226" s="84"/>
      <c r="I226" s="85"/>
      <c r="J226" s="83"/>
      <c r="K226" s="85"/>
      <c r="L226" s="83"/>
      <c r="M226" s="85"/>
      <c r="N226" s="83"/>
      <c r="O226" s="85"/>
      <c r="P226" s="96"/>
      <c r="Q226" s="97"/>
    </row>
    <row r="227" spans="2:17" x14ac:dyDescent="0.25">
      <c r="B227" s="71"/>
      <c r="C227" s="72"/>
      <c r="D227" s="77"/>
      <c r="E227" s="78"/>
      <c r="F227" s="78"/>
      <c r="G227" s="78"/>
      <c r="H227" s="78"/>
      <c r="I227" s="79"/>
      <c r="J227" s="77"/>
      <c r="K227" s="79"/>
      <c r="L227" s="77"/>
      <c r="M227" s="79"/>
      <c r="N227" s="77"/>
      <c r="O227" s="79"/>
      <c r="P227" s="92"/>
      <c r="Q227" s="93"/>
    </row>
    <row r="228" spans="2:17" x14ac:dyDescent="0.25">
      <c r="B228" s="73"/>
      <c r="C228" s="74"/>
      <c r="D228" s="80"/>
      <c r="E228" s="81"/>
      <c r="F228" s="81"/>
      <c r="G228" s="81"/>
      <c r="H228" s="81"/>
      <c r="I228" s="82"/>
      <c r="J228" s="80"/>
      <c r="K228" s="82"/>
      <c r="L228" s="80"/>
      <c r="M228" s="82"/>
      <c r="N228" s="80"/>
      <c r="O228" s="82"/>
      <c r="P228" s="94"/>
      <c r="Q228" s="95"/>
    </row>
    <row r="229" spans="2:17" x14ac:dyDescent="0.25">
      <c r="B229" s="75"/>
      <c r="C229" s="76"/>
      <c r="D229" s="83"/>
      <c r="E229" s="84"/>
      <c r="F229" s="84"/>
      <c r="G229" s="84"/>
      <c r="H229" s="84"/>
      <c r="I229" s="85"/>
      <c r="J229" s="83"/>
      <c r="K229" s="85"/>
      <c r="L229" s="83"/>
      <c r="M229" s="85"/>
      <c r="N229" s="83"/>
      <c r="O229" s="85"/>
      <c r="P229" s="96"/>
      <c r="Q229" s="97"/>
    </row>
    <row r="230" spans="2:17" x14ac:dyDescent="0.25">
      <c r="B230" s="71"/>
      <c r="C230" s="72"/>
      <c r="D230" s="77"/>
      <c r="E230" s="78"/>
      <c r="F230" s="78"/>
      <c r="G230" s="78"/>
      <c r="H230" s="78"/>
      <c r="I230" s="79"/>
      <c r="J230" s="77"/>
      <c r="K230" s="79"/>
      <c r="L230" s="77"/>
      <c r="M230" s="79"/>
      <c r="N230" s="77"/>
      <c r="O230" s="79"/>
      <c r="P230" s="92"/>
      <c r="Q230" s="93"/>
    </row>
    <row r="231" spans="2:17" x14ac:dyDescent="0.25">
      <c r="B231" s="73"/>
      <c r="C231" s="74"/>
      <c r="D231" s="80"/>
      <c r="E231" s="81"/>
      <c r="F231" s="81"/>
      <c r="G231" s="81"/>
      <c r="H231" s="81"/>
      <c r="I231" s="82"/>
      <c r="J231" s="80"/>
      <c r="K231" s="82"/>
      <c r="L231" s="80"/>
      <c r="M231" s="82"/>
      <c r="N231" s="80"/>
      <c r="O231" s="82"/>
      <c r="P231" s="94"/>
      <c r="Q231" s="95"/>
    </row>
    <row r="232" spans="2:17" x14ac:dyDescent="0.25">
      <c r="B232" s="75"/>
      <c r="C232" s="76"/>
      <c r="D232" s="83"/>
      <c r="E232" s="84"/>
      <c r="F232" s="84"/>
      <c r="G232" s="84"/>
      <c r="H232" s="84"/>
      <c r="I232" s="85"/>
      <c r="J232" s="83"/>
      <c r="K232" s="85"/>
      <c r="L232" s="83"/>
      <c r="M232" s="85"/>
      <c r="N232" s="83"/>
      <c r="O232" s="85"/>
      <c r="P232" s="96"/>
      <c r="Q232" s="97"/>
    </row>
    <row r="233" spans="2:17" x14ac:dyDescent="0.25">
      <c r="B233" s="71"/>
      <c r="C233" s="72"/>
      <c r="D233" s="77"/>
      <c r="E233" s="78"/>
      <c r="F233" s="78"/>
      <c r="G233" s="78"/>
      <c r="H233" s="78"/>
      <c r="I233" s="79"/>
      <c r="J233" s="77"/>
      <c r="K233" s="79"/>
      <c r="L233" s="77"/>
      <c r="M233" s="79"/>
      <c r="N233" s="77"/>
      <c r="O233" s="79"/>
      <c r="P233" s="92"/>
      <c r="Q233" s="93"/>
    </row>
    <row r="234" spans="2:17" x14ac:dyDescent="0.25">
      <c r="B234" s="73"/>
      <c r="C234" s="74"/>
      <c r="D234" s="80"/>
      <c r="E234" s="81"/>
      <c r="F234" s="81"/>
      <c r="G234" s="81"/>
      <c r="H234" s="81"/>
      <c r="I234" s="82"/>
      <c r="J234" s="80"/>
      <c r="K234" s="82"/>
      <c r="L234" s="80"/>
      <c r="M234" s="82"/>
      <c r="N234" s="80"/>
      <c r="O234" s="82"/>
      <c r="P234" s="94"/>
      <c r="Q234" s="95"/>
    </row>
    <row r="235" spans="2:17" x14ac:dyDescent="0.25">
      <c r="B235" s="75"/>
      <c r="C235" s="76"/>
      <c r="D235" s="83"/>
      <c r="E235" s="84"/>
      <c r="F235" s="84"/>
      <c r="G235" s="84"/>
      <c r="H235" s="84"/>
      <c r="I235" s="85"/>
      <c r="J235" s="83"/>
      <c r="K235" s="85"/>
      <c r="L235" s="83"/>
      <c r="M235" s="85"/>
      <c r="N235" s="83"/>
      <c r="O235" s="85"/>
      <c r="P235" s="96"/>
      <c r="Q235" s="97"/>
    </row>
    <row r="236" spans="2:17" x14ac:dyDescent="0.25">
      <c r="B236" s="71"/>
      <c r="C236" s="72"/>
      <c r="D236" s="77"/>
      <c r="E236" s="78"/>
      <c r="F236" s="78"/>
      <c r="G236" s="78"/>
      <c r="H236" s="78"/>
      <c r="I236" s="79"/>
      <c r="J236" s="77"/>
      <c r="K236" s="79"/>
      <c r="L236" s="77"/>
      <c r="M236" s="79"/>
      <c r="N236" s="77"/>
      <c r="O236" s="79"/>
      <c r="P236" s="92"/>
      <c r="Q236" s="93"/>
    </row>
    <row r="237" spans="2:17" x14ac:dyDescent="0.25">
      <c r="B237" s="73"/>
      <c r="C237" s="74"/>
      <c r="D237" s="80"/>
      <c r="E237" s="81"/>
      <c r="F237" s="81"/>
      <c r="G237" s="81"/>
      <c r="H237" s="81"/>
      <c r="I237" s="82"/>
      <c r="J237" s="80"/>
      <c r="K237" s="82"/>
      <c r="L237" s="80"/>
      <c r="M237" s="82"/>
      <c r="N237" s="80"/>
      <c r="O237" s="82"/>
      <c r="P237" s="94"/>
      <c r="Q237" s="95"/>
    </row>
    <row r="238" spans="2:17" x14ac:dyDescent="0.25">
      <c r="B238" s="75"/>
      <c r="C238" s="76"/>
      <c r="D238" s="83"/>
      <c r="E238" s="84"/>
      <c r="F238" s="84"/>
      <c r="G238" s="84"/>
      <c r="H238" s="84"/>
      <c r="I238" s="85"/>
      <c r="J238" s="83"/>
      <c r="K238" s="85"/>
      <c r="L238" s="83"/>
      <c r="M238" s="85"/>
      <c r="N238" s="83"/>
      <c r="O238" s="85"/>
      <c r="P238" s="96"/>
      <c r="Q238" s="97"/>
    </row>
    <row r="239" spans="2:17" x14ac:dyDescent="0.25">
      <c r="B239" s="71"/>
      <c r="C239" s="72"/>
      <c r="D239" s="77"/>
      <c r="E239" s="78"/>
      <c r="F239" s="78"/>
      <c r="G239" s="78"/>
      <c r="H239" s="78"/>
      <c r="I239" s="79"/>
      <c r="J239" s="77"/>
      <c r="K239" s="79"/>
      <c r="L239" s="77"/>
      <c r="M239" s="79"/>
      <c r="N239" s="77"/>
      <c r="O239" s="79"/>
      <c r="P239" s="92"/>
      <c r="Q239" s="93"/>
    </row>
    <row r="240" spans="2:17" x14ac:dyDescent="0.25">
      <c r="B240" s="73"/>
      <c r="C240" s="74"/>
      <c r="D240" s="80"/>
      <c r="E240" s="81"/>
      <c r="F240" s="81"/>
      <c r="G240" s="81"/>
      <c r="H240" s="81"/>
      <c r="I240" s="82"/>
      <c r="J240" s="80"/>
      <c r="K240" s="82"/>
      <c r="L240" s="80"/>
      <c r="M240" s="82"/>
      <c r="N240" s="80"/>
      <c r="O240" s="82"/>
      <c r="P240" s="94"/>
      <c r="Q240" s="95"/>
    </row>
    <row r="241" spans="2:17" x14ac:dyDescent="0.25">
      <c r="B241" s="75"/>
      <c r="C241" s="76"/>
      <c r="D241" s="83"/>
      <c r="E241" s="84"/>
      <c r="F241" s="84"/>
      <c r="G241" s="84"/>
      <c r="H241" s="84"/>
      <c r="I241" s="85"/>
      <c r="J241" s="83"/>
      <c r="K241" s="85"/>
      <c r="L241" s="83"/>
      <c r="M241" s="85"/>
      <c r="N241" s="83"/>
      <c r="O241" s="85"/>
      <c r="P241" s="96"/>
      <c r="Q241" s="97"/>
    </row>
    <row r="242" spans="2:17" x14ac:dyDescent="0.25">
      <c r="B242" s="71"/>
      <c r="C242" s="72"/>
      <c r="D242" s="77"/>
      <c r="E242" s="78"/>
      <c r="F242" s="78"/>
      <c r="G242" s="78"/>
      <c r="H242" s="78"/>
      <c r="I242" s="79"/>
      <c r="J242" s="77"/>
      <c r="K242" s="79"/>
      <c r="L242" s="77"/>
      <c r="M242" s="79"/>
      <c r="N242" s="77"/>
      <c r="O242" s="79"/>
      <c r="P242" s="92"/>
      <c r="Q242" s="93"/>
    </row>
    <row r="243" spans="2:17" x14ac:dyDescent="0.25">
      <c r="B243" s="73"/>
      <c r="C243" s="74"/>
      <c r="D243" s="80"/>
      <c r="E243" s="81"/>
      <c r="F243" s="81"/>
      <c r="G243" s="81"/>
      <c r="H243" s="81"/>
      <c r="I243" s="82"/>
      <c r="J243" s="80"/>
      <c r="K243" s="82"/>
      <c r="L243" s="80"/>
      <c r="M243" s="82"/>
      <c r="N243" s="80"/>
      <c r="O243" s="82"/>
      <c r="P243" s="94"/>
      <c r="Q243" s="95"/>
    </row>
    <row r="244" spans="2:17" x14ac:dyDescent="0.25">
      <c r="B244" s="75"/>
      <c r="C244" s="76"/>
      <c r="D244" s="83"/>
      <c r="E244" s="84"/>
      <c r="F244" s="84"/>
      <c r="G244" s="84"/>
      <c r="H244" s="84"/>
      <c r="I244" s="85"/>
      <c r="J244" s="83"/>
      <c r="K244" s="85"/>
      <c r="L244" s="83"/>
      <c r="M244" s="85"/>
      <c r="N244" s="83"/>
      <c r="O244" s="85"/>
      <c r="P244" s="96"/>
      <c r="Q244" s="97"/>
    </row>
    <row r="245" spans="2:17" x14ac:dyDescent="0.25">
      <c r="B245" s="71"/>
      <c r="C245" s="72"/>
      <c r="D245" s="77"/>
      <c r="E245" s="78"/>
      <c r="F245" s="78"/>
      <c r="G245" s="78"/>
      <c r="H245" s="78"/>
      <c r="I245" s="79"/>
      <c r="J245" s="77"/>
      <c r="K245" s="79"/>
      <c r="L245" s="77"/>
      <c r="M245" s="79"/>
      <c r="N245" s="77"/>
      <c r="O245" s="79"/>
      <c r="P245" s="92"/>
      <c r="Q245" s="93"/>
    </row>
    <row r="246" spans="2:17" x14ac:dyDescent="0.25">
      <c r="B246" s="73"/>
      <c r="C246" s="74"/>
      <c r="D246" s="80"/>
      <c r="E246" s="81"/>
      <c r="F246" s="81"/>
      <c r="G246" s="81"/>
      <c r="H246" s="81"/>
      <c r="I246" s="82"/>
      <c r="J246" s="80"/>
      <c r="K246" s="82"/>
      <c r="L246" s="80"/>
      <c r="M246" s="82"/>
      <c r="N246" s="80"/>
      <c r="O246" s="82"/>
      <c r="P246" s="94"/>
      <c r="Q246" s="95"/>
    </row>
    <row r="247" spans="2:17" x14ac:dyDescent="0.25">
      <c r="B247" s="75"/>
      <c r="C247" s="76"/>
      <c r="D247" s="83"/>
      <c r="E247" s="84"/>
      <c r="F247" s="84"/>
      <c r="G247" s="84"/>
      <c r="H247" s="84"/>
      <c r="I247" s="85"/>
      <c r="J247" s="83"/>
      <c r="K247" s="85"/>
      <c r="L247" s="83"/>
      <c r="M247" s="85"/>
      <c r="N247" s="83"/>
      <c r="O247" s="85"/>
      <c r="P247" s="96"/>
      <c r="Q247" s="97"/>
    </row>
    <row r="248" spans="2:17" x14ac:dyDescent="0.25">
      <c r="B248" s="71"/>
      <c r="C248" s="72"/>
      <c r="D248" s="77"/>
      <c r="E248" s="78"/>
      <c r="F248" s="78"/>
      <c r="G248" s="78"/>
      <c r="H248" s="78"/>
      <c r="I248" s="79"/>
      <c r="J248" s="77"/>
      <c r="K248" s="79"/>
      <c r="L248" s="77"/>
      <c r="M248" s="79"/>
      <c r="N248" s="77"/>
      <c r="O248" s="79"/>
      <c r="P248" s="92"/>
      <c r="Q248" s="93"/>
    </row>
    <row r="249" spans="2:17" x14ac:dyDescent="0.25">
      <c r="B249" s="73"/>
      <c r="C249" s="74"/>
      <c r="D249" s="80"/>
      <c r="E249" s="81"/>
      <c r="F249" s="81"/>
      <c r="G249" s="81"/>
      <c r="H249" s="81"/>
      <c r="I249" s="82"/>
      <c r="J249" s="80"/>
      <c r="K249" s="82"/>
      <c r="L249" s="80"/>
      <c r="M249" s="82"/>
      <c r="N249" s="80"/>
      <c r="O249" s="82"/>
      <c r="P249" s="94"/>
      <c r="Q249" s="95"/>
    </row>
    <row r="250" spans="2:17" x14ac:dyDescent="0.25">
      <c r="B250" s="75"/>
      <c r="C250" s="76"/>
      <c r="D250" s="83"/>
      <c r="E250" s="84"/>
      <c r="F250" s="84"/>
      <c r="G250" s="84"/>
      <c r="H250" s="84"/>
      <c r="I250" s="85"/>
      <c r="J250" s="83"/>
      <c r="K250" s="85"/>
      <c r="L250" s="83"/>
      <c r="M250" s="85"/>
      <c r="N250" s="83"/>
      <c r="O250" s="85"/>
      <c r="P250" s="96"/>
      <c r="Q250" s="97"/>
    </row>
    <row r="251" spans="2:17" x14ac:dyDescent="0.25">
      <c r="B251" s="71"/>
      <c r="C251" s="72"/>
      <c r="D251" s="77"/>
      <c r="E251" s="78"/>
      <c r="F251" s="78"/>
      <c r="G251" s="78"/>
      <c r="H251" s="78"/>
      <c r="I251" s="79"/>
      <c r="J251" s="77"/>
      <c r="K251" s="79"/>
      <c r="L251" s="77"/>
      <c r="M251" s="79"/>
      <c r="N251" s="77"/>
      <c r="O251" s="79"/>
      <c r="P251" s="92"/>
      <c r="Q251" s="93"/>
    </row>
    <row r="252" spans="2:17" x14ac:dyDescent="0.25">
      <c r="B252" s="73"/>
      <c r="C252" s="74"/>
      <c r="D252" s="80"/>
      <c r="E252" s="81"/>
      <c r="F252" s="81"/>
      <c r="G252" s="81"/>
      <c r="H252" s="81"/>
      <c r="I252" s="82"/>
      <c r="J252" s="80"/>
      <c r="K252" s="82"/>
      <c r="L252" s="80"/>
      <c r="M252" s="82"/>
      <c r="N252" s="80"/>
      <c r="O252" s="82"/>
      <c r="P252" s="94"/>
      <c r="Q252" s="95"/>
    </row>
    <row r="253" spans="2:17" x14ac:dyDescent="0.25">
      <c r="B253" s="75"/>
      <c r="C253" s="76"/>
      <c r="D253" s="83"/>
      <c r="E253" s="84"/>
      <c r="F253" s="84"/>
      <c r="G253" s="84"/>
      <c r="H253" s="84"/>
      <c r="I253" s="85"/>
      <c r="J253" s="83"/>
      <c r="K253" s="85"/>
      <c r="L253" s="83"/>
      <c r="M253" s="85"/>
      <c r="N253" s="83"/>
      <c r="O253" s="85"/>
      <c r="P253" s="96"/>
      <c r="Q253" s="97"/>
    </row>
    <row r="254" spans="2:17" x14ac:dyDescent="0.25">
      <c r="B254" s="71"/>
      <c r="C254" s="72"/>
      <c r="D254" s="77"/>
      <c r="E254" s="78"/>
      <c r="F254" s="78"/>
      <c r="G254" s="78"/>
      <c r="H254" s="78"/>
      <c r="I254" s="79"/>
      <c r="J254" s="77"/>
      <c r="K254" s="79"/>
      <c r="L254" s="77"/>
      <c r="M254" s="79"/>
      <c r="N254" s="77"/>
      <c r="O254" s="79"/>
      <c r="P254" s="92"/>
      <c r="Q254" s="93"/>
    </row>
    <row r="255" spans="2:17" x14ac:dyDescent="0.25">
      <c r="B255" s="73"/>
      <c r="C255" s="74"/>
      <c r="D255" s="80"/>
      <c r="E255" s="81"/>
      <c r="F255" s="81"/>
      <c r="G255" s="81"/>
      <c r="H255" s="81"/>
      <c r="I255" s="82"/>
      <c r="J255" s="80"/>
      <c r="K255" s="82"/>
      <c r="L255" s="80"/>
      <c r="M255" s="82"/>
      <c r="N255" s="80"/>
      <c r="O255" s="82"/>
      <c r="P255" s="94"/>
      <c r="Q255" s="95"/>
    </row>
    <row r="256" spans="2:17" x14ac:dyDescent="0.25">
      <c r="B256" s="75"/>
      <c r="C256" s="76"/>
      <c r="D256" s="83"/>
      <c r="E256" s="84"/>
      <c r="F256" s="84"/>
      <c r="G256" s="84"/>
      <c r="H256" s="84"/>
      <c r="I256" s="85"/>
      <c r="J256" s="83"/>
      <c r="K256" s="85"/>
      <c r="L256" s="83"/>
      <c r="M256" s="85"/>
      <c r="N256" s="83"/>
      <c r="O256" s="85"/>
      <c r="P256" s="96"/>
      <c r="Q256" s="97"/>
    </row>
    <row r="257" spans="2:17" x14ac:dyDescent="0.25">
      <c r="B257" s="71"/>
      <c r="C257" s="72"/>
      <c r="D257" s="77"/>
      <c r="E257" s="78"/>
      <c r="F257" s="78"/>
      <c r="G257" s="78"/>
      <c r="H257" s="78"/>
      <c r="I257" s="79"/>
      <c r="J257" s="77"/>
      <c r="K257" s="79"/>
      <c r="L257" s="77"/>
      <c r="M257" s="79"/>
      <c r="N257" s="77"/>
      <c r="O257" s="79"/>
      <c r="P257" s="92"/>
      <c r="Q257" s="93"/>
    </row>
    <row r="258" spans="2:17" x14ac:dyDescent="0.25">
      <c r="B258" s="73"/>
      <c r="C258" s="74"/>
      <c r="D258" s="80"/>
      <c r="E258" s="81"/>
      <c r="F258" s="81"/>
      <c r="G258" s="81"/>
      <c r="H258" s="81"/>
      <c r="I258" s="82"/>
      <c r="J258" s="80"/>
      <c r="K258" s="82"/>
      <c r="L258" s="80"/>
      <c r="M258" s="82"/>
      <c r="N258" s="80"/>
      <c r="O258" s="82"/>
      <c r="P258" s="94"/>
      <c r="Q258" s="95"/>
    </row>
    <row r="259" spans="2:17" x14ac:dyDescent="0.25">
      <c r="B259" s="75"/>
      <c r="C259" s="76"/>
      <c r="D259" s="83"/>
      <c r="E259" s="84"/>
      <c r="F259" s="84"/>
      <c r="G259" s="84"/>
      <c r="H259" s="84"/>
      <c r="I259" s="85"/>
      <c r="J259" s="83"/>
      <c r="K259" s="85"/>
      <c r="L259" s="83"/>
      <c r="M259" s="85"/>
      <c r="N259" s="83"/>
      <c r="O259" s="85"/>
      <c r="P259" s="96"/>
      <c r="Q259" s="97"/>
    </row>
    <row r="260" spans="2:17" x14ac:dyDescent="0.25">
      <c r="B260" s="71"/>
      <c r="C260" s="72"/>
      <c r="D260" s="77"/>
      <c r="E260" s="78"/>
      <c r="F260" s="78"/>
      <c r="G260" s="78"/>
      <c r="H260" s="78"/>
      <c r="I260" s="79"/>
      <c r="J260" s="77"/>
      <c r="K260" s="79"/>
      <c r="L260" s="77"/>
      <c r="M260" s="79"/>
      <c r="N260" s="77"/>
      <c r="O260" s="79"/>
      <c r="P260" s="92"/>
      <c r="Q260" s="93"/>
    </row>
    <row r="261" spans="2:17" x14ac:dyDescent="0.25">
      <c r="B261" s="73"/>
      <c r="C261" s="74"/>
      <c r="D261" s="80"/>
      <c r="E261" s="81"/>
      <c r="F261" s="81"/>
      <c r="G261" s="81"/>
      <c r="H261" s="81"/>
      <c r="I261" s="82"/>
      <c r="J261" s="80"/>
      <c r="K261" s="82"/>
      <c r="L261" s="80"/>
      <c r="M261" s="82"/>
      <c r="N261" s="80"/>
      <c r="O261" s="82"/>
      <c r="P261" s="94"/>
      <c r="Q261" s="95"/>
    </row>
    <row r="262" spans="2:17" x14ac:dyDescent="0.25">
      <c r="B262" s="75"/>
      <c r="C262" s="76"/>
      <c r="D262" s="83"/>
      <c r="E262" s="84"/>
      <c r="F262" s="84"/>
      <c r="G262" s="84"/>
      <c r="H262" s="84"/>
      <c r="I262" s="85"/>
      <c r="J262" s="83"/>
      <c r="K262" s="85"/>
      <c r="L262" s="83"/>
      <c r="M262" s="85"/>
      <c r="N262" s="83"/>
      <c r="O262" s="85"/>
      <c r="P262" s="96"/>
      <c r="Q262" s="97"/>
    </row>
    <row r="263" spans="2:17" x14ac:dyDescent="0.25">
      <c r="B263" s="71"/>
      <c r="C263" s="72"/>
      <c r="D263" s="77"/>
      <c r="E263" s="78"/>
      <c r="F263" s="78"/>
      <c r="G263" s="78"/>
      <c r="H263" s="78"/>
      <c r="I263" s="79"/>
      <c r="J263" s="77"/>
      <c r="K263" s="79"/>
      <c r="L263" s="77"/>
      <c r="M263" s="79"/>
      <c r="N263" s="77"/>
      <c r="O263" s="79"/>
      <c r="P263" s="92"/>
      <c r="Q263" s="93"/>
    </row>
    <row r="264" spans="2:17" x14ac:dyDescent="0.25">
      <c r="B264" s="73"/>
      <c r="C264" s="74"/>
      <c r="D264" s="80"/>
      <c r="E264" s="81"/>
      <c r="F264" s="81"/>
      <c r="G264" s="81"/>
      <c r="H264" s="81"/>
      <c r="I264" s="82"/>
      <c r="J264" s="80"/>
      <c r="K264" s="82"/>
      <c r="L264" s="80"/>
      <c r="M264" s="82"/>
      <c r="N264" s="80"/>
      <c r="O264" s="82"/>
      <c r="P264" s="94"/>
      <c r="Q264" s="95"/>
    </row>
    <row r="265" spans="2:17" x14ac:dyDescent="0.25">
      <c r="B265" s="75"/>
      <c r="C265" s="76"/>
      <c r="D265" s="83"/>
      <c r="E265" s="84"/>
      <c r="F265" s="84"/>
      <c r="G265" s="84"/>
      <c r="H265" s="84"/>
      <c r="I265" s="85"/>
      <c r="J265" s="83"/>
      <c r="K265" s="85"/>
      <c r="L265" s="83"/>
      <c r="M265" s="85"/>
      <c r="N265" s="83"/>
      <c r="O265" s="85"/>
      <c r="P265" s="96"/>
      <c r="Q265" s="97"/>
    </row>
    <row r="266" spans="2:17" x14ac:dyDescent="0.25">
      <c r="B266" s="71"/>
      <c r="C266" s="72"/>
      <c r="D266" s="77"/>
      <c r="E266" s="78"/>
      <c r="F266" s="78"/>
      <c r="G266" s="78"/>
      <c r="H266" s="78"/>
      <c r="I266" s="79"/>
      <c r="J266" s="77"/>
      <c r="K266" s="79"/>
      <c r="L266" s="77"/>
      <c r="M266" s="79"/>
      <c r="N266" s="77"/>
      <c r="O266" s="79"/>
      <c r="P266" s="92"/>
      <c r="Q266" s="93"/>
    </row>
    <row r="267" spans="2:17" x14ac:dyDescent="0.25">
      <c r="B267" s="73"/>
      <c r="C267" s="74"/>
      <c r="D267" s="80"/>
      <c r="E267" s="81"/>
      <c r="F267" s="81"/>
      <c r="G267" s="81"/>
      <c r="H267" s="81"/>
      <c r="I267" s="82"/>
      <c r="J267" s="80"/>
      <c r="K267" s="82"/>
      <c r="L267" s="80"/>
      <c r="M267" s="82"/>
      <c r="N267" s="80"/>
      <c r="O267" s="82"/>
      <c r="P267" s="94"/>
      <c r="Q267" s="95"/>
    </row>
    <row r="268" spans="2:17" x14ac:dyDescent="0.25">
      <c r="B268" s="75"/>
      <c r="C268" s="76"/>
      <c r="D268" s="83"/>
      <c r="E268" s="84"/>
      <c r="F268" s="84"/>
      <c r="G268" s="84"/>
      <c r="H268" s="84"/>
      <c r="I268" s="85"/>
      <c r="J268" s="83"/>
      <c r="K268" s="85"/>
      <c r="L268" s="83"/>
      <c r="M268" s="85"/>
      <c r="N268" s="83"/>
      <c r="O268" s="85"/>
      <c r="P268" s="96"/>
      <c r="Q268" s="97"/>
    </row>
    <row r="269" spans="2:17" x14ac:dyDescent="0.25">
      <c r="B269" s="71"/>
      <c r="C269" s="72"/>
      <c r="D269" s="77"/>
      <c r="E269" s="78"/>
      <c r="F269" s="78"/>
      <c r="G269" s="78"/>
      <c r="H269" s="78"/>
      <c r="I269" s="79"/>
      <c r="J269" s="77"/>
      <c r="K269" s="79"/>
      <c r="L269" s="77"/>
      <c r="M269" s="79"/>
      <c r="N269" s="77"/>
      <c r="O269" s="79"/>
      <c r="P269" s="92"/>
      <c r="Q269" s="93"/>
    </row>
    <row r="270" spans="2:17" x14ac:dyDescent="0.25">
      <c r="B270" s="73"/>
      <c r="C270" s="74"/>
      <c r="D270" s="80"/>
      <c r="E270" s="81"/>
      <c r="F270" s="81"/>
      <c r="G270" s="81"/>
      <c r="H270" s="81"/>
      <c r="I270" s="82"/>
      <c r="J270" s="80"/>
      <c r="K270" s="82"/>
      <c r="L270" s="80"/>
      <c r="M270" s="82"/>
      <c r="N270" s="80"/>
      <c r="O270" s="82"/>
      <c r="P270" s="94"/>
      <c r="Q270" s="95"/>
    </row>
    <row r="271" spans="2:17" x14ac:dyDescent="0.25">
      <c r="B271" s="75"/>
      <c r="C271" s="76"/>
      <c r="D271" s="83"/>
      <c r="E271" s="84"/>
      <c r="F271" s="84"/>
      <c r="G271" s="84"/>
      <c r="H271" s="84"/>
      <c r="I271" s="85"/>
      <c r="J271" s="83"/>
      <c r="K271" s="85"/>
      <c r="L271" s="83"/>
      <c r="M271" s="85"/>
      <c r="N271" s="83"/>
      <c r="O271" s="85"/>
      <c r="P271" s="96"/>
      <c r="Q271" s="97"/>
    </row>
    <row r="272" spans="2:17" x14ac:dyDescent="0.25">
      <c r="B272" s="71"/>
      <c r="C272" s="72"/>
      <c r="D272" s="77"/>
      <c r="E272" s="78"/>
      <c r="F272" s="78"/>
      <c r="G272" s="78"/>
      <c r="H272" s="78"/>
      <c r="I272" s="79"/>
      <c r="J272" s="77"/>
      <c r="K272" s="79"/>
      <c r="L272" s="77"/>
      <c r="M272" s="79"/>
      <c r="N272" s="77"/>
      <c r="O272" s="79"/>
      <c r="P272" s="92"/>
      <c r="Q272" s="93"/>
    </row>
    <row r="273" spans="2:17" x14ac:dyDescent="0.25">
      <c r="B273" s="73"/>
      <c r="C273" s="74"/>
      <c r="D273" s="80"/>
      <c r="E273" s="81"/>
      <c r="F273" s="81"/>
      <c r="G273" s="81"/>
      <c r="H273" s="81"/>
      <c r="I273" s="82"/>
      <c r="J273" s="80"/>
      <c r="K273" s="82"/>
      <c r="L273" s="80"/>
      <c r="M273" s="82"/>
      <c r="N273" s="80"/>
      <c r="O273" s="82"/>
      <c r="P273" s="94"/>
      <c r="Q273" s="95"/>
    </row>
    <row r="274" spans="2:17" x14ac:dyDescent="0.25">
      <c r="B274" s="75"/>
      <c r="C274" s="76"/>
      <c r="D274" s="83"/>
      <c r="E274" s="84"/>
      <c r="F274" s="84"/>
      <c r="G274" s="84"/>
      <c r="H274" s="84"/>
      <c r="I274" s="85"/>
      <c r="J274" s="83"/>
      <c r="K274" s="85"/>
      <c r="L274" s="83"/>
      <c r="M274" s="85"/>
      <c r="N274" s="83"/>
      <c r="O274" s="85"/>
      <c r="P274" s="96"/>
      <c r="Q274" s="97"/>
    </row>
    <row r="275" spans="2:17" x14ac:dyDescent="0.25">
      <c r="B275" s="71"/>
      <c r="C275" s="72"/>
      <c r="D275" s="77"/>
      <c r="E275" s="78"/>
      <c r="F275" s="78"/>
      <c r="G275" s="78"/>
      <c r="H275" s="78"/>
      <c r="I275" s="79"/>
      <c r="J275" s="77"/>
      <c r="K275" s="79"/>
      <c r="L275" s="77"/>
      <c r="M275" s="79"/>
      <c r="N275" s="77"/>
      <c r="O275" s="79"/>
      <c r="P275" s="92"/>
      <c r="Q275" s="93"/>
    </row>
    <row r="276" spans="2:17" x14ac:dyDescent="0.25">
      <c r="B276" s="73"/>
      <c r="C276" s="74"/>
      <c r="D276" s="80"/>
      <c r="E276" s="81"/>
      <c r="F276" s="81"/>
      <c r="G276" s="81"/>
      <c r="H276" s="81"/>
      <c r="I276" s="82"/>
      <c r="J276" s="80"/>
      <c r="K276" s="82"/>
      <c r="L276" s="80"/>
      <c r="M276" s="82"/>
      <c r="N276" s="80"/>
      <c r="O276" s="82"/>
      <c r="P276" s="94"/>
      <c r="Q276" s="95"/>
    </row>
    <row r="277" spans="2:17" x14ac:dyDescent="0.25">
      <c r="B277" s="75"/>
      <c r="C277" s="76"/>
      <c r="D277" s="83"/>
      <c r="E277" s="84"/>
      <c r="F277" s="84"/>
      <c r="G277" s="84"/>
      <c r="H277" s="84"/>
      <c r="I277" s="85"/>
      <c r="J277" s="83"/>
      <c r="K277" s="85"/>
      <c r="L277" s="83"/>
      <c r="M277" s="85"/>
      <c r="N277" s="83"/>
      <c r="O277" s="85"/>
      <c r="P277" s="96"/>
      <c r="Q277" s="97"/>
    </row>
    <row r="278" spans="2:17" x14ac:dyDescent="0.25">
      <c r="B278" s="71"/>
      <c r="C278" s="72"/>
      <c r="D278" s="77"/>
      <c r="E278" s="78"/>
      <c r="F278" s="78"/>
      <c r="G278" s="78"/>
      <c r="H278" s="78"/>
      <c r="I278" s="79"/>
      <c r="J278" s="77"/>
      <c r="K278" s="79"/>
      <c r="L278" s="77"/>
      <c r="M278" s="79"/>
      <c r="N278" s="77"/>
      <c r="O278" s="79"/>
      <c r="P278" s="92"/>
      <c r="Q278" s="93"/>
    </row>
    <row r="279" spans="2:17" x14ac:dyDescent="0.25">
      <c r="B279" s="73"/>
      <c r="C279" s="74"/>
      <c r="D279" s="80"/>
      <c r="E279" s="81"/>
      <c r="F279" s="81"/>
      <c r="G279" s="81"/>
      <c r="H279" s="81"/>
      <c r="I279" s="82"/>
      <c r="J279" s="80"/>
      <c r="K279" s="82"/>
      <c r="L279" s="80"/>
      <c r="M279" s="82"/>
      <c r="N279" s="80"/>
      <c r="O279" s="82"/>
      <c r="P279" s="94"/>
      <c r="Q279" s="95"/>
    </row>
    <row r="280" spans="2:17" x14ac:dyDescent="0.25">
      <c r="B280" s="75"/>
      <c r="C280" s="76"/>
      <c r="D280" s="83"/>
      <c r="E280" s="84"/>
      <c r="F280" s="84"/>
      <c r="G280" s="84"/>
      <c r="H280" s="84"/>
      <c r="I280" s="85"/>
      <c r="J280" s="83"/>
      <c r="K280" s="85"/>
      <c r="L280" s="83"/>
      <c r="M280" s="85"/>
      <c r="N280" s="83"/>
      <c r="O280" s="85"/>
      <c r="P280" s="96"/>
      <c r="Q280" s="97"/>
    </row>
    <row r="281" spans="2:17" x14ac:dyDescent="0.25">
      <c r="B281" s="71"/>
      <c r="C281" s="72"/>
      <c r="D281" s="77"/>
      <c r="E281" s="78"/>
      <c r="F281" s="78"/>
      <c r="G281" s="78"/>
      <c r="H281" s="78"/>
      <c r="I281" s="79"/>
      <c r="J281" s="77"/>
      <c r="K281" s="79"/>
      <c r="L281" s="77"/>
      <c r="M281" s="79"/>
      <c r="N281" s="77"/>
      <c r="O281" s="79"/>
      <c r="P281" s="92"/>
      <c r="Q281" s="93"/>
    </row>
    <row r="282" spans="2:17" x14ac:dyDescent="0.25">
      <c r="B282" s="73"/>
      <c r="C282" s="74"/>
      <c r="D282" s="80"/>
      <c r="E282" s="81"/>
      <c r="F282" s="81"/>
      <c r="G282" s="81"/>
      <c r="H282" s="81"/>
      <c r="I282" s="82"/>
      <c r="J282" s="80"/>
      <c r="K282" s="82"/>
      <c r="L282" s="80"/>
      <c r="M282" s="82"/>
      <c r="N282" s="80"/>
      <c r="O282" s="82"/>
      <c r="P282" s="94"/>
      <c r="Q282" s="95"/>
    </row>
    <row r="283" spans="2:17" x14ac:dyDescent="0.25">
      <c r="B283" s="75"/>
      <c r="C283" s="76"/>
      <c r="D283" s="83"/>
      <c r="E283" s="84"/>
      <c r="F283" s="84"/>
      <c r="G283" s="84"/>
      <c r="H283" s="84"/>
      <c r="I283" s="85"/>
      <c r="J283" s="83"/>
      <c r="K283" s="85"/>
      <c r="L283" s="83"/>
      <c r="M283" s="85"/>
      <c r="N283" s="83"/>
      <c r="O283" s="85"/>
      <c r="P283" s="96"/>
      <c r="Q283" s="97"/>
    </row>
    <row r="284" spans="2:17" x14ac:dyDescent="0.25">
      <c r="B284" s="71"/>
      <c r="C284" s="72"/>
      <c r="D284" s="77"/>
      <c r="E284" s="78"/>
      <c r="F284" s="78"/>
      <c r="G284" s="78"/>
      <c r="H284" s="78"/>
      <c r="I284" s="79"/>
      <c r="J284" s="77"/>
      <c r="K284" s="79"/>
      <c r="L284" s="77"/>
      <c r="M284" s="79"/>
      <c r="N284" s="77"/>
      <c r="O284" s="79"/>
      <c r="P284" s="92"/>
      <c r="Q284" s="93"/>
    </row>
    <row r="285" spans="2:17" x14ac:dyDescent="0.25">
      <c r="B285" s="73"/>
      <c r="C285" s="74"/>
      <c r="D285" s="80"/>
      <c r="E285" s="81"/>
      <c r="F285" s="81"/>
      <c r="G285" s="81"/>
      <c r="H285" s="81"/>
      <c r="I285" s="82"/>
      <c r="J285" s="80"/>
      <c r="K285" s="82"/>
      <c r="L285" s="80"/>
      <c r="M285" s="82"/>
      <c r="N285" s="80"/>
      <c r="O285" s="82"/>
      <c r="P285" s="94"/>
      <c r="Q285" s="95"/>
    </row>
    <row r="286" spans="2:17" x14ac:dyDescent="0.25">
      <c r="B286" s="75"/>
      <c r="C286" s="76"/>
      <c r="D286" s="83"/>
      <c r="E286" s="84"/>
      <c r="F286" s="84"/>
      <c r="G286" s="84"/>
      <c r="H286" s="84"/>
      <c r="I286" s="85"/>
      <c r="J286" s="83"/>
      <c r="K286" s="85"/>
      <c r="L286" s="83"/>
      <c r="M286" s="85"/>
      <c r="N286" s="83"/>
      <c r="O286" s="85"/>
      <c r="P286" s="96"/>
      <c r="Q286" s="97"/>
    </row>
    <row r="287" spans="2:17" x14ac:dyDescent="0.25">
      <c r="B287" s="71"/>
      <c r="C287" s="72"/>
      <c r="D287" s="77"/>
      <c r="E287" s="78"/>
      <c r="F287" s="78"/>
      <c r="G287" s="78"/>
      <c r="H287" s="78"/>
      <c r="I287" s="79"/>
      <c r="J287" s="77"/>
      <c r="K287" s="79"/>
      <c r="L287" s="77"/>
      <c r="M287" s="79"/>
      <c r="N287" s="77"/>
      <c r="O287" s="79"/>
      <c r="P287" s="92"/>
      <c r="Q287" s="93"/>
    </row>
    <row r="288" spans="2:17" x14ac:dyDescent="0.25">
      <c r="B288" s="73"/>
      <c r="C288" s="74"/>
      <c r="D288" s="80"/>
      <c r="E288" s="81"/>
      <c r="F288" s="81"/>
      <c r="G288" s="81"/>
      <c r="H288" s="81"/>
      <c r="I288" s="82"/>
      <c r="J288" s="80"/>
      <c r="K288" s="82"/>
      <c r="L288" s="80"/>
      <c r="M288" s="82"/>
      <c r="N288" s="80"/>
      <c r="O288" s="82"/>
      <c r="P288" s="94"/>
      <c r="Q288" s="95"/>
    </row>
    <row r="289" spans="2:17" x14ac:dyDescent="0.25">
      <c r="B289" s="75"/>
      <c r="C289" s="76"/>
      <c r="D289" s="83"/>
      <c r="E289" s="84"/>
      <c r="F289" s="84"/>
      <c r="G289" s="84"/>
      <c r="H289" s="84"/>
      <c r="I289" s="85"/>
      <c r="J289" s="83"/>
      <c r="K289" s="85"/>
      <c r="L289" s="83"/>
      <c r="M289" s="85"/>
      <c r="N289" s="83"/>
      <c r="O289" s="85"/>
      <c r="P289" s="96"/>
      <c r="Q289" s="97"/>
    </row>
    <row r="290" spans="2:17" x14ac:dyDescent="0.25">
      <c r="B290" s="71"/>
      <c r="C290" s="72"/>
      <c r="D290" s="77"/>
      <c r="E290" s="78"/>
      <c r="F290" s="78"/>
      <c r="G290" s="78"/>
      <c r="H290" s="78"/>
      <c r="I290" s="79"/>
      <c r="J290" s="77"/>
      <c r="K290" s="79"/>
      <c r="L290" s="77"/>
      <c r="M290" s="79"/>
      <c r="N290" s="77"/>
      <c r="O290" s="79"/>
      <c r="P290" s="92"/>
      <c r="Q290" s="93"/>
    </row>
    <row r="291" spans="2:17" x14ac:dyDescent="0.25">
      <c r="B291" s="73"/>
      <c r="C291" s="74"/>
      <c r="D291" s="80"/>
      <c r="E291" s="81"/>
      <c r="F291" s="81"/>
      <c r="G291" s="81"/>
      <c r="H291" s="81"/>
      <c r="I291" s="82"/>
      <c r="J291" s="80"/>
      <c r="K291" s="82"/>
      <c r="L291" s="80"/>
      <c r="M291" s="82"/>
      <c r="N291" s="80"/>
      <c r="O291" s="82"/>
      <c r="P291" s="94"/>
      <c r="Q291" s="95"/>
    </row>
    <row r="292" spans="2:17" x14ac:dyDescent="0.25">
      <c r="B292" s="75"/>
      <c r="C292" s="76"/>
      <c r="D292" s="83"/>
      <c r="E292" s="84"/>
      <c r="F292" s="84"/>
      <c r="G292" s="84"/>
      <c r="H292" s="84"/>
      <c r="I292" s="85"/>
      <c r="J292" s="83"/>
      <c r="K292" s="85"/>
      <c r="L292" s="83"/>
      <c r="M292" s="85"/>
      <c r="N292" s="83"/>
      <c r="O292" s="85"/>
      <c r="P292" s="96"/>
      <c r="Q292" s="97"/>
    </row>
    <row r="293" spans="2:17" x14ac:dyDescent="0.25">
      <c r="B293" s="71"/>
      <c r="C293" s="72"/>
      <c r="D293" s="77"/>
      <c r="E293" s="78"/>
      <c r="F293" s="78"/>
      <c r="G293" s="78"/>
      <c r="H293" s="78"/>
      <c r="I293" s="79"/>
      <c r="J293" s="77"/>
      <c r="K293" s="79"/>
      <c r="L293" s="77"/>
      <c r="M293" s="79"/>
      <c r="N293" s="77"/>
      <c r="O293" s="79"/>
      <c r="P293" s="92"/>
      <c r="Q293" s="93"/>
    </row>
    <row r="294" spans="2:17" x14ac:dyDescent="0.25">
      <c r="B294" s="73"/>
      <c r="C294" s="74"/>
      <c r="D294" s="80"/>
      <c r="E294" s="81"/>
      <c r="F294" s="81"/>
      <c r="G294" s="81"/>
      <c r="H294" s="81"/>
      <c r="I294" s="82"/>
      <c r="J294" s="80"/>
      <c r="K294" s="82"/>
      <c r="L294" s="80"/>
      <c r="M294" s="82"/>
      <c r="N294" s="80"/>
      <c r="O294" s="82"/>
      <c r="P294" s="94"/>
      <c r="Q294" s="95"/>
    </row>
    <row r="295" spans="2:17" x14ac:dyDescent="0.25">
      <c r="B295" s="75"/>
      <c r="C295" s="76"/>
      <c r="D295" s="83"/>
      <c r="E295" s="84"/>
      <c r="F295" s="84"/>
      <c r="G295" s="84"/>
      <c r="H295" s="84"/>
      <c r="I295" s="85"/>
      <c r="J295" s="83"/>
      <c r="K295" s="85"/>
      <c r="L295" s="83"/>
      <c r="M295" s="85"/>
      <c r="N295" s="83"/>
      <c r="O295" s="85"/>
      <c r="P295" s="96"/>
      <c r="Q295" s="97"/>
    </row>
    <row r="296" spans="2:17" x14ac:dyDescent="0.25">
      <c r="B296" s="77"/>
      <c r="C296" s="79"/>
      <c r="D296" s="77"/>
      <c r="E296" s="78"/>
      <c r="F296" s="78"/>
      <c r="G296" s="78"/>
      <c r="H296" s="78"/>
      <c r="I296" s="79"/>
      <c r="J296" s="77"/>
      <c r="K296" s="79"/>
      <c r="L296" s="77"/>
      <c r="M296" s="79"/>
      <c r="N296" s="77"/>
      <c r="O296" s="79"/>
      <c r="P296" s="92"/>
      <c r="Q296" s="93"/>
    </row>
    <row r="297" spans="2:17" x14ac:dyDescent="0.25">
      <c r="B297" s="80"/>
      <c r="C297" s="82"/>
      <c r="D297" s="80"/>
      <c r="E297" s="81"/>
      <c r="F297" s="81"/>
      <c r="G297" s="81"/>
      <c r="H297" s="81"/>
      <c r="I297" s="82"/>
      <c r="J297" s="80"/>
      <c r="K297" s="82"/>
      <c r="L297" s="80"/>
      <c r="M297" s="82"/>
      <c r="N297" s="80"/>
      <c r="O297" s="82"/>
      <c r="P297" s="94"/>
      <c r="Q297" s="95"/>
    </row>
    <row r="298" spans="2:17" x14ac:dyDescent="0.25">
      <c r="B298" s="83"/>
      <c r="C298" s="85"/>
      <c r="D298" s="83"/>
      <c r="E298" s="84"/>
      <c r="F298" s="84"/>
      <c r="G298" s="84"/>
      <c r="H298" s="84"/>
      <c r="I298" s="85"/>
      <c r="J298" s="83"/>
      <c r="K298" s="85"/>
      <c r="L298" s="83"/>
      <c r="M298" s="85"/>
      <c r="N298" s="83"/>
      <c r="O298" s="85"/>
      <c r="P298" s="96"/>
      <c r="Q298" s="97"/>
    </row>
  </sheetData>
  <sheetProtection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620"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B98:C100"/>
    <mergeCell ref="D98:I100"/>
    <mergeCell ref="J98:K100"/>
    <mergeCell ref="L98:M100"/>
    <mergeCell ref="N98:O100"/>
    <mergeCell ref="P92:Q94"/>
    <mergeCell ref="B95:C97"/>
    <mergeCell ref="D95:I97"/>
    <mergeCell ref="J95:K97"/>
    <mergeCell ref="L95:M97"/>
    <mergeCell ref="N95:O97"/>
    <mergeCell ref="P95:Q97"/>
    <mergeCell ref="B92:C94"/>
    <mergeCell ref="D92:I94"/>
    <mergeCell ref="J92:K94"/>
    <mergeCell ref="L92:M94"/>
    <mergeCell ref="N92:O94"/>
    <mergeCell ref="B89:C91"/>
    <mergeCell ref="D89:I91"/>
    <mergeCell ref="J89:K91"/>
    <mergeCell ref="L89:M91"/>
    <mergeCell ref="N89:O91"/>
    <mergeCell ref="P89:Q91"/>
    <mergeCell ref="B86:C88"/>
    <mergeCell ref="D86:I88"/>
    <mergeCell ref="J86:K88"/>
    <mergeCell ref="L86:M88"/>
    <mergeCell ref="N86:O88"/>
    <mergeCell ref="B83:C85"/>
    <mergeCell ref="D83:I85"/>
    <mergeCell ref="J83:K85"/>
    <mergeCell ref="L83:M85"/>
    <mergeCell ref="N83:O85"/>
    <mergeCell ref="P83:Q85"/>
    <mergeCell ref="B80:C82"/>
    <mergeCell ref="D80:I82"/>
    <mergeCell ref="J80:K82"/>
    <mergeCell ref="L80:M82"/>
    <mergeCell ref="N80:O82"/>
    <mergeCell ref="B77:C79"/>
    <mergeCell ref="D77:I79"/>
    <mergeCell ref="J77:K79"/>
    <mergeCell ref="L77:M79"/>
    <mergeCell ref="N77:O79"/>
    <mergeCell ref="P77:Q79"/>
    <mergeCell ref="B74:C76"/>
    <mergeCell ref="D74:I76"/>
    <mergeCell ref="J74:K76"/>
    <mergeCell ref="L74:M76"/>
    <mergeCell ref="N74:O76"/>
    <mergeCell ref="P68:Q70"/>
    <mergeCell ref="B71:C73"/>
    <mergeCell ref="D71:I73"/>
    <mergeCell ref="J71:K73"/>
    <mergeCell ref="L71:M73"/>
    <mergeCell ref="N71:O73"/>
    <mergeCell ref="P71:Q73"/>
    <mergeCell ref="B68:C70"/>
    <mergeCell ref="D68:I70"/>
    <mergeCell ref="J68:K70"/>
    <mergeCell ref="L68:M70"/>
    <mergeCell ref="N68:O70"/>
    <mergeCell ref="P62:Q64"/>
    <mergeCell ref="B65:C67"/>
    <mergeCell ref="D65:I67"/>
    <mergeCell ref="J65:K67"/>
    <mergeCell ref="L65:M67"/>
    <mergeCell ref="N65:O67"/>
    <mergeCell ref="P65:Q67"/>
    <mergeCell ref="B62:C64"/>
    <mergeCell ref="D62:I64"/>
    <mergeCell ref="J62:K64"/>
    <mergeCell ref="L62:M64"/>
    <mergeCell ref="N62:O64"/>
    <mergeCell ref="P56:Q58"/>
    <mergeCell ref="B59:C61"/>
    <mergeCell ref="D59:I61"/>
    <mergeCell ref="J59:K61"/>
    <mergeCell ref="L59:M61"/>
    <mergeCell ref="N59:O61"/>
    <mergeCell ref="P59:Q61"/>
    <mergeCell ref="B56:C58"/>
    <mergeCell ref="D56:I58"/>
    <mergeCell ref="J56:K58"/>
    <mergeCell ref="L56:M58"/>
    <mergeCell ref="N56:O58"/>
    <mergeCell ref="N50:O52"/>
    <mergeCell ref="P50:Q52"/>
    <mergeCell ref="B53:C55"/>
    <mergeCell ref="D53:I55"/>
    <mergeCell ref="J53:K55"/>
    <mergeCell ref="L53:M55"/>
    <mergeCell ref="N53:O55"/>
    <mergeCell ref="P53:Q55"/>
    <mergeCell ref="B50:C52"/>
    <mergeCell ref="D50:I52"/>
    <mergeCell ref="J50:K52"/>
    <mergeCell ref="L50:M52"/>
    <mergeCell ref="P47:Q49"/>
    <mergeCell ref="B44:C46"/>
    <mergeCell ref="D44:I46"/>
    <mergeCell ref="J44:K46"/>
    <mergeCell ref="L44:M46"/>
    <mergeCell ref="N44:O46"/>
    <mergeCell ref="P44:Q46"/>
    <mergeCell ref="B47:C49"/>
    <mergeCell ref="D47:I49"/>
    <mergeCell ref="J47:K49"/>
    <mergeCell ref="L47:M49"/>
    <mergeCell ref="N47:O49"/>
    <mergeCell ref="P41:Q43"/>
    <mergeCell ref="B38:C40"/>
    <mergeCell ref="D38:I40"/>
    <mergeCell ref="J38:K40"/>
    <mergeCell ref="L38:M40"/>
    <mergeCell ref="N38:O40"/>
    <mergeCell ref="P38:Q40"/>
    <mergeCell ref="B41:C43"/>
    <mergeCell ref="D41:I43"/>
    <mergeCell ref="J41:K43"/>
    <mergeCell ref="L41:M43"/>
    <mergeCell ref="N41:O43"/>
    <mergeCell ref="P35:Q37"/>
    <mergeCell ref="B32:C34"/>
    <mergeCell ref="D32:I34"/>
    <mergeCell ref="J32:K34"/>
    <mergeCell ref="L32:M34"/>
    <mergeCell ref="N32:O34"/>
    <mergeCell ref="P32:Q34"/>
    <mergeCell ref="B35:C37"/>
    <mergeCell ref="D35:I37"/>
    <mergeCell ref="J35:K37"/>
    <mergeCell ref="L35:M37"/>
    <mergeCell ref="N35:O37"/>
    <mergeCell ref="P29:Q31"/>
    <mergeCell ref="B26:C28"/>
    <mergeCell ref="D26:I28"/>
    <mergeCell ref="J26:K28"/>
    <mergeCell ref="L26:M28"/>
    <mergeCell ref="N26:O28"/>
    <mergeCell ref="P26:Q28"/>
    <mergeCell ref="B29:C31"/>
    <mergeCell ref="D29:I31"/>
    <mergeCell ref="J29:K31"/>
    <mergeCell ref="L29:M31"/>
    <mergeCell ref="N29:O31"/>
    <mergeCell ref="P23:Q25"/>
    <mergeCell ref="B20:C22"/>
    <mergeCell ref="D20:I22"/>
    <mergeCell ref="J20:K22"/>
    <mergeCell ref="L20:M22"/>
    <mergeCell ref="N20:O22"/>
    <mergeCell ref="P20:Q22"/>
    <mergeCell ref="B23:C25"/>
    <mergeCell ref="D23:I25"/>
    <mergeCell ref="J23:K25"/>
    <mergeCell ref="L23:M25"/>
    <mergeCell ref="N23:O25"/>
    <mergeCell ref="P17:Q19"/>
    <mergeCell ref="B14:C16"/>
    <mergeCell ref="D14:I16"/>
    <mergeCell ref="J14:K16"/>
    <mergeCell ref="L14:M16"/>
    <mergeCell ref="N14:O16"/>
    <mergeCell ref="P14:Q16"/>
    <mergeCell ref="B17:C19"/>
    <mergeCell ref="D17:I19"/>
    <mergeCell ref="J17:K19"/>
    <mergeCell ref="L17:M19"/>
    <mergeCell ref="N17:O19"/>
    <mergeCell ref="K5:L5"/>
    <mergeCell ref="M5:N5"/>
    <mergeCell ref="A1:C3"/>
    <mergeCell ref="E1:F3"/>
    <mergeCell ref="G1:H3"/>
    <mergeCell ref="E5:F5"/>
    <mergeCell ref="G5:H5"/>
    <mergeCell ref="I5:J5"/>
    <mergeCell ref="P11:Q13"/>
    <mergeCell ref="B8:C10"/>
    <mergeCell ref="D8:I10"/>
    <mergeCell ref="J8:K10"/>
    <mergeCell ref="L8:M10"/>
    <mergeCell ref="N8:O10"/>
    <mergeCell ref="P8:Q10"/>
    <mergeCell ref="B11:C13"/>
    <mergeCell ref="D11:I13"/>
    <mergeCell ref="J11:K13"/>
    <mergeCell ref="L11:M13"/>
    <mergeCell ref="N11:O13"/>
    <mergeCell ref="B101:C103"/>
    <mergeCell ref="D101:I103"/>
    <mergeCell ref="J101:K103"/>
    <mergeCell ref="L101:M103"/>
    <mergeCell ref="N101:O103"/>
    <mergeCell ref="P101:Q103"/>
    <mergeCell ref="B104:C106"/>
    <mergeCell ref="D104:I106"/>
    <mergeCell ref="J104:K106"/>
    <mergeCell ref="L104:M106"/>
    <mergeCell ref="N104:O106"/>
    <mergeCell ref="P104:Q106"/>
    <mergeCell ref="B107:C109"/>
    <mergeCell ref="D107:I109"/>
    <mergeCell ref="J107:K109"/>
    <mergeCell ref="L107:M109"/>
    <mergeCell ref="N107:O109"/>
    <mergeCell ref="P107:Q109"/>
    <mergeCell ref="B110:C112"/>
    <mergeCell ref="D110:I112"/>
    <mergeCell ref="J110:K112"/>
    <mergeCell ref="L110:M112"/>
    <mergeCell ref="N110:O112"/>
    <mergeCell ref="P110:Q112"/>
    <mergeCell ref="B113:C115"/>
    <mergeCell ref="D113:I115"/>
    <mergeCell ref="J113:K115"/>
    <mergeCell ref="L113:M115"/>
    <mergeCell ref="N113:O115"/>
    <mergeCell ref="P113:Q115"/>
    <mergeCell ref="B116:C118"/>
    <mergeCell ref="D116:I118"/>
    <mergeCell ref="J116:K118"/>
    <mergeCell ref="L116:M118"/>
    <mergeCell ref="N116:O118"/>
    <mergeCell ref="P116:Q118"/>
    <mergeCell ref="B119:C121"/>
    <mergeCell ref="D119:I121"/>
    <mergeCell ref="J119:K121"/>
    <mergeCell ref="L119:M121"/>
    <mergeCell ref="N119:O121"/>
    <mergeCell ref="P119:Q121"/>
    <mergeCell ref="B122:C124"/>
    <mergeCell ref="D122:I124"/>
    <mergeCell ref="J122:K124"/>
    <mergeCell ref="L122:M124"/>
    <mergeCell ref="N122:O124"/>
    <mergeCell ref="P122:Q124"/>
    <mergeCell ref="B125:C127"/>
    <mergeCell ref="D125:I127"/>
    <mergeCell ref="J125:K127"/>
    <mergeCell ref="L125:M127"/>
    <mergeCell ref="N125:O127"/>
    <mergeCell ref="P125:Q127"/>
    <mergeCell ref="B128:C130"/>
    <mergeCell ref="D128:I130"/>
    <mergeCell ref="J128:K130"/>
    <mergeCell ref="L128:M130"/>
    <mergeCell ref="N128:O130"/>
    <mergeCell ref="P128:Q130"/>
    <mergeCell ref="B131:C133"/>
    <mergeCell ref="D131:I133"/>
    <mergeCell ref="J131:K133"/>
    <mergeCell ref="L131:M133"/>
    <mergeCell ref="N131:O133"/>
    <mergeCell ref="P131:Q133"/>
    <mergeCell ref="B134:C136"/>
    <mergeCell ref="D134:I136"/>
    <mergeCell ref="J134:K136"/>
    <mergeCell ref="L134:M136"/>
    <mergeCell ref="N134:O136"/>
    <mergeCell ref="P134:Q136"/>
    <mergeCell ref="B137:C139"/>
    <mergeCell ref="D137:I139"/>
    <mergeCell ref="J137:K139"/>
    <mergeCell ref="L137:M139"/>
    <mergeCell ref="N137:O139"/>
    <mergeCell ref="P137:Q139"/>
    <mergeCell ref="B140:C142"/>
    <mergeCell ref="D140:I142"/>
    <mergeCell ref="J140:K142"/>
    <mergeCell ref="L140:M142"/>
    <mergeCell ref="N140:O142"/>
    <mergeCell ref="P140:Q142"/>
    <mergeCell ref="B143:C145"/>
    <mergeCell ref="D143:I145"/>
    <mergeCell ref="J143:K145"/>
    <mergeCell ref="L143:M145"/>
    <mergeCell ref="N143:O145"/>
    <mergeCell ref="P143:Q145"/>
    <mergeCell ref="B146:C148"/>
    <mergeCell ref="D146:I148"/>
    <mergeCell ref="J146:K148"/>
    <mergeCell ref="L146:M148"/>
    <mergeCell ref="N146:O148"/>
    <mergeCell ref="P146:Q148"/>
    <mergeCell ref="B149:C151"/>
    <mergeCell ref="D149:I151"/>
    <mergeCell ref="J149:K151"/>
    <mergeCell ref="L149:M151"/>
    <mergeCell ref="N149:O151"/>
    <mergeCell ref="P149:Q151"/>
    <mergeCell ref="B152:C154"/>
    <mergeCell ref="D152:I154"/>
    <mergeCell ref="J152:K154"/>
    <mergeCell ref="L152:M154"/>
    <mergeCell ref="N152:O154"/>
    <mergeCell ref="P152:Q154"/>
    <mergeCell ref="B155:C157"/>
    <mergeCell ref="D155:I157"/>
    <mergeCell ref="J155:K157"/>
    <mergeCell ref="L155:M157"/>
    <mergeCell ref="N155:O157"/>
    <mergeCell ref="P155:Q157"/>
    <mergeCell ref="B158:C160"/>
    <mergeCell ref="D158:I160"/>
    <mergeCell ref="J158:K160"/>
    <mergeCell ref="L158:M160"/>
    <mergeCell ref="N158:O160"/>
    <mergeCell ref="P158:Q160"/>
    <mergeCell ref="B161:C163"/>
    <mergeCell ref="D161:I163"/>
    <mergeCell ref="J161:K163"/>
    <mergeCell ref="L161:M163"/>
    <mergeCell ref="N161:O163"/>
    <mergeCell ref="P161:Q163"/>
    <mergeCell ref="B164:C166"/>
    <mergeCell ref="D164:I166"/>
    <mergeCell ref="J164:K166"/>
    <mergeCell ref="L164:M166"/>
    <mergeCell ref="N164:O166"/>
    <mergeCell ref="P164:Q166"/>
    <mergeCell ref="B167:C169"/>
    <mergeCell ref="D167:I169"/>
    <mergeCell ref="J167:K169"/>
    <mergeCell ref="L167:M169"/>
    <mergeCell ref="N167:O169"/>
    <mergeCell ref="P167:Q169"/>
    <mergeCell ref="B170:C172"/>
    <mergeCell ref="D170:I172"/>
    <mergeCell ref="J170:K172"/>
    <mergeCell ref="L170:M172"/>
    <mergeCell ref="N170:O172"/>
    <mergeCell ref="P170:Q172"/>
    <mergeCell ref="B173:C175"/>
    <mergeCell ref="D173:I175"/>
    <mergeCell ref="J173:K175"/>
    <mergeCell ref="L173:M175"/>
    <mergeCell ref="N173:O175"/>
    <mergeCell ref="P173:Q175"/>
    <mergeCell ref="B176:C178"/>
    <mergeCell ref="D176:I178"/>
    <mergeCell ref="J176:K178"/>
    <mergeCell ref="L176:M178"/>
    <mergeCell ref="N176:O178"/>
    <mergeCell ref="P176:Q178"/>
    <mergeCell ref="B179:C181"/>
    <mergeCell ref="D179:I181"/>
    <mergeCell ref="J179:K181"/>
    <mergeCell ref="L179:M181"/>
    <mergeCell ref="N179:O181"/>
    <mergeCell ref="P179:Q181"/>
    <mergeCell ref="B182:C184"/>
    <mergeCell ref="D182:I184"/>
    <mergeCell ref="J182:K184"/>
    <mergeCell ref="L182:M184"/>
    <mergeCell ref="N182:O184"/>
    <mergeCell ref="P182:Q184"/>
    <mergeCell ref="B185:C187"/>
    <mergeCell ref="D185:I187"/>
    <mergeCell ref="J185:K187"/>
    <mergeCell ref="L185:M187"/>
    <mergeCell ref="N185:O187"/>
    <mergeCell ref="P185:Q187"/>
    <mergeCell ref="B188:C190"/>
    <mergeCell ref="D188:I190"/>
    <mergeCell ref="J188:K190"/>
    <mergeCell ref="L188:M190"/>
    <mergeCell ref="N188:O190"/>
    <mergeCell ref="P188:Q190"/>
    <mergeCell ref="B191:C193"/>
    <mergeCell ref="D191:I193"/>
    <mergeCell ref="J191:K193"/>
    <mergeCell ref="L191:M193"/>
    <mergeCell ref="N191:O193"/>
    <mergeCell ref="P191:Q193"/>
    <mergeCell ref="B194:C196"/>
    <mergeCell ref="D194:I196"/>
    <mergeCell ref="J194:K196"/>
    <mergeCell ref="L194:M196"/>
    <mergeCell ref="N194:O196"/>
    <mergeCell ref="P194:Q196"/>
    <mergeCell ref="B197:C199"/>
    <mergeCell ref="D197:I199"/>
    <mergeCell ref="J197:K199"/>
    <mergeCell ref="L197:M199"/>
    <mergeCell ref="N197:O199"/>
    <mergeCell ref="P197:Q199"/>
    <mergeCell ref="B200:C202"/>
    <mergeCell ref="D200:I202"/>
    <mergeCell ref="J200:K202"/>
    <mergeCell ref="L200:M202"/>
    <mergeCell ref="N200:O202"/>
    <mergeCell ref="P200:Q202"/>
    <mergeCell ref="B203:C205"/>
    <mergeCell ref="D203:I205"/>
    <mergeCell ref="J203:K205"/>
    <mergeCell ref="L203:M205"/>
    <mergeCell ref="N203:O205"/>
    <mergeCell ref="P203:Q205"/>
    <mergeCell ref="B206:C208"/>
    <mergeCell ref="D206:I208"/>
    <mergeCell ref="J206:K208"/>
    <mergeCell ref="L206:M208"/>
    <mergeCell ref="N206:O208"/>
    <mergeCell ref="P206:Q208"/>
    <mergeCell ref="B209:C211"/>
    <mergeCell ref="D209:I211"/>
    <mergeCell ref="J209:K211"/>
    <mergeCell ref="L209:M211"/>
    <mergeCell ref="N209:O211"/>
    <mergeCell ref="P209:Q211"/>
    <mergeCell ref="B212:C214"/>
    <mergeCell ref="D212:I214"/>
    <mergeCell ref="J212:K214"/>
    <mergeCell ref="L212:M214"/>
    <mergeCell ref="N212:O214"/>
    <mergeCell ref="P212:Q214"/>
    <mergeCell ref="B215:C217"/>
    <mergeCell ref="D215:I217"/>
    <mergeCell ref="J215:K217"/>
    <mergeCell ref="L215:M217"/>
    <mergeCell ref="N215:O217"/>
    <mergeCell ref="P215:Q217"/>
    <mergeCell ref="B218:C220"/>
    <mergeCell ref="D218:I220"/>
    <mergeCell ref="J218:K220"/>
    <mergeCell ref="L218:M220"/>
    <mergeCell ref="N218:O220"/>
    <mergeCell ref="P218:Q220"/>
    <mergeCell ref="B221:C223"/>
    <mergeCell ref="D221:I223"/>
    <mergeCell ref="J221:K223"/>
    <mergeCell ref="L221:M223"/>
    <mergeCell ref="N221:O223"/>
    <mergeCell ref="P221:Q223"/>
    <mergeCell ref="B224:C226"/>
    <mergeCell ref="D224:I226"/>
    <mergeCell ref="J224:K226"/>
    <mergeCell ref="L224:M226"/>
    <mergeCell ref="N224:O226"/>
    <mergeCell ref="P224:Q226"/>
    <mergeCell ref="B227:C229"/>
    <mergeCell ref="D227:I229"/>
    <mergeCell ref="J227:K229"/>
    <mergeCell ref="L227:M229"/>
    <mergeCell ref="N227:O229"/>
    <mergeCell ref="P227:Q229"/>
    <mergeCell ref="B230:C232"/>
    <mergeCell ref="D230:I232"/>
    <mergeCell ref="J230:K232"/>
    <mergeCell ref="L230:M232"/>
    <mergeCell ref="N230:O232"/>
    <mergeCell ref="P230:Q232"/>
    <mergeCell ref="B233:C235"/>
    <mergeCell ref="D233:I235"/>
    <mergeCell ref="J233:K235"/>
    <mergeCell ref="L233:M235"/>
    <mergeCell ref="N233:O235"/>
    <mergeCell ref="P233:Q235"/>
    <mergeCell ref="B236:C238"/>
    <mergeCell ref="D236:I238"/>
    <mergeCell ref="J236:K238"/>
    <mergeCell ref="L236:M238"/>
    <mergeCell ref="N236:O238"/>
    <mergeCell ref="P236:Q238"/>
    <mergeCell ref="B239:C241"/>
    <mergeCell ref="D239:I241"/>
    <mergeCell ref="J239:K241"/>
    <mergeCell ref="L239:M241"/>
    <mergeCell ref="N239:O241"/>
    <mergeCell ref="P239:Q241"/>
    <mergeCell ref="B242:C244"/>
    <mergeCell ref="D242:I244"/>
    <mergeCell ref="J242:K244"/>
    <mergeCell ref="L242:M244"/>
    <mergeCell ref="N242:O244"/>
    <mergeCell ref="P242:Q244"/>
    <mergeCell ref="B245:C247"/>
    <mergeCell ref="D245:I247"/>
    <mergeCell ref="J245:K247"/>
    <mergeCell ref="L245:M247"/>
    <mergeCell ref="N245:O247"/>
    <mergeCell ref="P245:Q247"/>
    <mergeCell ref="B248:C250"/>
    <mergeCell ref="D248:I250"/>
    <mergeCell ref="J248:K250"/>
    <mergeCell ref="L248:M250"/>
    <mergeCell ref="N248:O250"/>
    <mergeCell ref="P248:Q250"/>
    <mergeCell ref="B251:C253"/>
    <mergeCell ref="D251:I253"/>
    <mergeCell ref="J251:K253"/>
    <mergeCell ref="L251:M253"/>
    <mergeCell ref="N251:O253"/>
    <mergeCell ref="P251:Q253"/>
    <mergeCell ref="B254:C256"/>
    <mergeCell ref="D254:I256"/>
    <mergeCell ref="J254:K256"/>
    <mergeCell ref="L254:M256"/>
    <mergeCell ref="N254:O256"/>
    <mergeCell ref="P254:Q256"/>
    <mergeCell ref="B257:C259"/>
    <mergeCell ref="D257:I259"/>
    <mergeCell ref="J257:K259"/>
    <mergeCell ref="L257:M259"/>
    <mergeCell ref="N257:O259"/>
    <mergeCell ref="P257:Q259"/>
    <mergeCell ref="B260:C262"/>
    <mergeCell ref="D260:I262"/>
    <mergeCell ref="J260:K262"/>
    <mergeCell ref="L260:M262"/>
    <mergeCell ref="N260:O262"/>
    <mergeCell ref="P260:Q262"/>
    <mergeCell ref="B263:C265"/>
    <mergeCell ref="D263:I265"/>
    <mergeCell ref="J263:K265"/>
    <mergeCell ref="L263:M265"/>
    <mergeCell ref="N263:O265"/>
    <mergeCell ref="P263:Q265"/>
    <mergeCell ref="B266:C268"/>
    <mergeCell ref="D266:I268"/>
    <mergeCell ref="J266:K268"/>
    <mergeCell ref="L266:M268"/>
    <mergeCell ref="N266:O268"/>
    <mergeCell ref="P266:Q268"/>
    <mergeCell ref="B269:C271"/>
    <mergeCell ref="D269:I271"/>
    <mergeCell ref="J269:K271"/>
    <mergeCell ref="L269:M271"/>
    <mergeCell ref="N269:O271"/>
    <mergeCell ref="P269:Q271"/>
    <mergeCell ref="B272:C274"/>
    <mergeCell ref="D272:I274"/>
    <mergeCell ref="J272:K274"/>
    <mergeCell ref="L272:M274"/>
    <mergeCell ref="N272:O274"/>
    <mergeCell ref="P272:Q274"/>
    <mergeCell ref="B275:C277"/>
    <mergeCell ref="D275:I277"/>
    <mergeCell ref="J275:K277"/>
    <mergeCell ref="L275:M277"/>
    <mergeCell ref="N275:O277"/>
    <mergeCell ref="P275:Q277"/>
    <mergeCell ref="B278:C280"/>
    <mergeCell ref="D278:I280"/>
    <mergeCell ref="J278:K280"/>
    <mergeCell ref="L278:M280"/>
    <mergeCell ref="N278:O280"/>
    <mergeCell ref="P278:Q280"/>
    <mergeCell ref="B281:C283"/>
    <mergeCell ref="D281:I283"/>
    <mergeCell ref="J281:K283"/>
    <mergeCell ref="L281:M283"/>
    <mergeCell ref="N281:O283"/>
    <mergeCell ref="P281:Q283"/>
    <mergeCell ref="B284:C286"/>
    <mergeCell ref="D284:I286"/>
    <mergeCell ref="J284:K286"/>
    <mergeCell ref="L284:M286"/>
    <mergeCell ref="N284:O286"/>
    <mergeCell ref="P284:Q286"/>
    <mergeCell ref="B287:C289"/>
    <mergeCell ref="D287:I289"/>
    <mergeCell ref="J287:K289"/>
    <mergeCell ref="L287:M289"/>
    <mergeCell ref="N287:O289"/>
    <mergeCell ref="P287:Q289"/>
    <mergeCell ref="B290:C292"/>
    <mergeCell ref="D290:I292"/>
    <mergeCell ref="J290:K292"/>
    <mergeCell ref="L290:M292"/>
    <mergeCell ref="N290:O292"/>
    <mergeCell ref="P290:Q292"/>
    <mergeCell ref="B293:C295"/>
    <mergeCell ref="D293:I295"/>
    <mergeCell ref="J293:K295"/>
    <mergeCell ref="L293:M295"/>
    <mergeCell ref="N293:O295"/>
    <mergeCell ref="P293:Q295"/>
    <mergeCell ref="B296:C298"/>
    <mergeCell ref="D296:I298"/>
    <mergeCell ref="J296:K298"/>
    <mergeCell ref="L296:M298"/>
    <mergeCell ref="N296:O298"/>
    <mergeCell ref="P296:Q298"/>
  </mergeCells>
  <conditionalFormatting sqref="R14:S100">
    <cfRule type="containsText" dxfId="414" priority="1635" operator="containsText" text="EM ATRASO">
      <formula>NOT(ISERROR(SEARCH("EM ATRASO",R14)))</formula>
    </cfRule>
  </conditionalFormatting>
  <conditionalFormatting sqref="R14:S100">
    <cfRule type="containsText" dxfId="413" priority="1634" operator="containsText" text="HOJE">
      <formula>NOT(ISERROR(SEARCH("HOJE",R14)))</formula>
    </cfRule>
  </conditionalFormatting>
  <conditionalFormatting sqref="Y4:AE5 B248:N248 B251:N251 B275:N275 B257:N257 B260:N260 B263:N263 B266:N266 B269:N269 B272:N272 B278:N278 B281:N281 B284:N284 B287:N287 B290:N290 B293:N293 B296:N296 B254:N254 B215:N215 B41:N47 B50:N50 B53:N53 B56:N56 B59:N59 B62:N62 B65:N65 B68:N68 B71:N71 B74:N74 B77:N77 B80:N80 B83:N83 B86:N86 B89:N89 B92:N92 B95:N95 B98:N98 B101:N101 B104:N104 B107:N107 B110:N110 B113:N113 B116:N116 B119:N119 B122:N122 B125:N125 B128:N128 B131:N131 B134:N134 B137:N137 B140:N140 B143:N143 B146:N146 B149:N149 B152:N152 B155:N155 B158:N158 B161:N161 B164:N164 B167:N167 B170:N170 B173:N173 B176:N176 B179:N179 B182:N182 B185:N185 B188:N188 B191:N191 B194:N194 B197:N197 B200:N200 B203:N203 B206:N206 B209:N209 B212:N212 B218:N218 B221:N221 B224:N224 B227:N227 B230:N230 B233:N233 B236:N236 B239:N239 B242:N242 B245:N245 B11:N13 D14:N40 B14:C22">
    <cfRule type="expression" dxfId="412" priority="696" stopIfTrue="1">
      <formula>$N4:$N40="Urgente"</formula>
    </cfRule>
    <cfRule type="expression" dxfId="411" priority="697" stopIfTrue="1">
      <formula>$N4:$N40="Alta"</formula>
    </cfRule>
    <cfRule type="expression" dxfId="410" priority="698" stopIfTrue="1">
      <formula>$N4:$N40="Média"</formula>
    </cfRule>
    <cfRule type="expression" dxfId="409" priority="699" stopIfTrue="1">
      <formula>$N4:$N40="Baixa"</formula>
    </cfRule>
  </conditionalFormatting>
  <conditionalFormatting sqref="P248:Q250">
    <cfRule type="cellIs" dxfId="408" priority="693" operator="equal">
      <formula>"Por Fazer"</formula>
    </cfRule>
    <cfRule type="cellIs" dxfId="407" priority="694" operator="equal">
      <formula>"Em progresso"</formula>
    </cfRule>
    <cfRule type="cellIs" dxfId="406" priority="695" operator="equal">
      <formula>"Concluída"</formula>
    </cfRule>
  </conditionalFormatting>
  <conditionalFormatting sqref="P251:Q253">
    <cfRule type="cellIs" dxfId="405" priority="686" operator="equal">
      <formula>"Por Fazer"</formula>
    </cfRule>
    <cfRule type="cellIs" dxfId="404" priority="687" operator="equal">
      <formula>"Em progresso"</formula>
    </cfRule>
    <cfRule type="cellIs" dxfId="403" priority="688" operator="equal">
      <formula>"Concluída"</formula>
    </cfRule>
  </conditionalFormatting>
  <conditionalFormatting sqref="P275:Q277">
    <cfRule type="cellIs" dxfId="402" priority="630" operator="equal">
      <formula>"Por Fazer"</formula>
    </cfRule>
    <cfRule type="cellIs" dxfId="401" priority="631" operator="equal">
      <formula>"Em progresso"</formula>
    </cfRule>
    <cfRule type="cellIs" dxfId="400" priority="632" operator="equal">
      <formula>"Concluída"</formula>
    </cfRule>
  </conditionalFormatting>
  <conditionalFormatting sqref="P257:Q259">
    <cfRule type="cellIs" dxfId="399" priority="672" operator="equal">
      <formula>"Por Fazer"</formula>
    </cfRule>
    <cfRule type="cellIs" dxfId="398" priority="673" operator="equal">
      <formula>"Em progresso"</formula>
    </cfRule>
    <cfRule type="cellIs" dxfId="397" priority="674" operator="equal">
      <formula>"Concluída"</formula>
    </cfRule>
  </conditionalFormatting>
  <conditionalFormatting sqref="P260:Q262">
    <cfRule type="cellIs" dxfId="396" priority="665" operator="equal">
      <formula>"Por Fazer"</formula>
    </cfRule>
    <cfRule type="cellIs" dxfId="395" priority="666" operator="equal">
      <formula>"Em progresso"</formula>
    </cfRule>
    <cfRule type="cellIs" dxfId="394" priority="667" operator="equal">
      <formula>"Concluída"</formula>
    </cfRule>
  </conditionalFormatting>
  <conditionalFormatting sqref="P263:Q265">
    <cfRule type="cellIs" dxfId="393" priority="658" operator="equal">
      <formula>"Por Fazer"</formula>
    </cfRule>
    <cfRule type="cellIs" dxfId="392" priority="659" operator="equal">
      <formula>"Em progresso"</formula>
    </cfRule>
    <cfRule type="cellIs" dxfId="391" priority="660" operator="equal">
      <formula>"Concluída"</formula>
    </cfRule>
  </conditionalFormatting>
  <conditionalFormatting sqref="P266:Q268">
    <cfRule type="cellIs" dxfId="390" priority="651" operator="equal">
      <formula>"Por Fazer"</formula>
    </cfRule>
    <cfRule type="cellIs" dxfId="389" priority="652" operator="equal">
      <formula>"Em progresso"</formula>
    </cfRule>
    <cfRule type="cellIs" dxfId="388" priority="653" operator="equal">
      <formula>"Concluída"</formula>
    </cfRule>
  </conditionalFormatting>
  <conditionalFormatting sqref="P269:Q271">
    <cfRule type="cellIs" dxfId="387" priority="644" operator="equal">
      <formula>"Por Fazer"</formula>
    </cfRule>
    <cfRule type="cellIs" dxfId="386" priority="645" operator="equal">
      <formula>"Em progresso"</formula>
    </cfRule>
    <cfRule type="cellIs" dxfId="385" priority="646" operator="equal">
      <formula>"Concluída"</formula>
    </cfRule>
  </conditionalFormatting>
  <conditionalFormatting sqref="P272:Q274">
    <cfRule type="cellIs" dxfId="384" priority="637" operator="equal">
      <formula>"Por Fazer"</formula>
    </cfRule>
    <cfRule type="cellIs" dxfId="383" priority="638" operator="equal">
      <formula>"Em progresso"</formula>
    </cfRule>
    <cfRule type="cellIs" dxfId="382" priority="639" operator="equal">
      <formula>"Concluída"</formula>
    </cfRule>
  </conditionalFormatting>
  <conditionalFormatting sqref="P278:Q280">
    <cfRule type="cellIs" dxfId="381" priority="623" operator="equal">
      <formula>"Por Fazer"</formula>
    </cfRule>
    <cfRule type="cellIs" dxfId="380" priority="624" operator="equal">
      <formula>"Em progresso"</formula>
    </cfRule>
    <cfRule type="cellIs" dxfId="379" priority="625" operator="equal">
      <formula>"Concluída"</formula>
    </cfRule>
  </conditionalFormatting>
  <conditionalFormatting sqref="P281:Q283">
    <cfRule type="cellIs" dxfId="378" priority="616" operator="equal">
      <formula>"Por Fazer"</formula>
    </cfRule>
    <cfRule type="cellIs" dxfId="377" priority="617" operator="equal">
      <formula>"Em progresso"</formula>
    </cfRule>
    <cfRule type="cellIs" dxfId="376" priority="618" operator="equal">
      <formula>"Concluída"</formula>
    </cfRule>
  </conditionalFormatting>
  <conditionalFormatting sqref="P284:Q286">
    <cfRule type="cellIs" dxfId="375" priority="609" operator="equal">
      <formula>"Por Fazer"</formula>
    </cfRule>
    <cfRule type="cellIs" dxfId="374" priority="610" operator="equal">
      <formula>"Em progresso"</formula>
    </cfRule>
    <cfRule type="cellIs" dxfId="373" priority="611" operator="equal">
      <formula>"Concluída"</formula>
    </cfRule>
  </conditionalFormatting>
  <conditionalFormatting sqref="P287:Q289">
    <cfRule type="cellIs" dxfId="372" priority="602" operator="equal">
      <formula>"Por Fazer"</formula>
    </cfRule>
    <cfRule type="cellIs" dxfId="371" priority="603" operator="equal">
      <formula>"Em progresso"</formula>
    </cfRule>
    <cfRule type="cellIs" dxfId="370" priority="604" operator="equal">
      <formula>"Concluída"</formula>
    </cfRule>
  </conditionalFormatting>
  <conditionalFormatting sqref="P290:Q292">
    <cfRule type="cellIs" dxfId="369" priority="595" operator="equal">
      <formula>"Por Fazer"</formula>
    </cfRule>
    <cfRule type="cellIs" dxfId="368" priority="596" operator="equal">
      <formula>"Em progresso"</formula>
    </cfRule>
    <cfRule type="cellIs" dxfId="367" priority="597" operator="equal">
      <formula>"Concluída"</formula>
    </cfRule>
  </conditionalFormatting>
  <conditionalFormatting sqref="P293:Q295">
    <cfRule type="cellIs" dxfId="366" priority="588" operator="equal">
      <formula>"Por Fazer"</formula>
    </cfRule>
    <cfRule type="cellIs" dxfId="365" priority="589" operator="equal">
      <formula>"Em progresso"</formula>
    </cfRule>
    <cfRule type="cellIs" dxfId="364" priority="590" operator="equal">
      <formula>"Concluída"</formula>
    </cfRule>
  </conditionalFormatting>
  <conditionalFormatting sqref="P296:Q298">
    <cfRule type="cellIs" dxfId="363" priority="1512" operator="equal">
      <formula>"Por Fazer"</formula>
    </cfRule>
    <cfRule type="cellIs" dxfId="362" priority="1513" operator="equal">
      <formula>"Em progresso"</formula>
    </cfRule>
    <cfRule type="cellIs" dxfId="361" priority="1514" operator="equal">
      <formula>"Concluída"</formula>
    </cfRule>
  </conditionalFormatting>
  <conditionalFormatting sqref="P254:Q256">
    <cfRule type="cellIs" dxfId="360" priority="679" operator="equal">
      <formula>"Por Fazer"</formula>
    </cfRule>
    <cfRule type="cellIs" dxfId="359" priority="680" operator="equal">
      <formula>"Em progresso"</formula>
    </cfRule>
    <cfRule type="cellIs" dxfId="358" priority="681" operator="equal">
      <formula>"Concluída"</formula>
    </cfRule>
  </conditionalFormatting>
  <conditionalFormatting sqref="P215:Q217">
    <cfRule type="cellIs" dxfId="357" priority="770" operator="equal">
      <formula>"Por Fazer"</formula>
    </cfRule>
    <cfRule type="cellIs" dxfId="356" priority="771" operator="equal">
      <formula>"Em progresso"</formula>
    </cfRule>
    <cfRule type="cellIs" dxfId="355" priority="772" operator="equal">
      <formula>"Concluída"</formula>
    </cfRule>
  </conditionalFormatting>
  <conditionalFormatting sqref="P47:Q49">
    <cfRule type="cellIs" dxfId="354" priority="1162" operator="equal">
      <formula>"Por Fazer"</formula>
    </cfRule>
    <cfRule type="cellIs" dxfId="353" priority="1163" operator="equal">
      <formula>"Em progresso"</formula>
    </cfRule>
    <cfRule type="cellIs" dxfId="352" priority="1164" operator="equal">
      <formula>"Concluída"</formula>
    </cfRule>
  </conditionalFormatting>
  <conditionalFormatting sqref="P50:Q52">
    <cfRule type="cellIs" dxfId="351" priority="1155" operator="equal">
      <formula>"Por Fazer"</formula>
    </cfRule>
    <cfRule type="cellIs" dxfId="350" priority="1156" operator="equal">
      <formula>"Em progresso"</formula>
    </cfRule>
    <cfRule type="cellIs" dxfId="349" priority="1157" operator="equal">
      <formula>"Concluída"</formula>
    </cfRule>
  </conditionalFormatting>
  <conditionalFormatting sqref="P53:Q55">
    <cfRule type="cellIs" dxfId="348" priority="1148" operator="equal">
      <formula>"Por Fazer"</formula>
    </cfRule>
    <cfRule type="cellIs" dxfId="347" priority="1149" operator="equal">
      <formula>"Em progresso"</formula>
    </cfRule>
    <cfRule type="cellIs" dxfId="346" priority="1150" operator="equal">
      <formula>"Concluída"</formula>
    </cfRule>
  </conditionalFormatting>
  <conditionalFormatting sqref="P56:Q58">
    <cfRule type="cellIs" dxfId="345" priority="1141" operator="equal">
      <formula>"Por Fazer"</formula>
    </cfRule>
    <cfRule type="cellIs" dxfId="344" priority="1142" operator="equal">
      <formula>"Em progresso"</formula>
    </cfRule>
    <cfRule type="cellIs" dxfId="343" priority="1143" operator="equal">
      <formula>"Concluída"</formula>
    </cfRule>
  </conditionalFormatting>
  <conditionalFormatting sqref="P59:Q61">
    <cfRule type="cellIs" dxfId="342" priority="1134" operator="equal">
      <formula>"Por Fazer"</formula>
    </cfRule>
    <cfRule type="cellIs" dxfId="341" priority="1135" operator="equal">
      <formula>"Em progresso"</formula>
    </cfRule>
    <cfRule type="cellIs" dxfId="340" priority="1136" operator="equal">
      <formula>"Concluída"</formula>
    </cfRule>
  </conditionalFormatting>
  <conditionalFormatting sqref="P62:Q64">
    <cfRule type="cellIs" dxfId="339" priority="1127" operator="equal">
      <formula>"Por Fazer"</formula>
    </cfRule>
    <cfRule type="cellIs" dxfId="338" priority="1128" operator="equal">
      <formula>"Em progresso"</formula>
    </cfRule>
    <cfRule type="cellIs" dxfId="337" priority="1129" operator="equal">
      <formula>"Concluída"</formula>
    </cfRule>
  </conditionalFormatting>
  <conditionalFormatting sqref="P65:Q67">
    <cfRule type="cellIs" dxfId="336" priority="1120" operator="equal">
      <formula>"Por Fazer"</formula>
    </cfRule>
    <cfRule type="cellIs" dxfId="335" priority="1121" operator="equal">
      <formula>"Em progresso"</formula>
    </cfRule>
    <cfRule type="cellIs" dxfId="334" priority="1122" operator="equal">
      <formula>"Concluída"</formula>
    </cfRule>
  </conditionalFormatting>
  <conditionalFormatting sqref="P68:Q70">
    <cfRule type="cellIs" dxfId="333" priority="1113" operator="equal">
      <formula>"Por Fazer"</formula>
    </cfRule>
    <cfRule type="cellIs" dxfId="332" priority="1114" operator="equal">
      <formula>"Em progresso"</formula>
    </cfRule>
    <cfRule type="cellIs" dxfId="331" priority="1115" operator="equal">
      <formula>"Concluída"</formula>
    </cfRule>
  </conditionalFormatting>
  <conditionalFormatting sqref="P71:Q73">
    <cfRule type="cellIs" dxfId="330" priority="1106" operator="equal">
      <formula>"Por Fazer"</formula>
    </cfRule>
    <cfRule type="cellIs" dxfId="329" priority="1107" operator="equal">
      <formula>"Em progresso"</formula>
    </cfRule>
    <cfRule type="cellIs" dxfId="328" priority="1108" operator="equal">
      <formula>"Concluída"</formula>
    </cfRule>
  </conditionalFormatting>
  <conditionalFormatting sqref="P74:Q76">
    <cfRule type="cellIs" dxfId="327" priority="1099" operator="equal">
      <formula>"Por Fazer"</formula>
    </cfRule>
    <cfRule type="cellIs" dxfId="326" priority="1100" operator="equal">
      <formula>"Em progresso"</formula>
    </cfRule>
    <cfRule type="cellIs" dxfId="325" priority="1101" operator="equal">
      <formula>"Concluída"</formula>
    </cfRule>
  </conditionalFormatting>
  <conditionalFormatting sqref="P77:Q79">
    <cfRule type="cellIs" dxfId="324" priority="1092" operator="equal">
      <formula>"Por Fazer"</formula>
    </cfRule>
    <cfRule type="cellIs" dxfId="323" priority="1093" operator="equal">
      <formula>"Em progresso"</formula>
    </cfRule>
    <cfRule type="cellIs" dxfId="322" priority="1094" operator="equal">
      <formula>"Concluída"</formula>
    </cfRule>
  </conditionalFormatting>
  <conditionalFormatting sqref="P80:Q82">
    <cfRule type="cellIs" dxfId="321" priority="1085" operator="equal">
      <formula>"Por Fazer"</formula>
    </cfRule>
    <cfRule type="cellIs" dxfId="320" priority="1086" operator="equal">
      <formula>"Em progresso"</formula>
    </cfRule>
    <cfRule type="cellIs" dxfId="319" priority="1087" operator="equal">
      <formula>"Concluída"</formula>
    </cfRule>
  </conditionalFormatting>
  <conditionalFormatting sqref="P83:Q85">
    <cfRule type="cellIs" dxfId="318" priority="1078" operator="equal">
      <formula>"Por Fazer"</formula>
    </cfRule>
    <cfRule type="cellIs" dxfId="317" priority="1079" operator="equal">
      <formula>"Em progresso"</formula>
    </cfRule>
    <cfRule type="cellIs" dxfId="316" priority="1080" operator="equal">
      <formula>"Concluída"</formula>
    </cfRule>
  </conditionalFormatting>
  <conditionalFormatting sqref="P86:Q88">
    <cfRule type="cellIs" dxfId="315" priority="1071" operator="equal">
      <formula>"Por Fazer"</formula>
    </cfRule>
    <cfRule type="cellIs" dxfId="314" priority="1072" operator="equal">
      <formula>"Em progresso"</formula>
    </cfRule>
    <cfRule type="cellIs" dxfId="313" priority="1073" operator="equal">
      <formula>"Concluída"</formula>
    </cfRule>
  </conditionalFormatting>
  <conditionalFormatting sqref="P89:Q91">
    <cfRule type="cellIs" dxfId="312" priority="1064" operator="equal">
      <formula>"Por Fazer"</formula>
    </cfRule>
    <cfRule type="cellIs" dxfId="311" priority="1065" operator="equal">
      <formula>"Em progresso"</formula>
    </cfRule>
    <cfRule type="cellIs" dxfId="310" priority="1066" operator="equal">
      <formula>"Concluída"</formula>
    </cfRule>
  </conditionalFormatting>
  <conditionalFormatting sqref="P92:Q94">
    <cfRule type="cellIs" dxfId="309" priority="1057" operator="equal">
      <formula>"Por Fazer"</formula>
    </cfRule>
    <cfRule type="cellIs" dxfId="308" priority="1058" operator="equal">
      <formula>"Em progresso"</formula>
    </cfRule>
    <cfRule type="cellIs" dxfId="307" priority="1059" operator="equal">
      <formula>"Concluída"</formula>
    </cfRule>
  </conditionalFormatting>
  <conditionalFormatting sqref="P95:Q97">
    <cfRule type="cellIs" dxfId="306" priority="1050" operator="equal">
      <formula>"Por Fazer"</formula>
    </cfRule>
    <cfRule type="cellIs" dxfId="305" priority="1051" operator="equal">
      <formula>"Em progresso"</formula>
    </cfRule>
    <cfRule type="cellIs" dxfId="304" priority="1052" operator="equal">
      <formula>"Concluída"</formula>
    </cfRule>
  </conditionalFormatting>
  <conditionalFormatting sqref="P98:Q100">
    <cfRule type="cellIs" dxfId="303" priority="1043" operator="equal">
      <formula>"Por Fazer"</formula>
    </cfRule>
    <cfRule type="cellIs" dxfId="302" priority="1044" operator="equal">
      <formula>"Em progresso"</formula>
    </cfRule>
    <cfRule type="cellIs" dxfId="301" priority="1045" operator="equal">
      <formula>"Concluída"</formula>
    </cfRule>
  </conditionalFormatting>
  <conditionalFormatting sqref="P101:Q103">
    <cfRule type="cellIs" dxfId="300" priority="1036" operator="equal">
      <formula>"Por Fazer"</formula>
    </cfRule>
    <cfRule type="cellIs" dxfId="299" priority="1037" operator="equal">
      <formula>"Em progresso"</formula>
    </cfRule>
    <cfRule type="cellIs" dxfId="298" priority="1038" operator="equal">
      <formula>"Concluída"</formula>
    </cfRule>
  </conditionalFormatting>
  <conditionalFormatting sqref="P104:Q106">
    <cfRule type="cellIs" dxfId="297" priority="1029" operator="equal">
      <formula>"Por Fazer"</formula>
    </cfRule>
    <cfRule type="cellIs" dxfId="296" priority="1030" operator="equal">
      <formula>"Em progresso"</formula>
    </cfRule>
    <cfRule type="cellIs" dxfId="295" priority="1031" operator="equal">
      <formula>"Concluída"</formula>
    </cfRule>
  </conditionalFormatting>
  <conditionalFormatting sqref="P107:Q109">
    <cfRule type="cellIs" dxfId="294" priority="1022" operator="equal">
      <formula>"Por Fazer"</formula>
    </cfRule>
    <cfRule type="cellIs" dxfId="293" priority="1023" operator="equal">
      <formula>"Em progresso"</formula>
    </cfRule>
    <cfRule type="cellIs" dxfId="292" priority="1024" operator="equal">
      <formula>"Concluída"</formula>
    </cfRule>
  </conditionalFormatting>
  <conditionalFormatting sqref="P110:Q112">
    <cfRule type="cellIs" dxfId="291" priority="1015" operator="equal">
      <formula>"Por Fazer"</formula>
    </cfRule>
    <cfRule type="cellIs" dxfId="290" priority="1016" operator="equal">
      <formula>"Em progresso"</formula>
    </cfRule>
    <cfRule type="cellIs" dxfId="289" priority="1017" operator="equal">
      <formula>"Concluída"</formula>
    </cfRule>
  </conditionalFormatting>
  <conditionalFormatting sqref="P113:Q115">
    <cfRule type="cellIs" dxfId="288" priority="1008" operator="equal">
      <formula>"Por Fazer"</formula>
    </cfRule>
    <cfRule type="cellIs" dxfId="287" priority="1009" operator="equal">
      <formula>"Em progresso"</formula>
    </cfRule>
    <cfRule type="cellIs" dxfId="286" priority="1010" operator="equal">
      <formula>"Concluída"</formula>
    </cfRule>
  </conditionalFormatting>
  <conditionalFormatting sqref="P116:Q118">
    <cfRule type="cellIs" dxfId="285" priority="1001" operator="equal">
      <formula>"Por Fazer"</formula>
    </cfRule>
    <cfRule type="cellIs" dxfId="284" priority="1002" operator="equal">
      <formula>"Em progresso"</formula>
    </cfRule>
    <cfRule type="cellIs" dxfId="283" priority="1003" operator="equal">
      <formula>"Concluída"</formula>
    </cfRule>
  </conditionalFormatting>
  <conditionalFormatting sqref="P119:Q121">
    <cfRule type="cellIs" dxfId="282" priority="994" operator="equal">
      <formula>"Por Fazer"</formula>
    </cfRule>
    <cfRule type="cellIs" dxfId="281" priority="995" operator="equal">
      <formula>"Em progresso"</formula>
    </cfRule>
    <cfRule type="cellIs" dxfId="280" priority="996" operator="equal">
      <formula>"Concluída"</formula>
    </cfRule>
  </conditionalFormatting>
  <conditionalFormatting sqref="P122:Q124">
    <cfRule type="cellIs" dxfId="279" priority="987" operator="equal">
      <formula>"Por Fazer"</formula>
    </cfRule>
    <cfRule type="cellIs" dxfId="278" priority="988" operator="equal">
      <formula>"Em progresso"</formula>
    </cfRule>
    <cfRule type="cellIs" dxfId="277" priority="989" operator="equal">
      <formula>"Concluída"</formula>
    </cfRule>
  </conditionalFormatting>
  <conditionalFormatting sqref="P125:Q127">
    <cfRule type="cellIs" dxfId="276" priority="980" operator="equal">
      <formula>"Por Fazer"</formula>
    </cfRule>
    <cfRule type="cellIs" dxfId="275" priority="981" operator="equal">
      <formula>"Em progresso"</formula>
    </cfRule>
    <cfRule type="cellIs" dxfId="274" priority="982" operator="equal">
      <formula>"Concluída"</formula>
    </cfRule>
  </conditionalFormatting>
  <conditionalFormatting sqref="P128:Q130">
    <cfRule type="cellIs" dxfId="273" priority="973" operator="equal">
      <formula>"Por Fazer"</formula>
    </cfRule>
    <cfRule type="cellIs" dxfId="272" priority="974" operator="equal">
      <formula>"Em progresso"</formula>
    </cfRule>
    <cfRule type="cellIs" dxfId="271" priority="975" operator="equal">
      <formula>"Concluída"</formula>
    </cfRule>
  </conditionalFormatting>
  <conditionalFormatting sqref="P131:Q133">
    <cfRule type="cellIs" dxfId="270" priority="966" operator="equal">
      <formula>"Por Fazer"</formula>
    </cfRule>
    <cfRule type="cellIs" dxfId="269" priority="967" operator="equal">
      <formula>"Em progresso"</formula>
    </cfRule>
    <cfRule type="cellIs" dxfId="268" priority="968" operator="equal">
      <formula>"Concluída"</formula>
    </cfRule>
  </conditionalFormatting>
  <conditionalFormatting sqref="P134:Q136">
    <cfRule type="cellIs" dxfId="267" priority="959" operator="equal">
      <formula>"Por Fazer"</formula>
    </cfRule>
    <cfRule type="cellIs" dxfId="266" priority="960" operator="equal">
      <formula>"Em progresso"</formula>
    </cfRule>
    <cfRule type="cellIs" dxfId="265" priority="961" operator="equal">
      <formula>"Concluída"</formula>
    </cfRule>
  </conditionalFormatting>
  <conditionalFormatting sqref="P137:Q139">
    <cfRule type="cellIs" dxfId="264" priority="952" operator="equal">
      <formula>"Por Fazer"</formula>
    </cfRule>
    <cfRule type="cellIs" dxfId="263" priority="953" operator="equal">
      <formula>"Em progresso"</formula>
    </cfRule>
    <cfRule type="cellIs" dxfId="262" priority="954" operator="equal">
      <formula>"Concluída"</formula>
    </cfRule>
  </conditionalFormatting>
  <conditionalFormatting sqref="P140:Q142">
    <cfRule type="cellIs" dxfId="261" priority="945" operator="equal">
      <formula>"Por Fazer"</formula>
    </cfRule>
    <cfRule type="cellIs" dxfId="260" priority="946" operator="equal">
      <formula>"Em progresso"</formula>
    </cfRule>
    <cfRule type="cellIs" dxfId="259" priority="947" operator="equal">
      <formula>"Concluída"</formula>
    </cfRule>
  </conditionalFormatting>
  <conditionalFormatting sqref="P143:Q145">
    <cfRule type="cellIs" dxfId="258" priority="938" operator="equal">
      <formula>"Por Fazer"</formula>
    </cfRule>
    <cfRule type="cellIs" dxfId="257" priority="939" operator="equal">
      <formula>"Em progresso"</formula>
    </cfRule>
    <cfRule type="cellIs" dxfId="256" priority="940" operator="equal">
      <formula>"Concluída"</formula>
    </cfRule>
  </conditionalFormatting>
  <conditionalFormatting sqref="P146:Q148">
    <cfRule type="cellIs" dxfId="255" priority="931" operator="equal">
      <formula>"Por Fazer"</formula>
    </cfRule>
    <cfRule type="cellIs" dxfId="254" priority="932" operator="equal">
      <formula>"Em progresso"</formula>
    </cfRule>
    <cfRule type="cellIs" dxfId="253" priority="933" operator="equal">
      <formula>"Concluída"</formula>
    </cfRule>
  </conditionalFormatting>
  <conditionalFormatting sqref="P149:Q151">
    <cfRule type="cellIs" dxfId="252" priority="924" operator="equal">
      <formula>"Por Fazer"</formula>
    </cfRule>
    <cfRule type="cellIs" dxfId="251" priority="925" operator="equal">
      <formula>"Em progresso"</formula>
    </cfRule>
    <cfRule type="cellIs" dxfId="250" priority="926" operator="equal">
      <formula>"Concluída"</formula>
    </cfRule>
  </conditionalFormatting>
  <conditionalFormatting sqref="P152:Q154">
    <cfRule type="cellIs" dxfId="249" priority="917" operator="equal">
      <formula>"Por Fazer"</formula>
    </cfRule>
    <cfRule type="cellIs" dxfId="248" priority="918" operator="equal">
      <formula>"Em progresso"</formula>
    </cfRule>
    <cfRule type="cellIs" dxfId="247" priority="919" operator="equal">
      <formula>"Concluída"</formula>
    </cfRule>
  </conditionalFormatting>
  <conditionalFormatting sqref="P155:Q157">
    <cfRule type="cellIs" dxfId="246" priority="910" operator="equal">
      <formula>"Por Fazer"</formula>
    </cfRule>
    <cfRule type="cellIs" dxfId="245" priority="911" operator="equal">
      <formula>"Em progresso"</formula>
    </cfRule>
    <cfRule type="cellIs" dxfId="244" priority="912" operator="equal">
      <formula>"Concluída"</formula>
    </cfRule>
  </conditionalFormatting>
  <conditionalFormatting sqref="P158:Q160">
    <cfRule type="cellIs" dxfId="243" priority="903" operator="equal">
      <formula>"Por Fazer"</formula>
    </cfRule>
    <cfRule type="cellIs" dxfId="242" priority="904" operator="equal">
      <formula>"Em progresso"</formula>
    </cfRule>
    <cfRule type="cellIs" dxfId="241" priority="905" operator="equal">
      <formula>"Concluída"</formula>
    </cfRule>
  </conditionalFormatting>
  <conditionalFormatting sqref="P161:Q163">
    <cfRule type="cellIs" dxfId="240" priority="896" operator="equal">
      <formula>"Por Fazer"</formula>
    </cfRule>
    <cfRule type="cellIs" dxfId="239" priority="897" operator="equal">
      <formula>"Em progresso"</formula>
    </cfRule>
    <cfRule type="cellIs" dxfId="238" priority="898" operator="equal">
      <formula>"Concluída"</formula>
    </cfRule>
  </conditionalFormatting>
  <conditionalFormatting sqref="P164:Q166">
    <cfRule type="cellIs" dxfId="237" priority="889" operator="equal">
      <formula>"Por Fazer"</formula>
    </cfRule>
    <cfRule type="cellIs" dxfId="236" priority="890" operator="equal">
      <formula>"Em progresso"</formula>
    </cfRule>
    <cfRule type="cellIs" dxfId="235" priority="891" operator="equal">
      <formula>"Concluída"</formula>
    </cfRule>
  </conditionalFormatting>
  <conditionalFormatting sqref="P167:Q169">
    <cfRule type="cellIs" dxfId="234" priority="882" operator="equal">
      <formula>"Por Fazer"</formula>
    </cfRule>
    <cfRule type="cellIs" dxfId="233" priority="883" operator="equal">
      <formula>"Em progresso"</formula>
    </cfRule>
    <cfRule type="cellIs" dxfId="232" priority="884" operator="equal">
      <formula>"Concluída"</formula>
    </cfRule>
  </conditionalFormatting>
  <conditionalFormatting sqref="P170:Q172">
    <cfRule type="cellIs" dxfId="231" priority="875" operator="equal">
      <formula>"Por Fazer"</formula>
    </cfRule>
    <cfRule type="cellIs" dxfId="230" priority="876" operator="equal">
      <formula>"Em progresso"</formula>
    </cfRule>
    <cfRule type="cellIs" dxfId="229" priority="877" operator="equal">
      <formula>"Concluída"</formula>
    </cfRule>
  </conditionalFormatting>
  <conditionalFormatting sqref="P173:Q175">
    <cfRule type="cellIs" dxfId="228" priority="868" operator="equal">
      <formula>"Por Fazer"</formula>
    </cfRule>
    <cfRule type="cellIs" dxfId="227" priority="869" operator="equal">
      <formula>"Em progresso"</formula>
    </cfRule>
    <cfRule type="cellIs" dxfId="226" priority="870" operator="equal">
      <formula>"Concluída"</formula>
    </cfRule>
  </conditionalFormatting>
  <conditionalFormatting sqref="P176:Q178">
    <cfRule type="cellIs" dxfId="225" priority="861" operator="equal">
      <formula>"Por Fazer"</formula>
    </cfRule>
    <cfRule type="cellIs" dxfId="224" priority="862" operator="equal">
      <formula>"Em progresso"</formula>
    </cfRule>
    <cfRule type="cellIs" dxfId="223" priority="863" operator="equal">
      <formula>"Concluída"</formula>
    </cfRule>
  </conditionalFormatting>
  <conditionalFormatting sqref="P179:Q181">
    <cfRule type="cellIs" dxfId="222" priority="854" operator="equal">
      <formula>"Por Fazer"</formula>
    </cfRule>
    <cfRule type="cellIs" dxfId="221" priority="855" operator="equal">
      <formula>"Em progresso"</formula>
    </cfRule>
    <cfRule type="cellIs" dxfId="220" priority="856" operator="equal">
      <formula>"Concluída"</formula>
    </cfRule>
  </conditionalFormatting>
  <conditionalFormatting sqref="P182:Q184">
    <cfRule type="cellIs" dxfId="219" priority="847" operator="equal">
      <formula>"Por Fazer"</formula>
    </cfRule>
    <cfRule type="cellIs" dxfId="218" priority="848" operator="equal">
      <formula>"Em progresso"</formula>
    </cfRule>
    <cfRule type="cellIs" dxfId="217" priority="849" operator="equal">
      <formula>"Concluída"</formula>
    </cfRule>
  </conditionalFormatting>
  <conditionalFormatting sqref="P185:Q187">
    <cfRule type="cellIs" dxfId="216" priority="840" operator="equal">
      <formula>"Por Fazer"</formula>
    </cfRule>
    <cfRule type="cellIs" dxfId="215" priority="841" operator="equal">
      <formula>"Em progresso"</formula>
    </cfRule>
    <cfRule type="cellIs" dxfId="214" priority="842" operator="equal">
      <formula>"Concluída"</formula>
    </cfRule>
  </conditionalFormatting>
  <conditionalFormatting sqref="P188:Q190">
    <cfRule type="cellIs" dxfId="213" priority="833" operator="equal">
      <formula>"Por Fazer"</formula>
    </cfRule>
    <cfRule type="cellIs" dxfId="212" priority="834" operator="equal">
      <formula>"Em progresso"</formula>
    </cfRule>
    <cfRule type="cellIs" dxfId="211" priority="835" operator="equal">
      <formula>"Concluída"</formula>
    </cfRule>
  </conditionalFormatting>
  <conditionalFormatting sqref="P191:Q193">
    <cfRule type="cellIs" dxfId="210" priority="826" operator="equal">
      <formula>"Por Fazer"</formula>
    </cfRule>
    <cfRule type="cellIs" dxfId="209" priority="827" operator="equal">
      <formula>"Em progresso"</formula>
    </cfRule>
    <cfRule type="cellIs" dxfId="208" priority="828" operator="equal">
      <formula>"Concluída"</formula>
    </cfRule>
  </conditionalFormatting>
  <conditionalFormatting sqref="P194:Q196">
    <cfRule type="cellIs" dxfId="207" priority="819" operator="equal">
      <formula>"Por Fazer"</formula>
    </cfRule>
    <cfRule type="cellIs" dxfId="206" priority="820" operator="equal">
      <formula>"Em progresso"</formula>
    </cfRule>
    <cfRule type="cellIs" dxfId="205" priority="821" operator="equal">
      <formula>"Concluída"</formula>
    </cfRule>
  </conditionalFormatting>
  <conditionalFormatting sqref="P197:Q199">
    <cfRule type="cellIs" dxfId="204" priority="812" operator="equal">
      <formula>"Por Fazer"</formula>
    </cfRule>
    <cfRule type="cellIs" dxfId="203" priority="813" operator="equal">
      <formula>"Em progresso"</formula>
    </cfRule>
    <cfRule type="cellIs" dxfId="202" priority="814" operator="equal">
      <formula>"Concluída"</formula>
    </cfRule>
  </conditionalFormatting>
  <conditionalFormatting sqref="P200:Q202">
    <cfRule type="cellIs" dxfId="201" priority="805" operator="equal">
      <formula>"Por Fazer"</formula>
    </cfRule>
    <cfRule type="cellIs" dxfId="200" priority="806" operator="equal">
      <formula>"Em progresso"</formula>
    </cfRule>
    <cfRule type="cellIs" dxfId="199" priority="807" operator="equal">
      <formula>"Concluída"</formula>
    </cfRule>
  </conditionalFormatting>
  <conditionalFormatting sqref="P203:Q205">
    <cfRule type="cellIs" dxfId="198" priority="798" operator="equal">
      <formula>"Por Fazer"</formula>
    </cfRule>
    <cfRule type="cellIs" dxfId="197" priority="799" operator="equal">
      <formula>"Em progresso"</formula>
    </cfRule>
    <cfRule type="cellIs" dxfId="196" priority="800" operator="equal">
      <formula>"Concluída"</formula>
    </cfRule>
  </conditionalFormatting>
  <conditionalFormatting sqref="P206:Q208">
    <cfRule type="cellIs" dxfId="195" priority="791" operator="equal">
      <formula>"Por Fazer"</formula>
    </cfRule>
    <cfRule type="cellIs" dxfId="194" priority="792" operator="equal">
      <formula>"Em progresso"</formula>
    </cfRule>
    <cfRule type="cellIs" dxfId="193" priority="793" operator="equal">
      <formula>"Concluída"</formula>
    </cfRule>
  </conditionalFormatting>
  <conditionalFormatting sqref="P209:Q211">
    <cfRule type="cellIs" dxfId="192" priority="784" operator="equal">
      <formula>"Por Fazer"</formula>
    </cfRule>
    <cfRule type="cellIs" dxfId="191" priority="785" operator="equal">
      <formula>"Em progresso"</formula>
    </cfRule>
    <cfRule type="cellIs" dxfId="190" priority="786" operator="equal">
      <formula>"Concluída"</formula>
    </cfRule>
  </conditionalFormatting>
  <conditionalFormatting sqref="P212:Q214">
    <cfRule type="cellIs" dxfId="189" priority="777" operator="equal">
      <formula>"Por Fazer"</formula>
    </cfRule>
    <cfRule type="cellIs" dxfId="188" priority="778" operator="equal">
      <formula>"Em progresso"</formula>
    </cfRule>
    <cfRule type="cellIs" dxfId="187" priority="779" operator="equal">
      <formula>"Concluída"</formula>
    </cfRule>
  </conditionalFormatting>
  <conditionalFormatting sqref="P218:Q220">
    <cfRule type="cellIs" dxfId="186" priority="763" operator="equal">
      <formula>"Por Fazer"</formula>
    </cfRule>
    <cfRule type="cellIs" dxfId="185" priority="764" operator="equal">
      <formula>"Em progresso"</formula>
    </cfRule>
    <cfRule type="cellIs" dxfId="184" priority="765" operator="equal">
      <formula>"Concluída"</formula>
    </cfRule>
  </conditionalFormatting>
  <conditionalFormatting sqref="P221:Q223">
    <cfRule type="cellIs" dxfId="183" priority="756" operator="equal">
      <formula>"Por Fazer"</formula>
    </cfRule>
    <cfRule type="cellIs" dxfId="182" priority="757" operator="equal">
      <formula>"Em progresso"</formula>
    </cfRule>
    <cfRule type="cellIs" dxfId="181" priority="758" operator="equal">
      <formula>"Concluída"</formula>
    </cfRule>
  </conditionalFormatting>
  <conditionalFormatting sqref="P224:Q226">
    <cfRule type="cellIs" dxfId="180" priority="749" operator="equal">
      <formula>"Por Fazer"</formula>
    </cfRule>
    <cfRule type="cellIs" dxfId="179" priority="750" operator="equal">
      <formula>"Em progresso"</formula>
    </cfRule>
    <cfRule type="cellIs" dxfId="178" priority="751" operator="equal">
      <formula>"Concluída"</formula>
    </cfRule>
  </conditionalFormatting>
  <conditionalFormatting sqref="P227:Q229">
    <cfRule type="cellIs" dxfId="177" priority="742" operator="equal">
      <formula>"Por Fazer"</formula>
    </cfRule>
    <cfRule type="cellIs" dxfId="176" priority="743" operator="equal">
      <formula>"Em progresso"</formula>
    </cfRule>
    <cfRule type="cellIs" dxfId="175" priority="744" operator="equal">
      <formula>"Concluída"</formula>
    </cfRule>
  </conditionalFormatting>
  <conditionalFormatting sqref="P230:Q232">
    <cfRule type="cellIs" dxfId="174" priority="735" operator="equal">
      <formula>"Por Fazer"</formula>
    </cfRule>
    <cfRule type="cellIs" dxfId="173" priority="736" operator="equal">
      <formula>"Em progresso"</formula>
    </cfRule>
    <cfRule type="cellIs" dxfId="172" priority="737" operator="equal">
      <formula>"Concluída"</formula>
    </cfRule>
  </conditionalFormatting>
  <conditionalFormatting sqref="P233:Q235">
    <cfRule type="cellIs" dxfId="171" priority="728" operator="equal">
      <formula>"Por Fazer"</formula>
    </cfRule>
    <cfRule type="cellIs" dxfId="170" priority="729" operator="equal">
      <formula>"Em progresso"</formula>
    </cfRule>
    <cfRule type="cellIs" dxfId="169" priority="730" operator="equal">
      <formula>"Concluída"</formula>
    </cfRule>
  </conditionalFormatting>
  <conditionalFormatting sqref="P236:Q238">
    <cfRule type="cellIs" dxfId="168" priority="721" operator="equal">
      <formula>"Por Fazer"</formula>
    </cfRule>
    <cfRule type="cellIs" dxfId="167" priority="722" operator="equal">
      <formula>"Em progresso"</formula>
    </cfRule>
    <cfRule type="cellIs" dxfId="166" priority="723" operator="equal">
      <formula>"Concluída"</formula>
    </cfRule>
  </conditionalFormatting>
  <conditionalFormatting sqref="P239:Q241">
    <cfRule type="cellIs" dxfId="165" priority="714" operator="equal">
      <formula>"Por Fazer"</formula>
    </cfRule>
    <cfRule type="cellIs" dxfId="164" priority="715" operator="equal">
      <formula>"Em progresso"</formula>
    </cfRule>
    <cfRule type="cellIs" dxfId="163" priority="716" operator="equal">
      <formula>"Concluída"</formula>
    </cfRule>
  </conditionalFormatting>
  <conditionalFormatting sqref="P242:Q244">
    <cfRule type="cellIs" dxfId="162" priority="707" operator="equal">
      <formula>"Por Fazer"</formula>
    </cfRule>
    <cfRule type="cellIs" dxfId="161" priority="708" operator="equal">
      <formula>"Em progresso"</formula>
    </cfRule>
    <cfRule type="cellIs" dxfId="160" priority="709" operator="equal">
      <formula>"Concluída"</formula>
    </cfRule>
  </conditionalFormatting>
  <conditionalFormatting sqref="P245:Q247">
    <cfRule type="cellIs" dxfId="159" priority="700" operator="equal">
      <formula>"Por Fazer"</formula>
    </cfRule>
    <cfRule type="cellIs" dxfId="158" priority="701" operator="equal">
      <formula>"Em progresso"</formula>
    </cfRule>
    <cfRule type="cellIs" dxfId="157" priority="702" operator="equal">
      <formula>"Concluída"</formula>
    </cfRule>
  </conditionalFormatting>
  <conditionalFormatting sqref="S6:AE6">
    <cfRule type="expression" dxfId="156" priority="437" stopIfTrue="1">
      <formula>$N6:$N42="Urgente"</formula>
    </cfRule>
    <cfRule type="expression" dxfId="155" priority="438" stopIfTrue="1">
      <formula>$N6:$N42="Alta"</formula>
    </cfRule>
    <cfRule type="expression" dxfId="154" priority="439" stopIfTrue="1">
      <formula>$N6:$N42="Média"</formula>
    </cfRule>
    <cfRule type="expression" dxfId="153" priority="440" stopIfTrue="1">
      <formula>$N6:$N42="Baixa"</formula>
    </cfRule>
  </conditionalFormatting>
  <conditionalFormatting sqref="AG4:AH6">
    <cfRule type="cellIs" dxfId="152" priority="434" operator="equal">
      <formula>"Por Fazer"</formula>
    </cfRule>
    <cfRule type="cellIs" dxfId="151" priority="435" operator="equal">
      <formula>"Em progresso"</formula>
    </cfRule>
    <cfRule type="cellIs" dxfId="150" priority="436" operator="equal">
      <formula>"Concluída"</formula>
    </cfRule>
  </conditionalFormatting>
  <conditionalFormatting sqref="S7:AE9">
    <cfRule type="expression" dxfId="149" priority="430" stopIfTrue="1">
      <formula>$N7:$N43="Urgente"</formula>
    </cfRule>
    <cfRule type="expression" dxfId="148" priority="431" stopIfTrue="1">
      <formula>$N7:$N43="Alta"</formula>
    </cfRule>
    <cfRule type="expression" dxfId="147" priority="432" stopIfTrue="1">
      <formula>$N7:$N43="Média"</formula>
    </cfRule>
    <cfRule type="expression" dxfId="146" priority="433" stopIfTrue="1">
      <formula>$N7:$N43="Baixa"</formula>
    </cfRule>
  </conditionalFormatting>
  <conditionalFormatting sqref="AG7:AH9">
    <cfRule type="cellIs" dxfId="145" priority="427" operator="equal">
      <formula>"Por Fazer"</formula>
    </cfRule>
    <cfRule type="cellIs" dxfId="144" priority="428" operator="equal">
      <formula>"Em progresso"</formula>
    </cfRule>
    <cfRule type="cellIs" dxfId="143" priority="429" operator="equal">
      <formula>"Concluída"</formula>
    </cfRule>
  </conditionalFormatting>
  <conditionalFormatting sqref="B32:C37">
    <cfRule type="expression" dxfId="142" priority="220" stopIfTrue="1">
      <formula>$N32:$N68="Urgente"</formula>
    </cfRule>
    <cfRule type="expression" dxfId="141" priority="221" stopIfTrue="1">
      <formula>$N32:$N68="Alta"</formula>
    </cfRule>
    <cfRule type="expression" dxfId="140" priority="222" stopIfTrue="1">
      <formula>$N32:$N68="Média"</formula>
    </cfRule>
    <cfRule type="expression" dxfId="139" priority="223" stopIfTrue="1">
      <formula>$N32:$N68="Baixa"</formula>
    </cfRule>
  </conditionalFormatting>
  <conditionalFormatting sqref="B38:C40">
    <cfRule type="expression" dxfId="138" priority="213" stopIfTrue="1">
      <formula>$N38:$N74="Urgente"</formula>
    </cfRule>
    <cfRule type="expression" dxfId="137" priority="214" stopIfTrue="1">
      <formula>$N38:$N74="Alta"</formula>
    </cfRule>
    <cfRule type="expression" dxfId="136" priority="215" stopIfTrue="1">
      <formula>$N38:$N74="Média"</formula>
    </cfRule>
    <cfRule type="expression" dxfId="135" priority="216" stopIfTrue="1">
      <formula>$N38:$N74="Baixa"</formula>
    </cfRule>
  </conditionalFormatting>
  <conditionalFormatting sqref="B29:C31">
    <cfRule type="expression" dxfId="134" priority="206" stopIfTrue="1">
      <formula>$N29:$N65="Urgente"</formula>
    </cfRule>
    <cfRule type="expression" dxfId="133" priority="207" stopIfTrue="1">
      <formula>$N29:$N65="Alta"</formula>
    </cfRule>
    <cfRule type="expression" dxfId="132" priority="208" stopIfTrue="1">
      <formula>$N29:$N65="Média"</formula>
    </cfRule>
    <cfRule type="expression" dxfId="131" priority="209" stopIfTrue="1">
      <formula>$N29:$N65="Baixa"</formula>
    </cfRule>
  </conditionalFormatting>
  <conditionalFormatting sqref="P29:Q31">
    <cfRule type="cellIs" dxfId="130" priority="175" operator="equal">
      <formula>"Por Fazer"</formula>
    </cfRule>
    <cfRule type="cellIs" dxfId="129" priority="176" operator="equal">
      <formula>"Em progresso"</formula>
    </cfRule>
    <cfRule type="cellIs" dxfId="128" priority="177" operator="equal">
      <formula>"Concluída"</formula>
    </cfRule>
  </conditionalFormatting>
  <conditionalFormatting sqref="P32:Q34">
    <cfRule type="cellIs" dxfId="127" priority="168" operator="equal">
      <formula>"Por Fazer"</formula>
    </cfRule>
    <cfRule type="cellIs" dxfId="126" priority="169" operator="equal">
      <formula>"Em progresso"</formula>
    </cfRule>
    <cfRule type="cellIs" dxfId="125" priority="170" operator="equal">
      <formula>"Concluída"</formula>
    </cfRule>
  </conditionalFormatting>
  <conditionalFormatting sqref="P35:Q37">
    <cfRule type="cellIs" dxfId="124" priority="161" operator="equal">
      <formula>"Por Fazer"</formula>
    </cfRule>
    <cfRule type="cellIs" dxfId="123" priority="162" operator="equal">
      <formula>"Em progresso"</formula>
    </cfRule>
    <cfRule type="cellIs" dxfId="122" priority="163" operator="equal">
      <formula>"Concluída"</formula>
    </cfRule>
  </conditionalFormatting>
  <conditionalFormatting sqref="P38:Q40">
    <cfRule type="cellIs" dxfId="121" priority="154" operator="equal">
      <formula>"Por Fazer"</formula>
    </cfRule>
    <cfRule type="cellIs" dxfId="120" priority="155" operator="equal">
      <formula>"Em progresso"</formula>
    </cfRule>
    <cfRule type="cellIs" dxfId="119" priority="156" operator="equal">
      <formula>"Concluída"</formula>
    </cfRule>
  </conditionalFormatting>
  <conditionalFormatting sqref="P41:Q43">
    <cfRule type="cellIs" dxfId="118" priority="147" operator="equal">
      <formula>"Por Fazer"</formula>
    </cfRule>
    <cfRule type="cellIs" dxfId="117" priority="148" operator="equal">
      <formula>"Em progresso"</formula>
    </cfRule>
    <cfRule type="cellIs" dxfId="116" priority="149" operator="equal">
      <formula>"Concluída"</formula>
    </cfRule>
  </conditionalFormatting>
  <conditionalFormatting sqref="P44:Q46">
    <cfRule type="cellIs" dxfId="115" priority="140" operator="equal">
      <formula>"Por Fazer"</formula>
    </cfRule>
    <cfRule type="cellIs" dxfId="114" priority="141" operator="equal">
      <formula>"Em progresso"</formula>
    </cfRule>
    <cfRule type="cellIs" dxfId="113" priority="142" operator="equal">
      <formula>"Concluída"</formula>
    </cfRule>
  </conditionalFormatting>
  <conditionalFormatting sqref="B23:C25">
    <cfRule type="expression" dxfId="112" priority="100" stopIfTrue="1">
      <formula>$N23:$N59="Urgente"</formula>
    </cfRule>
    <cfRule type="expression" dxfId="111" priority="101" stopIfTrue="1">
      <formula>$N23:$N59="Alta"</formula>
    </cfRule>
    <cfRule type="expression" dxfId="110" priority="102" stopIfTrue="1">
      <formula>$N23:$N59="Média"</formula>
    </cfRule>
    <cfRule type="expression" dxfId="109" priority="103" stopIfTrue="1">
      <formula>$N23:$N59="Baixa"</formula>
    </cfRule>
  </conditionalFormatting>
  <conditionalFormatting sqref="P23:Q25">
    <cfRule type="cellIs" dxfId="108" priority="93" operator="equal">
      <formula>"Por Fazer"</formula>
    </cfRule>
    <cfRule type="cellIs" dxfId="107" priority="94" operator="equal">
      <formula>"Em progresso"</formula>
    </cfRule>
    <cfRule type="cellIs" dxfId="106" priority="95" operator="equal">
      <formula>"Concluída"</formula>
    </cfRule>
  </conditionalFormatting>
  <conditionalFormatting sqref="B26:C28">
    <cfRule type="expression" dxfId="105" priority="89" stopIfTrue="1">
      <formula>$N26:$N62="Urgente"</formula>
    </cfRule>
    <cfRule type="expression" dxfId="104" priority="90" stopIfTrue="1">
      <formula>$N26:$N62="Alta"</formula>
    </cfRule>
    <cfRule type="expression" dxfId="103" priority="91" stopIfTrue="1">
      <formula>$N26:$N62="Média"</formula>
    </cfRule>
    <cfRule type="expression" dxfId="102" priority="92" stopIfTrue="1">
      <formula>$N26:$N62="Baixa"</formula>
    </cfRule>
  </conditionalFormatting>
  <conditionalFormatting sqref="P26:Q28">
    <cfRule type="cellIs" dxfId="101" priority="82" operator="equal">
      <formula>"Por Fazer"</formula>
    </cfRule>
    <cfRule type="cellIs" dxfId="100" priority="83" operator="equal">
      <formula>"Em progresso"</formula>
    </cfRule>
    <cfRule type="cellIs" dxfId="99" priority="84" operator="equal">
      <formula>"Concluída"</formula>
    </cfRule>
  </conditionalFormatting>
  <conditionalFormatting sqref="P11:Q13">
    <cfRule type="cellIs" dxfId="98" priority="32" operator="equal">
      <formula>"Por Fazer"</formula>
    </cfRule>
    <cfRule type="cellIs" dxfId="97" priority="33" operator="equal">
      <formula>"Em progresso"</formula>
    </cfRule>
    <cfRule type="cellIs" dxfId="96" priority="34" operator="equal">
      <formula>"Concluída"</formula>
    </cfRule>
  </conditionalFormatting>
  <conditionalFormatting sqref="P14:Q16">
    <cfRule type="cellIs" dxfId="95" priority="12" operator="equal">
      <formula>"Por Fazer"</formula>
    </cfRule>
    <cfRule type="cellIs" dxfId="94" priority="13" operator="equal">
      <formula>"Em progresso"</formula>
    </cfRule>
    <cfRule type="cellIs" dxfId="93" priority="14" operator="equal">
      <formula>"Concluída"</formula>
    </cfRule>
  </conditionalFormatting>
  <conditionalFormatting sqref="P17:Q19">
    <cfRule type="cellIs" dxfId="92" priority="6" operator="equal">
      <formula>"Por Fazer"</formula>
    </cfRule>
    <cfRule type="cellIs" dxfId="91" priority="7" operator="equal">
      <formula>"Em progresso"</formula>
    </cfRule>
    <cfRule type="cellIs" dxfId="90" priority="8" operator="equal">
      <formula>"Concluída"</formula>
    </cfRule>
  </conditionalFormatting>
  <conditionalFormatting sqref="P20:Q22">
    <cfRule type="cellIs" dxfId="89" priority="3" operator="equal">
      <formula>"Por Fazer"</formula>
    </cfRule>
    <cfRule type="cellIs" dxfId="88" priority="4" operator="equal">
      <formula>"Em progresso"</formula>
    </cfRule>
    <cfRule type="cellIs" dxfId="87" priority="5" operator="equal">
      <formula>"Concluída"</formula>
    </cfRule>
  </conditionalFormatting>
  <conditionalFormatting sqref="R11:S13">
    <cfRule type="containsText" dxfId="1" priority="2" operator="containsText" text="EM ATRASO">
      <formula>NOT(ISERROR(SEARCH("EM ATRASO",R11)))</formula>
    </cfRule>
  </conditionalFormatting>
  <conditionalFormatting sqref="R11:S13">
    <cfRule type="containsText" dxfId="0" priority="1" operator="containsText" text="HOJE">
      <formula>NOT(ISERROR(SEARCH("HOJE",R11)))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D7DD6C-98BE-4CEB-83DC-B56E66C1E4D3}">
          <x14:formula1>
            <xm:f>DataBase!$F$3:$F$5</xm:f>
          </x14:formula1>
          <xm:sqref>AG4:AH9 P11:Q298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7898-3C22-4BFF-8F06-5D279671A6CF}">
  <sheetPr codeName="Planilha10"/>
  <dimension ref="B3:AH872"/>
  <sheetViews>
    <sheetView zoomScale="40" zoomScaleNormal="40" workbookViewId="0">
      <selection activeCell="S6" sqref="S6:AH8"/>
    </sheetView>
  </sheetViews>
  <sheetFormatPr defaultRowHeight="15" x14ac:dyDescent="0.25"/>
  <sheetData>
    <row r="3" spans="2:34" x14ac:dyDescent="0.25">
      <c r="B3" s="100" t="s">
        <v>9</v>
      </c>
      <c r="C3" s="101"/>
      <c r="D3" s="106" t="s">
        <v>10</v>
      </c>
      <c r="E3" s="107"/>
      <c r="F3" s="107"/>
      <c r="G3" s="107"/>
      <c r="H3" s="107"/>
      <c r="I3" s="108"/>
      <c r="J3" s="100" t="s">
        <v>11</v>
      </c>
      <c r="K3" s="101"/>
      <c r="L3" s="100" t="s">
        <v>12</v>
      </c>
      <c r="M3" s="101"/>
      <c r="N3" s="100" t="s">
        <v>13</v>
      </c>
      <c r="O3" s="101"/>
      <c r="P3" s="100" t="s">
        <v>14</v>
      </c>
      <c r="Q3" s="101"/>
      <c r="S3" s="100" t="s">
        <v>9</v>
      </c>
      <c r="T3" s="101"/>
      <c r="U3" s="106" t="s">
        <v>10</v>
      </c>
      <c r="V3" s="107"/>
      <c r="W3" s="107"/>
      <c r="X3" s="107"/>
      <c r="Y3" s="107"/>
      <c r="Z3" s="108"/>
      <c r="AA3" s="100" t="s">
        <v>11</v>
      </c>
      <c r="AB3" s="101"/>
      <c r="AC3" s="100" t="s">
        <v>12</v>
      </c>
      <c r="AD3" s="101"/>
      <c r="AE3" s="100" t="s">
        <v>13</v>
      </c>
      <c r="AF3" s="101"/>
      <c r="AG3" s="100" t="s">
        <v>14</v>
      </c>
      <c r="AH3" s="101"/>
    </row>
    <row r="4" spans="2:34" x14ac:dyDescent="0.25">
      <c r="B4" s="102"/>
      <c r="C4" s="103"/>
      <c r="D4" s="109"/>
      <c r="E4" s="110"/>
      <c r="F4" s="110"/>
      <c r="G4" s="110"/>
      <c r="H4" s="110"/>
      <c r="I4" s="111"/>
      <c r="J4" s="102"/>
      <c r="K4" s="103"/>
      <c r="L4" s="102"/>
      <c r="M4" s="103"/>
      <c r="N4" s="102"/>
      <c r="O4" s="103"/>
      <c r="P4" s="102"/>
      <c r="Q4" s="103"/>
      <c r="S4" s="102"/>
      <c r="T4" s="103"/>
      <c r="U4" s="109"/>
      <c r="V4" s="110"/>
      <c r="W4" s="110"/>
      <c r="X4" s="110"/>
      <c r="Y4" s="110"/>
      <c r="Z4" s="111"/>
      <c r="AA4" s="102"/>
      <c r="AB4" s="103"/>
      <c r="AC4" s="102"/>
      <c r="AD4" s="103"/>
      <c r="AE4" s="102"/>
      <c r="AF4" s="103"/>
      <c r="AG4" s="102"/>
      <c r="AH4" s="103"/>
    </row>
    <row r="5" spans="2:34" x14ac:dyDescent="0.25">
      <c r="B5" s="104"/>
      <c r="C5" s="105"/>
      <c r="D5" s="112"/>
      <c r="E5" s="113"/>
      <c r="F5" s="113"/>
      <c r="G5" s="113"/>
      <c r="H5" s="113"/>
      <c r="I5" s="114"/>
      <c r="J5" s="104"/>
      <c r="K5" s="105"/>
      <c r="L5" s="104"/>
      <c r="M5" s="105"/>
      <c r="N5" s="104"/>
      <c r="O5" s="105"/>
      <c r="P5" s="104"/>
      <c r="Q5" s="105"/>
      <c r="S5" s="104"/>
      <c r="T5" s="105"/>
      <c r="U5" s="112"/>
      <c r="V5" s="113"/>
      <c r="W5" s="113"/>
      <c r="X5" s="113"/>
      <c r="Y5" s="113"/>
      <c r="Z5" s="114"/>
      <c r="AA5" s="104"/>
      <c r="AB5" s="105"/>
      <c r="AC5" s="104"/>
      <c r="AD5" s="105"/>
      <c r="AE5" s="104"/>
      <c r="AF5" s="105"/>
      <c r="AG5" s="104"/>
      <c r="AH5" s="105"/>
    </row>
    <row r="6" spans="2:34" x14ac:dyDescent="0.25">
      <c r="B6" s="71" t="s">
        <v>32</v>
      </c>
      <c r="C6" s="72"/>
      <c r="D6" s="77" t="s">
        <v>33</v>
      </c>
      <c r="E6" s="78"/>
      <c r="F6" s="78"/>
      <c r="G6" s="78"/>
      <c r="H6" s="78"/>
      <c r="I6" s="79"/>
      <c r="J6" s="86">
        <v>43579</v>
      </c>
      <c r="K6" s="87"/>
      <c r="L6" s="86">
        <v>43510</v>
      </c>
      <c r="M6" s="87"/>
      <c r="N6" s="77" t="s">
        <v>18</v>
      </c>
      <c r="O6" s="79"/>
      <c r="P6" s="92" t="s">
        <v>22</v>
      </c>
      <c r="Q6" s="93"/>
      <c r="S6" s="77"/>
      <c r="T6" s="79"/>
      <c r="U6" s="77"/>
      <c r="V6" s="78"/>
      <c r="W6" s="78"/>
      <c r="X6" s="78"/>
      <c r="Y6" s="78"/>
      <c r="Z6" s="79"/>
      <c r="AA6" s="86"/>
      <c r="AB6" s="87"/>
      <c r="AC6" s="86"/>
      <c r="AD6" s="87"/>
      <c r="AE6" s="77"/>
      <c r="AF6" s="79"/>
      <c r="AG6" s="92"/>
      <c r="AH6" s="93"/>
    </row>
    <row r="7" spans="2:34" x14ac:dyDescent="0.25">
      <c r="B7" s="73"/>
      <c r="C7" s="74"/>
      <c r="D7" s="80"/>
      <c r="E7" s="81"/>
      <c r="F7" s="81"/>
      <c r="G7" s="81"/>
      <c r="H7" s="81"/>
      <c r="I7" s="82"/>
      <c r="J7" s="88"/>
      <c r="K7" s="89"/>
      <c r="L7" s="88"/>
      <c r="M7" s="89"/>
      <c r="N7" s="80"/>
      <c r="O7" s="82"/>
      <c r="P7" s="94"/>
      <c r="Q7" s="95"/>
      <c r="S7" s="80"/>
      <c r="T7" s="82"/>
      <c r="U7" s="80"/>
      <c r="V7" s="81"/>
      <c r="W7" s="81"/>
      <c r="X7" s="81"/>
      <c r="Y7" s="81"/>
      <c r="Z7" s="82"/>
      <c r="AA7" s="88"/>
      <c r="AB7" s="89"/>
      <c r="AC7" s="88"/>
      <c r="AD7" s="89"/>
      <c r="AE7" s="80"/>
      <c r="AF7" s="82"/>
      <c r="AG7" s="94"/>
      <c r="AH7" s="95"/>
    </row>
    <row r="8" spans="2:34" x14ac:dyDescent="0.25">
      <c r="B8" s="75"/>
      <c r="C8" s="76"/>
      <c r="D8" s="83"/>
      <c r="E8" s="84"/>
      <c r="F8" s="84"/>
      <c r="G8" s="84"/>
      <c r="H8" s="84"/>
      <c r="I8" s="85"/>
      <c r="J8" s="90"/>
      <c r="K8" s="91"/>
      <c r="L8" s="90"/>
      <c r="M8" s="91"/>
      <c r="N8" s="83"/>
      <c r="O8" s="85"/>
      <c r="P8" s="96"/>
      <c r="Q8" s="97"/>
      <c r="S8" s="83"/>
      <c r="T8" s="85"/>
      <c r="U8" s="83"/>
      <c r="V8" s="84"/>
      <c r="W8" s="84"/>
      <c r="X8" s="84"/>
      <c r="Y8" s="84"/>
      <c r="Z8" s="85"/>
      <c r="AA8" s="90"/>
      <c r="AB8" s="91"/>
      <c r="AC8" s="90"/>
      <c r="AD8" s="91"/>
      <c r="AE8" s="83"/>
      <c r="AF8" s="85"/>
      <c r="AG8" s="96"/>
      <c r="AH8" s="97"/>
    </row>
    <row r="9" spans="2:34" x14ac:dyDescent="0.25">
      <c r="B9" s="71" t="s">
        <v>36</v>
      </c>
      <c r="C9" s="72"/>
      <c r="D9" s="77" t="s">
        <v>37</v>
      </c>
      <c r="E9" s="78"/>
      <c r="F9" s="78"/>
      <c r="G9" s="78"/>
      <c r="H9" s="78"/>
      <c r="I9" s="79"/>
      <c r="J9" s="86">
        <v>43579</v>
      </c>
      <c r="K9" s="79"/>
      <c r="L9" s="86">
        <v>43599</v>
      </c>
      <c r="M9" s="79"/>
      <c r="N9" s="77" t="s">
        <v>19</v>
      </c>
      <c r="O9" s="79"/>
      <c r="P9" s="92" t="s">
        <v>22</v>
      </c>
      <c r="Q9" s="93"/>
      <c r="S9" s="77"/>
      <c r="T9" s="79"/>
      <c r="U9" s="77"/>
      <c r="V9" s="78"/>
      <c r="W9" s="78"/>
      <c r="X9" s="78"/>
      <c r="Y9" s="78"/>
      <c r="Z9" s="79"/>
      <c r="AA9" s="86"/>
      <c r="AB9" s="87"/>
      <c r="AC9" s="86"/>
      <c r="AD9" s="87"/>
      <c r="AE9" s="77"/>
      <c r="AF9" s="79"/>
      <c r="AG9" s="92"/>
      <c r="AH9" s="93"/>
    </row>
    <row r="10" spans="2:34" x14ac:dyDescent="0.25">
      <c r="B10" s="73"/>
      <c r="C10" s="74"/>
      <c r="D10" s="80"/>
      <c r="E10" s="81"/>
      <c r="F10" s="81"/>
      <c r="G10" s="81"/>
      <c r="H10" s="81"/>
      <c r="I10" s="82"/>
      <c r="J10" s="80"/>
      <c r="K10" s="82"/>
      <c r="L10" s="80"/>
      <c r="M10" s="82"/>
      <c r="N10" s="80"/>
      <c r="O10" s="82"/>
      <c r="P10" s="94"/>
      <c r="Q10" s="95"/>
      <c r="S10" s="80"/>
      <c r="T10" s="82"/>
      <c r="U10" s="80"/>
      <c r="V10" s="81"/>
      <c r="W10" s="81"/>
      <c r="X10" s="81"/>
      <c r="Y10" s="81"/>
      <c r="Z10" s="82"/>
      <c r="AA10" s="88"/>
      <c r="AB10" s="89"/>
      <c r="AC10" s="88"/>
      <c r="AD10" s="89"/>
      <c r="AE10" s="80"/>
      <c r="AF10" s="82"/>
      <c r="AG10" s="94"/>
      <c r="AH10" s="95"/>
    </row>
    <row r="11" spans="2:34" x14ac:dyDescent="0.25">
      <c r="B11" s="75"/>
      <c r="C11" s="76"/>
      <c r="D11" s="83"/>
      <c r="E11" s="84"/>
      <c r="F11" s="84"/>
      <c r="G11" s="84"/>
      <c r="H11" s="84"/>
      <c r="I11" s="85"/>
      <c r="J11" s="83"/>
      <c r="K11" s="85"/>
      <c r="L11" s="83"/>
      <c r="M11" s="85"/>
      <c r="N11" s="83"/>
      <c r="O11" s="85"/>
      <c r="P11" s="96"/>
      <c r="Q11" s="97"/>
      <c r="S11" s="83"/>
      <c r="T11" s="85"/>
      <c r="U11" s="83"/>
      <c r="V11" s="84"/>
      <c r="W11" s="84"/>
      <c r="X11" s="84"/>
      <c r="Y11" s="84"/>
      <c r="Z11" s="85"/>
      <c r="AA11" s="90"/>
      <c r="AB11" s="91"/>
      <c r="AC11" s="90"/>
      <c r="AD11" s="91"/>
      <c r="AE11" s="83"/>
      <c r="AF11" s="85"/>
      <c r="AG11" s="96"/>
      <c r="AH11" s="97"/>
    </row>
    <row r="12" spans="2:34" x14ac:dyDescent="0.25">
      <c r="B12" s="71" t="s">
        <v>54</v>
      </c>
      <c r="C12" s="72"/>
      <c r="D12" s="77" t="s">
        <v>55</v>
      </c>
      <c r="E12" s="78"/>
      <c r="F12" s="78"/>
      <c r="G12" s="78"/>
      <c r="H12" s="78"/>
      <c r="I12" s="79"/>
      <c r="J12" s="86">
        <v>43579</v>
      </c>
      <c r="K12" s="87"/>
      <c r="L12" s="86">
        <v>43691</v>
      </c>
      <c r="M12" s="87"/>
      <c r="N12" s="77" t="s">
        <v>19</v>
      </c>
      <c r="O12" s="79"/>
      <c r="P12" s="92" t="s">
        <v>22</v>
      </c>
      <c r="Q12" s="93"/>
      <c r="S12" s="77"/>
      <c r="T12" s="79"/>
      <c r="U12" s="77"/>
      <c r="V12" s="78"/>
      <c r="W12" s="78"/>
      <c r="X12" s="78"/>
      <c r="Y12" s="78"/>
      <c r="Z12" s="79"/>
      <c r="AA12" s="86"/>
      <c r="AB12" s="87"/>
      <c r="AC12" s="86"/>
      <c r="AD12" s="87"/>
      <c r="AE12" s="77"/>
      <c r="AF12" s="79"/>
      <c r="AG12" s="92"/>
      <c r="AH12" s="93"/>
    </row>
    <row r="13" spans="2:34" x14ac:dyDescent="0.25">
      <c r="B13" s="73"/>
      <c r="C13" s="74"/>
      <c r="D13" s="80"/>
      <c r="E13" s="81"/>
      <c r="F13" s="81"/>
      <c r="G13" s="81"/>
      <c r="H13" s="81"/>
      <c r="I13" s="82"/>
      <c r="J13" s="88"/>
      <c r="K13" s="89"/>
      <c r="L13" s="88"/>
      <c r="M13" s="89"/>
      <c r="N13" s="80"/>
      <c r="O13" s="82"/>
      <c r="P13" s="94"/>
      <c r="Q13" s="95"/>
      <c r="S13" s="80"/>
      <c r="T13" s="82"/>
      <c r="U13" s="80"/>
      <c r="V13" s="81"/>
      <c r="W13" s="81"/>
      <c r="X13" s="81"/>
      <c r="Y13" s="81"/>
      <c r="Z13" s="82"/>
      <c r="AA13" s="88"/>
      <c r="AB13" s="89"/>
      <c r="AC13" s="88"/>
      <c r="AD13" s="89"/>
      <c r="AE13" s="80"/>
      <c r="AF13" s="82"/>
      <c r="AG13" s="94"/>
      <c r="AH13" s="95"/>
    </row>
    <row r="14" spans="2:34" x14ac:dyDescent="0.25">
      <c r="B14" s="75"/>
      <c r="C14" s="76"/>
      <c r="D14" s="83"/>
      <c r="E14" s="84"/>
      <c r="F14" s="84"/>
      <c r="G14" s="84"/>
      <c r="H14" s="84"/>
      <c r="I14" s="85"/>
      <c r="J14" s="90"/>
      <c r="K14" s="91"/>
      <c r="L14" s="90"/>
      <c r="M14" s="91"/>
      <c r="N14" s="83"/>
      <c r="O14" s="85"/>
      <c r="P14" s="96"/>
      <c r="Q14" s="97"/>
      <c r="S14" s="83"/>
      <c r="T14" s="85"/>
      <c r="U14" s="83"/>
      <c r="V14" s="84"/>
      <c r="W14" s="84"/>
      <c r="X14" s="84"/>
      <c r="Y14" s="84"/>
      <c r="Z14" s="85"/>
      <c r="AA14" s="90"/>
      <c r="AB14" s="91"/>
      <c r="AC14" s="90"/>
      <c r="AD14" s="91"/>
      <c r="AE14" s="83"/>
      <c r="AF14" s="85"/>
      <c r="AG14" s="96"/>
      <c r="AH14" s="97"/>
    </row>
    <row r="15" spans="2:34" x14ac:dyDescent="0.25">
      <c r="B15" s="71"/>
      <c r="C15" s="72"/>
      <c r="D15" s="77"/>
      <c r="E15" s="78"/>
      <c r="F15" s="78"/>
      <c r="G15" s="78"/>
      <c r="H15" s="78"/>
      <c r="I15" s="79"/>
      <c r="J15" s="86"/>
      <c r="K15" s="87"/>
      <c r="L15" s="86"/>
      <c r="M15" s="87"/>
      <c r="N15" s="77"/>
      <c r="O15" s="79"/>
      <c r="P15" s="92"/>
      <c r="Q15" s="93"/>
      <c r="S15" s="77"/>
      <c r="T15" s="79"/>
      <c r="U15" s="77"/>
      <c r="V15" s="78"/>
      <c r="W15" s="78"/>
      <c r="X15" s="78"/>
      <c r="Y15" s="78"/>
      <c r="Z15" s="79"/>
      <c r="AA15" s="86"/>
      <c r="AB15" s="87"/>
      <c r="AC15" s="86"/>
      <c r="AD15" s="87"/>
      <c r="AE15" s="77"/>
      <c r="AF15" s="79"/>
      <c r="AG15" s="92"/>
      <c r="AH15" s="93"/>
    </row>
    <row r="16" spans="2:34" x14ac:dyDescent="0.25">
      <c r="B16" s="73"/>
      <c r="C16" s="74"/>
      <c r="D16" s="80"/>
      <c r="E16" s="81"/>
      <c r="F16" s="81"/>
      <c r="G16" s="81"/>
      <c r="H16" s="81"/>
      <c r="I16" s="82"/>
      <c r="J16" s="88"/>
      <c r="K16" s="89"/>
      <c r="L16" s="88"/>
      <c r="M16" s="89"/>
      <c r="N16" s="80"/>
      <c r="O16" s="82"/>
      <c r="P16" s="94"/>
      <c r="Q16" s="95"/>
      <c r="S16" s="80"/>
      <c r="T16" s="82"/>
      <c r="U16" s="80"/>
      <c r="V16" s="81"/>
      <c r="W16" s="81"/>
      <c r="X16" s="81"/>
      <c r="Y16" s="81"/>
      <c r="Z16" s="82"/>
      <c r="AA16" s="88"/>
      <c r="AB16" s="89"/>
      <c r="AC16" s="88"/>
      <c r="AD16" s="89"/>
      <c r="AE16" s="80"/>
      <c r="AF16" s="82"/>
      <c r="AG16" s="94"/>
      <c r="AH16" s="95"/>
    </row>
    <row r="17" spans="2:34" x14ac:dyDescent="0.25">
      <c r="B17" s="75"/>
      <c r="C17" s="76"/>
      <c r="D17" s="83"/>
      <c r="E17" s="84"/>
      <c r="F17" s="84"/>
      <c r="G17" s="84"/>
      <c r="H17" s="84"/>
      <c r="I17" s="85"/>
      <c r="J17" s="90"/>
      <c r="K17" s="91"/>
      <c r="L17" s="90"/>
      <c r="M17" s="91"/>
      <c r="N17" s="83"/>
      <c r="O17" s="85"/>
      <c r="P17" s="96"/>
      <c r="Q17" s="97"/>
      <c r="S17" s="83"/>
      <c r="T17" s="85"/>
      <c r="U17" s="83"/>
      <c r="V17" s="84"/>
      <c r="W17" s="84"/>
      <c r="X17" s="84"/>
      <c r="Y17" s="84"/>
      <c r="Z17" s="85"/>
      <c r="AA17" s="90"/>
      <c r="AB17" s="91"/>
      <c r="AC17" s="90"/>
      <c r="AD17" s="91"/>
      <c r="AE17" s="83"/>
      <c r="AF17" s="85"/>
      <c r="AG17" s="96"/>
      <c r="AH17" s="97"/>
    </row>
    <row r="18" spans="2:34" x14ac:dyDescent="0.25">
      <c r="B18" s="71"/>
      <c r="C18" s="72"/>
      <c r="D18" s="77"/>
      <c r="E18" s="78"/>
      <c r="F18" s="78"/>
      <c r="G18" s="78"/>
      <c r="H18" s="78"/>
      <c r="I18" s="79"/>
      <c r="J18" s="86"/>
      <c r="K18" s="87"/>
      <c r="L18" s="86"/>
      <c r="M18" s="87"/>
      <c r="N18" s="77"/>
      <c r="O18" s="79"/>
      <c r="P18" s="92"/>
      <c r="Q18" s="93"/>
      <c r="S18" s="77"/>
      <c r="T18" s="79"/>
      <c r="U18" s="77"/>
      <c r="V18" s="78"/>
      <c r="W18" s="78"/>
      <c r="X18" s="78"/>
      <c r="Y18" s="78"/>
      <c r="Z18" s="79"/>
      <c r="AA18" s="86"/>
      <c r="AB18" s="87"/>
      <c r="AC18" s="86"/>
      <c r="AD18" s="87"/>
      <c r="AE18" s="77"/>
      <c r="AF18" s="79"/>
      <c r="AG18" s="92"/>
      <c r="AH18" s="93"/>
    </row>
    <row r="19" spans="2:34" x14ac:dyDescent="0.25">
      <c r="B19" s="73"/>
      <c r="C19" s="74"/>
      <c r="D19" s="80"/>
      <c r="E19" s="81"/>
      <c r="F19" s="81"/>
      <c r="G19" s="81"/>
      <c r="H19" s="81"/>
      <c r="I19" s="82"/>
      <c r="J19" s="88"/>
      <c r="K19" s="89"/>
      <c r="L19" s="88"/>
      <c r="M19" s="89"/>
      <c r="N19" s="80"/>
      <c r="O19" s="82"/>
      <c r="P19" s="94"/>
      <c r="Q19" s="95"/>
      <c r="S19" s="80"/>
      <c r="T19" s="82"/>
      <c r="U19" s="80"/>
      <c r="V19" s="81"/>
      <c r="W19" s="81"/>
      <c r="X19" s="81"/>
      <c r="Y19" s="81"/>
      <c r="Z19" s="82"/>
      <c r="AA19" s="88"/>
      <c r="AB19" s="89"/>
      <c r="AC19" s="88"/>
      <c r="AD19" s="89"/>
      <c r="AE19" s="80"/>
      <c r="AF19" s="82"/>
      <c r="AG19" s="94"/>
      <c r="AH19" s="95"/>
    </row>
    <row r="20" spans="2:34" x14ac:dyDescent="0.25">
      <c r="B20" s="75"/>
      <c r="C20" s="76"/>
      <c r="D20" s="83"/>
      <c r="E20" s="84"/>
      <c r="F20" s="84"/>
      <c r="G20" s="84"/>
      <c r="H20" s="84"/>
      <c r="I20" s="85"/>
      <c r="J20" s="90"/>
      <c r="K20" s="91"/>
      <c r="L20" s="90"/>
      <c r="M20" s="91"/>
      <c r="N20" s="83"/>
      <c r="O20" s="85"/>
      <c r="P20" s="96"/>
      <c r="Q20" s="97"/>
      <c r="S20" s="83"/>
      <c r="T20" s="85"/>
      <c r="U20" s="83"/>
      <c r="V20" s="84"/>
      <c r="W20" s="84"/>
      <c r="X20" s="84"/>
      <c r="Y20" s="84"/>
      <c r="Z20" s="85"/>
      <c r="AA20" s="90"/>
      <c r="AB20" s="91"/>
      <c r="AC20" s="90"/>
      <c r="AD20" s="91"/>
      <c r="AE20" s="83"/>
      <c r="AF20" s="85"/>
      <c r="AG20" s="96"/>
      <c r="AH20" s="97"/>
    </row>
    <row r="21" spans="2:34" x14ac:dyDescent="0.25">
      <c r="B21" s="71"/>
      <c r="C21" s="72"/>
      <c r="D21" s="77"/>
      <c r="E21" s="78"/>
      <c r="F21" s="78"/>
      <c r="G21" s="78"/>
      <c r="H21" s="78"/>
      <c r="I21" s="79"/>
      <c r="J21" s="86"/>
      <c r="K21" s="87"/>
      <c r="L21" s="86"/>
      <c r="M21" s="87"/>
      <c r="N21" s="77"/>
      <c r="O21" s="79"/>
      <c r="P21" s="92"/>
      <c r="Q21" s="93"/>
      <c r="S21" s="77"/>
      <c r="T21" s="79"/>
      <c r="U21" s="77"/>
      <c r="V21" s="78"/>
      <c r="W21" s="78"/>
      <c r="X21" s="78"/>
      <c r="Y21" s="78"/>
      <c r="Z21" s="79"/>
      <c r="AA21" s="86"/>
      <c r="AB21" s="87"/>
      <c r="AC21" s="86"/>
      <c r="AD21" s="87"/>
      <c r="AE21" s="77"/>
      <c r="AF21" s="79"/>
      <c r="AG21" s="92"/>
      <c r="AH21" s="93"/>
    </row>
    <row r="22" spans="2:34" x14ac:dyDescent="0.25">
      <c r="B22" s="73"/>
      <c r="C22" s="74"/>
      <c r="D22" s="80"/>
      <c r="E22" s="81"/>
      <c r="F22" s="81"/>
      <c r="G22" s="81"/>
      <c r="H22" s="81"/>
      <c r="I22" s="82"/>
      <c r="J22" s="88"/>
      <c r="K22" s="89"/>
      <c r="L22" s="88"/>
      <c r="M22" s="89"/>
      <c r="N22" s="80"/>
      <c r="O22" s="82"/>
      <c r="P22" s="94"/>
      <c r="Q22" s="95"/>
      <c r="S22" s="80"/>
      <c r="T22" s="82"/>
      <c r="U22" s="80"/>
      <c r="V22" s="81"/>
      <c r="W22" s="81"/>
      <c r="X22" s="81"/>
      <c r="Y22" s="81"/>
      <c r="Z22" s="82"/>
      <c r="AA22" s="88"/>
      <c r="AB22" s="89"/>
      <c r="AC22" s="88"/>
      <c r="AD22" s="89"/>
      <c r="AE22" s="80"/>
      <c r="AF22" s="82"/>
      <c r="AG22" s="94"/>
      <c r="AH22" s="95"/>
    </row>
    <row r="23" spans="2:34" x14ac:dyDescent="0.25">
      <c r="B23" s="75"/>
      <c r="C23" s="76"/>
      <c r="D23" s="83"/>
      <c r="E23" s="84"/>
      <c r="F23" s="84"/>
      <c r="G23" s="84"/>
      <c r="H23" s="84"/>
      <c r="I23" s="85"/>
      <c r="J23" s="90"/>
      <c r="K23" s="91"/>
      <c r="L23" s="90"/>
      <c r="M23" s="91"/>
      <c r="N23" s="83"/>
      <c r="O23" s="85"/>
      <c r="P23" s="96"/>
      <c r="Q23" s="97"/>
      <c r="S23" s="83"/>
      <c r="T23" s="85"/>
      <c r="U23" s="83"/>
      <c r="V23" s="84"/>
      <c r="W23" s="84"/>
      <c r="X23" s="84"/>
      <c r="Y23" s="84"/>
      <c r="Z23" s="85"/>
      <c r="AA23" s="90"/>
      <c r="AB23" s="91"/>
      <c r="AC23" s="90"/>
      <c r="AD23" s="91"/>
      <c r="AE23" s="83"/>
      <c r="AF23" s="85"/>
      <c r="AG23" s="96"/>
      <c r="AH23" s="97"/>
    </row>
    <row r="24" spans="2:34" x14ac:dyDescent="0.25">
      <c r="B24" s="71"/>
      <c r="C24" s="72"/>
      <c r="D24" s="77"/>
      <c r="E24" s="78"/>
      <c r="F24" s="78"/>
      <c r="G24" s="78"/>
      <c r="H24" s="78"/>
      <c r="I24" s="79"/>
      <c r="J24" s="86"/>
      <c r="K24" s="87"/>
      <c r="L24" s="86"/>
      <c r="M24" s="87"/>
      <c r="N24" s="77"/>
      <c r="O24" s="79"/>
      <c r="P24" s="92"/>
      <c r="Q24" s="93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8"/>
      <c r="AD24" s="98"/>
      <c r="AE24" s="98"/>
      <c r="AF24" s="98"/>
      <c r="AG24" s="98"/>
      <c r="AH24" s="98"/>
    </row>
    <row r="25" spans="2:34" x14ac:dyDescent="0.25">
      <c r="B25" s="73"/>
      <c r="C25" s="74"/>
      <c r="D25" s="80"/>
      <c r="E25" s="81"/>
      <c r="F25" s="81"/>
      <c r="G25" s="81"/>
      <c r="H25" s="81"/>
      <c r="I25" s="82"/>
      <c r="J25" s="88"/>
      <c r="K25" s="89"/>
      <c r="L25" s="88"/>
      <c r="M25" s="89"/>
      <c r="N25" s="80"/>
      <c r="O25" s="82"/>
      <c r="P25" s="94"/>
      <c r="Q25" s="95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8"/>
      <c r="AD25" s="98"/>
      <c r="AE25" s="98"/>
      <c r="AF25" s="98"/>
      <c r="AG25" s="98"/>
      <c r="AH25" s="98"/>
    </row>
    <row r="26" spans="2:34" x14ac:dyDescent="0.25">
      <c r="B26" s="75"/>
      <c r="C26" s="76"/>
      <c r="D26" s="83"/>
      <c r="E26" s="84"/>
      <c r="F26" s="84"/>
      <c r="G26" s="84"/>
      <c r="H26" s="84"/>
      <c r="I26" s="85"/>
      <c r="J26" s="90"/>
      <c r="K26" s="91"/>
      <c r="L26" s="90"/>
      <c r="M26" s="91"/>
      <c r="N26" s="83"/>
      <c r="O26" s="85"/>
      <c r="P26" s="96"/>
      <c r="Q26" s="97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8"/>
      <c r="AD26" s="98"/>
      <c r="AE26" s="98"/>
      <c r="AF26" s="98"/>
      <c r="AG26" s="98"/>
      <c r="AH26" s="98"/>
    </row>
    <row r="27" spans="2:34" x14ac:dyDescent="0.25">
      <c r="B27" s="71"/>
      <c r="C27" s="72"/>
      <c r="D27" s="77"/>
      <c r="E27" s="78"/>
      <c r="F27" s="78"/>
      <c r="G27" s="78"/>
      <c r="H27" s="78"/>
      <c r="I27" s="79"/>
      <c r="J27" s="86"/>
      <c r="K27" s="87"/>
      <c r="L27" s="86"/>
      <c r="M27" s="87"/>
      <c r="N27" s="77"/>
      <c r="O27" s="79"/>
      <c r="P27" s="92"/>
      <c r="Q27" s="93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8"/>
      <c r="AD27" s="98"/>
      <c r="AE27" s="98"/>
      <c r="AF27" s="98"/>
      <c r="AG27" s="98"/>
      <c r="AH27" s="98"/>
    </row>
    <row r="28" spans="2:34" x14ac:dyDescent="0.25">
      <c r="B28" s="73"/>
      <c r="C28" s="74"/>
      <c r="D28" s="80"/>
      <c r="E28" s="81"/>
      <c r="F28" s="81"/>
      <c r="G28" s="81"/>
      <c r="H28" s="81"/>
      <c r="I28" s="82"/>
      <c r="J28" s="88"/>
      <c r="K28" s="89"/>
      <c r="L28" s="88"/>
      <c r="M28" s="89"/>
      <c r="N28" s="80"/>
      <c r="O28" s="82"/>
      <c r="P28" s="94"/>
      <c r="Q28" s="95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8"/>
      <c r="AD28" s="98"/>
      <c r="AE28" s="98"/>
      <c r="AF28" s="98"/>
      <c r="AG28" s="98"/>
      <c r="AH28" s="98"/>
    </row>
    <row r="29" spans="2:34" x14ac:dyDescent="0.25">
      <c r="B29" s="75"/>
      <c r="C29" s="76"/>
      <c r="D29" s="83"/>
      <c r="E29" s="84"/>
      <c r="F29" s="84"/>
      <c r="G29" s="84"/>
      <c r="H29" s="84"/>
      <c r="I29" s="85"/>
      <c r="J29" s="90"/>
      <c r="K29" s="91"/>
      <c r="L29" s="90"/>
      <c r="M29" s="91"/>
      <c r="N29" s="83"/>
      <c r="O29" s="85"/>
      <c r="P29" s="96"/>
      <c r="Q29" s="97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8"/>
      <c r="AD29" s="98"/>
      <c r="AE29" s="98"/>
      <c r="AF29" s="98"/>
      <c r="AG29" s="98"/>
      <c r="AH29" s="98"/>
    </row>
    <row r="30" spans="2:34" x14ac:dyDescent="0.25">
      <c r="B30" s="71"/>
      <c r="C30" s="72"/>
      <c r="D30" s="77"/>
      <c r="E30" s="78"/>
      <c r="F30" s="78"/>
      <c r="G30" s="78"/>
      <c r="H30" s="78"/>
      <c r="I30" s="79"/>
      <c r="J30" s="86"/>
      <c r="K30" s="87"/>
      <c r="L30" s="86"/>
      <c r="M30" s="87"/>
      <c r="N30" s="77"/>
      <c r="O30" s="79"/>
      <c r="P30" s="92"/>
      <c r="Q30" s="93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8"/>
      <c r="AD30" s="98"/>
      <c r="AE30" s="98"/>
      <c r="AF30" s="98"/>
      <c r="AG30" s="98"/>
      <c r="AH30" s="98"/>
    </row>
    <row r="31" spans="2:34" x14ac:dyDescent="0.25">
      <c r="B31" s="73"/>
      <c r="C31" s="74"/>
      <c r="D31" s="80"/>
      <c r="E31" s="81"/>
      <c r="F31" s="81"/>
      <c r="G31" s="81"/>
      <c r="H31" s="81"/>
      <c r="I31" s="82"/>
      <c r="J31" s="88"/>
      <c r="K31" s="89"/>
      <c r="L31" s="88"/>
      <c r="M31" s="89"/>
      <c r="N31" s="80"/>
      <c r="O31" s="82"/>
      <c r="P31" s="94"/>
      <c r="Q31" s="95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8"/>
      <c r="AD31" s="98"/>
      <c r="AE31" s="98"/>
      <c r="AF31" s="98"/>
      <c r="AG31" s="98"/>
      <c r="AH31" s="98"/>
    </row>
    <row r="32" spans="2:34" x14ac:dyDescent="0.25">
      <c r="B32" s="75"/>
      <c r="C32" s="76"/>
      <c r="D32" s="83"/>
      <c r="E32" s="84"/>
      <c r="F32" s="84"/>
      <c r="G32" s="84"/>
      <c r="H32" s="84"/>
      <c r="I32" s="85"/>
      <c r="J32" s="90"/>
      <c r="K32" s="91"/>
      <c r="L32" s="90"/>
      <c r="M32" s="91"/>
      <c r="N32" s="83"/>
      <c r="O32" s="85"/>
      <c r="P32" s="96"/>
      <c r="Q32" s="97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8"/>
      <c r="AD32" s="98"/>
      <c r="AE32" s="98"/>
      <c r="AF32" s="98"/>
      <c r="AG32" s="98"/>
      <c r="AH32" s="98"/>
    </row>
    <row r="33" spans="2:34" x14ac:dyDescent="0.25">
      <c r="B33" s="71"/>
      <c r="C33" s="72"/>
      <c r="D33" s="77"/>
      <c r="E33" s="78"/>
      <c r="F33" s="78"/>
      <c r="G33" s="78"/>
      <c r="H33" s="78"/>
      <c r="I33" s="79"/>
      <c r="J33" s="86"/>
      <c r="K33" s="87"/>
      <c r="L33" s="86"/>
      <c r="M33" s="87"/>
      <c r="N33" s="77"/>
      <c r="O33" s="79"/>
      <c r="P33" s="92"/>
      <c r="Q33" s="93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8"/>
      <c r="AD33" s="98"/>
      <c r="AE33" s="98"/>
      <c r="AF33" s="98"/>
      <c r="AG33" s="98"/>
      <c r="AH33" s="98"/>
    </row>
    <row r="34" spans="2:34" x14ac:dyDescent="0.25">
      <c r="B34" s="73"/>
      <c r="C34" s="74"/>
      <c r="D34" s="80"/>
      <c r="E34" s="81"/>
      <c r="F34" s="81"/>
      <c r="G34" s="81"/>
      <c r="H34" s="81"/>
      <c r="I34" s="82"/>
      <c r="J34" s="88"/>
      <c r="K34" s="89"/>
      <c r="L34" s="88"/>
      <c r="M34" s="89"/>
      <c r="N34" s="80"/>
      <c r="O34" s="82"/>
      <c r="P34" s="94"/>
      <c r="Q34" s="95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8"/>
      <c r="AD34" s="98"/>
      <c r="AE34" s="98"/>
      <c r="AF34" s="98"/>
      <c r="AG34" s="98"/>
      <c r="AH34" s="98"/>
    </row>
    <row r="35" spans="2:34" x14ac:dyDescent="0.25">
      <c r="B35" s="75"/>
      <c r="C35" s="76"/>
      <c r="D35" s="83"/>
      <c r="E35" s="84"/>
      <c r="F35" s="84"/>
      <c r="G35" s="84"/>
      <c r="H35" s="84"/>
      <c r="I35" s="85"/>
      <c r="J35" s="90"/>
      <c r="K35" s="91"/>
      <c r="L35" s="90"/>
      <c r="M35" s="91"/>
      <c r="N35" s="83"/>
      <c r="O35" s="85"/>
      <c r="P35" s="96"/>
      <c r="Q35" s="97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8"/>
      <c r="AD35" s="98"/>
      <c r="AE35" s="98"/>
      <c r="AF35" s="98"/>
      <c r="AG35" s="98"/>
      <c r="AH35" s="98"/>
    </row>
    <row r="36" spans="2:34" x14ac:dyDescent="0.25">
      <c r="B36" s="71"/>
      <c r="C36" s="72"/>
      <c r="D36" s="77"/>
      <c r="E36" s="78"/>
      <c r="F36" s="78"/>
      <c r="G36" s="78"/>
      <c r="H36" s="78"/>
      <c r="I36" s="79"/>
      <c r="J36" s="86"/>
      <c r="K36" s="87"/>
      <c r="L36" s="86"/>
      <c r="M36" s="87"/>
      <c r="N36" s="77"/>
      <c r="O36" s="79"/>
      <c r="P36" s="92"/>
      <c r="Q36" s="93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8"/>
      <c r="AD36" s="98"/>
      <c r="AE36" s="98"/>
      <c r="AF36" s="98"/>
      <c r="AG36" s="98"/>
      <c r="AH36" s="98"/>
    </row>
    <row r="37" spans="2:34" x14ac:dyDescent="0.25">
      <c r="B37" s="73"/>
      <c r="C37" s="74"/>
      <c r="D37" s="80"/>
      <c r="E37" s="81"/>
      <c r="F37" s="81"/>
      <c r="G37" s="81"/>
      <c r="H37" s="81"/>
      <c r="I37" s="82"/>
      <c r="J37" s="88"/>
      <c r="K37" s="89"/>
      <c r="L37" s="88"/>
      <c r="M37" s="89"/>
      <c r="N37" s="80"/>
      <c r="O37" s="82"/>
      <c r="P37" s="94"/>
      <c r="Q37" s="95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8"/>
      <c r="AD37" s="98"/>
      <c r="AE37" s="98"/>
      <c r="AF37" s="98"/>
      <c r="AG37" s="98"/>
      <c r="AH37" s="98"/>
    </row>
    <row r="38" spans="2:34" x14ac:dyDescent="0.25">
      <c r="B38" s="75"/>
      <c r="C38" s="76"/>
      <c r="D38" s="83"/>
      <c r="E38" s="84"/>
      <c r="F38" s="84"/>
      <c r="G38" s="84"/>
      <c r="H38" s="84"/>
      <c r="I38" s="85"/>
      <c r="J38" s="90"/>
      <c r="K38" s="91"/>
      <c r="L38" s="90"/>
      <c r="M38" s="91"/>
      <c r="N38" s="83"/>
      <c r="O38" s="85"/>
      <c r="P38" s="96"/>
      <c r="Q38" s="97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8"/>
      <c r="AD38" s="98"/>
      <c r="AE38" s="98"/>
      <c r="AF38" s="98"/>
      <c r="AG38" s="98"/>
      <c r="AH38" s="98"/>
    </row>
    <row r="39" spans="2:34" x14ac:dyDescent="0.25">
      <c r="B39" s="71"/>
      <c r="C39" s="72"/>
      <c r="D39" s="77"/>
      <c r="E39" s="78"/>
      <c r="F39" s="78"/>
      <c r="G39" s="78"/>
      <c r="H39" s="78"/>
      <c r="I39" s="79"/>
      <c r="J39" s="86"/>
      <c r="K39" s="87"/>
      <c r="L39" s="86"/>
      <c r="M39" s="87"/>
      <c r="N39" s="77"/>
      <c r="O39" s="79"/>
      <c r="P39" s="92"/>
      <c r="Q39" s="93"/>
      <c r="S39" s="99"/>
      <c r="T39" s="99"/>
      <c r="U39" s="99"/>
      <c r="V39" s="99"/>
      <c r="W39" s="99"/>
      <c r="X39" s="99"/>
      <c r="Y39" s="99"/>
      <c r="Z39" s="99"/>
      <c r="AA39" s="99"/>
      <c r="AB39" s="99"/>
      <c r="AC39" s="98"/>
      <c r="AD39" s="98"/>
      <c r="AE39" s="98"/>
      <c r="AF39" s="98"/>
      <c r="AG39" s="98"/>
      <c r="AH39" s="98"/>
    </row>
    <row r="40" spans="2:34" x14ac:dyDescent="0.25">
      <c r="B40" s="73"/>
      <c r="C40" s="74"/>
      <c r="D40" s="80"/>
      <c r="E40" s="81"/>
      <c r="F40" s="81"/>
      <c r="G40" s="81"/>
      <c r="H40" s="81"/>
      <c r="I40" s="82"/>
      <c r="J40" s="88"/>
      <c r="K40" s="89"/>
      <c r="L40" s="88"/>
      <c r="M40" s="89"/>
      <c r="N40" s="80"/>
      <c r="O40" s="82"/>
      <c r="P40" s="94"/>
      <c r="Q40" s="95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8"/>
      <c r="AD40" s="98"/>
      <c r="AE40" s="98"/>
      <c r="AF40" s="98"/>
      <c r="AG40" s="98"/>
      <c r="AH40" s="98"/>
    </row>
    <row r="41" spans="2:34" x14ac:dyDescent="0.25">
      <c r="B41" s="75"/>
      <c r="C41" s="76"/>
      <c r="D41" s="83"/>
      <c r="E41" s="84"/>
      <c r="F41" s="84"/>
      <c r="G41" s="84"/>
      <c r="H41" s="84"/>
      <c r="I41" s="85"/>
      <c r="J41" s="90"/>
      <c r="K41" s="91"/>
      <c r="L41" s="90"/>
      <c r="M41" s="91"/>
      <c r="N41" s="83"/>
      <c r="O41" s="85"/>
      <c r="P41" s="96"/>
      <c r="Q41" s="97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8"/>
      <c r="AD41" s="98"/>
      <c r="AE41" s="98"/>
      <c r="AF41" s="98"/>
      <c r="AG41" s="98"/>
      <c r="AH41" s="98"/>
    </row>
    <row r="42" spans="2:34" x14ac:dyDescent="0.25">
      <c r="B42" s="71"/>
      <c r="C42" s="72"/>
      <c r="D42" s="77"/>
      <c r="E42" s="78"/>
      <c r="F42" s="78"/>
      <c r="G42" s="78"/>
      <c r="H42" s="78"/>
      <c r="I42" s="79"/>
      <c r="J42" s="86"/>
      <c r="K42" s="87"/>
      <c r="L42" s="86"/>
      <c r="M42" s="87"/>
      <c r="N42" s="77"/>
      <c r="O42" s="79"/>
      <c r="P42" s="92"/>
      <c r="Q42" s="93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8"/>
      <c r="AD42" s="98"/>
      <c r="AE42" s="98"/>
      <c r="AF42" s="98"/>
      <c r="AG42" s="98"/>
      <c r="AH42" s="98"/>
    </row>
    <row r="43" spans="2:34" x14ac:dyDescent="0.25">
      <c r="B43" s="73"/>
      <c r="C43" s="74"/>
      <c r="D43" s="80"/>
      <c r="E43" s="81"/>
      <c r="F43" s="81"/>
      <c r="G43" s="81"/>
      <c r="H43" s="81"/>
      <c r="I43" s="82"/>
      <c r="J43" s="88"/>
      <c r="K43" s="89"/>
      <c r="L43" s="88"/>
      <c r="M43" s="89"/>
      <c r="N43" s="80"/>
      <c r="O43" s="82"/>
      <c r="P43" s="94"/>
      <c r="Q43" s="95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8"/>
      <c r="AD43" s="98"/>
      <c r="AE43" s="98"/>
      <c r="AF43" s="98"/>
      <c r="AG43" s="98"/>
      <c r="AH43" s="98"/>
    </row>
    <row r="44" spans="2:34" x14ac:dyDescent="0.25">
      <c r="B44" s="75"/>
      <c r="C44" s="76"/>
      <c r="D44" s="83"/>
      <c r="E44" s="84"/>
      <c r="F44" s="84"/>
      <c r="G44" s="84"/>
      <c r="H44" s="84"/>
      <c r="I44" s="85"/>
      <c r="J44" s="90"/>
      <c r="K44" s="91"/>
      <c r="L44" s="90"/>
      <c r="M44" s="91"/>
      <c r="N44" s="83"/>
      <c r="O44" s="85"/>
      <c r="P44" s="96"/>
      <c r="Q44" s="97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8"/>
      <c r="AD44" s="98"/>
      <c r="AE44" s="98"/>
      <c r="AF44" s="98"/>
      <c r="AG44" s="98"/>
      <c r="AH44" s="98"/>
    </row>
    <row r="45" spans="2:34" x14ac:dyDescent="0.25">
      <c r="B45" s="71"/>
      <c r="C45" s="72"/>
      <c r="D45" s="77"/>
      <c r="E45" s="78"/>
      <c r="F45" s="78"/>
      <c r="G45" s="78"/>
      <c r="H45" s="78"/>
      <c r="I45" s="79"/>
      <c r="J45" s="86"/>
      <c r="K45" s="87"/>
      <c r="L45" s="86"/>
      <c r="M45" s="87"/>
      <c r="N45" s="77"/>
      <c r="O45" s="79"/>
      <c r="P45" s="92"/>
      <c r="Q45" s="93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8"/>
      <c r="AD45" s="98"/>
      <c r="AE45" s="98"/>
      <c r="AF45" s="98"/>
      <c r="AG45" s="98"/>
      <c r="AH45" s="98"/>
    </row>
    <row r="46" spans="2:34" x14ac:dyDescent="0.25">
      <c r="B46" s="73"/>
      <c r="C46" s="74"/>
      <c r="D46" s="80"/>
      <c r="E46" s="81"/>
      <c r="F46" s="81"/>
      <c r="G46" s="81"/>
      <c r="H46" s="81"/>
      <c r="I46" s="82"/>
      <c r="J46" s="88"/>
      <c r="K46" s="89"/>
      <c r="L46" s="88"/>
      <c r="M46" s="89"/>
      <c r="N46" s="80"/>
      <c r="O46" s="82"/>
      <c r="P46" s="94"/>
      <c r="Q46" s="95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8"/>
      <c r="AD46" s="98"/>
      <c r="AE46" s="98"/>
      <c r="AF46" s="98"/>
      <c r="AG46" s="98"/>
      <c r="AH46" s="98"/>
    </row>
    <row r="47" spans="2:34" x14ac:dyDescent="0.25">
      <c r="B47" s="75"/>
      <c r="C47" s="76"/>
      <c r="D47" s="83"/>
      <c r="E47" s="84"/>
      <c r="F47" s="84"/>
      <c r="G47" s="84"/>
      <c r="H47" s="84"/>
      <c r="I47" s="85"/>
      <c r="J47" s="90"/>
      <c r="K47" s="91"/>
      <c r="L47" s="90"/>
      <c r="M47" s="91"/>
      <c r="N47" s="83"/>
      <c r="O47" s="85"/>
      <c r="P47" s="96"/>
      <c r="Q47" s="97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8"/>
      <c r="AD47" s="98"/>
      <c r="AE47" s="98"/>
      <c r="AF47" s="98"/>
      <c r="AG47" s="98"/>
      <c r="AH47" s="98"/>
    </row>
    <row r="48" spans="2:34" x14ac:dyDescent="0.25">
      <c r="B48" s="71"/>
      <c r="C48" s="72"/>
      <c r="D48" s="77"/>
      <c r="E48" s="78"/>
      <c r="F48" s="78"/>
      <c r="G48" s="78"/>
      <c r="H48" s="78"/>
      <c r="I48" s="79"/>
      <c r="J48" s="86"/>
      <c r="K48" s="87"/>
      <c r="L48" s="86"/>
      <c r="M48" s="87"/>
      <c r="N48" s="77"/>
      <c r="O48" s="79"/>
      <c r="P48" s="92"/>
      <c r="Q48" s="93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8"/>
      <c r="AD48" s="98"/>
      <c r="AE48" s="98"/>
      <c r="AF48" s="98"/>
      <c r="AG48" s="98"/>
      <c r="AH48" s="98"/>
    </row>
    <row r="49" spans="2:34" x14ac:dyDescent="0.25">
      <c r="B49" s="73"/>
      <c r="C49" s="74"/>
      <c r="D49" s="80"/>
      <c r="E49" s="81"/>
      <c r="F49" s="81"/>
      <c r="G49" s="81"/>
      <c r="H49" s="81"/>
      <c r="I49" s="82"/>
      <c r="J49" s="88"/>
      <c r="K49" s="89"/>
      <c r="L49" s="88"/>
      <c r="M49" s="89"/>
      <c r="N49" s="80"/>
      <c r="O49" s="82"/>
      <c r="P49" s="94"/>
      <c r="Q49" s="95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8"/>
      <c r="AD49" s="98"/>
      <c r="AE49" s="98"/>
      <c r="AF49" s="98"/>
      <c r="AG49" s="98"/>
      <c r="AH49" s="98"/>
    </row>
    <row r="50" spans="2:34" x14ac:dyDescent="0.25">
      <c r="B50" s="75"/>
      <c r="C50" s="76"/>
      <c r="D50" s="83"/>
      <c r="E50" s="84"/>
      <c r="F50" s="84"/>
      <c r="G50" s="84"/>
      <c r="H50" s="84"/>
      <c r="I50" s="85"/>
      <c r="J50" s="90"/>
      <c r="K50" s="91"/>
      <c r="L50" s="90"/>
      <c r="M50" s="91"/>
      <c r="N50" s="83"/>
      <c r="O50" s="85"/>
      <c r="P50" s="96"/>
      <c r="Q50" s="97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8"/>
      <c r="AD50" s="98"/>
      <c r="AE50" s="98"/>
      <c r="AF50" s="98"/>
      <c r="AG50" s="98"/>
      <c r="AH50" s="98"/>
    </row>
    <row r="51" spans="2:34" x14ac:dyDescent="0.25">
      <c r="B51" s="71"/>
      <c r="C51" s="72"/>
      <c r="D51" s="77"/>
      <c r="E51" s="78"/>
      <c r="F51" s="78"/>
      <c r="G51" s="78"/>
      <c r="H51" s="78"/>
      <c r="I51" s="79"/>
      <c r="J51" s="86"/>
      <c r="K51" s="87"/>
      <c r="L51" s="86"/>
      <c r="M51" s="87"/>
      <c r="N51" s="77"/>
      <c r="O51" s="79"/>
      <c r="P51" s="92"/>
      <c r="Q51" s="93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8"/>
      <c r="AD51" s="98"/>
      <c r="AE51" s="98"/>
      <c r="AF51" s="98"/>
      <c r="AG51" s="98"/>
      <c r="AH51" s="98"/>
    </row>
    <row r="52" spans="2:34" x14ac:dyDescent="0.25">
      <c r="B52" s="73"/>
      <c r="C52" s="74"/>
      <c r="D52" s="80"/>
      <c r="E52" s="81"/>
      <c r="F52" s="81"/>
      <c r="G52" s="81"/>
      <c r="H52" s="81"/>
      <c r="I52" s="82"/>
      <c r="J52" s="88"/>
      <c r="K52" s="89"/>
      <c r="L52" s="88"/>
      <c r="M52" s="89"/>
      <c r="N52" s="80"/>
      <c r="O52" s="82"/>
      <c r="P52" s="94"/>
      <c r="Q52" s="95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8"/>
      <c r="AD52" s="98"/>
      <c r="AE52" s="98"/>
      <c r="AF52" s="98"/>
      <c r="AG52" s="98"/>
      <c r="AH52" s="98"/>
    </row>
    <row r="53" spans="2:34" x14ac:dyDescent="0.25">
      <c r="B53" s="75"/>
      <c r="C53" s="76"/>
      <c r="D53" s="83"/>
      <c r="E53" s="84"/>
      <c r="F53" s="84"/>
      <c r="G53" s="84"/>
      <c r="H53" s="84"/>
      <c r="I53" s="85"/>
      <c r="J53" s="90"/>
      <c r="K53" s="91"/>
      <c r="L53" s="90"/>
      <c r="M53" s="91"/>
      <c r="N53" s="83"/>
      <c r="O53" s="85"/>
      <c r="P53" s="96"/>
      <c r="Q53" s="97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8"/>
      <c r="AD53" s="98"/>
      <c r="AE53" s="98"/>
      <c r="AF53" s="98"/>
      <c r="AG53" s="98"/>
      <c r="AH53" s="98"/>
    </row>
    <row r="54" spans="2:34" x14ac:dyDescent="0.25">
      <c r="B54" s="71"/>
      <c r="C54" s="72"/>
      <c r="D54" s="77"/>
      <c r="E54" s="78"/>
      <c r="F54" s="78"/>
      <c r="G54" s="78"/>
      <c r="H54" s="78"/>
      <c r="I54" s="79"/>
      <c r="J54" s="86"/>
      <c r="K54" s="87"/>
      <c r="L54" s="86"/>
      <c r="M54" s="87"/>
      <c r="N54" s="77"/>
      <c r="O54" s="79"/>
      <c r="P54" s="92"/>
      <c r="Q54" s="93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8"/>
      <c r="AD54" s="98"/>
      <c r="AE54" s="98"/>
      <c r="AF54" s="98"/>
      <c r="AG54" s="98"/>
      <c r="AH54" s="98"/>
    </row>
    <row r="55" spans="2:34" x14ac:dyDescent="0.25">
      <c r="B55" s="73"/>
      <c r="C55" s="74"/>
      <c r="D55" s="80"/>
      <c r="E55" s="81"/>
      <c r="F55" s="81"/>
      <c r="G55" s="81"/>
      <c r="H55" s="81"/>
      <c r="I55" s="82"/>
      <c r="J55" s="88"/>
      <c r="K55" s="89"/>
      <c r="L55" s="88"/>
      <c r="M55" s="89"/>
      <c r="N55" s="80"/>
      <c r="O55" s="82"/>
      <c r="P55" s="94"/>
      <c r="Q55" s="95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8"/>
      <c r="AD55" s="98"/>
      <c r="AE55" s="98"/>
      <c r="AF55" s="98"/>
      <c r="AG55" s="98"/>
      <c r="AH55" s="98"/>
    </row>
    <row r="56" spans="2:34" x14ac:dyDescent="0.25">
      <c r="B56" s="75"/>
      <c r="C56" s="76"/>
      <c r="D56" s="83"/>
      <c r="E56" s="84"/>
      <c r="F56" s="84"/>
      <c r="G56" s="84"/>
      <c r="H56" s="84"/>
      <c r="I56" s="85"/>
      <c r="J56" s="90"/>
      <c r="K56" s="91"/>
      <c r="L56" s="90"/>
      <c r="M56" s="91"/>
      <c r="N56" s="83"/>
      <c r="O56" s="85"/>
      <c r="P56" s="96"/>
      <c r="Q56" s="97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8"/>
      <c r="AD56" s="98"/>
      <c r="AE56" s="98"/>
      <c r="AF56" s="98"/>
      <c r="AG56" s="98"/>
      <c r="AH56" s="98"/>
    </row>
    <row r="57" spans="2:34" x14ac:dyDescent="0.25">
      <c r="B57" s="71"/>
      <c r="C57" s="72"/>
      <c r="D57" s="77"/>
      <c r="E57" s="78"/>
      <c r="F57" s="78"/>
      <c r="G57" s="78"/>
      <c r="H57" s="78"/>
      <c r="I57" s="79"/>
      <c r="J57" s="86"/>
      <c r="K57" s="87"/>
      <c r="L57" s="86"/>
      <c r="M57" s="87"/>
      <c r="N57" s="77"/>
      <c r="O57" s="79"/>
      <c r="P57" s="92"/>
      <c r="Q57" s="93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8"/>
      <c r="AD57" s="98"/>
      <c r="AE57" s="98"/>
      <c r="AF57" s="98"/>
      <c r="AG57" s="98"/>
      <c r="AH57" s="98"/>
    </row>
    <row r="58" spans="2:34" x14ac:dyDescent="0.25">
      <c r="B58" s="73"/>
      <c r="C58" s="74"/>
      <c r="D58" s="80"/>
      <c r="E58" s="81"/>
      <c r="F58" s="81"/>
      <c r="G58" s="81"/>
      <c r="H58" s="81"/>
      <c r="I58" s="82"/>
      <c r="J58" s="88"/>
      <c r="K58" s="89"/>
      <c r="L58" s="88"/>
      <c r="M58" s="89"/>
      <c r="N58" s="80"/>
      <c r="O58" s="82"/>
      <c r="P58" s="94"/>
      <c r="Q58" s="95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8"/>
      <c r="AD58" s="98"/>
      <c r="AE58" s="98"/>
      <c r="AF58" s="98"/>
      <c r="AG58" s="98"/>
      <c r="AH58" s="98"/>
    </row>
    <row r="59" spans="2:34" x14ac:dyDescent="0.25">
      <c r="B59" s="75"/>
      <c r="C59" s="76"/>
      <c r="D59" s="83"/>
      <c r="E59" s="84"/>
      <c r="F59" s="84"/>
      <c r="G59" s="84"/>
      <c r="H59" s="84"/>
      <c r="I59" s="85"/>
      <c r="J59" s="90"/>
      <c r="K59" s="91"/>
      <c r="L59" s="90"/>
      <c r="M59" s="91"/>
      <c r="N59" s="83"/>
      <c r="O59" s="85"/>
      <c r="P59" s="96"/>
      <c r="Q59" s="97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8"/>
      <c r="AD59" s="98"/>
      <c r="AE59" s="98"/>
      <c r="AF59" s="98"/>
      <c r="AG59" s="98"/>
      <c r="AH59" s="98"/>
    </row>
    <row r="60" spans="2:34" x14ac:dyDescent="0.25">
      <c r="B60" s="71"/>
      <c r="C60" s="72"/>
      <c r="D60" s="77"/>
      <c r="E60" s="78"/>
      <c r="F60" s="78"/>
      <c r="G60" s="78"/>
      <c r="H60" s="78"/>
      <c r="I60" s="79"/>
      <c r="J60" s="86"/>
      <c r="K60" s="87"/>
      <c r="L60" s="86"/>
      <c r="M60" s="87"/>
      <c r="N60" s="77"/>
      <c r="O60" s="79"/>
      <c r="P60" s="92"/>
      <c r="Q60" s="93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8"/>
      <c r="AD60" s="98"/>
      <c r="AE60" s="98"/>
      <c r="AF60" s="98"/>
      <c r="AG60" s="98"/>
      <c r="AH60" s="98"/>
    </row>
    <row r="61" spans="2:34" x14ac:dyDescent="0.25">
      <c r="B61" s="73"/>
      <c r="C61" s="74"/>
      <c r="D61" s="80"/>
      <c r="E61" s="81"/>
      <c r="F61" s="81"/>
      <c r="G61" s="81"/>
      <c r="H61" s="81"/>
      <c r="I61" s="82"/>
      <c r="J61" s="88"/>
      <c r="K61" s="89"/>
      <c r="L61" s="88"/>
      <c r="M61" s="89"/>
      <c r="N61" s="80"/>
      <c r="O61" s="82"/>
      <c r="P61" s="94"/>
      <c r="Q61" s="95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8"/>
      <c r="AD61" s="98"/>
      <c r="AE61" s="98"/>
      <c r="AF61" s="98"/>
      <c r="AG61" s="98"/>
      <c r="AH61" s="98"/>
    </row>
    <row r="62" spans="2:34" x14ac:dyDescent="0.25">
      <c r="B62" s="75"/>
      <c r="C62" s="76"/>
      <c r="D62" s="83"/>
      <c r="E62" s="84"/>
      <c r="F62" s="84"/>
      <c r="G62" s="84"/>
      <c r="H62" s="84"/>
      <c r="I62" s="85"/>
      <c r="J62" s="90"/>
      <c r="K62" s="91"/>
      <c r="L62" s="90"/>
      <c r="M62" s="91"/>
      <c r="N62" s="83"/>
      <c r="O62" s="85"/>
      <c r="P62" s="96"/>
      <c r="Q62" s="97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8"/>
      <c r="AD62" s="98"/>
      <c r="AE62" s="98"/>
      <c r="AF62" s="98"/>
      <c r="AG62" s="98"/>
      <c r="AH62" s="98"/>
    </row>
    <row r="63" spans="2:34" x14ac:dyDescent="0.25">
      <c r="B63" s="71"/>
      <c r="C63" s="72"/>
      <c r="D63" s="77"/>
      <c r="E63" s="78"/>
      <c r="F63" s="78"/>
      <c r="G63" s="78"/>
      <c r="H63" s="78"/>
      <c r="I63" s="79"/>
      <c r="J63" s="86"/>
      <c r="K63" s="87"/>
      <c r="L63" s="86"/>
      <c r="M63" s="87"/>
      <c r="N63" s="77"/>
      <c r="O63" s="79"/>
      <c r="P63" s="92"/>
      <c r="Q63" s="93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8"/>
      <c r="AD63" s="98"/>
      <c r="AE63" s="98"/>
      <c r="AF63" s="98"/>
      <c r="AG63" s="98"/>
      <c r="AH63" s="98"/>
    </row>
    <row r="64" spans="2:34" x14ac:dyDescent="0.25">
      <c r="B64" s="73"/>
      <c r="C64" s="74"/>
      <c r="D64" s="80"/>
      <c r="E64" s="81"/>
      <c r="F64" s="81"/>
      <c r="G64" s="81"/>
      <c r="H64" s="81"/>
      <c r="I64" s="82"/>
      <c r="J64" s="88"/>
      <c r="K64" s="89"/>
      <c r="L64" s="88"/>
      <c r="M64" s="89"/>
      <c r="N64" s="80"/>
      <c r="O64" s="82"/>
      <c r="P64" s="94"/>
      <c r="Q64" s="95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8"/>
      <c r="AD64" s="98"/>
      <c r="AE64" s="98"/>
      <c r="AF64" s="98"/>
      <c r="AG64" s="98"/>
      <c r="AH64" s="98"/>
    </row>
    <row r="65" spans="2:34" x14ac:dyDescent="0.25">
      <c r="B65" s="75"/>
      <c r="C65" s="76"/>
      <c r="D65" s="83"/>
      <c r="E65" s="84"/>
      <c r="F65" s="84"/>
      <c r="G65" s="84"/>
      <c r="H65" s="84"/>
      <c r="I65" s="85"/>
      <c r="J65" s="90"/>
      <c r="K65" s="91"/>
      <c r="L65" s="90"/>
      <c r="M65" s="91"/>
      <c r="N65" s="83"/>
      <c r="O65" s="85"/>
      <c r="P65" s="96"/>
      <c r="Q65" s="97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8"/>
      <c r="AD65" s="98"/>
      <c r="AE65" s="98"/>
      <c r="AF65" s="98"/>
      <c r="AG65" s="98"/>
      <c r="AH65" s="98"/>
    </row>
    <row r="66" spans="2:34" x14ac:dyDescent="0.25">
      <c r="B66" s="71"/>
      <c r="C66" s="72"/>
      <c r="D66" s="77"/>
      <c r="E66" s="78"/>
      <c r="F66" s="78"/>
      <c r="G66" s="78"/>
      <c r="H66" s="78"/>
      <c r="I66" s="79"/>
      <c r="J66" s="86"/>
      <c r="K66" s="87"/>
      <c r="L66" s="86"/>
      <c r="M66" s="87"/>
      <c r="N66" s="77"/>
      <c r="O66" s="79"/>
      <c r="P66" s="92"/>
      <c r="Q66" s="93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8"/>
      <c r="AD66" s="98"/>
      <c r="AE66" s="98"/>
      <c r="AF66" s="98"/>
      <c r="AG66" s="98"/>
      <c r="AH66" s="98"/>
    </row>
    <row r="67" spans="2:34" x14ac:dyDescent="0.25">
      <c r="B67" s="73"/>
      <c r="C67" s="74"/>
      <c r="D67" s="80"/>
      <c r="E67" s="81"/>
      <c r="F67" s="81"/>
      <c r="G67" s="81"/>
      <c r="H67" s="81"/>
      <c r="I67" s="82"/>
      <c r="J67" s="88"/>
      <c r="K67" s="89"/>
      <c r="L67" s="88"/>
      <c r="M67" s="89"/>
      <c r="N67" s="80"/>
      <c r="O67" s="82"/>
      <c r="P67" s="94"/>
      <c r="Q67" s="95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8"/>
      <c r="AD67" s="98"/>
      <c r="AE67" s="98"/>
      <c r="AF67" s="98"/>
      <c r="AG67" s="98"/>
      <c r="AH67" s="98"/>
    </row>
    <row r="68" spans="2:34" x14ac:dyDescent="0.25">
      <c r="B68" s="75"/>
      <c r="C68" s="76"/>
      <c r="D68" s="83"/>
      <c r="E68" s="84"/>
      <c r="F68" s="84"/>
      <c r="G68" s="84"/>
      <c r="H68" s="84"/>
      <c r="I68" s="85"/>
      <c r="J68" s="90"/>
      <c r="K68" s="91"/>
      <c r="L68" s="90"/>
      <c r="M68" s="91"/>
      <c r="N68" s="83"/>
      <c r="O68" s="85"/>
      <c r="P68" s="96"/>
      <c r="Q68" s="97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8"/>
      <c r="AD68" s="98"/>
      <c r="AE68" s="98"/>
      <c r="AF68" s="98"/>
      <c r="AG68" s="98"/>
      <c r="AH68" s="98"/>
    </row>
    <row r="69" spans="2:34" x14ac:dyDescent="0.25">
      <c r="B69" s="71"/>
      <c r="C69" s="72"/>
      <c r="D69" s="77"/>
      <c r="E69" s="78"/>
      <c r="F69" s="78"/>
      <c r="G69" s="78"/>
      <c r="H69" s="78"/>
      <c r="I69" s="79"/>
      <c r="J69" s="86"/>
      <c r="K69" s="87"/>
      <c r="L69" s="86"/>
      <c r="M69" s="87"/>
      <c r="N69" s="77"/>
      <c r="O69" s="79"/>
      <c r="P69" s="92"/>
      <c r="Q69" s="93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8"/>
      <c r="AD69" s="98"/>
      <c r="AE69" s="98"/>
      <c r="AF69" s="98"/>
      <c r="AG69" s="98"/>
      <c r="AH69" s="98"/>
    </row>
    <row r="70" spans="2:34" x14ac:dyDescent="0.25">
      <c r="B70" s="73"/>
      <c r="C70" s="74"/>
      <c r="D70" s="80"/>
      <c r="E70" s="81"/>
      <c r="F70" s="81"/>
      <c r="G70" s="81"/>
      <c r="H70" s="81"/>
      <c r="I70" s="82"/>
      <c r="J70" s="88"/>
      <c r="K70" s="89"/>
      <c r="L70" s="88"/>
      <c r="M70" s="89"/>
      <c r="N70" s="80"/>
      <c r="O70" s="82"/>
      <c r="P70" s="94"/>
      <c r="Q70" s="95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8"/>
      <c r="AD70" s="98"/>
      <c r="AE70" s="98"/>
      <c r="AF70" s="98"/>
      <c r="AG70" s="98"/>
      <c r="AH70" s="98"/>
    </row>
    <row r="71" spans="2:34" x14ac:dyDescent="0.25">
      <c r="B71" s="75"/>
      <c r="C71" s="76"/>
      <c r="D71" s="83"/>
      <c r="E71" s="84"/>
      <c r="F71" s="84"/>
      <c r="G71" s="84"/>
      <c r="H71" s="84"/>
      <c r="I71" s="85"/>
      <c r="J71" s="90"/>
      <c r="K71" s="91"/>
      <c r="L71" s="90"/>
      <c r="M71" s="91"/>
      <c r="N71" s="83"/>
      <c r="O71" s="85"/>
      <c r="P71" s="96"/>
      <c r="Q71" s="97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8"/>
      <c r="AD71" s="98"/>
      <c r="AE71" s="98"/>
      <c r="AF71" s="98"/>
      <c r="AG71" s="98"/>
      <c r="AH71" s="98"/>
    </row>
    <row r="72" spans="2:34" x14ac:dyDescent="0.25">
      <c r="B72" s="71"/>
      <c r="C72" s="72"/>
      <c r="D72" s="77"/>
      <c r="E72" s="78"/>
      <c r="F72" s="78"/>
      <c r="G72" s="78"/>
      <c r="H72" s="78"/>
      <c r="I72" s="79"/>
      <c r="J72" s="86"/>
      <c r="K72" s="87"/>
      <c r="L72" s="86"/>
      <c r="M72" s="87"/>
      <c r="N72" s="77"/>
      <c r="O72" s="79"/>
      <c r="P72" s="92"/>
      <c r="Q72" s="93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8"/>
      <c r="AD72" s="98"/>
      <c r="AE72" s="98"/>
      <c r="AF72" s="98"/>
      <c r="AG72" s="98"/>
      <c r="AH72" s="98"/>
    </row>
    <row r="73" spans="2:34" x14ac:dyDescent="0.25">
      <c r="B73" s="73"/>
      <c r="C73" s="74"/>
      <c r="D73" s="80"/>
      <c r="E73" s="81"/>
      <c r="F73" s="81"/>
      <c r="G73" s="81"/>
      <c r="H73" s="81"/>
      <c r="I73" s="82"/>
      <c r="J73" s="88"/>
      <c r="K73" s="89"/>
      <c r="L73" s="88"/>
      <c r="M73" s="89"/>
      <c r="N73" s="80"/>
      <c r="O73" s="82"/>
      <c r="P73" s="94"/>
      <c r="Q73" s="95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8"/>
      <c r="AD73" s="98"/>
      <c r="AE73" s="98"/>
      <c r="AF73" s="98"/>
      <c r="AG73" s="98"/>
      <c r="AH73" s="98"/>
    </row>
    <row r="74" spans="2:34" x14ac:dyDescent="0.25">
      <c r="B74" s="75"/>
      <c r="C74" s="76"/>
      <c r="D74" s="83"/>
      <c r="E74" s="84"/>
      <c r="F74" s="84"/>
      <c r="G74" s="84"/>
      <c r="H74" s="84"/>
      <c r="I74" s="85"/>
      <c r="J74" s="90"/>
      <c r="K74" s="91"/>
      <c r="L74" s="90"/>
      <c r="M74" s="91"/>
      <c r="N74" s="83"/>
      <c r="O74" s="85"/>
      <c r="P74" s="96"/>
      <c r="Q74" s="97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8"/>
      <c r="AD74" s="98"/>
      <c r="AE74" s="98"/>
      <c r="AF74" s="98"/>
      <c r="AG74" s="98"/>
      <c r="AH74" s="98"/>
    </row>
    <row r="75" spans="2:34" x14ac:dyDescent="0.25">
      <c r="B75" s="71"/>
      <c r="C75" s="72"/>
      <c r="D75" s="77"/>
      <c r="E75" s="78"/>
      <c r="F75" s="78"/>
      <c r="G75" s="78"/>
      <c r="H75" s="78"/>
      <c r="I75" s="79"/>
      <c r="J75" s="86"/>
      <c r="K75" s="87"/>
      <c r="L75" s="86"/>
      <c r="M75" s="87"/>
      <c r="N75" s="77"/>
      <c r="O75" s="79"/>
      <c r="P75" s="92"/>
      <c r="Q75" s="93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8"/>
      <c r="AD75" s="98"/>
      <c r="AE75" s="98"/>
      <c r="AF75" s="98"/>
      <c r="AG75" s="98"/>
      <c r="AH75" s="98"/>
    </row>
    <row r="76" spans="2:34" x14ac:dyDescent="0.25">
      <c r="B76" s="73"/>
      <c r="C76" s="74"/>
      <c r="D76" s="80"/>
      <c r="E76" s="81"/>
      <c r="F76" s="81"/>
      <c r="G76" s="81"/>
      <c r="H76" s="81"/>
      <c r="I76" s="82"/>
      <c r="J76" s="88"/>
      <c r="K76" s="89"/>
      <c r="L76" s="88"/>
      <c r="M76" s="89"/>
      <c r="N76" s="80"/>
      <c r="O76" s="82"/>
      <c r="P76" s="94"/>
      <c r="Q76" s="95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8"/>
      <c r="AD76" s="98"/>
      <c r="AE76" s="98"/>
      <c r="AF76" s="98"/>
      <c r="AG76" s="98"/>
      <c r="AH76" s="98"/>
    </row>
    <row r="77" spans="2:34" x14ac:dyDescent="0.25">
      <c r="B77" s="75"/>
      <c r="C77" s="76"/>
      <c r="D77" s="83"/>
      <c r="E77" s="84"/>
      <c r="F77" s="84"/>
      <c r="G77" s="84"/>
      <c r="H77" s="84"/>
      <c r="I77" s="85"/>
      <c r="J77" s="90"/>
      <c r="K77" s="91"/>
      <c r="L77" s="90"/>
      <c r="M77" s="91"/>
      <c r="N77" s="83"/>
      <c r="O77" s="85"/>
      <c r="P77" s="96"/>
      <c r="Q77" s="97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8"/>
      <c r="AD77" s="98"/>
      <c r="AE77" s="98"/>
      <c r="AF77" s="98"/>
      <c r="AG77" s="98"/>
      <c r="AH77" s="98"/>
    </row>
    <row r="78" spans="2:34" x14ac:dyDescent="0.25">
      <c r="B78" s="71"/>
      <c r="C78" s="72"/>
      <c r="D78" s="77"/>
      <c r="E78" s="78"/>
      <c r="F78" s="78"/>
      <c r="G78" s="78"/>
      <c r="H78" s="78"/>
      <c r="I78" s="79"/>
      <c r="J78" s="86"/>
      <c r="K78" s="87"/>
      <c r="L78" s="86"/>
      <c r="M78" s="87"/>
      <c r="N78" s="77"/>
      <c r="O78" s="79"/>
      <c r="P78" s="92"/>
      <c r="Q78" s="93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8"/>
      <c r="AD78" s="98"/>
      <c r="AE78" s="98"/>
      <c r="AF78" s="98"/>
      <c r="AG78" s="98"/>
      <c r="AH78" s="98"/>
    </row>
    <row r="79" spans="2:34" x14ac:dyDescent="0.25">
      <c r="B79" s="73"/>
      <c r="C79" s="74"/>
      <c r="D79" s="80"/>
      <c r="E79" s="81"/>
      <c r="F79" s="81"/>
      <c r="G79" s="81"/>
      <c r="H79" s="81"/>
      <c r="I79" s="82"/>
      <c r="J79" s="88"/>
      <c r="K79" s="89"/>
      <c r="L79" s="88"/>
      <c r="M79" s="89"/>
      <c r="N79" s="80"/>
      <c r="O79" s="82"/>
      <c r="P79" s="94"/>
      <c r="Q79" s="95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8"/>
      <c r="AD79" s="98"/>
      <c r="AE79" s="98"/>
      <c r="AF79" s="98"/>
      <c r="AG79" s="98"/>
      <c r="AH79" s="98"/>
    </row>
    <row r="80" spans="2:34" x14ac:dyDescent="0.25">
      <c r="B80" s="75"/>
      <c r="C80" s="76"/>
      <c r="D80" s="83"/>
      <c r="E80" s="84"/>
      <c r="F80" s="84"/>
      <c r="G80" s="84"/>
      <c r="H80" s="84"/>
      <c r="I80" s="85"/>
      <c r="J80" s="90"/>
      <c r="K80" s="91"/>
      <c r="L80" s="90"/>
      <c r="M80" s="91"/>
      <c r="N80" s="83"/>
      <c r="O80" s="85"/>
      <c r="P80" s="96"/>
      <c r="Q80" s="97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8"/>
      <c r="AD80" s="98"/>
      <c r="AE80" s="98"/>
      <c r="AF80" s="98"/>
      <c r="AG80" s="98"/>
      <c r="AH80" s="98"/>
    </row>
    <row r="81" spans="2:34" x14ac:dyDescent="0.25">
      <c r="B81" s="71"/>
      <c r="C81" s="72"/>
      <c r="D81" s="77"/>
      <c r="E81" s="78"/>
      <c r="F81" s="78"/>
      <c r="G81" s="78"/>
      <c r="H81" s="78"/>
      <c r="I81" s="79"/>
      <c r="J81" s="86"/>
      <c r="K81" s="87"/>
      <c r="L81" s="86"/>
      <c r="M81" s="87"/>
      <c r="N81" s="77"/>
      <c r="O81" s="79"/>
      <c r="P81" s="92"/>
      <c r="Q81" s="93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8"/>
      <c r="AD81" s="98"/>
      <c r="AE81" s="98"/>
      <c r="AF81" s="98"/>
      <c r="AG81" s="98"/>
      <c r="AH81" s="98"/>
    </row>
    <row r="82" spans="2:34" x14ac:dyDescent="0.25">
      <c r="B82" s="73"/>
      <c r="C82" s="74"/>
      <c r="D82" s="80"/>
      <c r="E82" s="81"/>
      <c r="F82" s="81"/>
      <c r="G82" s="81"/>
      <c r="H82" s="81"/>
      <c r="I82" s="82"/>
      <c r="J82" s="88"/>
      <c r="K82" s="89"/>
      <c r="L82" s="88"/>
      <c r="M82" s="89"/>
      <c r="N82" s="80"/>
      <c r="O82" s="82"/>
      <c r="P82" s="94"/>
      <c r="Q82" s="95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8"/>
      <c r="AD82" s="98"/>
      <c r="AE82" s="98"/>
      <c r="AF82" s="98"/>
      <c r="AG82" s="98"/>
      <c r="AH82" s="98"/>
    </row>
    <row r="83" spans="2:34" x14ac:dyDescent="0.25">
      <c r="B83" s="75"/>
      <c r="C83" s="76"/>
      <c r="D83" s="83"/>
      <c r="E83" s="84"/>
      <c r="F83" s="84"/>
      <c r="G83" s="84"/>
      <c r="H83" s="84"/>
      <c r="I83" s="85"/>
      <c r="J83" s="90"/>
      <c r="K83" s="91"/>
      <c r="L83" s="90"/>
      <c r="M83" s="91"/>
      <c r="N83" s="83"/>
      <c r="O83" s="85"/>
      <c r="P83" s="96"/>
      <c r="Q83" s="97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8"/>
      <c r="AD83" s="98"/>
      <c r="AE83" s="98"/>
      <c r="AF83" s="98"/>
      <c r="AG83" s="98"/>
      <c r="AH83" s="98"/>
    </row>
    <row r="84" spans="2:34" x14ac:dyDescent="0.25">
      <c r="B84" s="71"/>
      <c r="C84" s="72"/>
      <c r="D84" s="77"/>
      <c r="E84" s="78"/>
      <c r="F84" s="78"/>
      <c r="G84" s="78"/>
      <c r="H84" s="78"/>
      <c r="I84" s="79"/>
      <c r="J84" s="86"/>
      <c r="K84" s="87"/>
      <c r="L84" s="86"/>
      <c r="M84" s="87"/>
      <c r="N84" s="77"/>
      <c r="O84" s="79"/>
      <c r="P84" s="92"/>
      <c r="Q84" s="93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8"/>
      <c r="AD84" s="98"/>
      <c r="AE84" s="98"/>
      <c r="AF84" s="98"/>
      <c r="AG84" s="98"/>
      <c r="AH84" s="98"/>
    </row>
    <row r="85" spans="2:34" x14ac:dyDescent="0.25">
      <c r="B85" s="73"/>
      <c r="C85" s="74"/>
      <c r="D85" s="80"/>
      <c r="E85" s="81"/>
      <c r="F85" s="81"/>
      <c r="G85" s="81"/>
      <c r="H85" s="81"/>
      <c r="I85" s="82"/>
      <c r="J85" s="88"/>
      <c r="K85" s="89"/>
      <c r="L85" s="88"/>
      <c r="M85" s="89"/>
      <c r="N85" s="80"/>
      <c r="O85" s="82"/>
      <c r="P85" s="94"/>
      <c r="Q85" s="95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8"/>
      <c r="AD85" s="98"/>
      <c r="AE85" s="98"/>
      <c r="AF85" s="98"/>
      <c r="AG85" s="98"/>
      <c r="AH85" s="98"/>
    </row>
    <row r="86" spans="2:34" x14ac:dyDescent="0.25">
      <c r="B86" s="75"/>
      <c r="C86" s="76"/>
      <c r="D86" s="83"/>
      <c r="E86" s="84"/>
      <c r="F86" s="84"/>
      <c r="G86" s="84"/>
      <c r="H86" s="84"/>
      <c r="I86" s="85"/>
      <c r="J86" s="90"/>
      <c r="K86" s="91"/>
      <c r="L86" s="90"/>
      <c r="M86" s="91"/>
      <c r="N86" s="83"/>
      <c r="O86" s="85"/>
      <c r="P86" s="96"/>
      <c r="Q86" s="97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8"/>
      <c r="AD86" s="98"/>
      <c r="AE86" s="98"/>
      <c r="AF86" s="98"/>
      <c r="AG86" s="98"/>
      <c r="AH86" s="98"/>
    </row>
    <row r="87" spans="2:34" x14ac:dyDescent="0.25">
      <c r="B87" s="71"/>
      <c r="C87" s="72"/>
      <c r="D87" s="77"/>
      <c r="E87" s="78"/>
      <c r="F87" s="78"/>
      <c r="G87" s="78"/>
      <c r="H87" s="78"/>
      <c r="I87" s="79"/>
      <c r="J87" s="86"/>
      <c r="K87" s="87"/>
      <c r="L87" s="86"/>
      <c r="M87" s="87"/>
      <c r="N87" s="77"/>
      <c r="O87" s="79"/>
      <c r="P87" s="92"/>
      <c r="Q87" s="93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8"/>
      <c r="AD87" s="98"/>
      <c r="AE87" s="98"/>
      <c r="AF87" s="98"/>
      <c r="AG87" s="98"/>
      <c r="AH87" s="98"/>
    </row>
    <row r="88" spans="2:34" x14ac:dyDescent="0.25">
      <c r="B88" s="73"/>
      <c r="C88" s="74"/>
      <c r="D88" s="80"/>
      <c r="E88" s="81"/>
      <c r="F88" s="81"/>
      <c r="G88" s="81"/>
      <c r="H88" s="81"/>
      <c r="I88" s="82"/>
      <c r="J88" s="88"/>
      <c r="K88" s="89"/>
      <c r="L88" s="88"/>
      <c r="M88" s="89"/>
      <c r="N88" s="80"/>
      <c r="O88" s="82"/>
      <c r="P88" s="94"/>
      <c r="Q88" s="95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8"/>
      <c r="AD88" s="98"/>
      <c r="AE88" s="98"/>
      <c r="AF88" s="98"/>
      <c r="AG88" s="98"/>
      <c r="AH88" s="98"/>
    </row>
    <row r="89" spans="2:34" x14ac:dyDescent="0.25">
      <c r="B89" s="75"/>
      <c r="C89" s="76"/>
      <c r="D89" s="83"/>
      <c r="E89" s="84"/>
      <c r="F89" s="84"/>
      <c r="G89" s="84"/>
      <c r="H89" s="84"/>
      <c r="I89" s="85"/>
      <c r="J89" s="90"/>
      <c r="K89" s="91"/>
      <c r="L89" s="90"/>
      <c r="M89" s="91"/>
      <c r="N89" s="83"/>
      <c r="O89" s="85"/>
      <c r="P89" s="96"/>
      <c r="Q89" s="97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8"/>
      <c r="AD89" s="98"/>
      <c r="AE89" s="98"/>
      <c r="AF89" s="98"/>
      <c r="AG89" s="98"/>
      <c r="AH89" s="98"/>
    </row>
    <row r="90" spans="2:34" x14ac:dyDescent="0.25">
      <c r="B90" s="71"/>
      <c r="C90" s="72"/>
      <c r="D90" s="77"/>
      <c r="E90" s="78"/>
      <c r="F90" s="78"/>
      <c r="G90" s="78"/>
      <c r="H90" s="78"/>
      <c r="I90" s="79"/>
      <c r="J90" s="86"/>
      <c r="K90" s="87"/>
      <c r="L90" s="86"/>
      <c r="M90" s="87"/>
      <c r="N90" s="77"/>
      <c r="O90" s="79"/>
      <c r="P90" s="92"/>
      <c r="Q90" s="93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8"/>
      <c r="AD90" s="98"/>
      <c r="AE90" s="98"/>
      <c r="AF90" s="98"/>
      <c r="AG90" s="98"/>
      <c r="AH90" s="98"/>
    </row>
    <row r="91" spans="2:34" x14ac:dyDescent="0.25">
      <c r="B91" s="73"/>
      <c r="C91" s="74"/>
      <c r="D91" s="80"/>
      <c r="E91" s="81"/>
      <c r="F91" s="81"/>
      <c r="G91" s="81"/>
      <c r="H91" s="81"/>
      <c r="I91" s="82"/>
      <c r="J91" s="88"/>
      <c r="K91" s="89"/>
      <c r="L91" s="88"/>
      <c r="M91" s="89"/>
      <c r="N91" s="80"/>
      <c r="O91" s="82"/>
      <c r="P91" s="94"/>
      <c r="Q91" s="95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8"/>
      <c r="AD91" s="98"/>
      <c r="AE91" s="98"/>
      <c r="AF91" s="98"/>
      <c r="AG91" s="98"/>
      <c r="AH91" s="98"/>
    </row>
    <row r="92" spans="2:34" x14ac:dyDescent="0.25">
      <c r="B92" s="75"/>
      <c r="C92" s="76"/>
      <c r="D92" s="83"/>
      <c r="E92" s="84"/>
      <c r="F92" s="84"/>
      <c r="G92" s="84"/>
      <c r="H92" s="84"/>
      <c r="I92" s="85"/>
      <c r="J92" s="90"/>
      <c r="K92" s="91"/>
      <c r="L92" s="90"/>
      <c r="M92" s="91"/>
      <c r="N92" s="83"/>
      <c r="O92" s="85"/>
      <c r="P92" s="96"/>
      <c r="Q92" s="97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8"/>
      <c r="AD92" s="98"/>
      <c r="AE92" s="98"/>
      <c r="AF92" s="98"/>
      <c r="AG92" s="98"/>
      <c r="AH92" s="98"/>
    </row>
    <row r="93" spans="2:34" x14ac:dyDescent="0.25">
      <c r="B93" s="71"/>
      <c r="C93" s="72"/>
      <c r="D93" s="77"/>
      <c r="E93" s="78"/>
      <c r="F93" s="78"/>
      <c r="G93" s="78"/>
      <c r="H93" s="78"/>
      <c r="I93" s="79"/>
      <c r="J93" s="86"/>
      <c r="K93" s="87"/>
      <c r="L93" s="86"/>
      <c r="M93" s="87"/>
      <c r="N93" s="77"/>
      <c r="O93" s="79"/>
      <c r="P93" s="92"/>
      <c r="Q93" s="93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8"/>
      <c r="AD93" s="98"/>
      <c r="AE93" s="98"/>
      <c r="AF93" s="98"/>
      <c r="AG93" s="98"/>
      <c r="AH93" s="98"/>
    </row>
    <row r="94" spans="2:34" x14ac:dyDescent="0.25">
      <c r="B94" s="73"/>
      <c r="C94" s="74"/>
      <c r="D94" s="80"/>
      <c r="E94" s="81"/>
      <c r="F94" s="81"/>
      <c r="G94" s="81"/>
      <c r="H94" s="81"/>
      <c r="I94" s="82"/>
      <c r="J94" s="88"/>
      <c r="K94" s="89"/>
      <c r="L94" s="88"/>
      <c r="M94" s="89"/>
      <c r="N94" s="80"/>
      <c r="O94" s="82"/>
      <c r="P94" s="94"/>
      <c r="Q94" s="95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8"/>
      <c r="AD94" s="98"/>
      <c r="AE94" s="98"/>
      <c r="AF94" s="98"/>
      <c r="AG94" s="98"/>
      <c r="AH94" s="98"/>
    </row>
    <row r="95" spans="2:34" x14ac:dyDescent="0.25">
      <c r="B95" s="75"/>
      <c r="C95" s="76"/>
      <c r="D95" s="83"/>
      <c r="E95" s="84"/>
      <c r="F95" s="84"/>
      <c r="G95" s="84"/>
      <c r="H95" s="84"/>
      <c r="I95" s="85"/>
      <c r="J95" s="90"/>
      <c r="K95" s="91"/>
      <c r="L95" s="90"/>
      <c r="M95" s="91"/>
      <c r="N95" s="83"/>
      <c r="O95" s="85"/>
      <c r="P95" s="96"/>
      <c r="Q95" s="97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8"/>
      <c r="AD95" s="98"/>
      <c r="AE95" s="98"/>
      <c r="AF95" s="98"/>
      <c r="AG95" s="98"/>
      <c r="AH95" s="98"/>
    </row>
    <row r="96" spans="2:34" x14ac:dyDescent="0.25">
      <c r="B96" s="71"/>
      <c r="C96" s="72"/>
      <c r="D96" s="77"/>
      <c r="E96" s="78"/>
      <c r="F96" s="78"/>
      <c r="G96" s="78"/>
      <c r="H96" s="78"/>
      <c r="I96" s="79"/>
      <c r="J96" s="86"/>
      <c r="K96" s="87"/>
      <c r="L96" s="86"/>
      <c r="M96" s="87"/>
      <c r="N96" s="77"/>
      <c r="O96" s="79"/>
      <c r="P96" s="92"/>
      <c r="Q96" s="93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8"/>
      <c r="AD96" s="98"/>
      <c r="AE96" s="98"/>
      <c r="AF96" s="98"/>
      <c r="AG96" s="98"/>
      <c r="AH96" s="98"/>
    </row>
    <row r="97" spans="2:34" x14ac:dyDescent="0.25">
      <c r="B97" s="73"/>
      <c r="C97" s="74"/>
      <c r="D97" s="80"/>
      <c r="E97" s="81"/>
      <c r="F97" s="81"/>
      <c r="G97" s="81"/>
      <c r="H97" s="81"/>
      <c r="I97" s="82"/>
      <c r="J97" s="88"/>
      <c r="K97" s="89"/>
      <c r="L97" s="88"/>
      <c r="M97" s="89"/>
      <c r="N97" s="80"/>
      <c r="O97" s="82"/>
      <c r="P97" s="94"/>
      <c r="Q97" s="95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8"/>
      <c r="AD97" s="98"/>
      <c r="AE97" s="98"/>
      <c r="AF97" s="98"/>
      <c r="AG97" s="98"/>
      <c r="AH97" s="98"/>
    </row>
    <row r="98" spans="2:34" x14ac:dyDescent="0.25">
      <c r="B98" s="75"/>
      <c r="C98" s="76"/>
      <c r="D98" s="83"/>
      <c r="E98" s="84"/>
      <c r="F98" s="84"/>
      <c r="G98" s="84"/>
      <c r="H98" s="84"/>
      <c r="I98" s="85"/>
      <c r="J98" s="90"/>
      <c r="K98" s="91"/>
      <c r="L98" s="90"/>
      <c r="M98" s="91"/>
      <c r="N98" s="83"/>
      <c r="O98" s="85"/>
      <c r="P98" s="96"/>
      <c r="Q98" s="97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8"/>
      <c r="AD98" s="98"/>
      <c r="AE98" s="98"/>
      <c r="AF98" s="98"/>
      <c r="AG98" s="98"/>
      <c r="AH98" s="98"/>
    </row>
    <row r="99" spans="2:34" x14ac:dyDescent="0.25">
      <c r="B99" s="71"/>
      <c r="C99" s="72"/>
      <c r="D99" s="77"/>
      <c r="E99" s="78"/>
      <c r="F99" s="78"/>
      <c r="G99" s="78"/>
      <c r="H99" s="78"/>
      <c r="I99" s="79"/>
      <c r="J99" s="86"/>
      <c r="K99" s="87"/>
      <c r="L99" s="86"/>
      <c r="M99" s="87"/>
      <c r="N99" s="77"/>
      <c r="O99" s="79"/>
      <c r="P99" s="92"/>
      <c r="Q99" s="93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8"/>
      <c r="AD99" s="98"/>
      <c r="AE99" s="98"/>
      <c r="AF99" s="98"/>
      <c r="AG99" s="98"/>
      <c r="AH99" s="98"/>
    </row>
    <row r="100" spans="2:34" x14ac:dyDescent="0.25">
      <c r="B100" s="73"/>
      <c r="C100" s="74"/>
      <c r="D100" s="80"/>
      <c r="E100" s="81"/>
      <c r="F100" s="81"/>
      <c r="G100" s="81"/>
      <c r="H100" s="81"/>
      <c r="I100" s="82"/>
      <c r="J100" s="88"/>
      <c r="K100" s="89"/>
      <c r="L100" s="88"/>
      <c r="M100" s="89"/>
      <c r="N100" s="80"/>
      <c r="O100" s="82"/>
      <c r="P100" s="94"/>
      <c r="Q100" s="95"/>
      <c r="S100" s="99"/>
      <c r="T100" s="99"/>
      <c r="U100" s="99"/>
      <c r="V100" s="99"/>
      <c r="W100" s="99"/>
      <c r="X100" s="99"/>
      <c r="Y100" s="99"/>
      <c r="Z100" s="99"/>
      <c r="AA100" s="99"/>
      <c r="AB100" s="99"/>
      <c r="AC100" s="98"/>
      <c r="AD100" s="98"/>
      <c r="AE100" s="98"/>
      <c r="AF100" s="98"/>
      <c r="AG100" s="98"/>
      <c r="AH100" s="98"/>
    </row>
    <row r="101" spans="2:34" x14ac:dyDescent="0.25">
      <c r="B101" s="75"/>
      <c r="C101" s="76"/>
      <c r="D101" s="83"/>
      <c r="E101" s="84"/>
      <c r="F101" s="84"/>
      <c r="G101" s="84"/>
      <c r="H101" s="84"/>
      <c r="I101" s="85"/>
      <c r="J101" s="90"/>
      <c r="K101" s="91"/>
      <c r="L101" s="90"/>
      <c r="M101" s="91"/>
      <c r="N101" s="83"/>
      <c r="O101" s="85"/>
      <c r="P101" s="96"/>
      <c r="Q101" s="97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8"/>
      <c r="AD101" s="98"/>
      <c r="AE101" s="98"/>
      <c r="AF101" s="98"/>
      <c r="AG101" s="98"/>
      <c r="AH101" s="98"/>
    </row>
    <row r="102" spans="2:34" x14ac:dyDescent="0.25">
      <c r="B102" s="71"/>
      <c r="C102" s="72"/>
      <c r="D102" s="77"/>
      <c r="E102" s="78"/>
      <c r="F102" s="78"/>
      <c r="G102" s="78"/>
      <c r="H102" s="78"/>
      <c r="I102" s="79"/>
      <c r="J102" s="86"/>
      <c r="K102" s="87"/>
      <c r="L102" s="86"/>
      <c r="M102" s="87"/>
      <c r="N102" s="77"/>
      <c r="O102" s="79"/>
      <c r="P102" s="92"/>
      <c r="Q102" s="93"/>
      <c r="S102" s="99"/>
      <c r="T102" s="99"/>
      <c r="U102" s="99"/>
      <c r="V102" s="99"/>
      <c r="W102" s="99"/>
      <c r="X102" s="99"/>
      <c r="Y102" s="99"/>
      <c r="Z102" s="99"/>
      <c r="AA102" s="99"/>
      <c r="AB102" s="99"/>
      <c r="AC102" s="98"/>
      <c r="AD102" s="98"/>
      <c r="AE102" s="98"/>
      <c r="AF102" s="98"/>
      <c r="AG102" s="98"/>
      <c r="AH102" s="98"/>
    </row>
    <row r="103" spans="2:34" x14ac:dyDescent="0.25">
      <c r="B103" s="73"/>
      <c r="C103" s="74"/>
      <c r="D103" s="80"/>
      <c r="E103" s="81"/>
      <c r="F103" s="81"/>
      <c r="G103" s="81"/>
      <c r="H103" s="81"/>
      <c r="I103" s="82"/>
      <c r="J103" s="88"/>
      <c r="K103" s="89"/>
      <c r="L103" s="88"/>
      <c r="M103" s="89"/>
      <c r="N103" s="80"/>
      <c r="O103" s="82"/>
      <c r="P103" s="94"/>
      <c r="Q103" s="95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8"/>
      <c r="AD103" s="98"/>
      <c r="AE103" s="98"/>
      <c r="AF103" s="98"/>
      <c r="AG103" s="98"/>
      <c r="AH103" s="98"/>
    </row>
    <row r="104" spans="2:34" x14ac:dyDescent="0.25">
      <c r="B104" s="75"/>
      <c r="C104" s="76"/>
      <c r="D104" s="83"/>
      <c r="E104" s="84"/>
      <c r="F104" s="84"/>
      <c r="G104" s="84"/>
      <c r="H104" s="84"/>
      <c r="I104" s="85"/>
      <c r="J104" s="90"/>
      <c r="K104" s="91"/>
      <c r="L104" s="90"/>
      <c r="M104" s="91"/>
      <c r="N104" s="83"/>
      <c r="O104" s="85"/>
      <c r="P104" s="96"/>
      <c r="Q104" s="97"/>
      <c r="S104" s="99"/>
      <c r="T104" s="99"/>
      <c r="U104" s="99"/>
      <c r="V104" s="99"/>
      <c r="W104" s="99"/>
      <c r="X104" s="99"/>
      <c r="Y104" s="99"/>
      <c r="Z104" s="99"/>
      <c r="AA104" s="99"/>
      <c r="AB104" s="99"/>
      <c r="AC104" s="98"/>
      <c r="AD104" s="98"/>
      <c r="AE104" s="98"/>
      <c r="AF104" s="98"/>
      <c r="AG104" s="98"/>
      <c r="AH104" s="98"/>
    </row>
    <row r="105" spans="2:34" x14ac:dyDescent="0.25">
      <c r="B105" s="71"/>
      <c r="C105" s="72"/>
      <c r="D105" s="77"/>
      <c r="E105" s="78"/>
      <c r="F105" s="78"/>
      <c r="G105" s="78"/>
      <c r="H105" s="78"/>
      <c r="I105" s="79"/>
      <c r="J105" s="86"/>
      <c r="K105" s="87"/>
      <c r="L105" s="86"/>
      <c r="M105" s="87"/>
      <c r="N105" s="77"/>
      <c r="O105" s="79"/>
      <c r="P105" s="92"/>
      <c r="Q105" s="93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8"/>
      <c r="AD105" s="98"/>
      <c r="AE105" s="98"/>
      <c r="AF105" s="98"/>
      <c r="AG105" s="98"/>
      <c r="AH105" s="98"/>
    </row>
    <row r="106" spans="2:34" x14ac:dyDescent="0.25">
      <c r="B106" s="73"/>
      <c r="C106" s="74"/>
      <c r="D106" s="80"/>
      <c r="E106" s="81"/>
      <c r="F106" s="81"/>
      <c r="G106" s="81"/>
      <c r="H106" s="81"/>
      <c r="I106" s="82"/>
      <c r="J106" s="88"/>
      <c r="K106" s="89"/>
      <c r="L106" s="88"/>
      <c r="M106" s="89"/>
      <c r="N106" s="80"/>
      <c r="O106" s="82"/>
      <c r="P106" s="94"/>
      <c r="Q106" s="95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8"/>
      <c r="AD106" s="98"/>
      <c r="AE106" s="98"/>
      <c r="AF106" s="98"/>
      <c r="AG106" s="98"/>
      <c r="AH106" s="98"/>
    </row>
    <row r="107" spans="2:34" x14ac:dyDescent="0.25">
      <c r="B107" s="75"/>
      <c r="C107" s="76"/>
      <c r="D107" s="83"/>
      <c r="E107" s="84"/>
      <c r="F107" s="84"/>
      <c r="G107" s="84"/>
      <c r="H107" s="84"/>
      <c r="I107" s="85"/>
      <c r="J107" s="90"/>
      <c r="K107" s="91"/>
      <c r="L107" s="90"/>
      <c r="M107" s="91"/>
      <c r="N107" s="83"/>
      <c r="O107" s="85"/>
      <c r="P107" s="96"/>
      <c r="Q107" s="97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8"/>
      <c r="AD107" s="98"/>
      <c r="AE107" s="98"/>
      <c r="AF107" s="98"/>
      <c r="AG107" s="98"/>
      <c r="AH107" s="98"/>
    </row>
    <row r="108" spans="2:34" x14ac:dyDescent="0.25">
      <c r="B108" s="71"/>
      <c r="C108" s="72"/>
      <c r="D108" s="77"/>
      <c r="E108" s="78"/>
      <c r="F108" s="78"/>
      <c r="G108" s="78"/>
      <c r="H108" s="78"/>
      <c r="I108" s="79"/>
      <c r="J108" s="86"/>
      <c r="K108" s="87"/>
      <c r="L108" s="86"/>
      <c r="M108" s="87"/>
      <c r="N108" s="77"/>
      <c r="O108" s="79"/>
      <c r="P108" s="92"/>
      <c r="Q108" s="93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8"/>
      <c r="AD108" s="98"/>
      <c r="AE108" s="98"/>
      <c r="AF108" s="98"/>
      <c r="AG108" s="98"/>
      <c r="AH108" s="98"/>
    </row>
    <row r="109" spans="2:34" x14ac:dyDescent="0.25">
      <c r="B109" s="73"/>
      <c r="C109" s="74"/>
      <c r="D109" s="80"/>
      <c r="E109" s="81"/>
      <c r="F109" s="81"/>
      <c r="G109" s="81"/>
      <c r="H109" s="81"/>
      <c r="I109" s="82"/>
      <c r="J109" s="88"/>
      <c r="K109" s="89"/>
      <c r="L109" s="88"/>
      <c r="M109" s="89"/>
      <c r="N109" s="80"/>
      <c r="O109" s="82"/>
      <c r="P109" s="94"/>
      <c r="Q109" s="95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8"/>
      <c r="AD109" s="98"/>
      <c r="AE109" s="98"/>
      <c r="AF109" s="98"/>
      <c r="AG109" s="98"/>
      <c r="AH109" s="98"/>
    </row>
    <row r="110" spans="2:34" x14ac:dyDescent="0.25">
      <c r="B110" s="75"/>
      <c r="C110" s="76"/>
      <c r="D110" s="83"/>
      <c r="E110" s="84"/>
      <c r="F110" s="84"/>
      <c r="G110" s="84"/>
      <c r="H110" s="84"/>
      <c r="I110" s="85"/>
      <c r="J110" s="90"/>
      <c r="K110" s="91"/>
      <c r="L110" s="90"/>
      <c r="M110" s="91"/>
      <c r="N110" s="83"/>
      <c r="O110" s="85"/>
      <c r="P110" s="96"/>
      <c r="Q110" s="97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8"/>
      <c r="AD110" s="98"/>
      <c r="AE110" s="98"/>
      <c r="AF110" s="98"/>
      <c r="AG110" s="98"/>
      <c r="AH110" s="98"/>
    </row>
    <row r="111" spans="2:34" x14ac:dyDescent="0.25">
      <c r="B111" s="71"/>
      <c r="C111" s="72"/>
      <c r="D111" s="77"/>
      <c r="E111" s="78"/>
      <c r="F111" s="78"/>
      <c r="G111" s="78"/>
      <c r="H111" s="78"/>
      <c r="I111" s="79"/>
      <c r="J111" s="86"/>
      <c r="K111" s="87"/>
      <c r="L111" s="86"/>
      <c r="M111" s="87"/>
      <c r="N111" s="77"/>
      <c r="O111" s="79"/>
      <c r="P111" s="92"/>
      <c r="Q111" s="93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8"/>
      <c r="AD111" s="98"/>
      <c r="AE111" s="98"/>
      <c r="AF111" s="98"/>
      <c r="AG111" s="98"/>
      <c r="AH111" s="98"/>
    </row>
    <row r="112" spans="2:34" x14ac:dyDescent="0.25">
      <c r="B112" s="73"/>
      <c r="C112" s="74"/>
      <c r="D112" s="80"/>
      <c r="E112" s="81"/>
      <c r="F112" s="81"/>
      <c r="G112" s="81"/>
      <c r="H112" s="81"/>
      <c r="I112" s="82"/>
      <c r="J112" s="88"/>
      <c r="K112" s="89"/>
      <c r="L112" s="88"/>
      <c r="M112" s="89"/>
      <c r="N112" s="80"/>
      <c r="O112" s="82"/>
      <c r="P112" s="94"/>
      <c r="Q112" s="95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8"/>
      <c r="AD112" s="98"/>
      <c r="AE112" s="98"/>
      <c r="AF112" s="98"/>
      <c r="AG112" s="98"/>
      <c r="AH112" s="98"/>
    </row>
    <row r="113" spans="2:34" x14ac:dyDescent="0.25">
      <c r="B113" s="75"/>
      <c r="C113" s="76"/>
      <c r="D113" s="83"/>
      <c r="E113" s="84"/>
      <c r="F113" s="84"/>
      <c r="G113" s="84"/>
      <c r="H113" s="84"/>
      <c r="I113" s="85"/>
      <c r="J113" s="90"/>
      <c r="K113" s="91"/>
      <c r="L113" s="90"/>
      <c r="M113" s="91"/>
      <c r="N113" s="83"/>
      <c r="O113" s="85"/>
      <c r="P113" s="96"/>
      <c r="Q113" s="97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8"/>
      <c r="AD113" s="98"/>
      <c r="AE113" s="98"/>
      <c r="AF113" s="98"/>
      <c r="AG113" s="98"/>
      <c r="AH113" s="98"/>
    </row>
    <row r="114" spans="2:34" x14ac:dyDescent="0.25">
      <c r="B114" s="71"/>
      <c r="C114" s="72"/>
      <c r="D114" s="77"/>
      <c r="E114" s="78"/>
      <c r="F114" s="78"/>
      <c r="G114" s="78"/>
      <c r="H114" s="78"/>
      <c r="I114" s="79"/>
      <c r="J114" s="86"/>
      <c r="K114" s="87"/>
      <c r="L114" s="86"/>
      <c r="M114" s="87"/>
      <c r="N114" s="77"/>
      <c r="O114" s="79"/>
      <c r="P114" s="92"/>
      <c r="Q114" s="93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8"/>
      <c r="AD114" s="98"/>
      <c r="AE114" s="98"/>
      <c r="AF114" s="98"/>
      <c r="AG114" s="98"/>
      <c r="AH114" s="98"/>
    </row>
    <row r="115" spans="2:34" x14ac:dyDescent="0.25">
      <c r="B115" s="73"/>
      <c r="C115" s="74"/>
      <c r="D115" s="80"/>
      <c r="E115" s="81"/>
      <c r="F115" s="81"/>
      <c r="G115" s="81"/>
      <c r="H115" s="81"/>
      <c r="I115" s="82"/>
      <c r="J115" s="88"/>
      <c r="K115" s="89"/>
      <c r="L115" s="88"/>
      <c r="M115" s="89"/>
      <c r="N115" s="80"/>
      <c r="O115" s="82"/>
      <c r="P115" s="94"/>
      <c r="Q115" s="95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8"/>
      <c r="AD115" s="98"/>
      <c r="AE115" s="98"/>
      <c r="AF115" s="98"/>
      <c r="AG115" s="98"/>
      <c r="AH115" s="98"/>
    </row>
    <row r="116" spans="2:34" x14ac:dyDescent="0.25">
      <c r="B116" s="75"/>
      <c r="C116" s="76"/>
      <c r="D116" s="83"/>
      <c r="E116" s="84"/>
      <c r="F116" s="84"/>
      <c r="G116" s="84"/>
      <c r="H116" s="84"/>
      <c r="I116" s="85"/>
      <c r="J116" s="90"/>
      <c r="K116" s="91"/>
      <c r="L116" s="90"/>
      <c r="M116" s="91"/>
      <c r="N116" s="83"/>
      <c r="O116" s="85"/>
      <c r="P116" s="96"/>
      <c r="Q116" s="97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8"/>
      <c r="AD116" s="98"/>
      <c r="AE116" s="98"/>
      <c r="AF116" s="98"/>
      <c r="AG116" s="98"/>
      <c r="AH116" s="98"/>
    </row>
    <row r="117" spans="2:34" x14ac:dyDescent="0.25">
      <c r="B117" s="71"/>
      <c r="C117" s="72"/>
      <c r="D117" s="77"/>
      <c r="E117" s="78"/>
      <c r="F117" s="78"/>
      <c r="G117" s="78"/>
      <c r="H117" s="78"/>
      <c r="I117" s="79"/>
      <c r="J117" s="86"/>
      <c r="K117" s="87"/>
      <c r="L117" s="86"/>
      <c r="M117" s="87"/>
      <c r="N117" s="77"/>
      <c r="O117" s="79"/>
      <c r="P117" s="92"/>
      <c r="Q117" s="93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8"/>
      <c r="AD117" s="98"/>
      <c r="AE117" s="98"/>
      <c r="AF117" s="98"/>
      <c r="AG117" s="98"/>
      <c r="AH117" s="98"/>
    </row>
    <row r="118" spans="2:34" x14ac:dyDescent="0.25">
      <c r="B118" s="73"/>
      <c r="C118" s="74"/>
      <c r="D118" s="80"/>
      <c r="E118" s="81"/>
      <c r="F118" s="81"/>
      <c r="G118" s="81"/>
      <c r="H118" s="81"/>
      <c r="I118" s="82"/>
      <c r="J118" s="88"/>
      <c r="K118" s="89"/>
      <c r="L118" s="88"/>
      <c r="M118" s="89"/>
      <c r="N118" s="80"/>
      <c r="O118" s="82"/>
      <c r="P118" s="94"/>
      <c r="Q118" s="95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8"/>
      <c r="AD118" s="98"/>
      <c r="AE118" s="98"/>
      <c r="AF118" s="98"/>
      <c r="AG118" s="98"/>
      <c r="AH118" s="98"/>
    </row>
    <row r="119" spans="2:34" x14ac:dyDescent="0.25">
      <c r="B119" s="75"/>
      <c r="C119" s="76"/>
      <c r="D119" s="83"/>
      <c r="E119" s="84"/>
      <c r="F119" s="84"/>
      <c r="G119" s="84"/>
      <c r="H119" s="84"/>
      <c r="I119" s="85"/>
      <c r="J119" s="90"/>
      <c r="K119" s="91"/>
      <c r="L119" s="90"/>
      <c r="M119" s="91"/>
      <c r="N119" s="83"/>
      <c r="O119" s="85"/>
      <c r="P119" s="96"/>
      <c r="Q119" s="97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8"/>
      <c r="AD119" s="98"/>
      <c r="AE119" s="98"/>
      <c r="AF119" s="98"/>
      <c r="AG119" s="98"/>
      <c r="AH119" s="98"/>
    </row>
    <row r="120" spans="2:34" x14ac:dyDescent="0.25">
      <c r="B120" s="71"/>
      <c r="C120" s="72"/>
      <c r="D120" s="77"/>
      <c r="E120" s="78"/>
      <c r="F120" s="78"/>
      <c r="G120" s="78"/>
      <c r="H120" s="78"/>
      <c r="I120" s="79"/>
      <c r="J120" s="86"/>
      <c r="K120" s="87"/>
      <c r="L120" s="86"/>
      <c r="M120" s="87"/>
      <c r="N120" s="77"/>
      <c r="O120" s="79"/>
      <c r="P120" s="92"/>
      <c r="Q120" s="93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8"/>
      <c r="AD120" s="98"/>
      <c r="AE120" s="98"/>
      <c r="AF120" s="98"/>
      <c r="AG120" s="98"/>
      <c r="AH120" s="98"/>
    </row>
    <row r="121" spans="2:34" x14ac:dyDescent="0.25">
      <c r="B121" s="73"/>
      <c r="C121" s="74"/>
      <c r="D121" s="80"/>
      <c r="E121" s="81"/>
      <c r="F121" s="81"/>
      <c r="G121" s="81"/>
      <c r="H121" s="81"/>
      <c r="I121" s="82"/>
      <c r="J121" s="88"/>
      <c r="K121" s="89"/>
      <c r="L121" s="88"/>
      <c r="M121" s="89"/>
      <c r="N121" s="80"/>
      <c r="O121" s="82"/>
      <c r="P121" s="94"/>
      <c r="Q121" s="95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8"/>
      <c r="AD121" s="98"/>
      <c r="AE121" s="98"/>
      <c r="AF121" s="98"/>
      <c r="AG121" s="98"/>
      <c r="AH121" s="98"/>
    </row>
    <row r="122" spans="2:34" x14ac:dyDescent="0.25">
      <c r="B122" s="75"/>
      <c r="C122" s="76"/>
      <c r="D122" s="83"/>
      <c r="E122" s="84"/>
      <c r="F122" s="84"/>
      <c r="G122" s="84"/>
      <c r="H122" s="84"/>
      <c r="I122" s="85"/>
      <c r="J122" s="90"/>
      <c r="K122" s="91"/>
      <c r="L122" s="90"/>
      <c r="M122" s="91"/>
      <c r="N122" s="83"/>
      <c r="O122" s="85"/>
      <c r="P122" s="96"/>
      <c r="Q122" s="97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8"/>
      <c r="AD122" s="98"/>
      <c r="AE122" s="98"/>
      <c r="AF122" s="98"/>
      <c r="AG122" s="98"/>
      <c r="AH122" s="98"/>
    </row>
    <row r="123" spans="2:34" x14ac:dyDescent="0.25">
      <c r="B123" s="71"/>
      <c r="C123" s="72"/>
      <c r="D123" s="77"/>
      <c r="E123" s="78"/>
      <c r="F123" s="78"/>
      <c r="G123" s="78"/>
      <c r="H123" s="78"/>
      <c r="I123" s="79"/>
      <c r="J123" s="86"/>
      <c r="K123" s="87"/>
      <c r="L123" s="86"/>
      <c r="M123" s="87"/>
      <c r="N123" s="77"/>
      <c r="O123" s="79"/>
      <c r="P123" s="92"/>
      <c r="Q123" s="93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8"/>
      <c r="AD123" s="98"/>
      <c r="AE123" s="98"/>
      <c r="AF123" s="98"/>
      <c r="AG123" s="98"/>
      <c r="AH123" s="98"/>
    </row>
    <row r="124" spans="2:34" x14ac:dyDescent="0.25">
      <c r="B124" s="73"/>
      <c r="C124" s="74"/>
      <c r="D124" s="80"/>
      <c r="E124" s="81"/>
      <c r="F124" s="81"/>
      <c r="G124" s="81"/>
      <c r="H124" s="81"/>
      <c r="I124" s="82"/>
      <c r="J124" s="88"/>
      <c r="K124" s="89"/>
      <c r="L124" s="88"/>
      <c r="M124" s="89"/>
      <c r="N124" s="80"/>
      <c r="O124" s="82"/>
      <c r="P124" s="94"/>
      <c r="Q124" s="95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8"/>
      <c r="AD124" s="98"/>
      <c r="AE124" s="98"/>
      <c r="AF124" s="98"/>
      <c r="AG124" s="98"/>
      <c r="AH124" s="98"/>
    </row>
    <row r="125" spans="2:34" x14ac:dyDescent="0.25">
      <c r="B125" s="75"/>
      <c r="C125" s="76"/>
      <c r="D125" s="83"/>
      <c r="E125" s="84"/>
      <c r="F125" s="84"/>
      <c r="G125" s="84"/>
      <c r="H125" s="84"/>
      <c r="I125" s="85"/>
      <c r="J125" s="90"/>
      <c r="K125" s="91"/>
      <c r="L125" s="90"/>
      <c r="M125" s="91"/>
      <c r="N125" s="83"/>
      <c r="O125" s="85"/>
      <c r="P125" s="96"/>
      <c r="Q125" s="97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8"/>
      <c r="AD125" s="98"/>
      <c r="AE125" s="98"/>
      <c r="AF125" s="98"/>
      <c r="AG125" s="98"/>
      <c r="AH125" s="98"/>
    </row>
    <row r="126" spans="2:34" x14ac:dyDescent="0.25">
      <c r="B126" s="71"/>
      <c r="C126" s="72"/>
      <c r="D126" s="77"/>
      <c r="E126" s="78"/>
      <c r="F126" s="78"/>
      <c r="G126" s="78"/>
      <c r="H126" s="78"/>
      <c r="I126" s="79"/>
      <c r="J126" s="86"/>
      <c r="K126" s="87"/>
      <c r="L126" s="86"/>
      <c r="M126" s="87"/>
      <c r="N126" s="77"/>
      <c r="O126" s="79"/>
      <c r="P126" s="92"/>
      <c r="Q126" s="93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8"/>
      <c r="AD126" s="98"/>
      <c r="AE126" s="98"/>
      <c r="AF126" s="98"/>
      <c r="AG126" s="98"/>
      <c r="AH126" s="98"/>
    </row>
    <row r="127" spans="2:34" x14ac:dyDescent="0.25">
      <c r="B127" s="73"/>
      <c r="C127" s="74"/>
      <c r="D127" s="80"/>
      <c r="E127" s="81"/>
      <c r="F127" s="81"/>
      <c r="G127" s="81"/>
      <c r="H127" s="81"/>
      <c r="I127" s="82"/>
      <c r="J127" s="88"/>
      <c r="K127" s="89"/>
      <c r="L127" s="88"/>
      <c r="M127" s="89"/>
      <c r="N127" s="80"/>
      <c r="O127" s="82"/>
      <c r="P127" s="94"/>
      <c r="Q127" s="95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8"/>
      <c r="AD127" s="98"/>
      <c r="AE127" s="98"/>
      <c r="AF127" s="98"/>
      <c r="AG127" s="98"/>
      <c r="AH127" s="98"/>
    </row>
    <row r="128" spans="2:34" x14ac:dyDescent="0.25">
      <c r="B128" s="75"/>
      <c r="C128" s="76"/>
      <c r="D128" s="83"/>
      <c r="E128" s="84"/>
      <c r="F128" s="84"/>
      <c r="G128" s="84"/>
      <c r="H128" s="84"/>
      <c r="I128" s="85"/>
      <c r="J128" s="90"/>
      <c r="K128" s="91"/>
      <c r="L128" s="90"/>
      <c r="M128" s="91"/>
      <c r="N128" s="83"/>
      <c r="O128" s="85"/>
      <c r="P128" s="96"/>
      <c r="Q128" s="97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8"/>
      <c r="AD128" s="98"/>
      <c r="AE128" s="98"/>
      <c r="AF128" s="98"/>
      <c r="AG128" s="98"/>
      <c r="AH128" s="98"/>
    </row>
    <row r="129" spans="2:34" x14ac:dyDescent="0.25">
      <c r="B129" s="71"/>
      <c r="C129" s="72"/>
      <c r="D129" s="77"/>
      <c r="E129" s="78"/>
      <c r="F129" s="78"/>
      <c r="G129" s="78"/>
      <c r="H129" s="78"/>
      <c r="I129" s="79"/>
      <c r="J129" s="86"/>
      <c r="K129" s="87"/>
      <c r="L129" s="86"/>
      <c r="M129" s="87"/>
      <c r="N129" s="77"/>
      <c r="O129" s="79"/>
      <c r="P129" s="92"/>
      <c r="Q129" s="93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8"/>
      <c r="AD129" s="98"/>
      <c r="AE129" s="98"/>
      <c r="AF129" s="98"/>
      <c r="AG129" s="98"/>
      <c r="AH129" s="98"/>
    </row>
    <row r="130" spans="2:34" x14ac:dyDescent="0.25">
      <c r="B130" s="73"/>
      <c r="C130" s="74"/>
      <c r="D130" s="80"/>
      <c r="E130" s="81"/>
      <c r="F130" s="81"/>
      <c r="G130" s="81"/>
      <c r="H130" s="81"/>
      <c r="I130" s="82"/>
      <c r="J130" s="88"/>
      <c r="K130" s="89"/>
      <c r="L130" s="88"/>
      <c r="M130" s="89"/>
      <c r="N130" s="80"/>
      <c r="O130" s="82"/>
      <c r="P130" s="94"/>
      <c r="Q130" s="95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8"/>
      <c r="AD130" s="98"/>
      <c r="AE130" s="98"/>
      <c r="AF130" s="98"/>
      <c r="AG130" s="98"/>
      <c r="AH130" s="98"/>
    </row>
    <row r="131" spans="2:34" x14ac:dyDescent="0.25">
      <c r="B131" s="75"/>
      <c r="C131" s="76"/>
      <c r="D131" s="83"/>
      <c r="E131" s="84"/>
      <c r="F131" s="84"/>
      <c r="G131" s="84"/>
      <c r="H131" s="84"/>
      <c r="I131" s="85"/>
      <c r="J131" s="90"/>
      <c r="K131" s="91"/>
      <c r="L131" s="90"/>
      <c r="M131" s="91"/>
      <c r="N131" s="83"/>
      <c r="O131" s="85"/>
      <c r="P131" s="96"/>
      <c r="Q131" s="97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8"/>
      <c r="AD131" s="98"/>
      <c r="AE131" s="98"/>
      <c r="AF131" s="98"/>
      <c r="AG131" s="98"/>
      <c r="AH131" s="98"/>
    </row>
    <row r="132" spans="2:34" x14ac:dyDescent="0.25">
      <c r="B132" s="71"/>
      <c r="C132" s="72"/>
      <c r="D132" s="77"/>
      <c r="E132" s="78"/>
      <c r="F132" s="78"/>
      <c r="G132" s="78"/>
      <c r="H132" s="78"/>
      <c r="I132" s="79"/>
      <c r="J132" s="86"/>
      <c r="K132" s="87"/>
      <c r="L132" s="86"/>
      <c r="M132" s="87"/>
      <c r="N132" s="77"/>
      <c r="O132" s="79"/>
      <c r="P132" s="92"/>
      <c r="Q132" s="93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8"/>
      <c r="AD132" s="98"/>
      <c r="AE132" s="98"/>
      <c r="AF132" s="98"/>
      <c r="AG132" s="98"/>
      <c r="AH132" s="98"/>
    </row>
    <row r="133" spans="2:34" x14ac:dyDescent="0.25">
      <c r="B133" s="73"/>
      <c r="C133" s="74"/>
      <c r="D133" s="80"/>
      <c r="E133" s="81"/>
      <c r="F133" s="81"/>
      <c r="G133" s="81"/>
      <c r="H133" s="81"/>
      <c r="I133" s="82"/>
      <c r="J133" s="88"/>
      <c r="K133" s="89"/>
      <c r="L133" s="88"/>
      <c r="M133" s="89"/>
      <c r="N133" s="80"/>
      <c r="O133" s="82"/>
      <c r="P133" s="94"/>
      <c r="Q133" s="95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8"/>
      <c r="AD133" s="98"/>
      <c r="AE133" s="98"/>
      <c r="AF133" s="98"/>
      <c r="AG133" s="98"/>
      <c r="AH133" s="98"/>
    </row>
    <row r="134" spans="2:34" x14ac:dyDescent="0.25">
      <c r="B134" s="75"/>
      <c r="C134" s="76"/>
      <c r="D134" s="83"/>
      <c r="E134" s="84"/>
      <c r="F134" s="84"/>
      <c r="G134" s="84"/>
      <c r="H134" s="84"/>
      <c r="I134" s="85"/>
      <c r="J134" s="90"/>
      <c r="K134" s="91"/>
      <c r="L134" s="90"/>
      <c r="M134" s="91"/>
      <c r="N134" s="83"/>
      <c r="O134" s="85"/>
      <c r="P134" s="96"/>
      <c r="Q134" s="97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8"/>
      <c r="AD134" s="98"/>
      <c r="AE134" s="98"/>
      <c r="AF134" s="98"/>
      <c r="AG134" s="98"/>
      <c r="AH134" s="98"/>
    </row>
    <row r="135" spans="2:34" x14ac:dyDescent="0.25">
      <c r="B135" s="71"/>
      <c r="C135" s="72"/>
      <c r="D135" s="77"/>
      <c r="E135" s="78"/>
      <c r="F135" s="78"/>
      <c r="G135" s="78"/>
      <c r="H135" s="78"/>
      <c r="I135" s="79"/>
      <c r="J135" s="86"/>
      <c r="K135" s="87"/>
      <c r="L135" s="86"/>
      <c r="M135" s="87"/>
      <c r="N135" s="77"/>
      <c r="O135" s="79"/>
      <c r="P135" s="92"/>
      <c r="Q135" s="93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8"/>
      <c r="AD135" s="98"/>
      <c r="AE135" s="98"/>
      <c r="AF135" s="98"/>
      <c r="AG135" s="98"/>
      <c r="AH135" s="98"/>
    </row>
    <row r="136" spans="2:34" x14ac:dyDescent="0.25">
      <c r="B136" s="73"/>
      <c r="C136" s="74"/>
      <c r="D136" s="80"/>
      <c r="E136" s="81"/>
      <c r="F136" s="81"/>
      <c r="G136" s="81"/>
      <c r="H136" s="81"/>
      <c r="I136" s="82"/>
      <c r="J136" s="88"/>
      <c r="K136" s="89"/>
      <c r="L136" s="88"/>
      <c r="M136" s="89"/>
      <c r="N136" s="80"/>
      <c r="O136" s="82"/>
      <c r="P136" s="94"/>
      <c r="Q136" s="95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8"/>
      <c r="AD136" s="98"/>
      <c r="AE136" s="98"/>
      <c r="AF136" s="98"/>
      <c r="AG136" s="98"/>
      <c r="AH136" s="98"/>
    </row>
    <row r="137" spans="2:34" x14ac:dyDescent="0.25">
      <c r="B137" s="75"/>
      <c r="C137" s="76"/>
      <c r="D137" s="83"/>
      <c r="E137" s="84"/>
      <c r="F137" s="84"/>
      <c r="G137" s="84"/>
      <c r="H137" s="84"/>
      <c r="I137" s="85"/>
      <c r="J137" s="90"/>
      <c r="K137" s="91"/>
      <c r="L137" s="90"/>
      <c r="M137" s="91"/>
      <c r="N137" s="83"/>
      <c r="O137" s="85"/>
      <c r="P137" s="96"/>
      <c r="Q137" s="97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8"/>
      <c r="AD137" s="98"/>
      <c r="AE137" s="98"/>
      <c r="AF137" s="98"/>
      <c r="AG137" s="98"/>
      <c r="AH137" s="98"/>
    </row>
    <row r="138" spans="2:34" x14ac:dyDescent="0.25">
      <c r="B138" s="71"/>
      <c r="C138" s="72"/>
      <c r="D138" s="77"/>
      <c r="E138" s="78"/>
      <c r="F138" s="78"/>
      <c r="G138" s="78"/>
      <c r="H138" s="78"/>
      <c r="I138" s="79"/>
      <c r="J138" s="86"/>
      <c r="K138" s="87"/>
      <c r="L138" s="86"/>
      <c r="M138" s="87"/>
      <c r="N138" s="77"/>
      <c r="O138" s="79"/>
      <c r="P138" s="92"/>
      <c r="Q138" s="93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8"/>
      <c r="AD138" s="98"/>
      <c r="AE138" s="98"/>
      <c r="AF138" s="98"/>
      <c r="AG138" s="98"/>
      <c r="AH138" s="98"/>
    </row>
    <row r="139" spans="2:34" x14ac:dyDescent="0.25">
      <c r="B139" s="73"/>
      <c r="C139" s="74"/>
      <c r="D139" s="80"/>
      <c r="E139" s="81"/>
      <c r="F139" s="81"/>
      <c r="G139" s="81"/>
      <c r="H139" s="81"/>
      <c r="I139" s="82"/>
      <c r="J139" s="88"/>
      <c r="K139" s="89"/>
      <c r="L139" s="88"/>
      <c r="M139" s="89"/>
      <c r="N139" s="80"/>
      <c r="O139" s="82"/>
      <c r="P139" s="94"/>
      <c r="Q139" s="95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8"/>
      <c r="AD139" s="98"/>
      <c r="AE139" s="98"/>
      <c r="AF139" s="98"/>
      <c r="AG139" s="98"/>
      <c r="AH139" s="98"/>
    </row>
    <row r="140" spans="2:34" x14ac:dyDescent="0.25">
      <c r="B140" s="75"/>
      <c r="C140" s="76"/>
      <c r="D140" s="83"/>
      <c r="E140" s="84"/>
      <c r="F140" s="84"/>
      <c r="G140" s="84"/>
      <c r="H140" s="84"/>
      <c r="I140" s="85"/>
      <c r="J140" s="90"/>
      <c r="K140" s="91"/>
      <c r="L140" s="90"/>
      <c r="M140" s="91"/>
      <c r="N140" s="83"/>
      <c r="O140" s="85"/>
      <c r="P140" s="96"/>
      <c r="Q140" s="97"/>
      <c r="S140" s="99"/>
      <c r="T140" s="99"/>
      <c r="U140" s="99"/>
      <c r="V140" s="99"/>
      <c r="W140" s="99"/>
      <c r="X140" s="99"/>
      <c r="Y140" s="99"/>
      <c r="Z140" s="99"/>
      <c r="AA140" s="99"/>
      <c r="AB140" s="99"/>
      <c r="AC140" s="98"/>
      <c r="AD140" s="98"/>
      <c r="AE140" s="98"/>
      <c r="AF140" s="98"/>
      <c r="AG140" s="98"/>
      <c r="AH140" s="98"/>
    </row>
    <row r="141" spans="2:34" x14ac:dyDescent="0.25">
      <c r="B141" s="71"/>
      <c r="C141" s="72"/>
      <c r="D141" s="77"/>
      <c r="E141" s="78"/>
      <c r="F141" s="78"/>
      <c r="G141" s="78"/>
      <c r="H141" s="78"/>
      <c r="I141" s="79"/>
      <c r="J141" s="86"/>
      <c r="K141" s="87"/>
      <c r="L141" s="86"/>
      <c r="M141" s="87"/>
      <c r="N141" s="77"/>
      <c r="O141" s="79"/>
      <c r="P141" s="92"/>
      <c r="Q141" s="93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8"/>
      <c r="AD141" s="98"/>
      <c r="AE141" s="98"/>
      <c r="AF141" s="98"/>
      <c r="AG141" s="98"/>
      <c r="AH141" s="98"/>
    </row>
    <row r="142" spans="2:34" x14ac:dyDescent="0.25">
      <c r="B142" s="73"/>
      <c r="C142" s="74"/>
      <c r="D142" s="80"/>
      <c r="E142" s="81"/>
      <c r="F142" s="81"/>
      <c r="G142" s="81"/>
      <c r="H142" s="81"/>
      <c r="I142" s="82"/>
      <c r="J142" s="88"/>
      <c r="K142" s="89"/>
      <c r="L142" s="88"/>
      <c r="M142" s="89"/>
      <c r="N142" s="80"/>
      <c r="O142" s="82"/>
      <c r="P142" s="94"/>
      <c r="Q142" s="95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8"/>
      <c r="AD142" s="98"/>
      <c r="AE142" s="98"/>
      <c r="AF142" s="98"/>
      <c r="AG142" s="98"/>
      <c r="AH142" s="98"/>
    </row>
    <row r="143" spans="2:34" x14ac:dyDescent="0.25">
      <c r="B143" s="75"/>
      <c r="C143" s="76"/>
      <c r="D143" s="83"/>
      <c r="E143" s="84"/>
      <c r="F143" s="84"/>
      <c r="G143" s="84"/>
      <c r="H143" s="84"/>
      <c r="I143" s="85"/>
      <c r="J143" s="90"/>
      <c r="K143" s="91"/>
      <c r="L143" s="90"/>
      <c r="M143" s="91"/>
      <c r="N143" s="83"/>
      <c r="O143" s="85"/>
      <c r="P143" s="96"/>
      <c r="Q143" s="97"/>
      <c r="S143" s="99"/>
      <c r="T143" s="99"/>
      <c r="U143" s="99"/>
      <c r="V143" s="99"/>
      <c r="W143" s="99"/>
      <c r="X143" s="99"/>
      <c r="Y143" s="99"/>
      <c r="Z143" s="99"/>
      <c r="AA143" s="99"/>
      <c r="AB143" s="99"/>
      <c r="AC143" s="98"/>
      <c r="AD143" s="98"/>
      <c r="AE143" s="98"/>
      <c r="AF143" s="98"/>
      <c r="AG143" s="98"/>
      <c r="AH143" s="98"/>
    </row>
    <row r="144" spans="2:34" x14ac:dyDescent="0.25">
      <c r="B144" s="71"/>
      <c r="C144" s="72"/>
      <c r="D144" s="77"/>
      <c r="E144" s="78"/>
      <c r="F144" s="78"/>
      <c r="G144" s="78"/>
      <c r="H144" s="78"/>
      <c r="I144" s="79"/>
      <c r="J144" s="86"/>
      <c r="K144" s="87"/>
      <c r="L144" s="86"/>
      <c r="M144" s="87"/>
      <c r="N144" s="77"/>
      <c r="O144" s="79"/>
      <c r="P144" s="92"/>
      <c r="Q144" s="93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8"/>
      <c r="AD144" s="98"/>
      <c r="AE144" s="98"/>
      <c r="AF144" s="98"/>
      <c r="AG144" s="98"/>
      <c r="AH144" s="98"/>
    </row>
    <row r="145" spans="2:34" x14ac:dyDescent="0.25">
      <c r="B145" s="73"/>
      <c r="C145" s="74"/>
      <c r="D145" s="80"/>
      <c r="E145" s="81"/>
      <c r="F145" s="81"/>
      <c r="G145" s="81"/>
      <c r="H145" s="81"/>
      <c r="I145" s="82"/>
      <c r="J145" s="88"/>
      <c r="K145" s="89"/>
      <c r="L145" s="88"/>
      <c r="M145" s="89"/>
      <c r="N145" s="80"/>
      <c r="O145" s="82"/>
      <c r="P145" s="94"/>
      <c r="Q145" s="95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8"/>
      <c r="AD145" s="98"/>
      <c r="AE145" s="98"/>
      <c r="AF145" s="98"/>
      <c r="AG145" s="98"/>
      <c r="AH145" s="98"/>
    </row>
    <row r="146" spans="2:34" x14ac:dyDescent="0.25">
      <c r="B146" s="75"/>
      <c r="C146" s="76"/>
      <c r="D146" s="83"/>
      <c r="E146" s="84"/>
      <c r="F146" s="84"/>
      <c r="G146" s="84"/>
      <c r="H146" s="84"/>
      <c r="I146" s="85"/>
      <c r="J146" s="90"/>
      <c r="K146" s="91"/>
      <c r="L146" s="90"/>
      <c r="M146" s="91"/>
      <c r="N146" s="83"/>
      <c r="O146" s="85"/>
      <c r="P146" s="96"/>
      <c r="Q146" s="97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8"/>
      <c r="AD146" s="98"/>
      <c r="AE146" s="98"/>
      <c r="AF146" s="98"/>
      <c r="AG146" s="98"/>
      <c r="AH146" s="98"/>
    </row>
    <row r="147" spans="2:34" x14ac:dyDescent="0.25">
      <c r="B147" s="71"/>
      <c r="C147" s="72"/>
      <c r="D147" s="77"/>
      <c r="E147" s="78"/>
      <c r="F147" s="78"/>
      <c r="G147" s="78"/>
      <c r="H147" s="78"/>
      <c r="I147" s="79"/>
      <c r="J147" s="86"/>
      <c r="K147" s="87"/>
      <c r="L147" s="86"/>
      <c r="M147" s="87"/>
      <c r="N147" s="77"/>
      <c r="O147" s="79"/>
      <c r="P147" s="92"/>
      <c r="Q147" s="93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8"/>
      <c r="AD147" s="98"/>
      <c r="AE147" s="98"/>
      <c r="AF147" s="98"/>
      <c r="AG147" s="98"/>
      <c r="AH147" s="98"/>
    </row>
    <row r="148" spans="2:34" x14ac:dyDescent="0.25">
      <c r="B148" s="73"/>
      <c r="C148" s="74"/>
      <c r="D148" s="80"/>
      <c r="E148" s="81"/>
      <c r="F148" s="81"/>
      <c r="G148" s="81"/>
      <c r="H148" s="81"/>
      <c r="I148" s="82"/>
      <c r="J148" s="88"/>
      <c r="K148" s="89"/>
      <c r="L148" s="88"/>
      <c r="M148" s="89"/>
      <c r="N148" s="80"/>
      <c r="O148" s="82"/>
      <c r="P148" s="94"/>
      <c r="Q148" s="95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8"/>
      <c r="AD148" s="98"/>
      <c r="AE148" s="98"/>
      <c r="AF148" s="98"/>
      <c r="AG148" s="98"/>
      <c r="AH148" s="98"/>
    </row>
    <row r="149" spans="2:34" x14ac:dyDescent="0.25">
      <c r="B149" s="75"/>
      <c r="C149" s="76"/>
      <c r="D149" s="83"/>
      <c r="E149" s="84"/>
      <c r="F149" s="84"/>
      <c r="G149" s="84"/>
      <c r="H149" s="84"/>
      <c r="I149" s="85"/>
      <c r="J149" s="90"/>
      <c r="K149" s="91"/>
      <c r="L149" s="90"/>
      <c r="M149" s="91"/>
      <c r="N149" s="83"/>
      <c r="O149" s="85"/>
      <c r="P149" s="96"/>
      <c r="Q149" s="97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8"/>
      <c r="AD149" s="98"/>
      <c r="AE149" s="98"/>
      <c r="AF149" s="98"/>
      <c r="AG149" s="98"/>
      <c r="AH149" s="98"/>
    </row>
    <row r="150" spans="2:34" x14ac:dyDescent="0.25">
      <c r="B150" s="71"/>
      <c r="C150" s="72"/>
      <c r="D150" s="77"/>
      <c r="E150" s="78"/>
      <c r="F150" s="78"/>
      <c r="G150" s="78"/>
      <c r="H150" s="78"/>
      <c r="I150" s="79"/>
      <c r="J150" s="86"/>
      <c r="K150" s="87"/>
      <c r="L150" s="86"/>
      <c r="M150" s="87"/>
      <c r="N150" s="77"/>
      <c r="O150" s="79"/>
      <c r="P150" s="92"/>
      <c r="Q150" s="93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8"/>
      <c r="AD150" s="98"/>
      <c r="AE150" s="98"/>
      <c r="AF150" s="98"/>
      <c r="AG150" s="98"/>
      <c r="AH150" s="98"/>
    </row>
    <row r="151" spans="2:34" x14ac:dyDescent="0.25">
      <c r="B151" s="73"/>
      <c r="C151" s="74"/>
      <c r="D151" s="80"/>
      <c r="E151" s="81"/>
      <c r="F151" s="81"/>
      <c r="G151" s="81"/>
      <c r="H151" s="81"/>
      <c r="I151" s="82"/>
      <c r="J151" s="88"/>
      <c r="K151" s="89"/>
      <c r="L151" s="88"/>
      <c r="M151" s="89"/>
      <c r="N151" s="80"/>
      <c r="O151" s="82"/>
      <c r="P151" s="94"/>
      <c r="Q151" s="95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8"/>
      <c r="AD151" s="98"/>
      <c r="AE151" s="98"/>
      <c r="AF151" s="98"/>
      <c r="AG151" s="98"/>
      <c r="AH151" s="98"/>
    </row>
    <row r="152" spans="2:34" x14ac:dyDescent="0.25">
      <c r="B152" s="75"/>
      <c r="C152" s="76"/>
      <c r="D152" s="83"/>
      <c r="E152" s="84"/>
      <c r="F152" s="84"/>
      <c r="G152" s="84"/>
      <c r="H152" s="84"/>
      <c r="I152" s="85"/>
      <c r="J152" s="90"/>
      <c r="K152" s="91"/>
      <c r="L152" s="90"/>
      <c r="M152" s="91"/>
      <c r="N152" s="83"/>
      <c r="O152" s="85"/>
      <c r="P152" s="96"/>
      <c r="Q152" s="97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8"/>
      <c r="AD152" s="98"/>
      <c r="AE152" s="98"/>
      <c r="AF152" s="98"/>
      <c r="AG152" s="98"/>
      <c r="AH152" s="98"/>
    </row>
    <row r="153" spans="2:34" x14ac:dyDescent="0.25">
      <c r="B153" s="71"/>
      <c r="C153" s="72"/>
      <c r="D153" s="77"/>
      <c r="E153" s="78"/>
      <c r="F153" s="78"/>
      <c r="G153" s="78"/>
      <c r="H153" s="78"/>
      <c r="I153" s="79"/>
      <c r="J153" s="86"/>
      <c r="K153" s="87"/>
      <c r="L153" s="86"/>
      <c r="M153" s="87"/>
      <c r="N153" s="77"/>
      <c r="O153" s="79"/>
      <c r="P153" s="92"/>
      <c r="Q153" s="93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8"/>
      <c r="AD153" s="98"/>
      <c r="AE153" s="98"/>
      <c r="AF153" s="98"/>
      <c r="AG153" s="98"/>
      <c r="AH153" s="98"/>
    </row>
    <row r="154" spans="2:34" x14ac:dyDescent="0.25">
      <c r="B154" s="73"/>
      <c r="C154" s="74"/>
      <c r="D154" s="80"/>
      <c r="E154" s="81"/>
      <c r="F154" s="81"/>
      <c r="G154" s="81"/>
      <c r="H154" s="81"/>
      <c r="I154" s="82"/>
      <c r="J154" s="88"/>
      <c r="K154" s="89"/>
      <c r="L154" s="88"/>
      <c r="M154" s="89"/>
      <c r="N154" s="80"/>
      <c r="O154" s="82"/>
      <c r="P154" s="94"/>
      <c r="Q154" s="95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8"/>
      <c r="AD154" s="98"/>
      <c r="AE154" s="98"/>
      <c r="AF154" s="98"/>
      <c r="AG154" s="98"/>
      <c r="AH154" s="98"/>
    </row>
    <row r="155" spans="2:34" x14ac:dyDescent="0.25">
      <c r="B155" s="75"/>
      <c r="C155" s="76"/>
      <c r="D155" s="83"/>
      <c r="E155" s="84"/>
      <c r="F155" s="84"/>
      <c r="G155" s="84"/>
      <c r="H155" s="84"/>
      <c r="I155" s="85"/>
      <c r="J155" s="90"/>
      <c r="K155" s="91"/>
      <c r="L155" s="90"/>
      <c r="M155" s="91"/>
      <c r="N155" s="83"/>
      <c r="O155" s="85"/>
      <c r="P155" s="96"/>
      <c r="Q155" s="97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8"/>
      <c r="AD155" s="98"/>
      <c r="AE155" s="98"/>
      <c r="AF155" s="98"/>
      <c r="AG155" s="98"/>
      <c r="AH155" s="98"/>
    </row>
    <row r="156" spans="2:34" x14ac:dyDescent="0.25">
      <c r="B156" s="71"/>
      <c r="C156" s="72"/>
      <c r="D156" s="77"/>
      <c r="E156" s="78"/>
      <c r="F156" s="78"/>
      <c r="G156" s="78"/>
      <c r="H156" s="78"/>
      <c r="I156" s="79"/>
      <c r="J156" s="86"/>
      <c r="K156" s="87"/>
      <c r="L156" s="86"/>
      <c r="M156" s="87"/>
      <c r="N156" s="77"/>
      <c r="O156" s="79"/>
      <c r="P156" s="92"/>
      <c r="Q156" s="93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8"/>
      <c r="AD156" s="98"/>
      <c r="AE156" s="98"/>
      <c r="AF156" s="98"/>
      <c r="AG156" s="98"/>
      <c r="AH156" s="98"/>
    </row>
    <row r="157" spans="2:34" x14ac:dyDescent="0.25">
      <c r="B157" s="73"/>
      <c r="C157" s="74"/>
      <c r="D157" s="80"/>
      <c r="E157" s="81"/>
      <c r="F157" s="81"/>
      <c r="G157" s="81"/>
      <c r="H157" s="81"/>
      <c r="I157" s="82"/>
      <c r="J157" s="88"/>
      <c r="K157" s="89"/>
      <c r="L157" s="88"/>
      <c r="M157" s="89"/>
      <c r="N157" s="80"/>
      <c r="O157" s="82"/>
      <c r="P157" s="94"/>
      <c r="Q157" s="95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8"/>
      <c r="AD157" s="98"/>
      <c r="AE157" s="98"/>
      <c r="AF157" s="98"/>
      <c r="AG157" s="98"/>
      <c r="AH157" s="98"/>
    </row>
    <row r="158" spans="2:34" x14ac:dyDescent="0.25">
      <c r="B158" s="75"/>
      <c r="C158" s="76"/>
      <c r="D158" s="83"/>
      <c r="E158" s="84"/>
      <c r="F158" s="84"/>
      <c r="G158" s="84"/>
      <c r="H158" s="84"/>
      <c r="I158" s="85"/>
      <c r="J158" s="90"/>
      <c r="K158" s="91"/>
      <c r="L158" s="90"/>
      <c r="M158" s="91"/>
      <c r="N158" s="83"/>
      <c r="O158" s="85"/>
      <c r="P158" s="96"/>
      <c r="Q158" s="97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8"/>
      <c r="AD158" s="98"/>
      <c r="AE158" s="98"/>
      <c r="AF158" s="98"/>
      <c r="AG158" s="98"/>
      <c r="AH158" s="98"/>
    </row>
    <row r="159" spans="2:34" x14ac:dyDescent="0.25">
      <c r="B159" s="71"/>
      <c r="C159" s="72"/>
      <c r="D159" s="77"/>
      <c r="E159" s="78"/>
      <c r="F159" s="78"/>
      <c r="G159" s="78"/>
      <c r="H159" s="78"/>
      <c r="I159" s="79"/>
      <c r="J159" s="86"/>
      <c r="K159" s="87"/>
      <c r="L159" s="86"/>
      <c r="M159" s="87"/>
      <c r="N159" s="77"/>
      <c r="O159" s="79"/>
      <c r="P159" s="92"/>
      <c r="Q159" s="93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8"/>
      <c r="AD159" s="98"/>
      <c r="AE159" s="98"/>
      <c r="AF159" s="98"/>
      <c r="AG159" s="98"/>
      <c r="AH159" s="98"/>
    </row>
    <row r="160" spans="2:34" x14ac:dyDescent="0.25">
      <c r="B160" s="73"/>
      <c r="C160" s="74"/>
      <c r="D160" s="80"/>
      <c r="E160" s="81"/>
      <c r="F160" s="81"/>
      <c r="G160" s="81"/>
      <c r="H160" s="81"/>
      <c r="I160" s="82"/>
      <c r="J160" s="88"/>
      <c r="K160" s="89"/>
      <c r="L160" s="88"/>
      <c r="M160" s="89"/>
      <c r="N160" s="80"/>
      <c r="O160" s="82"/>
      <c r="P160" s="94"/>
      <c r="Q160" s="95"/>
      <c r="S160" s="99"/>
      <c r="T160" s="99"/>
      <c r="U160" s="99"/>
      <c r="V160" s="99"/>
      <c r="W160" s="99"/>
      <c r="X160" s="99"/>
      <c r="Y160" s="99"/>
      <c r="Z160" s="99"/>
      <c r="AA160" s="99"/>
      <c r="AB160" s="99"/>
      <c r="AC160" s="98"/>
      <c r="AD160" s="98"/>
      <c r="AE160" s="98"/>
      <c r="AF160" s="98"/>
      <c r="AG160" s="98"/>
      <c r="AH160" s="98"/>
    </row>
    <row r="161" spans="2:34" x14ac:dyDescent="0.25">
      <c r="B161" s="75"/>
      <c r="C161" s="76"/>
      <c r="D161" s="83"/>
      <c r="E161" s="84"/>
      <c r="F161" s="84"/>
      <c r="G161" s="84"/>
      <c r="H161" s="84"/>
      <c r="I161" s="85"/>
      <c r="J161" s="90"/>
      <c r="K161" s="91"/>
      <c r="L161" s="90"/>
      <c r="M161" s="91"/>
      <c r="N161" s="83"/>
      <c r="O161" s="85"/>
      <c r="P161" s="96"/>
      <c r="Q161" s="97"/>
      <c r="S161" s="99"/>
      <c r="T161" s="99"/>
      <c r="U161" s="99"/>
      <c r="V161" s="99"/>
      <c r="W161" s="99"/>
      <c r="X161" s="99"/>
      <c r="Y161" s="99"/>
      <c r="Z161" s="99"/>
      <c r="AA161" s="99"/>
      <c r="AB161" s="99"/>
      <c r="AC161" s="98"/>
      <c r="AD161" s="98"/>
      <c r="AE161" s="98"/>
      <c r="AF161" s="98"/>
      <c r="AG161" s="98"/>
      <c r="AH161" s="98"/>
    </row>
    <row r="162" spans="2:34" x14ac:dyDescent="0.25">
      <c r="B162" s="71"/>
      <c r="C162" s="72"/>
      <c r="D162" s="77"/>
      <c r="E162" s="78"/>
      <c r="F162" s="78"/>
      <c r="G162" s="78"/>
      <c r="H162" s="78"/>
      <c r="I162" s="79"/>
      <c r="J162" s="86"/>
      <c r="K162" s="87"/>
      <c r="L162" s="86"/>
      <c r="M162" s="87"/>
      <c r="N162" s="77"/>
      <c r="O162" s="79"/>
      <c r="P162" s="92"/>
      <c r="Q162" s="93"/>
      <c r="S162" s="99"/>
      <c r="T162" s="99"/>
      <c r="U162" s="99"/>
      <c r="V162" s="99"/>
      <c r="W162" s="99"/>
      <c r="X162" s="99"/>
      <c r="Y162" s="99"/>
      <c r="Z162" s="99"/>
      <c r="AA162" s="99"/>
      <c r="AB162" s="99"/>
      <c r="AC162" s="98"/>
      <c r="AD162" s="98"/>
      <c r="AE162" s="98"/>
      <c r="AF162" s="98"/>
      <c r="AG162" s="98"/>
      <c r="AH162" s="98"/>
    </row>
    <row r="163" spans="2:34" x14ac:dyDescent="0.25">
      <c r="B163" s="73"/>
      <c r="C163" s="74"/>
      <c r="D163" s="80"/>
      <c r="E163" s="81"/>
      <c r="F163" s="81"/>
      <c r="G163" s="81"/>
      <c r="H163" s="81"/>
      <c r="I163" s="82"/>
      <c r="J163" s="88"/>
      <c r="K163" s="89"/>
      <c r="L163" s="88"/>
      <c r="M163" s="89"/>
      <c r="N163" s="80"/>
      <c r="O163" s="82"/>
      <c r="P163" s="94"/>
      <c r="Q163" s="95"/>
      <c r="S163" s="99"/>
      <c r="T163" s="99"/>
      <c r="U163" s="99"/>
      <c r="V163" s="99"/>
      <c r="W163" s="99"/>
      <c r="X163" s="99"/>
      <c r="Y163" s="99"/>
      <c r="Z163" s="99"/>
      <c r="AA163" s="99"/>
      <c r="AB163" s="99"/>
      <c r="AC163" s="98"/>
      <c r="AD163" s="98"/>
      <c r="AE163" s="98"/>
      <c r="AF163" s="98"/>
      <c r="AG163" s="98"/>
      <c r="AH163" s="98"/>
    </row>
    <row r="164" spans="2:34" x14ac:dyDescent="0.25">
      <c r="B164" s="75"/>
      <c r="C164" s="76"/>
      <c r="D164" s="83"/>
      <c r="E164" s="84"/>
      <c r="F164" s="84"/>
      <c r="G164" s="84"/>
      <c r="H164" s="84"/>
      <c r="I164" s="85"/>
      <c r="J164" s="90"/>
      <c r="K164" s="91"/>
      <c r="L164" s="90"/>
      <c r="M164" s="91"/>
      <c r="N164" s="83"/>
      <c r="O164" s="85"/>
      <c r="P164" s="96"/>
      <c r="Q164" s="97"/>
      <c r="S164" s="99"/>
      <c r="T164" s="99"/>
      <c r="U164" s="99"/>
      <c r="V164" s="99"/>
      <c r="W164" s="99"/>
      <c r="X164" s="99"/>
      <c r="Y164" s="99"/>
      <c r="Z164" s="99"/>
      <c r="AA164" s="99"/>
      <c r="AB164" s="99"/>
      <c r="AC164" s="98"/>
      <c r="AD164" s="98"/>
      <c r="AE164" s="98"/>
      <c r="AF164" s="98"/>
      <c r="AG164" s="98"/>
      <c r="AH164" s="98"/>
    </row>
    <row r="165" spans="2:34" x14ac:dyDescent="0.25">
      <c r="B165" s="71"/>
      <c r="C165" s="72"/>
      <c r="D165" s="77"/>
      <c r="E165" s="78"/>
      <c r="F165" s="78"/>
      <c r="G165" s="78"/>
      <c r="H165" s="78"/>
      <c r="I165" s="79"/>
      <c r="J165" s="86"/>
      <c r="K165" s="87"/>
      <c r="L165" s="86"/>
      <c r="M165" s="87"/>
      <c r="N165" s="77"/>
      <c r="O165" s="79"/>
      <c r="P165" s="92"/>
      <c r="Q165" s="93"/>
      <c r="S165" s="99"/>
      <c r="T165" s="99"/>
      <c r="U165" s="99"/>
      <c r="V165" s="99"/>
      <c r="W165" s="99"/>
      <c r="X165" s="99"/>
      <c r="Y165" s="99"/>
      <c r="Z165" s="99"/>
      <c r="AA165" s="99"/>
      <c r="AB165" s="99"/>
      <c r="AC165" s="98"/>
      <c r="AD165" s="98"/>
      <c r="AE165" s="98"/>
      <c r="AF165" s="98"/>
      <c r="AG165" s="98"/>
      <c r="AH165" s="98"/>
    </row>
    <row r="166" spans="2:34" x14ac:dyDescent="0.25">
      <c r="B166" s="73"/>
      <c r="C166" s="74"/>
      <c r="D166" s="80"/>
      <c r="E166" s="81"/>
      <c r="F166" s="81"/>
      <c r="G166" s="81"/>
      <c r="H166" s="81"/>
      <c r="I166" s="82"/>
      <c r="J166" s="88"/>
      <c r="K166" s="89"/>
      <c r="L166" s="88"/>
      <c r="M166" s="89"/>
      <c r="N166" s="80"/>
      <c r="O166" s="82"/>
      <c r="P166" s="94"/>
      <c r="Q166" s="95"/>
      <c r="S166" s="99"/>
      <c r="T166" s="99"/>
      <c r="U166" s="99"/>
      <c r="V166" s="99"/>
      <c r="W166" s="99"/>
      <c r="X166" s="99"/>
      <c r="Y166" s="99"/>
      <c r="Z166" s="99"/>
      <c r="AA166" s="99"/>
      <c r="AB166" s="99"/>
      <c r="AC166" s="98"/>
      <c r="AD166" s="98"/>
      <c r="AE166" s="98"/>
      <c r="AF166" s="98"/>
      <c r="AG166" s="98"/>
      <c r="AH166" s="98"/>
    </row>
    <row r="167" spans="2:34" x14ac:dyDescent="0.25">
      <c r="B167" s="75"/>
      <c r="C167" s="76"/>
      <c r="D167" s="83"/>
      <c r="E167" s="84"/>
      <c r="F167" s="84"/>
      <c r="G167" s="84"/>
      <c r="H167" s="84"/>
      <c r="I167" s="85"/>
      <c r="J167" s="90"/>
      <c r="K167" s="91"/>
      <c r="L167" s="90"/>
      <c r="M167" s="91"/>
      <c r="N167" s="83"/>
      <c r="O167" s="85"/>
      <c r="P167" s="96"/>
      <c r="Q167" s="97"/>
      <c r="S167" s="99"/>
      <c r="T167" s="99"/>
      <c r="U167" s="99"/>
      <c r="V167" s="99"/>
      <c r="W167" s="99"/>
      <c r="X167" s="99"/>
      <c r="Y167" s="99"/>
      <c r="Z167" s="99"/>
      <c r="AA167" s="99"/>
      <c r="AB167" s="99"/>
      <c r="AC167" s="98"/>
      <c r="AD167" s="98"/>
      <c r="AE167" s="98"/>
      <c r="AF167" s="98"/>
      <c r="AG167" s="98"/>
      <c r="AH167" s="98"/>
    </row>
    <row r="168" spans="2:34" x14ac:dyDescent="0.25">
      <c r="B168" s="71"/>
      <c r="C168" s="72"/>
      <c r="D168" s="77"/>
      <c r="E168" s="78"/>
      <c r="F168" s="78"/>
      <c r="G168" s="78"/>
      <c r="H168" s="78"/>
      <c r="I168" s="79"/>
      <c r="J168" s="86"/>
      <c r="K168" s="87"/>
      <c r="L168" s="86"/>
      <c r="M168" s="87"/>
      <c r="N168" s="77"/>
      <c r="O168" s="79"/>
      <c r="P168" s="92"/>
      <c r="Q168" s="93"/>
      <c r="S168" s="99"/>
      <c r="T168" s="99"/>
      <c r="U168" s="99"/>
      <c r="V168" s="99"/>
      <c r="W168" s="99"/>
      <c r="X168" s="99"/>
      <c r="Y168" s="99"/>
      <c r="Z168" s="99"/>
      <c r="AA168" s="99"/>
      <c r="AB168" s="99"/>
      <c r="AC168" s="98"/>
      <c r="AD168" s="98"/>
      <c r="AE168" s="98"/>
      <c r="AF168" s="98"/>
      <c r="AG168" s="98"/>
      <c r="AH168" s="98"/>
    </row>
    <row r="169" spans="2:34" x14ac:dyDescent="0.25">
      <c r="B169" s="73"/>
      <c r="C169" s="74"/>
      <c r="D169" s="80"/>
      <c r="E169" s="81"/>
      <c r="F169" s="81"/>
      <c r="G169" s="81"/>
      <c r="H169" s="81"/>
      <c r="I169" s="82"/>
      <c r="J169" s="88"/>
      <c r="K169" s="89"/>
      <c r="L169" s="88"/>
      <c r="M169" s="89"/>
      <c r="N169" s="80"/>
      <c r="O169" s="82"/>
      <c r="P169" s="94"/>
      <c r="Q169" s="95"/>
      <c r="S169" s="99"/>
      <c r="T169" s="99"/>
      <c r="U169" s="99"/>
      <c r="V169" s="99"/>
      <c r="W169" s="99"/>
      <c r="X169" s="99"/>
      <c r="Y169" s="99"/>
      <c r="Z169" s="99"/>
      <c r="AA169" s="99"/>
      <c r="AB169" s="99"/>
      <c r="AC169" s="98"/>
      <c r="AD169" s="98"/>
      <c r="AE169" s="98"/>
      <c r="AF169" s="98"/>
      <c r="AG169" s="98"/>
      <c r="AH169" s="98"/>
    </row>
    <row r="170" spans="2:34" x14ac:dyDescent="0.25">
      <c r="B170" s="75"/>
      <c r="C170" s="76"/>
      <c r="D170" s="83"/>
      <c r="E170" s="84"/>
      <c r="F170" s="84"/>
      <c r="G170" s="84"/>
      <c r="H170" s="84"/>
      <c r="I170" s="85"/>
      <c r="J170" s="90"/>
      <c r="K170" s="91"/>
      <c r="L170" s="90"/>
      <c r="M170" s="91"/>
      <c r="N170" s="83"/>
      <c r="O170" s="85"/>
      <c r="P170" s="96"/>
      <c r="Q170" s="97"/>
      <c r="S170" s="99"/>
      <c r="T170" s="99"/>
      <c r="U170" s="99"/>
      <c r="V170" s="99"/>
      <c r="W170" s="99"/>
      <c r="X170" s="99"/>
      <c r="Y170" s="99"/>
      <c r="Z170" s="99"/>
      <c r="AA170" s="99"/>
      <c r="AB170" s="99"/>
      <c r="AC170" s="98"/>
      <c r="AD170" s="98"/>
      <c r="AE170" s="98"/>
      <c r="AF170" s="98"/>
      <c r="AG170" s="98"/>
      <c r="AH170" s="98"/>
    </row>
    <row r="171" spans="2:34" x14ac:dyDescent="0.25">
      <c r="B171" s="71"/>
      <c r="C171" s="72"/>
      <c r="D171" s="77"/>
      <c r="E171" s="78"/>
      <c r="F171" s="78"/>
      <c r="G171" s="78"/>
      <c r="H171" s="78"/>
      <c r="I171" s="79"/>
      <c r="J171" s="86"/>
      <c r="K171" s="87"/>
      <c r="L171" s="86"/>
      <c r="M171" s="87"/>
      <c r="N171" s="77"/>
      <c r="O171" s="79"/>
      <c r="P171" s="92"/>
      <c r="Q171" s="93"/>
      <c r="S171" s="99"/>
      <c r="T171" s="99"/>
      <c r="U171" s="99"/>
      <c r="V171" s="99"/>
      <c r="W171" s="99"/>
      <c r="X171" s="99"/>
      <c r="Y171" s="99"/>
      <c r="Z171" s="99"/>
      <c r="AA171" s="99"/>
      <c r="AB171" s="99"/>
      <c r="AC171" s="98"/>
      <c r="AD171" s="98"/>
      <c r="AE171" s="98"/>
      <c r="AF171" s="98"/>
      <c r="AG171" s="98"/>
      <c r="AH171" s="98"/>
    </row>
    <row r="172" spans="2:34" x14ac:dyDescent="0.25">
      <c r="B172" s="73"/>
      <c r="C172" s="74"/>
      <c r="D172" s="80"/>
      <c r="E172" s="81"/>
      <c r="F172" s="81"/>
      <c r="G172" s="81"/>
      <c r="H172" s="81"/>
      <c r="I172" s="82"/>
      <c r="J172" s="88"/>
      <c r="K172" s="89"/>
      <c r="L172" s="88"/>
      <c r="M172" s="89"/>
      <c r="N172" s="80"/>
      <c r="O172" s="82"/>
      <c r="P172" s="94"/>
      <c r="Q172" s="95"/>
      <c r="S172" s="99"/>
      <c r="T172" s="99"/>
      <c r="U172" s="99"/>
      <c r="V172" s="99"/>
      <c r="W172" s="99"/>
      <c r="X172" s="99"/>
      <c r="Y172" s="99"/>
      <c r="Z172" s="99"/>
      <c r="AA172" s="99"/>
      <c r="AB172" s="99"/>
      <c r="AC172" s="98"/>
      <c r="AD172" s="98"/>
      <c r="AE172" s="98"/>
      <c r="AF172" s="98"/>
      <c r="AG172" s="98"/>
      <c r="AH172" s="98"/>
    </row>
    <row r="173" spans="2:34" x14ac:dyDescent="0.25">
      <c r="B173" s="75"/>
      <c r="C173" s="76"/>
      <c r="D173" s="83"/>
      <c r="E173" s="84"/>
      <c r="F173" s="84"/>
      <c r="G173" s="84"/>
      <c r="H173" s="84"/>
      <c r="I173" s="85"/>
      <c r="J173" s="90"/>
      <c r="K173" s="91"/>
      <c r="L173" s="90"/>
      <c r="M173" s="91"/>
      <c r="N173" s="83"/>
      <c r="O173" s="85"/>
      <c r="P173" s="96"/>
      <c r="Q173" s="97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8"/>
      <c r="AD173" s="98"/>
      <c r="AE173" s="98"/>
      <c r="AF173" s="98"/>
      <c r="AG173" s="98"/>
      <c r="AH173" s="98"/>
    </row>
    <row r="174" spans="2:34" x14ac:dyDescent="0.25">
      <c r="B174" s="71"/>
      <c r="C174" s="72"/>
      <c r="D174" s="77"/>
      <c r="E174" s="78"/>
      <c r="F174" s="78"/>
      <c r="G174" s="78"/>
      <c r="H174" s="78"/>
      <c r="I174" s="79"/>
      <c r="J174" s="86"/>
      <c r="K174" s="87"/>
      <c r="L174" s="86"/>
      <c r="M174" s="87"/>
      <c r="N174" s="77"/>
      <c r="O174" s="79"/>
      <c r="P174" s="92"/>
      <c r="Q174" s="93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8"/>
      <c r="AD174" s="98"/>
      <c r="AE174" s="98"/>
      <c r="AF174" s="98"/>
      <c r="AG174" s="98"/>
      <c r="AH174" s="98"/>
    </row>
    <row r="175" spans="2:34" x14ac:dyDescent="0.25">
      <c r="B175" s="73"/>
      <c r="C175" s="74"/>
      <c r="D175" s="80"/>
      <c r="E175" s="81"/>
      <c r="F175" s="81"/>
      <c r="G175" s="81"/>
      <c r="H175" s="81"/>
      <c r="I175" s="82"/>
      <c r="J175" s="88"/>
      <c r="K175" s="89"/>
      <c r="L175" s="88"/>
      <c r="M175" s="89"/>
      <c r="N175" s="80"/>
      <c r="O175" s="82"/>
      <c r="P175" s="94"/>
      <c r="Q175" s="95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8"/>
      <c r="AD175" s="98"/>
      <c r="AE175" s="98"/>
      <c r="AF175" s="98"/>
      <c r="AG175" s="98"/>
      <c r="AH175" s="98"/>
    </row>
    <row r="176" spans="2:34" x14ac:dyDescent="0.25">
      <c r="B176" s="75"/>
      <c r="C176" s="76"/>
      <c r="D176" s="83"/>
      <c r="E176" s="84"/>
      <c r="F176" s="84"/>
      <c r="G176" s="84"/>
      <c r="H176" s="84"/>
      <c r="I176" s="85"/>
      <c r="J176" s="90"/>
      <c r="K176" s="91"/>
      <c r="L176" s="90"/>
      <c r="M176" s="91"/>
      <c r="N176" s="83"/>
      <c r="O176" s="85"/>
      <c r="P176" s="96"/>
      <c r="Q176" s="97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8"/>
      <c r="AD176" s="98"/>
      <c r="AE176" s="98"/>
      <c r="AF176" s="98"/>
      <c r="AG176" s="98"/>
      <c r="AH176" s="98"/>
    </row>
    <row r="177" spans="2:34" x14ac:dyDescent="0.25">
      <c r="B177" s="71"/>
      <c r="C177" s="72"/>
      <c r="D177" s="77"/>
      <c r="E177" s="78"/>
      <c r="F177" s="78"/>
      <c r="G177" s="78"/>
      <c r="H177" s="78"/>
      <c r="I177" s="79"/>
      <c r="J177" s="86"/>
      <c r="K177" s="87"/>
      <c r="L177" s="86"/>
      <c r="M177" s="87"/>
      <c r="N177" s="77"/>
      <c r="O177" s="79"/>
      <c r="P177" s="92"/>
      <c r="Q177" s="93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8"/>
      <c r="AD177" s="98"/>
      <c r="AE177" s="98"/>
      <c r="AF177" s="98"/>
      <c r="AG177" s="98"/>
      <c r="AH177" s="98"/>
    </row>
    <row r="178" spans="2:34" x14ac:dyDescent="0.25">
      <c r="B178" s="73"/>
      <c r="C178" s="74"/>
      <c r="D178" s="80"/>
      <c r="E178" s="81"/>
      <c r="F178" s="81"/>
      <c r="G178" s="81"/>
      <c r="H178" s="81"/>
      <c r="I178" s="82"/>
      <c r="J178" s="88"/>
      <c r="K178" s="89"/>
      <c r="L178" s="88"/>
      <c r="M178" s="89"/>
      <c r="N178" s="80"/>
      <c r="O178" s="82"/>
      <c r="P178" s="94"/>
      <c r="Q178" s="95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8"/>
      <c r="AD178" s="98"/>
      <c r="AE178" s="98"/>
      <c r="AF178" s="98"/>
      <c r="AG178" s="98"/>
      <c r="AH178" s="98"/>
    </row>
    <row r="179" spans="2:34" x14ac:dyDescent="0.25">
      <c r="B179" s="75"/>
      <c r="C179" s="76"/>
      <c r="D179" s="83"/>
      <c r="E179" s="84"/>
      <c r="F179" s="84"/>
      <c r="G179" s="84"/>
      <c r="H179" s="84"/>
      <c r="I179" s="85"/>
      <c r="J179" s="90"/>
      <c r="K179" s="91"/>
      <c r="L179" s="90"/>
      <c r="M179" s="91"/>
      <c r="N179" s="83"/>
      <c r="O179" s="85"/>
      <c r="P179" s="96"/>
      <c r="Q179" s="97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8"/>
      <c r="AD179" s="98"/>
      <c r="AE179" s="98"/>
      <c r="AF179" s="98"/>
      <c r="AG179" s="98"/>
      <c r="AH179" s="98"/>
    </row>
    <row r="180" spans="2:34" x14ac:dyDescent="0.25">
      <c r="B180" s="71"/>
      <c r="C180" s="72"/>
      <c r="D180" s="77"/>
      <c r="E180" s="78"/>
      <c r="F180" s="78"/>
      <c r="G180" s="78"/>
      <c r="H180" s="78"/>
      <c r="I180" s="79"/>
      <c r="J180" s="86"/>
      <c r="K180" s="87"/>
      <c r="L180" s="86"/>
      <c r="M180" s="87"/>
      <c r="N180" s="77"/>
      <c r="O180" s="79"/>
      <c r="P180" s="92"/>
      <c r="Q180" s="93"/>
      <c r="S180" s="99"/>
      <c r="T180" s="99"/>
      <c r="U180" s="99"/>
      <c r="V180" s="99"/>
      <c r="W180" s="99"/>
      <c r="X180" s="99"/>
      <c r="Y180" s="99"/>
      <c r="Z180" s="99"/>
      <c r="AA180" s="99"/>
      <c r="AB180" s="99"/>
      <c r="AC180" s="98"/>
      <c r="AD180" s="98"/>
      <c r="AE180" s="98"/>
      <c r="AF180" s="98"/>
      <c r="AG180" s="98"/>
      <c r="AH180" s="98"/>
    </row>
    <row r="181" spans="2:34" x14ac:dyDescent="0.25">
      <c r="B181" s="73"/>
      <c r="C181" s="74"/>
      <c r="D181" s="80"/>
      <c r="E181" s="81"/>
      <c r="F181" s="81"/>
      <c r="G181" s="81"/>
      <c r="H181" s="81"/>
      <c r="I181" s="82"/>
      <c r="J181" s="88"/>
      <c r="K181" s="89"/>
      <c r="L181" s="88"/>
      <c r="M181" s="89"/>
      <c r="N181" s="80"/>
      <c r="O181" s="82"/>
      <c r="P181" s="94"/>
      <c r="Q181" s="95"/>
      <c r="S181" s="99"/>
      <c r="T181" s="99"/>
      <c r="U181" s="99"/>
      <c r="V181" s="99"/>
      <c r="W181" s="99"/>
      <c r="X181" s="99"/>
      <c r="Y181" s="99"/>
      <c r="Z181" s="99"/>
      <c r="AA181" s="99"/>
      <c r="AB181" s="99"/>
      <c r="AC181" s="98"/>
      <c r="AD181" s="98"/>
      <c r="AE181" s="98"/>
      <c r="AF181" s="98"/>
      <c r="AG181" s="98"/>
      <c r="AH181" s="98"/>
    </row>
    <row r="182" spans="2:34" x14ac:dyDescent="0.25">
      <c r="B182" s="75"/>
      <c r="C182" s="76"/>
      <c r="D182" s="83"/>
      <c r="E182" s="84"/>
      <c r="F182" s="84"/>
      <c r="G182" s="84"/>
      <c r="H182" s="84"/>
      <c r="I182" s="85"/>
      <c r="J182" s="90"/>
      <c r="K182" s="91"/>
      <c r="L182" s="90"/>
      <c r="M182" s="91"/>
      <c r="N182" s="83"/>
      <c r="O182" s="85"/>
      <c r="P182" s="96"/>
      <c r="Q182" s="97"/>
      <c r="S182" s="99"/>
      <c r="T182" s="99"/>
      <c r="U182" s="99"/>
      <c r="V182" s="99"/>
      <c r="W182" s="99"/>
      <c r="X182" s="99"/>
      <c r="Y182" s="99"/>
      <c r="Z182" s="99"/>
      <c r="AA182" s="99"/>
      <c r="AB182" s="99"/>
      <c r="AC182" s="98"/>
      <c r="AD182" s="98"/>
      <c r="AE182" s="98"/>
      <c r="AF182" s="98"/>
      <c r="AG182" s="98"/>
      <c r="AH182" s="98"/>
    </row>
    <row r="183" spans="2:34" x14ac:dyDescent="0.25">
      <c r="B183" s="71"/>
      <c r="C183" s="72"/>
      <c r="D183" s="77"/>
      <c r="E183" s="78"/>
      <c r="F183" s="78"/>
      <c r="G183" s="78"/>
      <c r="H183" s="78"/>
      <c r="I183" s="79"/>
      <c r="J183" s="86"/>
      <c r="K183" s="87"/>
      <c r="L183" s="86"/>
      <c r="M183" s="87"/>
      <c r="N183" s="77"/>
      <c r="O183" s="79"/>
      <c r="P183" s="92"/>
      <c r="Q183" s="93"/>
      <c r="S183" s="99"/>
      <c r="T183" s="99"/>
      <c r="U183" s="99"/>
      <c r="V183" s="99"/>
      <c r="W183" s="99"/>
      <c r="X183" s="99"/>
      <c r="Y183" s="99"/>
      <c r="Z183" s="99"/>
      <c r="AA183" s="99"/>
      <c r="AB183" s="99"/>
      <c r="AC183" s="98"/>
      <c r="AD183" s="98"/>
      <c r="AE183" s="98"/>
      <c r="AF183" s="98"/>
      <c r="AG183" s="98"/>
      <c r="AH183" s="98"/>
    </row>
    <row r="184" spans="2:34" x14ac:dyDescent="0.25">
      <c r="B184" s="73"/>
      <c r="C184" s="74"/>
      <c r="D184" s="80"/>
      <c r="E184" s="81"/>
      <c r="F184" s="81"/>
      <c r="G184" s="81"/>
      <c r="H184" s="81"/>
      <c r="I184" s="82"/>
      <c r="J184" s="88"/>
      <c r="K184" s="89"/>
      <c r="L184" s="88"/>
      <c r="M184" s="89"/>
      <c r="N184" s="80"/>
      <c r="O184" s="82"/>
      <c r="P184" s="94"/>
      <c r="Q184" s="95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8"/>
      <c r="AD184" s="98"/>
      <c r="AE184" s="98"/>
      <c r="AF184" s="98"/>
      <c r="AG184" s="98"/>
      <c r="AH184" s="98"/>
    </row>
    <row r="185" spans="2:34" x14ac:dyDescent="0.25">
      <c r="B185" s="75"/>
      <c r="C185" s="76"/>
      <c r="D185" s="83"/>
      <c r="E185" s="84"/>
      <c r="F185" s="84"/>
      <c r="G185" s="84"/>
      <c r="H185" s="84"/>
      <c r="I185" s="85"/>
      <c r="J185" s="90"/>
      <c r="K185" s="91"/>
      <c r="L185" s="90"/>
      <c r="M185" s="91"/>
      <c r="N185" s="83"/>
      <c r="O185" s="85"/>
      <c r="P185" s="96"/>
      <c r="Q185" s="97"/>
      <c r="S185" s="99"/>
      <c r="T185" s="99"/>
      <c r="U185" s="99"/>
      <c r="V185" s="99"/>
      <c r="W185" s="99"/>
      <c r="X185" s="99"/>
      <c r="Y185" s="99"/>
      <c r="Z185" s="99"/>
      <c r="AA185" s="99"/>
      <c r="AB185" s="99"/>
      <c r="AC185" s="98"/>
      <c r="AD185" s="98"/>
      <c r="AE185" s="98"/>
      <c r="AF185" s="98"/>
      <c r="AG185" s="98"/>
      <c r="AH185" s="98"/>
    </row>
    <row r="186" spans="2:34" x14ac:dyDescent="0.25">
      <c r="B186" s="71"/>
      <c r="C186" s="72"/>
      <c r="D186" s="77"/>
      <c r="E186" s="78"/>
      <c r="F186" s="78"/>
      <c r="G186" s="78"/>
      <c r="H186" s="78"/>
      <c r="I186" s="79"/>
      <c r="J186" s="86"/>
      <c r="K186" s="87"/>
      <c r="L186" s="86"/>
      <c r="M186" s="87"/>
      <c r="N186" s="77"/>
      <c r="O186" s="79"/>
      <c r="P186" s="92"/>
      <c r="Q186" s="93"/>
      <c r="S186" s="99"/>
      <c r="T186" s="99"/>
      <c r="U186" s="99"/>
      <c r="V186" s="99"/>
      <c r="W186" s="99"/>
      <c r="X186" s="99"/>
      <c r="Y186" s="99"/>
      <c r="Z186" s="99"/>
      <c r="AA186" s="99"/>
      <c r="AB186" s="99"/>
      <c r="AC186" s="98"/>
      <c r="AD186" s="98"/>
      <c r="AE186" s="98"/>
      <c r="AF186" s="98"/>
      <c r="AG186" s="98"/>
      <c r="AH186" s="98"/>
    </row>
    <row r="187" spans="2:34" x14ac:dyDescent="0.25">
      <c r="B187" s="73"/>
      <c r="C187" s="74"/>
      <c r="D187" s="80"/>
      <c r="E187" s="81"/>
      <c r="F187" s="81"/>
      <c r="G187" s="81"/>
      <c r="H187" s="81"/>
      <c r="I187" s="82"/>
      <c r="J187" s="88"/>
      <c r="K187" s="89"/>
      <c r="L187" s="88"/>
      <c r="M187" s="89"/>
      <c r="N187" s="80"/>
      <c r="O187" s="82"/>
      <c r="P187" s="94"/>
      <c r="Q187" s="95"/>
      <c r="S187" s="99"/>
      <c r="T187" s="99"/>
      <c r="U187" s="99"/>
      <c r="V187" s="99"/>
      <c r="W187" s="99"/>
      <c r="X187" s="99"/>
      <c r="Y187" s="99"/>
      <c r="Z187" s="99"/>
      <c r="AA187" s="99"/>
      <c r="AB187" s="99"/>
      <c r="AC187" s="98"/>
      <c r="AD187" s="98"/>
      <c r="AE187" s="98"/>
      <c r="AF187" s="98"/>
      <c r="AG187" s="98"/>
      <c r="AH187" s="98"/>
    </row>
    <row r="188" spans="2:34" x14ac:dyDescent="0.25">
      <c r="B188" s="75"/>
      <c r="C188" s="76"/>
      <c r="D188" s="83"/>
      <c r="E188" s="84"/>
      <c r="F188" s="84"/>
      <c r="G188" s="84"/>
      <c r="H188" s="84"/>
      <c r="I188" s="85"/>
      <c r="J188" s="90"/>
      <c r="K188" s="91"/>
      <c r="L188" s="90"/>
      <c r="M188" s="91"/>
      <c r="N188" s="83"/>
      <c r="O188" s="85"/>
      <c r="P188" s="96"/>
      <c r="Q188" s="97"/>
      <c r="S188" s="99"/>
      <c r="T188" s="99"/>
      <c r="U188" s="99"/>
      <c r="V188" s="99"/>
      <c r="W188" s="99"/>
      <c r="X188" s="99"/>
      <c r="Y188" s="99"/>
      <c r="Z188" s="99"/>
      <c r="AA188" s="99"/>
      <c r="AB188" s="99"/>
      <c r="AC188" s="98"/>
      <c r="AD188" s="98"/>
      <c r="AE188" s="98"/>
      <c r="AF188" s="98"/>
      <c r="AG188" s="98"/>
      <c r="AH188" s="98"/>
    </row>
    <row r="189" spans="2:34" x14ac:dyDescent="0.25">
      <c r="B189" s="71"/>
      <c r="C189" s="72"/>
      <c r="D189" s="77"/>
      <c r="E189" s="78"/>
      <c r="F189" s="78"/>
      <c r="G189" s="78"/>
      <c r="H189" s="78"/>
      <c r="I189" s="79"/>
      <c r="J189" s="86"/>
      <c r="K189" s="87"/>
      <c r="L189" s="86"/>
      <c r="M189" s="87"/>
      <c r="N189" s="77"/>
      <c r="O189" s="79"/>
      <c r="P189" s="92"/>
      <c r="Q189" s="93"/>
      <c r="S189" s="99"/>
      <c r="T189" s="99"/>
      <c r="U189" s="99"/>
      <c r="V189" s="99"/>
      <c r="W189" s="99"/>
      <c r="X189" s="99"/>
      <c r="Y189" s="99"/>
      <c r="Z189" s="99"/>
      <c r="AA189" s="99"/>
      <c r="AB189" s="99"/>
      <c r="AC189" s="98"/>
      <c r="AD189" s="98"/>
      <c r="AE189" s="98"/>
      <c r="AF189" s="98"/>
      <c r="AG189" s="98"/>
      <c r="AH189" s="98"/>
    </row>
    <row r="190" spans="2:34" x14ac:dyDescent="0.25">
      <c r="B190" s="73"/>
      <c r="C190" s="74"/>
      <c r="D190" s="80"/>
      <c r="E190" s="81"/>
      <c r="F190" s="81"/>
      <c r="G190" s="81"/>
      <c r="H190" s="81"/>
      <c r="I190" s="82"/>
      <c r="J190" s="88"/>
      <c r="K190" s="89"/>
      <c r="L190" s="88"/>
      <c r="M190" s="89"/>
      <c r="N190" s="80"/>
      <c r="O190" s="82"/>
      <c r="P190" s="94"/>
      <c r="Q190" s="95"/>
      <c r="S190" s="99"/>
      <c r="T190" s="99"/>
      <c r="U190" s="99"/>
      <c r="V190" s="99"/>
      <c r="W190" s="99"/>
      <c r="X190" s="99"/>
      <c r="Y190" s="99"/>
      <c r="Z190" s="99"/>
      <c r="AA190" s="99"/>
      <c r="AB190" s="99"/>
      <c r="AC190" s="98"/>
      <c r="AD190" s="98"/>
      <c r="AE190" s="98"/>
      <c r="AF190" s="98"/>
      <c r="AG190" s="98"/>
      <c r="AH190" s="98"/>
    </row>
    <row r="191" spans="2:34" x14ac:dyDescent="0.25">
      <c r="B191" s="75"/>
      <c r="C191" s="76"/>
      <c r="D191" s="83"/>
      <c r="E191" s="84"/>
      <c r="F191" s="84"/>
      <c r="G191" s="84"/>
      <c r="H191" s="84"/>
      <c r="I191" s="85"/>
      <c r="J191" s="90"/>
      <c r="K191" s="91"/>
      <c r="L191" s="90"/>
      <c r="M191" s="91"/>
      <c r="N191" s="83"/>
      <c r="O191" s="85"/>
      <c r="P191" s="96"/>
      <c r="Q191" s="97"/>
      <c r="S191" s="99"/>
      <c r="T191" s="99"/>
      <c r="U191" s="99"/>
      <c r="V191" s="99"/>
      <c r="W191" s="99"/>
      <c r="X191" s="99"/>
      <c r="Y191" s="99"/>
      <c r="Z191" s="99"/>
      <c r="AA191" s="99"/>
      <c r="AB191" s="99"/>
      <c r="AC191" s="98"/>
      <c r="AD191" s="98"/>
      <c r="AE191" s="98"/>
      <c r="AF191" s="98"/>
      <c r="AG191" s="98"/>
      <c r="AH191" s="98"/>
    </row>
    <row r="192" spans="2:34" x14ac:dyDescent="0.25">
      <c r="B192" s="71"/>
      <c r="C192" s="72"/>
      <c r="D192" s="77"/>
      <c r="E192" s="78"/>
      <c r="F192" s="78"/>
      <c r="G192" s="78"/>
      <c r="H192" s="78"/>
      <c r="I192" s="79"/>
      <c r="J192" s="86"/>
      <c r="K192" s="87"/>
      <c r="L192" s="86"/>
      <c r="M192" s="87"/>
      <c r="N192" s="77"/>
      <c r="O192" s="79"/>
      <c r="P192" s="92"/>
      <c r="Q192" s="93"/>
      <c r="S192" s="99"/>
      <c r="T192" s="99"/>
      <c r="U192" s="99"/>
      <c r="V192" s="99"/>
      <c r="W192" s="99"/>
      <c r="X192" s="99"/>
      <c r="Y192" s="99"/>
      <c r="Z192" s="99"/>
      <c r="AA192" s="99"/>
      <c r="AB192" s="99"/>
      <c r="AC192" s="98"/>
      <c r="AD192" s="98"/>
      <c r="AE192" s="98"/>
      <c r="AF192" s="98"/>
      <c r="AG192" s="98"/>
      <c r="AH192" s="98"/>
    </row>
    <row r="193" spans="2:34" x14ac:dyDescent="0.25">
      <c r="B193" s="73"/>
      <c r="C193" s="74"/>
      <c r="D193" s="80"/>
      <c r="E193" s="81"/>
      <c r="F193" s="81"/>
      <c r="G193" s="81"/>
      <c r="H193" s="81"/>
      <c r="I193" s="82"/>
      <c r="J193" s="88"/>
      <c r="K193" s="89"/>
      <c r="L193" s="88"/>
      <c r="M193" s="89"/>
      <c r="N193" s="80"/>
      <c r="O193" s="82"/>
      <c r="P193" s="94"/>
      <c r="Q193" s="95"/>
      <c r="S193" s="99"/>
      <c r="T193" s="99"/>
      <c r="U193" s="99"/>
      <c r="V193" s="99"/>
      <c r="W193" s="99"/>
      <c r="X193" s="99"/>
      <c r="Y193" s="99"/>
      <c r="Z193" s="99"/>
      <c r="AA193" s="99"/>
      <c r="AB193" s="99"/>
      <c r="AC193" s="98"/>
      <c r="AD193" s="98"/>
      <c r="AE193" s="98"/>
      <c r="AF193" s="98"/>
      <c r="AG193" s="98"/>
      <c r="AH193" s="98"/>
    </row>
    <row r="194" spans="2:34" x14ac:dyDescent="0.25">
      <c r="B194" s="75"/>
      <c r="C194" s="76"/>
      <c r="D194" s="83"/>
      <c r="E194" s="84"/>
      <c r="F194" s="84"/>
      <c r="G194" s="84"/>
      <c r="H194" s="84"/>
      <c r="I194" s="85"/>
      <c r="J194" s="90"/>
      <c r="K194" s="91"/>
      <c r="L194" s="90"/>
      <c r="M194" s="91"/>
      <c r="N194" s="83"/>
      <c r="O194" s="85"/>
      <c r="P194" s="96"/>
      <c r="Q194" s="97"/>
      <c r="S194" s="99"/>
      <c r="T194" s="99"/>
      <c r="U194" s="99"/>
      <c r="V194" s="99"/>
      <c r="W194" s="99"/>
      <c r="X194" s="99"/>
      <c r="Y194" s="99"/>
      <c r="Z194" s="99"/>
      <c r="AA194" s="99"/>
      <c r="AB194" s="99"/>
      <c r="AC194" s="98"/>
      <c r="AD194" s="98"/>
      <c r="AE194" s="98"/>
      <c r="AF194" s="98"/>
      <c r="AG194" s="98"/>
      <c r="AH194" s="98"/>
    </row>
    <row r="195" spans="2:34" x14ac:dyDescent="0.25">
      <c r="B195" s="71"/>
      <c r="C195" s="72"/>
      <c r="D195" s="77"/>
      <c r="E195" s="78"/>
      <c r="F195" s="78"/>
      <c r="G195" s="78"/>
      <c r="H195" s="78"/>
      <c r="I195" s="79"/>
      <c r="J195" s="86"/>
      <c r="K195" s="87"/>
      <c r="L195" s="86"/>
      <c r="M195" s="87"/>
      <c r="N195" s="77"/>
      <c r="O195" s="79"/>
      <c r="P195" s="92"/>
      <c r="Q195" s="93"/>
      <c r="S195" s="99"/>
      <c r="T195" s="99"/>
      <c r="U195" s="99"/>
      <c r="V195" s="99"/>
      <c r="W195" s="99"/>
      <c r="X195" s="99"/>
      <c r="Y195" s="99"/>
      <c r="Z195" s="99"/>
      <c r="AA195" s="99"/>
      <c r="AB195" s="99"/>
      <c r="AC195" s="98"/>
      <c r="AD195" s="98"/>
      <c r="AE195" s="98"/>
      <c r="AF195" s="98"/>
      <c r="AG195" s="98"/>
      <c r="AH195" s="98"/>
    </row>
    <row r="196" spans="2:34" x14ac:dyDescent="0.25">
      <c r="B196" s="73"/>
      <c r="C196" s="74"/>
      <c r="D196" s="80"/>
      <c r="E196" s="81"/>
      <c r="F196" s="81"/>
      <c r="G196" s="81"/>
      <c r="H196" s="81"/>
      <c r="I196" s="82"/>
      <c r="J196" s="88"/>
      <c r="K196" s="89"/>
      <c r="L196" s="88"/>
      <c r="M196" s="89"/>
      <c r="N196" s="80"/>
      <c r="O196" s="82"/>
      <c r="P196" s="94"/>
      <c r="Q196" s="95"/>
      <c r="S196" s="99"/>
      <c r="T196" s="99"/>
      <c r="U196" s="99"/>
      <c r="V196" s="99"/>
      <c r="W196" s="99"/>
      <c r="X196" s="99"/>
      <c r="Y196" s="99"/>
      <c r="Z196" s="99"/>
      <c r="AA196" s="99"/>
      <c r="AB196" s="99"/>
      <c r="AC196" s="98"/>
      <c r="AD196" s="98"/>
      <c r="AE196" s="98"/>
      <c r="AF196" s="98"/>
      <c r="AG196" s="98"/>
      <c r="AH196" s="98"/>
    </row>
    <row r="197" spans="2:34" x14ac:dyDescent="0.25">
      <c r="B197" s="75"/>
      <c r="C197" s="76"/>
      <c r="D197" s="83"/>
      <c r="E197" s="84"/>
      <c r="F197" s="84"/>
      <c r="G197" s="84"/>
      <c r="H197" s="84"/>
      <c r="I197" s="85"/>
      <c r="J197" s="90"/>
      <c r="K197" s="91"/>
      <c r="L197" s="90"/>
      <c r="M197" s="91"/>
      <c r="N197" s="83"/>
      <c r="O197" s="85"/>
      <c r="P197" s="96"/>
      <c r="Q197" s="97"/>
      <c r="S197" s="99"/>
      <c r="T197" s="99"/>
      <c r="U197" s="99"/>
      <c r="V197" s="99"/>
      <c r="W197" s="99"/>
      <c r="X197" s="99"/>
      <c r="Y197" s="99"/>
      <c r="Z197" s="99"/>
      <c r="AA197" s="99"/>
      <c r="AB197" s="99"/>
      <c r="AC197" s="98"/>
      <c r="AD197" s="98"/>
      <c r="AE197" s="98"/>
      <c r="AF197" s="98"/>
      <c r="AG197" s="98"/>
      <c r="AH197" s="98"/>
    </row>
    <row r="198" spans="2:34" x14ac:dyDescent="0.25">
      <c r="B198" s="71"/>
      <c r="C198" s="72"/>
      <c r="D198" s="77"/>
      <c r="E198" s="78"/>
      <c r="F198" s="78"/>
      <c r="G198" s="78"/>
      <c r="H198" s="78"/>
      <c r="I198" s="79"/>
      <c r="J198" s="86"/>
      <c r="K198" s="87"/>
      <c r="L198" s="86"/>
      <c r="M198" s="87"/>
      <c r="N198" s="77"/>
      <c r="O198" s="79"/>
      <c r="P198" s="92"/>
      <c r="Q198" s="93"/>
      <c r="S198" s="99"/>
      <c r="T198" s="99"/>
      <c r="U198" s="99"/>
      <c r="V198" s="99"/>
      <c r="W198" s="99"/>
      <c r="X198" s="99"/>
      <c r="Y198" s="99"/>
      <c r="Z198" s="99"/>
      <c r="AA198" s="99"/>
      <c r="AB198" s="99"/>
      <c r="AC198" s="98"/>
      <c r="AD198" s="98"/>
      <c r="AE198" s="98"/>
      <c r="AF198" s="98"/>
      <c r="AG198" s="98"/>
      <c r="AH198" s="98"/>
    </row>
    <row r="199" spans="2:34" x14ac:dyDescent="0.25">
      <c r="B199" s="73"/>
      <c r="C199" s="74"/>
      <c r="D199" s="80"/>
      <c r="E199" s="81"/>
      <c r="F199" s="81"/>
      <c r="G199" s="81"/>
      <c r="H199" s="81"/>
      <c r="I199" s="82"/>
      <c r="J199" s="88"/>
      <c r="K199" s="89"/>
      <c r="L199" s="88"/>
      <c r="M199" s="89"/>
      <c r="N199" s="80"/>
      <c r="O199" s="82"/>
      <c r="P199" s="94"/>
      <c r="Q199" s="95"/>
      <c r="S199" s="99"/>
      <c r="T199" s="99"/>
      <c r="U199" s="99"/>
      <c r="V199" s="99"/>
      <c r="W199" s="99"/>
      <c r="X199" s="99"/>
      <c r="Y199" s="99"/>
      <c r="Z199" s="99"/>
      <c r="AA199" s="99"/>
      <c r="AB199" s="99"/>
      <c r="AC199" s="98"/>
      <c r="AD199" s="98"/>
      <c r="AE199" s="98"/>
      <c r="AF199" s="98"/>
      <c r="AG199" s="98"/>
      <c r="AH199" s="98"/>
    </row>
    <row r="200" spans="2:34" x14ac:dyDescent="0.25">
      <c r="B200" s="75"/>
      <c r="C200" s="76"/>
      <c r="D200" s="83"/>
      <c r="E200" s="84"/>
      <c r="F200" s="84"/>
      <c r="G200" s="84"/>
      <c r="H200" s="84"/>
      <c r="I200" s="85"/>
      <c r="J200" s="90"/>
      <c r="K200" s="91"/>
      <c r="L200" s="90"/>
      <c r="M200" s="91"/>
      <c r="N200" s="83"/>
      <c r="O200" s="85"/>
      <c r="P200" s="96"/>
      <c r="Q200" s="97"/>
      <c r="S200" s="99"/>
      <c r="T200" s="99"/>
      <c r="U200" s="99"/>
      <c r="V200" s="99"/>
      <c r="W200" s="99"/>
      <c r="X200" s="99"/>
      <c r="Y200" s="99"/>
      <c r="Z200" s="99"/>
      <c r="AA200" s="99"/>
      <c r="AB200" s="99"/>
      <c r="AC200" s="98"/>
      <c r="AD200" s="98"/>
      <c r="AE200" s="98"/>
      <c r="AF200" s="98"/>
      <c r="AG200" s="98"/>
      <c r="AH200" s="98"/>
    </row>
    <row r="201" spans="2:34" x14ac:dyDescent="0.25">
      <c r="B201" s="71"/>
      <c r="C201" s="72"/>
      <c r="D201" s="77"/>
      <c r="E201" s="78"/>
      <c r="F201" s="78"/>
      <c r="G201" s="78"/>
      <c r="H201" s="78"/>
      <c r="I201" s="79"/>
      <c r="J201" s="86"/>
      <c r="K201" s="87"/>
      <c r="L201" s="86"/>
      <c r="M201" s="87"/>
      <c r="N201" s="77"/>
      <c r="O201" s="79"/>
      <c r="P201" s="92"/>
      <c r="Q201" s="93"/>
      <c r="S201" s="99"/>
      <c r="T201" s="99"/>
      <c r="U201" s="99"/>
      <c r="V201" s="99"/>
      <c r="W201" s="99"/>
      <c r="X201" s="99"/>
      <c r="Y201" s="99"/>
      <c r="Z201" s="99"/>
      <c r="AA201" s="99"/>
      <c r="AB201" s="99"/>
      <c r="AC201" s="98"/>
      <c r="AD201" s="98"/>
      <c r="AE201" s="98"/>
      <c r="AF201" s="98"/>
      <c r="AG201" s="98"/>
      <c r="AH201" s="98"/>
    </row>
    <row r="202" spans="2:34" x14ac:dyDescent="0.25">
      <c r="B202" s="73"/>
      <c r="C202" s="74"/>
      <c r="D202" s="80"/>
      <c r="E202" s="81"/>
      <c r="F202" s="81"/>
      <c r="G202" s="81"/>
      <c r="H202" s="81"/>
      <c r="I202" s="82"/>
      <c r="J202" s="88"/>
      <c r="K202" s="89"/>
      <c r="L202" s="88"/>
      <c r="M202" s="89"/>
      <c r="N202" s="80"/>
      <c r="O202" s="82"/>
      <c r="P202" s="94"/>
      <c r="Q202" s="95"/>
      <c r="S202" s="99"/>
      <c r="T202" s="99"/>
      <c r="U202" s="99"/>
      <c r="V202" s="99"/>
      <c r="W202" s="99"/>
      <c r="X202" s="99"/>
      <c r="Y202" s="99"/>
      <c r="Z202" s="99"/>
      <c r="AA202" s="99"/>
      <c r="AB202" s="99"/>
      <c r="AC202" s="98"/>
      <c r="AD202" s="98"/>
      <c r="AE202" s="98"/>
      <c r="AF202" s="98"/>
      <c r="AG202" s="98"/>
      <c r="AH202" s="98"/>
    </row>
    <row r="203" spans="2:34" x14ac:dyDescent="0.25">
      <c r="B203" s="75"/>
      <c r="C203" s="76"/>
      <c r="D203" s="83"/>
      <c r="E203" s="84"/>
      <c r="F203" s="84"/>
      <c r="G203" s="84"/>
      <c r="H203" s="84"/>
      <c r="I203" s="85"/>
      <c r="J203" s="90"/>
      <c r="K203" s="91"/>
      <c r="L203" s="90"/>
      <c r="M203" s="91"/>
      <c r="N203" s="83"/>
      <c r="O203" s="85"/>
      <c r="P203" s="96"/>
      <c r="Q203" s="97"/>
      <c r="S203" s="99"/>
      <c r="T203" s="99"/>
      <c r="U203" s="99"/>
      <c r="V203" s="99"/>
      <c r="W203" s="99"/>
      <c r="X203" s="99"/>
      <c r="Y203" s="99"/>
      <c r="Z203" s="99"/>
      <c r="AA203" s="99"/>
      <c r="AB203" s="99"/>
      <c r="AC203" s="98"/>
      <c r="AD203" s="98"/>
      <c r="AE203" s="98"/>
      <c r="AF203" s="98"/>
      <c r="AG203" s="98"/>
      <c r="AH203" s="98"/>
    </row>
    <row r="204" spans="2:34" x14ac:dyDescent="0.25">
      <c r="B204" s="71"/>
      <c r="C204" s="72"/>
      <c r="D204" s="77"/>
      <c r="E204" s="78"/>
      <c r="F204" s="78"/>
      <c r="G204" s="78"/>
      <c r="H204" s="78"/>
      <c r="I204" s="79"/>
      <c r="J204" s="86"/>
      <c r="K204" s="87"/>
      <c r="L204" s="86"/>
      <c r="M204" s="87"/>
      <c r="N204" s="77"/>
      <c r="O204" s="79"/>
      <c r="P204" s="92"/>
      <c r="Q204" s="93"/>
      <c r="S204" s="99"/>
      <c r="T204" s="99"/>
      <c r="U204" s="99"/>
      <c r="V204" s="99"/>
      <c r="W204" s="99"/>
      <c r="X204" s="99"/>
      <c r="Y204" s="99"/>
      <c r="Z204" s="99"/>
      <c r="AA204" s="99"/>
      <c r="AB204" s="99"/>
      <c r="AC204" s="98"/>
      <c r="AD204" s="98"/>
      <c r="AE204" s="98"/>
      <c r="AF204" s="98"/>
      <c r="AG204" s="98"/>
      <c r="AH204" s="98"/>
    </row>
    <row r="205" spans="2:34" x14ac:dyDescent="0.25">
      <c r="B205" s="73"/>
      <c r="C205" s="74"/>
      <c r="D205" s="80"/>
      <c r="E205" s="81"/>
      <c r="F205" s="81"/>
      <c r="G205" s="81"/>
      <c r="H205" s="81"/>
      <c r="I205" s="82"/>
      <c r="J205" s="88"/>
      <c r="K205" s="89"/>
      <c r="L205" s="88"/>
      <c r="M205" s="89"/>
      <c r="N205" s="80"/>
      <c r="O205" s="82"/>
      <c r="P205" s="94"/>
      <c r="Q205" s="95"/>
      <c r="S205" s="99"/>
      <c r="T205" s="99"/>
      <c r="U205" s="99"/>
      <c r="V205" s="99"/>
      <c r="W205" s="99"/>
      <c r="X205" s="99"/>
      <c r="Y205" s="99"/>
      <c r="Z205" s="99"/>
      <c r="AA205" s="99"/>
      <c r="AB205" s="99"/>
      <c r="AC205" s="98"/>
      <c r="AD205" s="98"/>
      <c r="AE205" s="98"/>
      <c r="AF205" s="98"/>
      <c r="AG205" s="98"/>
      <c r="AH205" s="98"/>
    </row>
    <row r="206" spans="2:34" x14ac:dyDescent="0.25">
      <c r="B206" s="75"/>
      <c r="C206" s="76"/>
      <c r="D206" s="83"/>
      <c r="E206" s="84"/>
      <c r="F206" s="84"/>
      <c r="G206" s="84"/>
      <c r="H206" s="84"/>
      <c r="I206" s="85"/>
      <c r="J206" s="90"/>
      <c r="K206" s="91"/>
      <c r="L206" s="90"/>
      <c r="M206" s="91"/>
      <c r="N206" s="83"/>
      <c r="O206" s="85"/>
      <c r="P206" s="96"/>
      <c r="Q206" s="97"/>
      <c r="S206" s="99"/>
      <c r="T206" s="99"/>
      <c r="U206" s="99"/>
      <c r="V206" s="99"/>
      <c r="W206" s="99"/>
      <c r="X206" s="99"/>
      <c r="Y206" s="99"/>
      <c r="Z206" s="99"/>
      <c r="AA206" s="99"/>
      <c r="AB206" s="99"/>
      <c r="AC206" s="98"/>
      <c r="AD206" s="98"/>
      <c r="AE206" s="98"/>
      <c r="AF206" s="98"/>
      <c r="AG206" s="98"/>
      <c r="AH206" s="98"/>
    </row>
    <row r="207" spans="2:34" x14ac:dyDescent="0.25">
      <c r="B207" s="71"/>
      <c r="C207" s="72"/>
      <c r="D207" s="77"/>
      <c r="E207" s="78"/>
      <c r="F207" s="78"/>
      <c r="G207" s="78"/>
      <c r="H207" s="78"/>
      <c r="I207" s="79"/>
      <c r="J207" s="86"/>
      <c r="K207" s="87"/>
      <c r="L207" s="86"/>
      <c r="M207" s="87"/>
      <c r="N207" s="77"/>
      <c r="O207" s="79"/>
      <c r="P207" s="92"/>
      <c r="Q207" s="93"/>
      <c r="S207" s="99"/>
      <c r="T207" s="99"/>
      <c r="U207" s="99"/>
      <c r="V207" s="99"/>
      <c r="W207" s="99"/>
      <c r="X207" s="99"/>
      <c r="Y207" s="99"/>
      <c r="Z207" s="99"/>
      <c r="AA207" s="99"/>
      <c r="AB207" s="99"/>
      <c r="AC207" s="98"/>
      <c r="AD207" s="98"/>
      <c r="AE207" s="98"/>
      <c r="AF207" s="98"/>
      <c r="AG207" s="98"/>
      <c r="AH207" s="98"/>
    </row>
    <row r="208" spans="2:34" x14ac:dyDescent="0.25">
      <c r="B208" s="73"/>
      <c r="C208" s="74"/>
      <c r="D208" s="80"/>
      <c r="E208" s="81"/>
      <c r="F208" s="81"/>
      <c r="G208" s="81"/>
      <c r="H208" s="81"/>
      <c r="I208" s="82"/>
      <c r="J208" s="88"/>
      <c r="K208" s="89"/>
      <c r="L208" s="88"/>
      <c r="M208" s="89"/>
      <c r="N208" s="80"/>
      <c r="O208" s="82"/>
      <c r="P208" s="94"/>
      <c r="Q208" s="95"/>
      <c r="S208" s="99"/>
      <c r="T208" s="99"/>
      <c r="U208" s="99"/>
      <c r="V208" s="99"/>
      <c r="W208" s="99"/>
      <c r="X208" s="99"/>
      <c r="Y208" s="99"/>
      <c r="Z208" s="99"/>
      <c r="AA208" s="99"/>
      <c r="AB208" s="99"/>
      <c r="AC208" s="98"/>
      <c r="AD208" s="98"/>
      <c r="AE208" s="98"/>
      <c r="AF208" s="98"/>
      <c r="AG208" s="98"/>
      <c r="AH208" s="98"/>
    </row>
    <row r="209" spans="2:34" x14ac:dyDescent="0.25">
      <c r="B209" s="75"/>
      <c r="C209" s="76"/>
      <c r="D209" s="83"/>
      <c r="E209" s="84"/>
      <c r="F209" s="84"/>
      <c r="G209" s="84"/>
      <c r="H209" s="84"/>
      <c r="I209" s="85"/>
      <c r="J209" s="90"/>
      <c r="K209" s="91"/>
      <c r="L209" s="90"/>
      <c r="M209" s="91"/>
      <c r="N209" s="83"/>
      <c r="O209" s="85"/>
      <c r="P209" s="96"/>
      <c r="Q209" s="97"/>
      <c r="S209" s="99"/>
      <c r="T209" s="99"/>
      <c r="U209" s="99"/>
      <c r="V209" s="99"/>
      <c r="W209" s="99"/>
      <c r="X209" s="99"/>
      <c r="Y209" s="99"/>
      <c r="Z209" s="99"/>
      <c r="AA209" s="99"/>
      <c r="AB209" s="99"/>
      <c r="AC209" s="98"/>
      <c r="AD209" s="98"/>
      <c r="AE209" s="98"/>
      <c r="AF209" s="98"/>
      <c r="AG209" s="98"/>
      <c r="AH209" s="98"/>
    </row>
    <row r="210" spans="2:34" x14ac:dyDescent="0.25">
      <c r="B210" s="71"/>
      <c r="C210" s="72"/>
      <c r="D210" s="77"/>
      <c r="E210" s="78"/>
      <c r="F210" s="78"/>
      <c r="G210" s="78"/>
      <c r="H210" s="78"/>
      <c r="I210" s="79"/>
      <c r="J210" s="86"/>
      <c r="K210" s="87"/>
      <c r="L210" s="86"/>
      <c r="M210" s="87"/>
      <c r="N210" s="77"/>
      <c r="O210" s="79"/>
      <c r="P210" s="92"/>
      <c r="Q210" s="93"/>
      <c r="S210" s="99"/>
      <c r="T210" s="99"/>
      <c r="U210" s="99"/>
      <c r="V210" s="99"/>
      <c r="W210" s="99"/>
      <c r="X210" s="99"/>
      <c r="Y210" s="99"/>
      <c r="Z210" s="99"/>
      <c r="AA210" s="99"/>
      <c r="AB210" s="99"/>
      <c r="AC210" s="98"/>
      <c r="AD210" s="98"/>
      <c r="AE210" s="98"/>
      <c r="AF210" s="98"/>
      <c r="AG210" s="98"/>
      <c r="AH210" s="98"/>
    </row>
    <row r="211" spans="2:34" x14ac:dyDescent="0.25">
      <c r="B211" s="73"/>
      <c r="C211" s="74"/>
      <c r="D211" s="80"/>
      <c r="E211" s="81"/>
      <c r="F211" s="81"/>
      <c r="G211" s="81"/>
      <c r="H211" s="81"/>
      <c r="I211" s="82"/>
      <c r="J211" s="88"/>
      <c r="K211" s="89"/>
      <c r="L211" s="88"/>
      <c r="M211" s="89"/>
      <c r="N211" s="80"/>
      <c r="O211" s="82"/>
      <c r="P211" s="94"/>
      <c r="Q211" s="95"/>
      <c r="S211" s="99"/>
      <c r="T211" s="99"/>
      <c r="U211" s="99"/>
      <c r="V211" s="99"/>
      <c r="W211" s="99"/>
      <c r="X211" s="99"/>
      <c r="Y211" s="99"/>
      <c r="Z211" s="99"/>
      <c r="AA211" s="99"/>
      <c r="AB211" s="99"/>
      <c r="AC211" s="98"/>
      <c r="AD211" s="98"/>
      <c r="AE211" s="98"/>
      <c r="AF211" s="98"/>
      <c r="AG211" s="98"/>
      <c r="AH211" s="98"/>
    </row>
    <row r="212" spans="2:34" x14ac:dyDescent="0.25">
      <c r="B212" s="75"/>
      <c r="C212" s="76"/>
      <c r="D212" s="83"/>
      <c r="E212" s="84"/>
      <c r="F212" s="84"/>
      <c r="G212" s="84"/>
      <c r="H212" s="84"/>
      <c r="I212" s="85"/>
      <c r="J212" s="90"/>
      <c r="K212" s="91"/>
      <c r="L212" s="90"/>
      <c r="M212" s="91"/>
      <c r="N212" s="83"/>
      <c r="O212" s="85"/>
      <c r="P212" s="96"/>
      <c r="Q212" s="97"/>
      <c r="S212" s="99"/>
      <c r="T212" s="99"/>
      <c r="U212" s="99"/>
      <c r="V212" s="99"/>
      <c r="W212" s="99"/>
      <c r="X212" s="99"/>
      <c r="Y212" s="99"/>
      <c r="Z212" s="99"/>
      <c r="AA212" s="99"/>
      <c r="AB212" s="99"/>
      <c r="AC212" s="98"/>
      <c r="AD212" s="98"/>
      <c r="AE212" s="98"/>
      <c r="AF212" s="98"/>
      <c r="AG212" s="98"/>
      <c r="AH212" s="98"/>
    </row>
    <row r="213" spans="2:34" x14ac:dyDescent="0.25">
      <c r="B213" s="71"/>
      <c r="C213" s="72"/>
      <c r="D213" s="77"/>
      <c r="E213" s="78"/>
      <c r="F213" s="78"/>
      <c r="G213" s="78"/>
      <c r="H213" s="78"/>
      <c r="I213" s="79"/>
      <c r="J213" s="86"/>
      <c r="K213" s="87"/>
      <c r="L213" s="86"/>
      <c r="M213" s="87"/>
      <c r="N213" s="77"/>
      <c r="O213" s="79"/>
      <c r="P213" s="92"/>
      <c r="Q213" s="93"/>
      <c r="S213" s="99"/>
      <c r="T213" s="99"/>
      <c r="U213" s="99"/>
      <c r="V213" s="99"/>
      <c r="W213" s="99"/>
      <c r="X213" s="99"/>
      <c r="Y213" s="99"/>
      <c r="Z213" s="99"/>
      <c r="AA213" s="99"/>
      <c r="AB213" s="99"/>
      <c r="AC213" s="98"/>
      <c r="AD213" s="98"/>
      <c r="AE213" s="98"/>
      <c r="AF213" s="98"/>
      <c r="AG213" s="98"/>
      <c r="AH213" s="98"/>
    </row>
    <row r="214" spans="2:34" x14ac:dyDescent="0.25">
      <c r="B214" s="73"/>
      <c r="C214" s="74"/>
      <c r="D214" s="80"/>
      <c r="E214" s="81"/>
      <c r="F214" s="81"/>
      <c r="G214" s="81"/>
      <c r="H214" s="81"/>
      <c r="I214" s="82"/>
      <c r="J214" s="88"/>
      <c r="K214" s="89"/>
      <c r="L214" s="88"/>
      <c r="M214" s="89"/>
      <c r="N214" s="80"/>
      <c r="O214" s="82"/>
      <c r="P214" s="94"/>
      <c r="Q214" s="95"/>
      <c r="S214" s="99"/>
      <c r="T214" s="99"/>
      <c r="U214" s="99"/>
      <c r="V214" s="99"/>
      <c r="W214" s="99"/>
      <c r="X214" s="99"/>
      <c r="Y214" s="99"/>
      <c r="Z214" s="99"/>
      <c r="AA214" s="99"/>
      <c r="AB214" s="99"/>
      <c r="AC214" s="98"/>
      <c r="AD214" s="98"/>
      <c r="AE214" s="98"/>
      <c r="AF214" s="98"/>
      <c r="AG214" s="98"/>
      <c r="AH214" s="98"/>
    </row>
    <row r="215" spans="2:34" x14ac:dyDescent="0.25">
      <c r="B215" s="75"/>
      <c r="C215" s="76"/>
      <c r="D215" s="83"/>
      <c r="E215" s="84"/>
      <c r="F215" s="84"/>
      <c r="G215" s="84"/>
      <c r="H215" s="84"/>
      <c r="I215" s="85"/>
      <c r="J215" s="90"/>
      <c r="K215" s="91"/>
      <c r="L215" s="90"/>
      <c r="M215" s="91"/>
      <c r="N215" s="83"/>
      <c r="O215" s="85"/>
      <c r="P215" s="96"/>
      <c r="Q215" s="97"/>
      <c r="S215" s="99"/>
      <c r="T215" s="99"/>
      <c r="U215" s="99"/>
      <c r="V215" s="99"/>
      <c r="W215" s="99"/>
      <c r="X215" s="99"/>
      <c r="Y215" s="99"/>
      <c r="Z215" s="99"/>
      <c r="AA215" s="99"/>
      <c r="AB215" s="99"/>
      <c r="AC215" s="98"/>
      <c r="AD215" s="98"/>
      <c r="AE215" s="98"/>
      <c r="AF215" s="98"/>
      <c r="AG215" s="98"/>
      <c r="AH215" s="98"/>
    </row>
    <row r="216" spans="2:34" x14ac:dyDescent="0.25">
      <c r="B216" s="71"/>
      <c r="C216" s="72"/>
      <c r="D216" s="77"/>
      <c r="E216" s="78"/>
      <c r="F216" s="78"/>
      <c r="G216" s="78"/>
      <c r="H216" s="78"/>
      <c r="I216" s="79"/>
      <c r="J216" s="86"/>
      <c r="K216" s="87"/>
      <c r="L216" s="86"/>
      <c r="M216" s="87"/>
      <c r="N216" s="77"/>
      <c r="O216" s="79"/>
      <c r="P216" s="92"/>
      <c r="Q216" s="93"/>
      <c r="S216" s="99"/>
      <c r="T216" s="99"/>
      <c r="U216" s="99"/>
      <c r="V216" s="99"/>
      <c r="W216" s="99"/>
      <c r="X216" s="99"/>
      <c r="Y216" s="99"/>
      <c r="Z216" s="99"/>
      <c r="AA216" s="99"/>
      <c r="AB216" s="99"/>
      <c r="AC216" s="98"/>
      <c r="AD216" s="98"/>
      <c r="AE216" s="98"/>
      <c r="AF216" s="98"/>
      <c r="AG216" s="98"/>
      <c r="AH216" s="98"/>
    </row>
    <row r="217" spans="2:34" x14ac:dyDescent="0.25">
      <c r="B217" s="73"/>
      <c r="C217" s="74"/>
      <c r="D217" s="80"/>
      <c r="E217" s="81"/>
      <c r="F217" s="81"/>
      <c r="G217" s="81"/>
      <c r="H217" s="81"/>
      <c r="I217" s="82"/>
      <c r="J217" s="88"/>
      <c r="K217" s="89"/>
      <c r="L217" s="88"/>
      <c r="M217" s="89"/>
      <c r="N217" s="80"/>
      <c r="O217" s="82"/>
      <c r="P217" s="94"/>
      <c r="Q217" s="95"/>
      <c r="S217" s="99"/>
      <c r="T217" s="99"/>
      <c r="U217" s="99"/>
      <c r="V217" s="99"/>
      <c r="W217" s="99"/>
      <c r="X217" s="99"/>
      <c r="Y217" s="99"/>
      <c r="Z217" s="99"/>
      <c r="AA217" s="99"/>
      <c r="AB217" s="99"/>
      <c r="AC217" s="98"/>
      <c r="AD217" s="98"/>
      <c r="AE217" s="98"/>
      <c r="AF217" s="98"/>
      <c r="AG217" s="98"/>
      <c r="AH217" s="98"/>
    </row>
    <row r="218" spans="2:34" x14ac:dyDescent="0.25">
      <c r="B218" s="75"/>
      <c r="C218" s="76"/>
      <c r="D218" s="83"/>
      <c r="E218" s="84"/>
      <c r="F218" s="84"/>
      <c r="G218" s="84"/>
      <c r="H218" s="84"/>
      <c r="I218" s="85"/>
      <c r="J218" s="90"/>
      <c r="K218" s="91"/>
      <c r="L218" s="90"/>
      <c r="M218" s="91"/>
      <c r="N218" s="83"/>
      <c r="O218" s="85"/>
      <c r="P218" s="96"/>
      <c r="Q218" s="97"/>
      <c r="S218" s="99"/>
      <c r="T218" s="99"/>
      <c r="U218" s="99"/>
      <c r="V218" s="99"/>
      <c r="W218" s="99"/>
      <c r="X218" s="99"/>
      <c r="Y218" s="99"/>
      <c r="Z218" s="99"/>
      <c r="AA218" s="99"/>
      <c r="AB218" s="99"/>
      <c r="AC218" s="98"/>
      <c r="AD218" s="98"/>
      <c r="AE218" s="98"/>
      <c r="AF218" s="98"/>
      <c r="AG218" s="98"/>
      <c r="AH218" s="98"/>
    </row>
    <row r="219" spans="2:34" x14ac:dyDescent="0.25">
      <c r="B219" s="71"/>
      <c r="C219" s="72"/>
      <c r="D219" s="77"/>
      <c r="E219" s="78"/>
      <c r="F219" s="78"/>
      <c r="G219" s="78"/>
      <c r="H219" s="78"/>
      <c r="I219" s="79"/>
      <c r="J219" s="86"/>
      <c r="K219" s="87"/>
      <c r="L219" s="86"/>
      <c r="M219" s="87"/>
      <c r="N219" s="77"/>
      <c r="O219" s="79"/>
      <c r="P219" s="92"/>
      <c r="Q219" s="93"/>
      <c r="S219" s="99"/>
      <c r="T219" s="99"/>
      <c r="U219" s="99"/>
      <c r="V219" s="99"/>
      <c r="W219" s="99"/>
      <c r="X219" s="99"/>
      <c r="Y219" s="99"/>
      <c r="Z219" s="99"/>
      <c r="AA219" s="99"/>
      <c r="AB219" s="99"/>
      <c r="AC219" s="98"/>
      <c r="AD219" s="98"/>
      <c r="AE219" s="98"/>
      <c r="AF219" s="98"/>
      <c r="AG219" s="98"/>
      <c r="AH219" s="98"/>
    </row>
    <row r="220" spans="2:34" x14ac:dyDescent="0.25">
      <c r="B220" s="73"/>
      <c r="C220" s="74"/>
      <c r="D220" s="80"/>
      <c r="E220" s="81"/>
      <c r="F220" s="81"/>
      <c r="G220" s="81"/>
      <c r="H220" s="81"/>
      <c r="I220" s="82"/>
      <c r="J220" s="88"/>
      <c r="K220" s="89"/>
      <c r="L220" s="88"/>
      <c r="M220" s="89"/>
      <c r="N220" s="80"/>
      <c r="O220" s="82"/>
      <c r="P220" s="94"/>
      <c r="Q220" s="95"/>
      <c r="S220" s="99"/>
      <c r="T220" s="99"/>
      <c r="U220" s="99"/>
      <c r="V220" s="99"/>
      <c r="W220" s="99"/>
      <c r="X220" s="99"/>
      <c r="Y220" s="99"/>
      <c r="Z220" s="99"/>
      <c r="AA220" s="99"/>
      <c r="AB220" s="99"/>
      <c r="AC220" s="98"/>
      <c r="AD220" s="98"/>
      <c r="AE220" s="98"/>
      <c r="AF220" s="98"/>
      <c r="AG220" s="98"/>
      <c r="AH220" s="98"/>
    </row>
    <row r="221" spans="2:34" x14ac:dyDescent="0.25">
      <c r="B221" s="75"/>
      <c r="C221" s="76"/>
      <c r="D221" s="83"/>
      <c r="E221" s="84"/>
      <c r="F221" s="84"/>
      <c r="G221" s="84"/>
      <c r="H221" s="84"/>
      <c r="I221" s="85"/>
      <c r="J221" s="90"/>
      <c r="K221" s="91"/>
      <c r="L221" s="90"/>
      <c r="M221" s="91"/>
      <c r="N221" s="83"/>
      <c r="O221" s="85"/>
      <c r="P221" s="96"/>
      <c r="Q221" s="97"/>
      <c r="S221" s="99"/>
      <c r="T221" s="99"/>
      <c r="U221" s="99"/>
      <c r="V221" s="99"/>
      <c r="W221" s="99"/>
      <c r="X221" s="99"/>
      <c r="Y221" s="99"/>
      <c r="Z221" s="99"/>
      <c r="AA221" s="99"/>
      <c r="AB221" s="99"/>
      <c r="AC221" s="98"/>
      <c r="AD221" s="98"/>
      <c r="AE221" s="98"/>
      <c r="AF221" s="98"/>
      <c r="AG221" s="98"/>
      <c r="AH221" s="98"/>
    </row>
    <row r="222" spans="2:34" x14ac:dyDescent="0.25">
      <c r="B222" s="71"/>
      <c r="C222" s="72"/>
      <c r="D222" s="77"/>
      <c r="E222" s="78"/>
      <c r="F222" s="78"/>
      <c r="G222" s="78"/>
      <c r="H222" s="78"/>
      <c r="I222" s="79"/>
      <c r="J222" s="86"/>
      <c r="K222" s="87"/>
      <c r="L222" s="86"/>
      <c r="M222" s="87"/>
      <c r="N222" s="77"/>
      <c r="O222" s="79"/>
      <c r="P222" s="92"/>
      <c r="Q222" s="93"/>
      <c r="S222" s="99"/>
      <c r="T222" s="99"/>
      <c r="U222" s="99"/>
      <c r="V222" s="99"/>
      <c r="W222" s="99"/>
      <c r="X222" s="99"/>
      <c r="Y222" s="99"/>
      <c r="Z222" s="99"/>
      <c r="AA222" s="99"/>
      <c r="AB222" s="99"/>
      <c r="AC222" s="98"/>
      <c r="AD222" s="98"/>
      <c r="AE222" s="98"/>
      <c r="AF222" s="98"/>
      <c r="AG222" s="98"/>
      <c r="AH222" s="98"/>
    </row>
    <row r="223" spans="2:34" x14ac:dyDescent="0.25">
      <c r="B223" s="73"/>
      <c r="C223" s="74"/>
      <c r="D223" s="80"/>
      <c r="E223" s="81"/>
      <c r="F223" s="81"/>
      <c r="G223" s="81"/>
      <c r="H223" s="81"/>
      <c r="I223" s="82"/>
      <c r="J223" s="88"/>
      <c r="K223" s="89"/>
      <c r="L223" s="88"/>
      <c r="M223" s="89"/>
      <c r="N223" s="80"/>
      <c r="O223" s="82"/>
      <c r="P223" s="94"/>
      <c r="Q223" s="95"/>
      <c r="S223" s="99"/>
      <c r="T223" s="99"/>
      <c r="U223" s="99"/>
      <c r="V223" s="99"/>
      <c r="W223" s="99"/>
      <c r="X223" s="99"/>
      <c r="Y223" s="99"/>
      <c r="Z223" s="99"/>
      <c r="AA223" s="99"/>
      <c r="AB223" s="99"/>
      <c r="AC223" s="98"/>
      <c r="AD223" s="98"/>
      <c r="AE223" s="98"/>
      <c r="AF223" s="98"/>
      <c r="AG223" s="98"/>
      <c r="AH223" s="98"/>
    </row>
    <row r="224" spans="2:34" x14ac:dyDescent="0.25">
      <c r="B224" s="75"/>
      <c r="C224" s="76"/>
      <c r="D224" s="83"/>
      <c r="E224" s="84"/>
      <c r="F224" s="84"/>
      <c r="G224" s="84"/>
      <c r="H224" s="84"/>
      <c r="I224" s="85"/>
      <c r="J224" s="90"/>
      <c r="K224" s="91"/>
      <c r="L224" s="90"/>
      <c r="M224" s="91"/>
      <c r="N224" s="83"/>
      <c r="O224" s="85"/>
      <c r="P224" s="96"/>
      <c r="Q224" s="97"/>
      <c r="S224" s="99"/>
      <c r="T224" s="99"/>
      <c r="U224" s="99"/>
      <c r="V224" s="99"/>
      <c r="W224" s="99"/>
      <c r="X224" s="99"/>
      <c r="Y224" s="99"/>
      <c r="Z224" s="99"/>
      <c r="AA224" s="99"/>
      <c r="AB224" s="99"/>
      <c r="AC224" s="98"/>
      <c r="AD224" s="98"/>
      <c r="AE224" s="98"/>
      <c r="AF224" s="98"/>
      <c r="AG224" s="98"/>
      <c r="AH224" s="98"/>
    </row>
    <row r="225" spans="2:34" x14ac:dyDescent="0.25">
      <c r="B225" s="71"/>
      <c r="C225" s="72"/>
      <c r="D225" s="77"/>
      <c r="E225" s="78"/>
      <c r="F225" s="78"/>
      <c r="G225" s="78"/>
      <c r="H225" s="78"/>
      <c r="I225" s="79"/>
      <c r="J225" s="86"/>
      <c r="K225" s="87"/>
      <c r="L225" s="86"/>
      <c r="M225" s="87"/>
      <c r="N225" s="77"/>
      <c r="O225" s="79"/>
      <c r="P225" s="92"/>
      <c r="Q225" s="93"/>
      <c r="S225" s="99"/>
      <c r="T225" s="99"/>
      <c r="U225" s="99"/>
      <c r="V225" s="99"/>
      <c r="W225" s="99"/>
      <c r="X225" s="99"/>
      <c r="Y225" s="99"/>
      <c r="Z225" s="99"/>
      <c r="AA225" s="99"/>
      <c r="AB225" s="99"/>
      <c r="AC225" s="98"/>
      <c r="AD225" s="98"/>
      <c r="AE225" s="98"/>
      <c r="AF225" s="98"/>
      <c r="AG225" s="98"/>
      <c r="AH225" s="98"/>
    </row>
    <row r="226" spans="2:34" x14ac:dyDescent="0.25">
      <c r="B226" s="73"/>
      <c r="C226" s="74"/>
      <c r="D226" s="80"/>
      <c r="E226" s="81"/>
      <c r="F226" s="81"/>
      <c r="G226" s="81"/>
      <c r="H226" s="81"/>
      <c r="I226" s="82"/>
      <c r="J226" s="88"/>
      <c r="K226" s="89"/>
      <c r="L226" s="88"/>
      <c r="M226" s="89"/>
      <c r="N226" s="80"/>
      <c r="O226" s="82"/>
      <c r="P226" s="94"/>
      <c r="Q226" s="95"/>
      <c r="S226" s="99"/>
      <c r="T226" s="99"/>
      <c r="U226" s="99"/>
      <c r="V226" s="99"/>
      <c r="W226" s="99"/>
      <c r="X226" s="99"/>
      <c r="Y226" s="99"/>
      <c r="Z226" s="99"/>
      <c r="AA226" s="99"/>
      <c r="AB226" s="99"/>
      <c r="AC226" s="98"/>
      <c r="AD226" s="98"/>
      <c r="AE226" s="98"/>
      <c r="AF226" s="98"/>
      <c r="AG226" s="98"/>
      <c r="AH226" s="98"/>
    </row>
    <row r="227" spans="2:34" x14ac:dyDescent="0.25">
      <c r="B227" s="75"/>
      <c r="C227" s="76"/>
      <c r="D227" s="83"/>
      <c r="E227" s="84"/>
      <c r="F227" s="84"/>
      <c r="G227" s="84"/>
      <c r="H227" s="84"/>
      <c r="I227" s="85"/>
      <c r="J227" s="90"/>
      <c r="K227" s="91"/>
      <c r="L227" s="90"/>
      <c r="M227" s="91"/>
      <c r="N227" s="83"/>
      <c r="O227" s="85"/>
      <c r="P227" s="96"/>
      <c r="Q227" s="97"/>
      <c r="S227" s="99"/>
      <c r="T227" s="99"/>
      <c r="U227" s="99"/>
      <c r="V227" s="99"/>
      <c r="W227" s="99"/>
      <c r="X227" s="99"/>
      <c r="Y227" s="99"/>
      <c r="Z227" s="99"/>
      <c r="AA227" s="99"/>
      <c r="AB227" s="99"/>
      <c r="AC227" s="98"/>
      <c r="AD227" s="98"/>
      <c r="AE227" s="98"/>
      <c r="AF227" s="98"/>
      <c r="AG227" s="98"/>
      <c r="AH227" s="98"/>
    </row>
    <row r="228" spans="2:34" x14ac:dyDescent="0.25">
      <c r="B228" s="71"/>
      <c r="C228" s="72"/>
      <c r="D228" s="77"/>
      <c r="E228" s="78"/>
      <c r="F228" s="78"/>
      <c r="G228" s="78"/>
      <c r="H228" s="78"/>
      <c r="I228" s="79"/>
      <c r="J228" s="86"/>
      <c r="K228" s="87"/>
      <c r="L228" s="86"/>
      <c r="M228" s="87"/>
      <c r="N228" s="77"/>
      <c r="O228" s="79"/>
      <c r="P228" s="92"/>
      <c r="Q228" s="93"/>
      <c r="S228" s="99"/>
      <c r="T228" s="99"/>
      <c r="U228" s="99"/>
      <c r="V228" s="99"/>
      <c r="W228" s="99"/>
      <c r="X228" s="99"/>
      <c r="Y228" s="99"/>
      <c r="Z228" s="99"/>
      <c r="AA228" s="99"/>
      <c r="AB228" s="99"/>
      <c r="AC228" s="98"/>
      <c r="AD228" s="98"/>
      <c r="AE228" s="98"/>
      <c r="AF228" s="98"/>
      <c r="AG228" s="98"/>
      <c r="AH228" s="98"/>
    </row>
    <row r="229" spans="2:34" x14ac:dyDescent="0.25">
      <c r="B229" s="73"/>
      <c r="C229" s="74"/>
      <c r="D229" s="80"/>
      <c r="E229" s="81"/>
      <c r="F229" s="81"/>
      <c r="G229" s="81"/>
      <c r="H229" s="81"/>
      <c r="I229" s="82"/>
      <c r="J229" s="88"/>
      <c r="K229" s="89"/>
      <c r="L229" s="88"/>
      <c r="M229" s="89"/>
      <c r="N229" s="80"/>
      <c r="O229" s="82"/>
      <c r="P229" s="94"/>
      <c r="Q229" s="95"/>
      <c r="S229" s="99"/>
      <c r="T229" s="99"/>
      <c r="U229" s="99"/>
      <c r="V229" s="99"/>
      <c r="W229" s="99"/>
      <c r="X229" s="99"/>
      <c r="Y229" s="99"/>
      <c r="Z229" s="99"/>
      <c r="AA229" s="99"/>
      <c r="AB229" s="99"/>
      <c r="AC229" s="98"/>
      <c r="AD229" s="98"/>
      <c r="AE229" s="98"/>
      <c r="AF229" s="98"/>
      <c r="AG229" s="98"/>
      <c r="AH229" s="98"/>
    </row>
    <row r="230" spans="2:34" x14ac:dyDescent="0.25">
      <c r="B230" s="75"/>
      <c r="C230" s="76"/>
      <c r="D230" s="83"/>
      <c r="E230" s="84"/>
      <c r="F230" s="84"/>
      <c r="G230" s="84"/>
      <c r="H230" s="84"/>
      <c r="I230" s="85"/>
      <c r="J230" s="90"/>
      <c r="K230" s="91"/>
      <c r="L230" s="90"/>
      <c r="M230" s="91"/>
      <c r="N230" s="83"/>
      <c r="O230" s="85"/>
      <c r="P230" s="96"/>
      <c r="Q230" s="97"/>
      <c r="S230" s="99"/>
      <c r="T230" s="99"/>
      <c r="U230" s="99"/>
      <c r="V230" s="99"/>
      <c r="W230" s="99"/>
      <c r="X230" s="99"/>
      <c r="Y230" s="99"/>
      <c r="Z230" s="99"/>
      <c r="AA230" s="99"/>
      <c r="AB230" s="99"/>
      <c r="AC230" s="98"/>
      <c r="AD230" s="98"/>
      <c r="AE230" s="98"/>
      <c r="AF230" s="98"/>
      <c r="AG230" s="98"/>
      <c r="AH230" s="98"/>
    </row>
    <row r="231" spans="2:34" x14ac:dyDescent="0.25">
      <c r="B231" s="71"/>
      <c r="C231" s="72"/>
      <c r="D231" s="77"/>
      <c r="E231" s="78"/>
      <c r="F231" s="78"/>
      <c r="G231" s="78"/>
      <c r="H231" s="78"/>
      <c r="I231" s="79"/>
      <c r="J231" s="86"/>
      <c r="K231" s="87"/>
      <c r="L231" s="86"/>
      <c r="M231" s="87"/>
      <c r="N231" s="77"/>
      <c r="O231" s="79"/>
      <c r="P231" s="92"/>
      <c r="Q231" s="93"/>
      <c r="S231" s="99"/>
      <c r="T231" s="99"/>
      <c r="U231" s="99"/>
      <c r="V231" s="99"/>
      <c r="W231" s="99"/>
      <c r="X231" s="99"/>
      <c r="Y231" s="99"/>
      <c r="Z231" s="99"/>
      <c r="AA231" s="99"/>
      <c r="AB231" s="99"/>
      <c r="AC231" s="98"/>
      <c r="AD231" s="98"/>
      <c r="AE231" s="98"/>
      <c r="AF231" s="98"/>
      <c r="AG231" s="98"/>
      <c r="AH231" s="98"/>
    </row>
    <row r="232" spans="2:34" x14ac:dyDescent="0.25">
      <c r="B232" s="73"/>
      <c r="C232" s="74"/>
      <c r="D232" s="80"/>
      <c r="E232" s="81"/>
      <c r="F232" s="81"/>
      <c r="G232" s="81"/>
      <c r="H232" s="81"/>
      <c r="I232" s="82"/>
      <c r="J232" s="88"/>
      <c r="K232" s="89"/>
      <c r="L232" s="88"/>
      <c r="M232" s="89"/>
      <c r="N232" s="80"/>
      <c r="O232" s="82"/>
      <c r="P232" s="94"/>
      <c r="Q232" s="95"/>
      <c r="S232" s="99"/>
      <c r="T232" s="99"/>
      <c r="U232" s="99"/>
      <c r="V232" s="99"/>
      <c r="W232" s="99"/>
      <c r="X232" s="99"/>
      <c r="Y232" s="99"/>
      <c r="Z232" s="99"/>
      <c r="AA232" s="99"/>
      <c r="AB232" s="99"/>
      <c r="AC232" s="98"/>
      <c r="AD232" s="98"/>
      <c r="AE232" s="98"/>
      <c r="AF232" s="98"/>
      <c r="AG232" s="98"/>
      <c r="AH232" s="98"/>
    </row>
    <row r="233" spans="2:34" x14ac:dyDescent="0.25">
      <c r="B233" s="75"/>
      <c r="C233" s="76"/>
      <c r="D233" s="83"/>
      <c r="E233" s="84"/>
      <c r="F233" s="84"/>
      <c r="G233" s="84"/>
      <c r="H233" s="84"/>
      <c r="I233" s="85"/>
      <c r="J233" s="90"/>
      <c r="K233" s="91"/>
      <c r="L233" s="90"/>
      <c r="M233" s="91"/>
      <c r="N233" s="83"/>
      <c r="O233" s="85"/>
      <c r="P233" s="96"/>
      <c r="Q233" s="97"/>
      <c r="S233" s="99"/>
      <c r="T233" s="99"/>
      <c r="U233" s="99"/>
      <c r="V233" s="99"/>
      <c r="W233" s="99"/>
      <c r="X233" s="99"/>
      <c r="Y233" s="99"/>
      <c r="Z233" s="99"/>
      <c r="AA233" s="99"/>
      <c r="AB233" s="99"/>
      <c r="AC233" s="98"/>
      <c r="AD233" s="98"/>
      <c r="AE233" s="98"/>
      <c r="AF233" s="98"/>
      <c r="AG233" s="98"/>
      <c r="AH233" s="98"/>
    </row>
    <row r="234" spans="2:34" x14ac:dyDescent="0.25">
      <c r="B234" s="71"/>
      <c r="C234" s="72"/>
      <c r="D234" s="77"/>
      <c r="E234" s="78"/>
      <c r="F234" s="78"/>
      <c r="G234" s="78"/>
      <c r="H234" s="78"/>
      <c r="I234" s="79"/>
      <c r="J234" s="86"/>
      <c r="K234" s="87"/>
      <c r="L234" s="86"/>
      <c r="M234" s="87"/>
      <c r="N234" s="77"/>
      <c r="O234" s="79"/>
      <c r="P234" s="92"/>
      <c r="Q234" s="93"/>
      <c r="S234" s="99"/>
      <c r="T234" s="99"/>
      <c r="U234" s="99"/>
      <c r="V234" s="99"/>
      <c r="W234" s="99"/>
      <c r="X234" s="99"/>
      <c r="Y234" s="99"/>
      <c r="Z234" s="99"/>
      <c r="AA234" s="99"/>
      <c r="AB234" s="99"/>
      <c r="AC234" s="98"/>
      <c r="AD234" s="98"/>
      <c r="AE234" s="98"/>
      <c r="AF234" s="98"/>
      <c r="AG234" s="98"/>
      <c r="AH234" s="98"/>
    </row>
    <row r="235" spans="2:34" x14ac:dyDescent="0.25">
      <c r="B235" s="73"/>
      <c r="C235" s="74"/>
      <c r="D235" s="80"/>
      <c r="E235" s="81"/>
      <c r="F235" s="81"/>
      <c r="G235" s="81"/>
      <c r="H235" s="81"/>
      <c r="I235" s="82"/>
      <c r="J235" s="88"/>
      <c r="K235" s="89"/>
      <c r="L235" s="88"/>
      <c r="M235" s="89"/>
      <c r="N235" s="80"/>
      <c r="O235" s="82"/>
      <c r="P235" s="94"/>
      <c r="Q235" s="95"/>
      <c r="S235" s="99"/>
      <c r="T235" s="99"/>
      <c r="U235" s="99"/>
      <c r="V235" s="99"/>
      <c r="W235" s="99"/>
      <c r="X235" s="99"/>
      <c r="Y235" s="99"/>
      <c r="Z235" s="99"/>
      <c r="AA235" s="99"/>
      <c r="AB235" s="99"/>
      <c r="AC235" s="98"/>
      <c r="AD235" s="98"/>
      <c r="AE235" s="98"/>
      <c r="AF235" s="98"/>
      <c r="AG235" s="98"/>
      <c r="AH235" s="98"/>
    </row>
    <row r="236" spans="2:34" x14ac:dyDescent="0.25">
      <c r="B236" s="75"/>
      <c r="C236" s="76"/>
      <c r="D236" s="83"/>
      <c r="E236" s="84"/>
      <c r="F236" s="84"/>
      <c r="G236" s="84"/>
      <c r="H236" s="84"/>
      <c r="I236" s="85"/>
      <c r="J236" s="90"/>
      <c r="K236" s="91"/>
      <c r="L236" s="90"/>
      <c r="M236" s="91"/>
      <c r="N236" s="83"/>
      <c r="O236" s="85"/>
      <c r="P236" s="96"/>
      <c r="Q236" s="97"/>
      <c r="S236" s="99"/>
      <c r="T236" s="99"/>
      <c r="U236" s="99"/>
      <c r="V236" s="99"/>
      <c r="W236" s="99"/>
      <c r="X236" s="99"/>
      <c r="Y236" s="99"/>
      <c r="Z236" s="99"/>
      <c r="AA236" s="99"/>
      <c r="AB236" s="99"/>
      <c r="AC236" s="98"/>
      <c r="AD236" s="98"/>
      <c r="AE236" s="98"/>
      <c r="AF236" s="98"/>
      <c r="AG236" s="98"/>
      <c r="AH236" s="98"/>
    </row>
    <row r="237" spans="2:34" x14ac:dyDescent="0.25">
      <c r="B237" s="71"/>
      <c r="C237" s="72"/>
      <c r="D237" s="77"/>
      <c r="E237" s="78"/>
      <c r="F237" s="78"/>
      <c r="G237" s="78"/>
      <c r="H237" s="78"/>
      <c r="I237" s="79"/>
      <c r="J237" s="86"/>
      <c r="K237" s="87"/>
      <c r="L237" s="86"/>
      <c r="M237" s="87"/>
      <c r="N237" s="77"/>
      <c r="O237" s="79"/>
      <c r="P237" s="92"/>
      <c r="Q237" s="93"/>
      <c r="S237" s="99"/>
      <c r="T237" s="99"/>
      <c r="U237" s="99"/>
      <c r="V237" s="99"/>
      <c r="W237" s="99"/>
      <c r="X237" s="99"/>
      <c r="Y237" s="99"/>
      <c r="Z237" s="99"/>
      <c r="AA237" s="99"/>
      <c r="AB237" s="99"/>
      <c r="AC237" s="98"/>
      <c r="AD237" s="98"/>
      <c r="AE237" s="98"/>
      <c r="AF237" s="98"/>
      <c r="AG237" s="98"/>
      <c r="AH237" s="98"/>
    </row>
    <row r="238" spans="2:34" x14ac:dyDescent="0.25">
      <c r="B238" s="73"/>
      <c r="C238" s="74"/>
      <c r="D238" s="80"/>
      <c r="E238" s="81"/>
      <c r="F238" s="81"/>
      <c r="G238" s="81"/>
      <c r="H238" s="81"/>
      <c r="I238" s="82"/>
      <c r="J238" s="88"/>
      <c r="K238" s="89"/>
      <c r="L238" s="88"/>
      <c r="M238" s="89"/>
      <c r="N238" s="80"/>
      <c r="O238" s="82"/>
      <c r="P238" s="94"/>
      <c r="Q238" s="95"/>
      <c r="S238" s="99"/>
      <c r="T238" s="99"/>
      <c r="U238" s="99"/>
      <c r="V238" s="99"/>
      <c r="W238" s="99"/>
      <c r="X238" s="99"/>
      <c r="Y238" s="99"/>
      <c r="Z238" s="99"/>
      <c r="AA238" s="99"/>
      <c r="AB238" s="99"/>
      <c r="AC238" s="98"/>
      <c r="AD238" s="98"/>
      <c r="AE238" s="98"/>
      <c r="AF238" s="98"/>
      <c r="AG238" s="98"/>
      <c r="AH238" s="98"/>
    </row>
    <row r="239" spans="2:34" x14ac:dyDescent="0.25">
      <c r="B239" s="75"/>
      <c r="C239" s="76"/>
      <c r="D239" s="83"/>
      <c r="E239" s="84"/>
      <c r="F239" s="84"/>
      <c r="G239" s="84"/>
      <c r="H239" s="84"/>
      <c r="I239" s="85"/>
      <c r="J239" s="90"/>
      <c r="K239" s="91"/>
      <c r="L239" s="90"/>
      <c r="M239" s="91"/>
      <c r="N239" s="83"/>
      <c r="O239" s="85"/>
      <c r="P239" s="96"/>
      <c r="Q239" s="97"/>
      <c r="S239" s="99"/>
      <c r="T239" s="99"/>
      <c r="U239" s="99"/>
      <c r="V239" s="99"/>
      <c r="W239" s="99"/>
      <c r="X239" s="99"/>
      <c r="Y239" s="99"/>
      <c r="Z239" s="99"/>
      <c r="AA239" s="99"/>
      <c r="AB239" s="99"/>
      <c r="AC239" s="98"/>
      <c r="AD239" s="98"/>
      <c r="AE239" s="98"/>
      <c r="AF239" s="98"/>
      <c r="AG239" s="98"/>
      <c r="AH239" s="98"/>
    </row>
    <row r="240" spans="2:34" x14ac:dyDescent="0.25">
      <c r="B240" s="71"/>
      <c r="C240" s="72"/>
      <c r="D240" s="77"/>
      <c r="E240" s="78"/>
      <c r="F240" s="78"/>
      <c r="G240" s="78"/>
      <c r="H240" s="78"/>
      <c r="I240" s="79"/>
      <c r="J240" s="86"/>
      <c r="K240" s="87"/>
      <c r="L240" s="86"/>
      <c r="M240" s="87"/>
      <c r="N240" s="77"/>
      <c r="O240" s="79"/>
      <c r="P240" s="92"/>
      <c r="Q240" s="93"/>
      <c r="S240" s="99"/>
      <c r="T240" s="99"/>
      <c r="U240" s="99"/>
      <c r="V240" s="99"/>
      <c r="W240" s="99"/>
      <c r="X240" s="99"/>
      <c r="Y240" s="99"/>
      <c r="Z240" s="99"/>
      <c r="AA240" s="99"/>
      <c r="AB240" s="99"/>
      <c r="AC240" s="98"/>
      <c r="AD240" s="98"/>
      <c r="AE240" s="98"/>
      <c r="AF240" s="98"/>
      <c r="AG240" s="98"/>
      <c r="AH240" s="98"/>
    </row>
    <row r="241" spans="2:34" x14ac:dyDescent="0.25">
      <c r="B241" s="73"/>
      <c r="C241" s="74"/>
      <c r="D241" s="80"/>
      <c r="E241" s="81"/>
      <c r="F241" s="81"/>
      <c r="G241" s="81"/>
      <c r="H241" s="81"/>
      <c r="I241" s="82"/>
      <c r="J241" s="88"/>
      <c r="K241" s="89"/>
      <c r="L241" s="88"/>
      <c r="M241" s="89"/>
      <c r="N241" s="80"/>
      <c r="O241" s="82"/>
      <c r="P241" s="94"/>
      <c r="Q241" s="95"/>
      <c r="S241" s="99"/>
      <c r="T241" s="99"/>
      <c r="U241" s="99"/>
      <c r="V241" s="99"/>
      <c r="W241" s="99"/>
      <c r="X241" s="99"/>
      <c r="Y241" s="99"/>
      <c r="Z241" s="99"/>
      <c r="AA241" s="99"/>
      <c r="AB241" s="99"/>
      <c r="AC241" s="98"/>
      <c r="AD241" s="98"/>
      <c r="AE241" s="98"/>
      <c r="AF241" s="98"/>
      <c r="AG241" s="98"/>
      <c r="AH241" s="98"/>
    </row>
    <row r="242" spans="2:34" x14ac:dyDescent="0.25">
      <c r="B242" s="75"/>
      <c r="C242" s="76"/>
      <c r="D242" s="83"/>
      <c r="E242" s="84"/>
      <c r="F242" s="84"/>
      <c r="G242" s="84"/>
      <c r="H242" s="84"/>
      <c r="I242" s="85"/>
      <c r="J242" s="90"/>
      <c r="K242" s="91"/>
      <c r="L242" s="90"/>
      <c r="M242" s="91"/>
      <c r="N242" s="83"/>
      <c r="O242" s="85"/>
      <c r="P242" s="96"/>
      <c r="Q242" s="97"/>
      <c r="S242" s="99"/>
      <c r="T242" s="99"/>
      <c r="U242" s="99"/>
      <c r="V242" s="99"/>
      <c r="W242" s="99"/>
      <c r="X242" s="99"/>
      <c r="Y242" s="99"/>
      <c r="Z242" s="99"/>
      <c r="AA242" s="99"/>
      <c r="AB242" s="99"/>
      <c r="AC242" s="98"/>
      <c r="AD242" s="98"/>
      <c r="AE242" s="98"/>
      <c r="AF242" s="98"/>
      <c r="AG242" s="98"/>
      <c r="AH242" s="98"/>
    </row>
    <row r="243" spans="2:34" x14ac:dyDescent="0.25">
      <c r="B243" s="71"/>
      <c r="C243" s="72"/>
      <c r="D243" s="77"/>
      <c r="E243" s="78"/>
      <c r="F243" s="78"/>
      <c r="G243" s="78"/>
      <c r="H243" s="78"/>
      <c r="I243" s="79"/>
      <c r="J243" s="86"/>
      <c r="K243" s="87"/>
      <c r="L243" s="86"/>
      <c r="M243" s="87"/>
      <c r="N243" s="77"/>
      <c r="O243" s="79"/>
      <c r="P243" s="92"/>
      <c r="Q243" s="93"/>
      <c r="S243" s="99"/>
      <c r="T243" s="99"/>
      <c r="U243" s="99"/>
      <c r="V243" s="99"/>
      <c r="W243" s="99"/>
      <c r="X243" s="99"/>
      <c r="Y243" s="99"/>
      <c r="Z243" s="99"/>
      <c r="AA243" s="99"/>
      <c r="AB243" s="99"/>
      <c r="AC243" s="98"/>
      <c r="AD243" s="98"/>
      <c r="AE243" s="98"/>
      <c r="AF243" s="98"/>
      <c r="AG243" s="98"/>
      <c r="AH243" s="98"/>
    </row>
    <row r="244" spans="2:34" x14ac:dyDescent="0.25">
      <c r="B244" s="73"/>
      <c r="C244" s="74"/>
      <c r="D244" s="80"/>
      <c r="E244" s="81"/>
      <c r="F244" s="81"/>
      <c r="G244" s="81"/>
      <c r="H244" s="81"/>
      <c r="I244" s="82"/>
      <c r="J244" s="88"/>
      <c r="K244" s="89"/>
      <c r="L244" s="88"/>
      <c r="M244" s="89"/>
      <c r="N244" s="80"/>
      <c r="O244" s="82"/>
      <c r="P244" s="94"/>
      <c r="Q244" s="95"/>
      <c r="S244" s="99"/>
      <c r="T244" s="99"/>
      <c r="U244" s="99"/>
      <c r="V244" s="99"/>
      <c r="W244" s="99"/>
      <c r="X244" s="99"/>
      <c r="Y244" s="99"/>
      <c r="Z244" s="99"/>
      <c r="AA244" s="99"/>
      <c r="AB244" s="99"/>
      <c r="AC244" s="98"/>
      <c r="AD244" s="98"/>
      <c r="AE244" s="98"/>
      <c r="AF244" s="98"/>
      <c r="AG244" s="98"/>
      <c r="AH244" s="98"/>
    </row>
    <row r="245" spans="2:34" x14ac:dyDescent="0.25">
      <c r="B245" s="75"/>
      <c r="C245" s="76"/>
      <c r="D245" s="83"/>
      <c r="E245" s="84"/>
      <c r="F245" s="84"/>
      <c r="G245" s="84"/>
      <c r="H245" s="84"/>
      <c r="I245" s="85"/>
      <c r="J245" s="90"/>
      <c r="K245" s="91"/>
      <c r="L245" s="90"/>
      <c r="M245" s="91"/>
      <c r="N245" s="83"/>
      <c r="O245" s="85"/>
      <c r="P245" s="96"/>
      <c r="Q245" s="97"/>
      <c r="S245" s="99"/>
      <c r="T245" s="99"/>
      <c r="U245" s="99"/>
      <c r="V245" s="99"/>
      <c r="W245" s="99"/>
      <c r="X245" s="99"/>
      <c r="Y245" s="99"/>
      <c r="Z245" s="99"/>
      <c r="AA245" s="99"/>
      <c r="AB245" s="99"/>
      <c r="AC245" s="98"/>
      <c r="AD245" s="98"/>
      <c r="AE245" s="98"/>
      <c r="AF245" s="98"/>
      <c r="AG245" s="98"/>
      <c r="AH245" s="98"/>
    </row>
    <row r="246" spans="2:34" x14ac:dyDescent="0.25">
      <c r="B246" s="71"/>
      <c r="C246" s="72"/>
      <c r="D246" s="77"/>
      <c r="E246" s="78"/>
      <c r="F246" s="78"/>
      <c r="G246" s="78"/>
      <c r="H246" s="78"/>
      <c r="I246" s="79"/>
      <c r="J246" s="86"/>
      <c r="K246" s="87"/>
      <c r="L246" s="86"/>
      <c r="M246" s="87"/>
      <c r="N246" s="77"/>
      <c r="O246" s="79"/>
      <c r="P246" s="92"/>
      <c r="Q246" s="93"/>
      <c r="S246" s="99"/>
      <c r="T246" s="99"/>
      <c r="U246" s="99"/>
      <c r="V246" s="99"/>
      <c r="W246" s="99"/>
      <c r="X246" s="99"/>
      <c r="Y246" s="99"/>
      <c r="Z246" s="99"/>
      <c r="AA246" s="99"/>
      <c r="AB246" s="99"/>
      <c r="AC246" s="98"/>
      <c r="AD246" s="98"/>
      <c r="AE246" s="98"/>
      <c r="AF246" s="98"/>
      <c r="AG246" s="98"/>
      <c r="AH246" s="98"/>
    </row>
    <row r="247" spans="2:34" x14ac:dyDescent="0.25">
      <c r="B247" s="73"/>
      <c r="C247" s="74"/>
      <c r="D247" s="80"/>
      <c r="E247" s="81"/>
      <c r="F247" s="81"/>
      <c r="G247" s="81"/>
      <c r="H247" s="81"/>
      <c r="I247" s="82"/>
      <c r="J247" s="88"/>
      <c r="K247" s="89"/>
      <c r="L247" s="88"/>
      <c r="M247" s="89"/>
      <c r="N247" s="80"/>
      <c r="O247" s="82"/>
      <c r="P247" s="94"/>
      <c r="Q247" s="95"/>
      <c r="S247" s="99"/>
      <c r="T247" s="99"/>
      <c r="U247" s="99"/>
      <c r="V247" s="99"/>
      <c r="W247" s="99"/>
      <c r="X247" s="99"/>
      <c r="Y247" s="99"/>
      <c r="Z247" s="99"/>
      <c r="AA247" s="99"/>
      <c r="AB247" s="99"/>
      <c r="AC247" s="98"/>
      <c r="AD247" s="98"/>
      <c r="AE247" s="98"/>
      <c r="AF247" s="98"/>
      <c r="AG247" s="98"/>
      <c r="AH247" s="98"/>
    </row>
    <row r="248" spans="2:34" x14ac:dyDescent="0.25">
      <c r="B248" s="75"/>
      <c r="C248" s="76"/>
      <c r="D248" s="83"/>
      <c r="E248" s="84"/>
      <c r="F248" s="84"/>
      <c r="G248" s="84"/>
      <c r="H248" s="84"/>
      <c r="I248" s="85"/>
      <c r="J248" s="90"/>
      <c r="K248" s="91"/>
      <c r="L248" s="90"/>
      <c r="M248" s="91"/>
      <c r="N248" s="83"/>
      <c r="O248" s="85"/>
      <c r="P248" s="96"/>
      <c r="Q248" s="97"/>
      <c r="S248" s="99"/>
      <c r="T248" s="99"/>
      <c r="U248" s="99"/>
      <c r="V248" s="99"/>
      <c r="W248" s="99"/>
      <c r="X248" s="99"/>
      <c r="Y248" s="99"/>
      <c r="Z248" s="99"/>
      <c r="AA248" s="99"/>
      <c r="AB248" s="99"/>
      <c r="AC248" s="98"/>
      <c r="AD248" s="98"/>
      <c r="AE248" s="98"/>
      <c r="AF248" s="98"/>
      <c r="AG248" s="98"/>
      <c r="AH248" s="98"/>
    </row>
    <row r="249" spans="2:34" x14ac:dyDescent="0.25">
      <c r="B249" s="71"/>
      <c r="C249" s="72"/>
      <c r="D249" s="77"/>
      <c r="E249" s="78"/>
      <c r="F249" s="78"/>
      <c r="G249" s="78"/>
      <c r="H249" s="78"/>
      <c r="I249" s="79"/>
      <c r="J249" s="86"/>
      <c r="K249" s="87"/>
      <c r="L249" s="86"/>
      <c r="M249" s="87"/>
      <c r="N249" s="77"/>
      <c r="O249" s="79"/>
      <c r="P249" s="92"/>
      <c r="Q249" s="93"/>
      <c r="S249" s="99"/>
      <c r="T249" s="99"/>
      <c r="U249" s="99"/>
      <c r="V249" s="99"/>
      <c r="W249" s="99"/>
      <c r="X249" s="99"/>
      <c r="Y249" s="99"/>
      <c r="Z249" s="99"/>
      <c r="AA249" s="99"/>
      <c r="AB249" s="99"/>
      <c r="AC249" s="98"/>
      <c r="AD249" s="98"/>
      <c r="AE249" s="98"/>
      <c r="AF249" s="98"/>
      <c r="AG249" s="98"/>
      <c r="AH249" s="98"/>
    </row>
    <row r="250" spans="2:34" x14ac:dyDescent="0.25">
      <c r="B250" s="73"/>
      <c r="C250" s="74"/>
      <c r="D250" s="80"/>
      <c r="E250" s="81"/>
      <c r="F250" s="81"/>
      <c r="G250" s="81"/>
      <c r="H250" s="81"/>
      <c r="I250" s="82"/>
      <c r="J250" s="88"/>
      <c r="K250" s="89"/>
      <c r="L250" s="88"/>
      <c r="M250" s="89"/>
      <c r="N250" s="80"/>
      <c r="O250" s="82"/>
      <c r="P250" s="94"/>
      <c r="Q250" s="95"/>
      <c r="S250" s="99"/>
      <c r="T250" s="99"/>
      <c r="U250" s="99"/>
      <c r="V250" s="99"/>
      <c r="W250" s="99"/>
      <c r="X250" s="99"/>
      <c r="Y250" s="99"/>
      <c r="Z250" s="99"/>
      <c r="AA250" s="99"/>
      <c r="AB250" s="99"/>
      <c r="AC250" s="98"/>
      <c r="AD250" s="98"/>
      <c r="AE250" s="98"/>
      <c r="AF250" s="98"/>
      <c r="AG250" s="98"/>
      <c r="AH250" s="98"/>
    </row>
    <row r="251" spans="2:34" x14ac:dyDescent="0.25">
      <c r="B251" s="75"/>
      <c r="C251" s="76"/>
      <c r="D251" s="83"/>
      <c r="E251" s="84"/>
      <c r="F251" s="84"/>
      <c r="G251" s="84"/>
      <c r="H251" s="84"/>
      <c r="I251" s="85"/>
      <c r="J251" s="90"/>
      <c r="K251" s="91"/>
      <c r="L251" s="90"/>
      <c r="M251" s="91"/>
      <c r="N251" s="83"/>
      <c r="O251" s="85"/>
      <c r="P251" s="96"/>
      <c r="Q251" s="97"/>
      <c r="S251" s="99"/>
      <c r="T251" s="99"/>
      <c r="U251" s="99"/>
      <c r="V251" s="99"/>
      <c r="W251" s="99"/>
      <c r="X251" s="99"/>
      <c r="Y251" s="99"/>
      <c r="Z251" s="99"/>
      <c r="AA251" s="99"/>
      <c r="AB251" s="99"/>
      <c r="AC251" s="98"/>
      <c r="AD251" s="98"/>
      <c r="AE251" s="98"/>
      <c r="AF251" s="98"/>
      <c r="AG251" s="98"/>
      <c r="AH251" s="98"/>
    </row>
    <row r="252" spans="2:34" x14ac:dyDescent="0.25">
      <c r="B252" s="71"/>
      <c r="C252" s="72"/>
      <c r="D252" s="77"/>
      <c r="E252" s="78"/>
      <c r="F252" s="78"/>
      <c r="G252" s="78"/>
      <c r="H252" s="78"/>
      <c r="I252" s="79"/>
      <c r="J252" s="86"/>
      <c r="K252" s="87"/>
      <c r="L252" s="86"/>
      <c r="M252" s="87"/>
      <c r="N252" s="77"/>
      <c r="O252" s="79"/>
      <c r="P252" s="92"/>
      <c r="Q252" s="93"/>
      <c r="S252" s="99"/>
      <c r="T252" s="99"/>
      <c r="U252" s="99"/>
      <c r="V252" s="99"/>
      <c r="W252" s="99"/>
      <c r="X252" s="99"/>
      <c r="Y252" s="99"/>
      <c r="Z252" s="99"/>
      <c r="AA252" s="99"/>
      <c r="AB252" s="99"/>
      <c r="AC252" s="98"/>
      <c r="AD252" s="98"/>
      <c r="AE252" s="98"/>
      <c r="AF252" s="98"/>
      <c r="AG252" s="98"/>
      <c r="AH252" s="98"/>
    </row>
    <row r="253" spans="2:34" x14ac:dyDescent="0.25">
      <c r="B253" s="73"/>
      <c r="C253" s="74"/>
      <c r="D253" s="80"/>
      <c r="E253" s="81"/>
      <c r="F253" s="81"/>
      <c r="G253" s="81"/>
      <c r="H253" s="81"/>
      <c r="I253" s="82"/>
      <c r="J253" s="88"/>
      <c r="K253" s="89"/>
      <c r="L253" s="88"/>
      <c r="M253" s="89"/>
      <c r="N253" s="80"/>
      <c r="O253" s="82"/>
      <c r="P253" s="94"/>
      <c r="Q253" s="95"/>
      <c r="S253" s="99"/>
      <c r="T253" s="99"/>
      <c r="U253" s="99"/>
      <c r="V253" s="99"/>
      <c r="W253" s="99"/>
      <c r="X253" s="99"/>
      <c r="Y253" s="99"/>
      <c r="Z253" s="99"/>
      <c r="AA253" s="99"/>
      <c r="AB253" s="99"/>
      <c r="AC253" s="98"/>
      <c r="AD253" s="98"/>
      <c r="AE253" s="98"/>
      <c r="AF253" s="98"/>
      <c r="AG253" s="98"/>
      <c r="AH253" s="98"/>
    </row>
    <row r="254" spans="2:34" x14ac:dyDescent="0.25">
      <c r="B254" s="75"/>
      <c r="C254" s="76"/>
      <c r="D254" s="83"/>
      <c r="E254" s="84"/>
      <c r="F254" s="84"/>
      <c r="G254" s="84"/>
      <c r="H254" s="84"/>
      <c r="I254" s="85"/>
      <c r="J254" s="90"/>
      <c r="K254" s="91"/>
      <c r="L254" s="90"/>
      <c r="M254" s="91"/>
      <c r="N254" s="83"/>
      <c r="O254" s="85"/>
      <c r="P254" s="96"/>
      <c r="Q254" s="97"/>
      <c r="S254" s="99"/>
      <c r="T254" s="99"/>
      <c r="U254" s="99"/>
      <c r="V254" s="99"/>
      <c r="W254" s="99"/>
      <c r="X254" s="99"/>
      <c r="Y254" s="99"/>
      <c r="Z254" s="99"/>
      <c r="AA254" s="99"/>
      <c r="AB254" s="99"/>
      <c r="AC254" s="98"/>
      <c r="AD254" s="98"/>
      <c r="AE254" s="98"/>
      <c r="AF254" s="98"/>
      <c r="AG254" s="98"/>
      <c r="AH254" s="98"/>
    </row>
    <row r="255" spans="2:34" x14ac:dyDescent="0.25">
      <c r="B255" s="71"/>
      <c r="C255" s="72"/>
      <c r="D255" s="77"/>
      <c r="E255" s="78"/>
      <c r="F255" s="78"/>
      <c r="G255" s="78"/>
      <c r="H255" s="78"/>
      <c r="I255" s="79"/>
      <c r="J255" s="86"/>
      <c r="K255" s="87"/>
      <c r="L255" s="86"/>
      <c r="M255" s="87"/>
      <c r="N255" s="77"/>
      <c r="O255" s="79"/>
      <c r="P255" s="92"/>
      <c r="Q255" s="93"/>
      <c r="S255" s="99"/>
      <c r="T255" s="99"/>
      <c r="U255" s="99"/>
      <c r="V255" s="99"/>
      <c r="W255" s="99"/>
      <c r="X255" s="99"/>
      <c r="Y255" s="99"/>
      <c r="Z255" s="99"/>
      <c r="AA255" s="99"/>
      <c r="AB255" s="99"/>
      <c r="AC255" s="98"/>
      <c r="AD255" s="98"/>
      <c r="AE255" s="98"/>
      <c r="AF255" s="98"/>
      <c r="AG255" s="98"/>
      <c r="AH255" s="98"/>
    </row>
    <row r="256" spans="2:34" x14ac:dyDescent="0.25">
      <c r="B256" s="73"/>
      <c r="C256" s="74"/>
      <c r="D256" s="80"/>
      <c r="E256" s="81"/>
      <c r="F256" s="81"/>
      <c r="G256" s="81"/>
      <c r="H256" s="81"/>
      <c r="I256" s="82"/>
      <c r="J256" s="88"/>
      <c r="K256" s="89"/>
      <c r="L256" s="88"/>
      <c r="M256" s="89"/>
      <c r="N256" s="80"/>
      <c r="O256" s="82"/>
      <c r="P256" s="94"/>
      <c r="Q256" s="95"/>
      <c r="S256" s="99"/>
      <c r="T256" s="99"/>
      <c r="U256" s="99"/>
      <c r="V256" s="99"/>
      <c r="W256" s="99"/>
      <c r="X256" s="99"/>
      <c r="Y256" s="99"/>
      <c r="Z256" s="99"/>
      <c r="AA256" s="99"/>
      <c r="AB256" s="99"/>
      <c r="AC256" s="98"/>
      <c r="AD256" s="98"/>
      <c r="AE256" s="98"/>
      <c r="AF256" s="98"/>
      <c r="AG256" s="98"/>
      <c r="AH256" s="98"/>
    </row>
    <row r="257" spans="2:34" x14ac:dyDescent="0.25">
      <c r="B257" s="75"/>
      <c r="C257" s="76"/>
      <c r="D257" s="83"/>
      <c r="E257" s="84"/>
      <c r="F257" s="84"/>
      <c r="G257" s="84"/>
      <c r="H257" s="84"/>
      <c r="I257" s="85"/>
      <c r="J257" s="90"/>
      <c r="K257" s="91"/>
      <c r="L257" s="90"/>
      <c r="M257" s="91"/>
      <c r="N257" s="83"/>
      <c r="O257" s="85"/>
      <c r="P257" s="96"/>
      <c r="Q257" s="97"/>
      <c r="S257" s="99"/>
      <c r="T257" s="99"/>
      <c r="U257" s="99"/>
      <c r="V257" s="99"/>
      <c r="W257" s="99"/>
      <c r="X257" s="99"/>
      <c r="Y257" s="99"/>
      <c r="Z257" s="99"/>
      <c r="AA257" s="99"/>
      <c r="AB257" s="99"/>
      <c r="AC257" s="98"/>
      <c r="AD257" s="98"/>
      <c r="AE257" s="98"/>
      <c r="AF257" s="98"/>
      <c r="AG257" s="98"/>
      <c r="AH257" s="98"/>
    </row>
    <row r="258" spans="2:34" x14ac:dyDescent="0.25">
      <c r="B258" s="71"/>
      <c r="C258" s="72"/>
      <c r="D258" s="77"/>
      <c r="E258" s="78"/>
      <c r="F258" s="78"/>
      <c r="G258" s="78"/>
      <c r="H258" s="78"/>
      <c r="I258" s="79"/>
      <c r="J258" s="86"/>
      <c r="K258" s="87"/>
      <c r="L258" s="86"/>
      <c r="M258" s="87"/>
      <c r="N258" s="77"/>
      <c r="O258" s="79"/>
      <c r="P258" s="92"/>
      <c r="Q258" s="93"/>
      <c r="S258" s="99"/>
      <c r="T258" s="99"/>
      <c r="U258" s="99"/>
      <c r="V258" s="99"/>
      <c r="W258" s="99"/>
      <c r="X258" s="99"/>
      <c r="Y258" s="99"/>
      <c r="Z258" s="99"/>
      <c r="AA258" s="99"/>
      <c r="AB258" s="99"/>
      <c r="AC258" s="98"/>
      <c r="AD258" s="98"/>
      <c r="AE258" s="98"/>
      <c r="AF258" s="98"/>
      <c r="AG258" s="98"/>
      <c r="AH258" s="98"/>
    </row>
    <row r="259" spans="2:34" x14ac:dyDescent="0.25">
      <c r="B259" s="73"/>
      <c r="C259" s="74"/>
      <c r="D259" s="80"/>
      <c r="E259" s="81"/>
      <c r="F259" s="81"/>
      <c r="G259" s="81"/>
      <c r="H259" s="81"/>
      <c r="I259" s="82"/>
      <c r="J259" s="88"/>
      <c r="K259" s="89"/>
      <c r="L259" s="88"/>
      <c r="M259" s="89"/>
      <c r="N259" s="80"/>
      <c r="O259" s="82"/>
      <c r="P259" s="94"/>
      <c r="Q259" s="95"/>
      <c r="S259" s="99"/>
      <c r="T259" s="99"/>
      <c r="U259" s="99"/>
      <c r="V259" s="99"/>
      <c r="W259" s="99"/>
      <c r="X259" s="99"/>
      <c r="Y259" s="99"/>
      <c r="Z259" s="99"/>
      <c r="AA259" s="99"/>
      <c r="AB259" s="99"/>
      <c r="AC259" s="98"/>
      <c r="AD259" s="98"/>
      <c r="AE259" s="98"/>
      <c r="AF259" s="98"/>
      <c r="AG259" s="98"/>
      <c r="AH259" s="98"/>
    </row>
    <row r="260" spans="2:34" x14ac:dyDescent="0.25">
      <c r="B260" s="75"/>
      <c r="C260" s="76"/>
      <c r="D260" s="83"/>
      <c r="E260" s="84"/>
      <c r="F260" s="84"/>
      <c r="G260" s="84"/>
      <c r="H260" s="84"/>
      <c r="I260" s="85"/>
      <c r="J260" s="90"/>
      <c r="K260" s="91"/>
      <c r="L260" s="90"/>
      <c r="M260" s="91"/>
      <c r="N260" s="83"/>
      <c r="O260" s="85"/>
      <c r="P260" s="96"/>
      <c r="Q260" s="97"/>
      <c r="S260" s="99"/>
      <c r="T260" s="99"/>
      <c r="U260" s="99"/>
      <c r="V260" s="99"/>
      <c r="W260" s="99"/>
      <c r="X260" s="99"/>
      <c r="Y260" s="99"/>
      <c r="Z260" s="99"/>
      <c r="AA260" s="99"/>
      <c r="AB260" s="99"/>
      <c r="AC260" s="98"/>
      <c r="AD260" s="98"/>
      <c r="AE260" s="98"/>
      <c r="AF260" s="98"/>
      <c r="AG260" s="98"/>
      <c r="AH260" s="98"/>
    </row>
    <row r="261" spans="2:34" x14ac:dyDescent="0.25">
      <c r="B261" s="71"/>
      <c r="C261" s="72"/>
      <c r="D261" s="77"/>
      <c r="E261" s="78"/>
      <c r="F261" s="78"/>
      <c r="G261" s="78"/>
      <c r="H261" s="78"/>
      <c r="I261" s="79"/>
      <c r="J261" s="86"/>
      <c r="K261" s="87"/>
      <c r="L261" s="86"/>
      <c r="M261" s="87"/>
      <c r="N261" s="77"/>
      <c r="O261" s="79"/>
      <c r="P261" s="92"/>
      <c r="Q261" s="93"/>
      <c r="S261" s="99"/>
      <c r="T261" s="99"/>
      <c r="U261" s="99"/>
      <c r="V261" s="99"/>
      <c r="W261" s="99"/>
      <c r="X261" s="99"/>
      <c r="Y261" s="99"/>
      <c r="Z261" s="99"/>
      <c r="AA261" s="99"/>
      <c r="AB261" s="99"/>
      <c r="AC261" s="98"/>
      <c r="AD261" s="98"/>
      <c r="AE261" s="98"/>
      <c r="AF261" s="98"/>
      <c r="AG261" s="98"/>
      <c r="AH261" s="98"/>
    </row>
    <row r="262" spans="2:34" x14ac:dyDescent="0.25">
      <c r="B262" s="73"/>
      <c r="C262" s="74"/>
      <c r="D262" s="80"/>
      <c r="E262" s="81"/>
      <c r="F262" s="81"/>
      <c r="G262" s="81"/>
      <c r="H262" s="81"/>
      <c r="I262" s="82"/>
      <c r="J262" s="88"/>
      <c r="K262" s="89"/>
      <c r="L262" s="88"/>
      <c r="M262" s="89"/>
      <c r="N262" s="80"/>
      <c r="O262" s="82"/>
      <c r="P262" s="94"/>
      <c r="Q262" s="95"/>
      <c r="S262" s="99"/>
      <c r="T262" s="99"/>
      <c r="U262" s="99"/>
      <c r="V262" s="99"/>
      <c r="W262" s="99"/>
      <c r="X262" s="99"/>
      <c r="Y262" s="99"/>
      <c r="Z262" s="99"/>
      <c r="AA262" s="99"/>
      <c r="AB262" s="99"/>
      <c r="AC262" s="98"/>
      <c r="AD262" s="98"/>
      <c r="AE262" s="98"/>
      <c r="AF262" s="98"/>
      <c r="AG262" s="98"/>
      <c r="AH262" s="98"/>
    </row>
    <row r="263" spans="2:34" x14ac:dyDescent="0.25">
      <c r="B263" s="75"/>
      <c r="C263" s="76"/>
      <c r="D263" s="83"/>
      <c r="E263" s="84"/>
      <c r="F263" s="84"/>
      <c r="G263" s="84"/>
      <c r="H263" s="84"/>
      <c r="I263" s="85"/>
      <c r="J263" s="90"/>
      <c r="K263" s="91"/>
      <c r="L263" s="90"/>
      <c r="M263" s="91"/>
      <c r="N263" s="83"/>
      <c r="O263" s="85"/>
      <c r="P263" s="96"/>
      <c r="Q263" s="97"/>
      <c r="S263" s="99"/>
      <c r="T263" s="99"/>
      <c r="U263" s="99"/>
      <c r="V263" s="99"/>
      <c r="W263" s="99"/>
      <c r="X263" s="99"/>
      <c r="Y263" s="99"/>
      <c r="Z263" s="99"/>
      <c r="AA263" s="99"/>
      <c r="AB263" s="99"/>
      <c r="AC263" s="98"/>
      <c r="AD263" s="98"/>
      <c r="AE263" s="98"/>
      <c r="AF263" s="98"/>
      <c r="AG263" s="98"/>
      <c r="AH263" s="98"/>
    </row>
    <row r="264" spans="2:34" x14ac:dyDescent="0.25">
      <c r="B264" s="71"/>
      <c r="C264" s="72"/>
      <c r="D264" s="77"/>
      <c r="E264" s="78"/>
      <c r="F264" s="78"/>
      <c r="G264" s="78"/>
      <c r="H264" s="78"/>
      <c r="I264" s="79"/>
      <c r="J264" s="86"/>
      <c r="K264" s="87"/>
      <c r="L264" s="86"/>
      <c r="M264" s="87"/>
      <c r="N264" s="77"/>
      <c r="O264" s="79"/>
      <c r="P264" s="92"/>
      <c r="Q264" s="93"/>
      <c r="S264" s="99"/>
      <c r="T264" s="99"/>
      <c r="U264" s="99"/>
      <c r="V264" s="99"/>
      <c r="W264" s="99"/>
      <c r="X264" s="99"/>
      <c r="Y264" s="99"/>
      <c r="Z264" s="99"/>
      <c r="AA264" s="99"/>
      <c r="AB264" s="99"/>
      <c r="AC264" s="98"/>
      <c r="AD264" s="98"/>
      <c r="AE264" s="98"/>
      <c r="AF264" s="98"/>
      <c r="AG264" s="98"/>
      <c r="AH264" s="98"/>
    </row>
    <row r="265" spans="2:34" x14ac:dyDescent="0.25">
      <c r="B265" s="73"/>
      <c r="C265" s="74"/>
      <c r="D265" s="80"/>
      <c r="E265" s="81"/>
      <c r="F265" s="81"/>
      <c r="G265" s="81"/>
      <c r="H265" s="81"/>
      <c r="I265" s="82"/>
      <c r="J265" s="88"/>
      <c r="K265" s="89"/>
      <c r="L265" s="88"/>
      <c r="M265" s="89"/>
      <c r="N265" s="80"/>
      <c r="O265" s="82"/>
      <c r="P265" s="94"/>
      <c r="Q265" s="95"/>
      <c r="S265" s="99"/>
      <c r="T265" s="99"/>
      <c r="U265" s="99"/>
      <c r="V265" s="99"/>
      <c r="W265" s="99"/>
      <c r="X265" s="99"/>
      <c r="Y265" s="99"/>
      <c r="Z265" s="99"/>
      <c r="AA265" s="99"/>
      <c r="AB265" s="99"/>
      <c r="AC265" s="98"/>
      <c r="AD265" s="98"/>
      <c r="AE265" s="98"/>
      <c r="AF265" s="98"/>
      <c r="AG265" s="98"/>
      <c r="AH265" s="98"/>
    </row>
    <row r="266" spans="2:34" x14ac:dyDescent="0.25">
      <c r="B266" s="75"/>
      <c r="C266" s="76"/>
      <c r="D266" s="83"/>
      <c r="E266" s="84"/>
      <c r="F266" s="84"/>
      <c r="G266" s="84"/>
      <c r="H266" s="84"/>
      <c r="I266" s="85"/>
      <c r="J266" s="90"/>
      <c r="K266" s="91"/>
      <c r="L266" s="90"/>
      <c r="M266" s="91"/>
      <c r="N266" s="83"/>
      <c r="O266" s="85"/>
      <c r="P266" s="96"/>
      <c r="Q266" s="97"/>
      <c r="S266" s="99"/>
      <c r="T266" s="99"/>
      <c r="U266" s="99"/>
      <c r="V266" s="99"/>
      <c r="W266" s="99"/>
      <c r="X266" s="99"/>
      <c r="Y266" s="99"/>
      <c r="Z266" s="99"/>
      <c r="AA266" s="99"/>
      <c r="AB266" s="99"/>
      <c r="AC266" s="98"/>
      <c r="AD266" s="98"/>
      <c r="AE266" s="98"/>
      <c r="AF266" s="98"/>
      <c r="AG266" s="98"/>
      <c r="AH266" s="98"/>
    </row>
    <row r="267" spans="2:34" x14ac:dyDescent="0.25">
      <c r="B267" s="71"/>
      <c r="C267" s="72"/>
      <c r="D267" s="77"/>
      <c r="E267" s="78"/>
      <c r="F267" s="78"/>
      <c r="G267" s="78"/>
      <c r="H267" s="78"/>
      <c r="I267" s="79"/>
      <c r="J267" s="86"/>
      <c r="K267" s="87"/>
      <c r="L267" s="86"/>
      <c r="M267" s="87"/>
      <c r="N267" s="77"/>
      <c r="O267" s="79"/>
      <c r="P267" s="92"/>
      <c r="Q267" s="93"/>
      <c r="S267" s="99"/>
      <c r="T267" s="99"/>
      <c r="U267" s="99"/>
      <c r="V267" s="99"/>
      <c r="W267" s="99"/>
      <c r="X267" s="99"/>
      <c r="Y267" s="99"/>
      <c r="Z267" s="99"/>
      <c r="AA267" s="99"/>
      <c r="AB267" s="99"/>
      <c r="AC267" s="98"/>
      <c r="AD267" s="98"/>
      <c r="AE267" s="98"/>
      <c r="AF267" s="98"/>
      <c r="AG267" s="98"/>
      <c r="AH267" s="98"/>
    </row>
    <row r="268" spans="2:34" x14ac:dyDescent="0.25">
      <c r="B268" s="73"/>
      <c r="C268" s="74"/>
      <c r="D268" s="80"/>
      <c r="E268" s="81"/>
      <c r="F268" s="81"/>
      <c r="G268" s="81"/>
      <c r="H268" s="81"/>
      <c r="I268" s="82"/>
      <c r="J268" s="88"/>
      <c r="K268" s="89"/>
      <c r="L268" s="88"/>
      <c r="M268" s="89"/>
      <c r="N268" s="80"/>
      <c r="O268" s="82"/>
      <c r="P268" s="94"/>
      <c r="Q268" s="95"/>
      <c r="S268" s="99"/>
      <c r="T268" s="99"/>
      <c r="U268" s="99"/>
      <c r="V268" s="99"/>
      <c r="W268" s="99"/>
      <c r="X268" s="99"/>
      <c r="Y268" s="99"/>
      <c r="Z268" s="99"/>
      <c r="AA268" s="99"/>
      <c r="AB268" s="99"/>
      <c r="AC268" s="98"/>
      <c r="AD268" s="98"/>
      <c r="AE268" s="98"/>
      <c r="AF268" s="98"/>
      <c r="AG268" s="98"/>
      <c r="AH268" s="98"/>
    </row>
    <row r="269" spans="2:34" x14ac:dyDescent="0.25">
      <c r="B269" s="75"/>
      <c r="C269" s="76"/>
      <c r="D269" s="83"/>
      <c r="E269" s="84"/>
      <c r="F269" s="84"/>
      <c r="G269" s="84"/>
      <c r="H269" s="84"/>
      <c r="I269" s="85"/>
      <c r="J269" s="90"/>
      <c r="K269" s="91"/>
      <c r="L269" s="90"/>
      <c r="M269" s="91"/>
      <c r="N269" s="83"/>
      <c r="O269" s="85"/>
      <c r="P269" s="96"/>
      <c r="Q269" s="97"/>
      <c r="S269" s="99"/>
      <c r="T269" s="99"/>
      <c r="U269" s="99"/>
      <c r="V269" s="99"/>
      <c r="W269" s="99"/>
      <c r="X269" s="99"/>
      <c r="Y269" s="99"/>
      <c r="Z269" s="99"/>
      <c r="AA269" s="99"/>
      <c r="AB269" s="99"/>
      <c r="AC269" s="98"/>
      <c r="AD269" s="98"/>
      <c r="AE269" s="98"/>
      <c r="AF269" s="98"/>
      <c r="AG269" s="98"/>
      <c r="AH269" s="98"/>
    </row>
    <row r="270" spans="2:34" x14ac:dyDescent="0.25">
      <c r="B270" s="71"/>
      <c r="C270" s="72"/>
      <c r="D270" s="77"/>
      <c r="E270" s="78"/>
      <c r="F270" s="78"/>
      <c r="G270" s="78"/>
      <c r="H270" s="78"/>
      <c r="I270" s="79"/>
      <c r="J270" s="86"/>
      <c r="K270" s="87"/>
      <c r="L270" s="86"/>
      <c r="M270" s="87"/>
      <c r="N270" s="77"/>
      <c r="O270" s="79"/>
      <c r="P270" s="92"/>
      <c r="Q270" s="93"/>
      <c r="S270" s="99"/>
      <c r="T270" s="99"/>
      <c r="U270" s="99"/>
      <c r="V270" s="99"/>
      <c r="W270" s="99"/>
      <c r="X270" s="99"/>
      <c r="Y270" s="99"/>
      <c r="Z270" s="99"/>
      <c r="AA270" s="99"/>
      <c r="AB270" s="99"/>
      <c r="AC270" s="98"/>
      <c r="AD270" s="98"/>
      <c r="AE270" s="98"/>
      <c r="AF270" s="98"/>
      <c r="AG270" s="98"/>
      <c r="AH270" s="98"/>
    </row>
    <row r="271" spans="2:34" x14ac:dyDescent="0.25">
      <c r="B271" s="73"/>
      <c r="C271" s="74"/>
      <c r="D271" s="80"/>
      <c r="E271" s="81"/>
      <c r="F271" s="81"/>
      <c r="G271" s="81"/>
      <c r="H271" s="81"/>
      <c r="I271" s="82"/>
      <c r="J271" s="88"/>
      <c r="K271" s="89"/>
      <c r="L271" s="88"/>
      <c r="M271" s="89"/>
      <c r="N271" s="80"/>
      <c r="O271" s="82"/>
      <c r="P271" s="94"/>
      <c r="Q271" s="95"/>
      <c r="S271" s="99"/>
      <c r="T271" s="99"/>
      <c r="U271" s="99"/>
      <c r="V271" s="99"/>
      <c r="W271" s="99"/>
      <c r="X271" s="99"/>
      <c r="Y271" s="99"/>
      <c r="Z271" s="99"/>
      <c r="AA271" s="99"/>
      <c r="AB271" s="99"/>
      <c r="AC271" s="98"/>
      <c r="AD271" s="98"/>
      <c r="AE271" s="98"/>
      <c r="AF271" s="98"/>
      <c r="AG271" s="98"/>
      <c r="AH271" s="98"/>
    </row>
    <row r="272" spans="2:34" x14ac:dyDescent="0.25">
      <c r="B272" s="75"/>
      <c r="C272" s="76"/>
      <c r="D272" s="83"/>
      <c r="E272" s="84"/>
      <c r="F272" s="84"/>
      <c r="G272" s="84"/>
      <c r="H272" s="84"/>
      <c r="I272" s="85"/>
      <c r="J272" s="90"/>
      <c r="K272" s="91"/>
      <c r="L272" s="90"/>
      <c r="M272" s="91"/>
      <c r="N272" s="83"/>
      <c r="O272" s="85"/>
      <c r="P272" s="96"/>
      <c r="Q272" s="97"/>
      <c r="S272" s="99"/>
      <c r="T272" s="99"/>
      <c r="U272" s="99"/>
      <c r="V272" s="99"/>
      <c r="W272" s="99"/>
      <c r="X272" s="99"/>
      <c r="Y272" s="99"/>
      <c r="Z272" s="99"/>
      <c r="AA272" s="99"/>
      <c r="AB272" s="99"/>
      <c r="AC272" s="98"/>
      <c r="AD272" s="98"/>
      <c r="AE272" s="98"/>
      <c r="AF272" s="98"/>
      <c r="AG272" s="98"/>
      <c r="AH272" s="98"/>
    </row>
    <row r="273" spans="2:34" x14ac:dyDescent="0.25">
      <c r="B273" s="71"/>
      <c r="C273" s="72"/>
      <c r="D273" s="77"/>
      <c r="E273" s="78"/>
      <c r="F273" s="78"/>
      <c r="G273" s="78"/>
      <c r="H273" s="78"/>
      <c r="I273" s="79"/>
      <c r="J273" s="86"/>
      <c r="K273" s="87"/>
      <c r="L273" s="86"/>
      <c r="M273" s="87"/>
      <c r="N273" s="77"/>
      <c r="O273" s="79"/>
      <c r="P273" s="92"/>
      <c r="Q273" s="93"/>
      <c r="S273" s="99"/>
      <c r="T273" s="99"/>
      <c r="U273" s="99"/>
      <c r="V273" s="99"/>
      <c r="W273" s="99"/>
      <c r="X273" s="99"/>
      <c r="Y273" s="99"/>
      <c r="Z273" s="99"/>
      <c r="AA273" s="99"/>
      <c r="AB273" s="99"/>
      <c r="AC273" s="98"/>
      <c r="AD273" s="98"/>
      <c r="AE273" s="98"/>
      <c r="AF273" s="98"/>
      <c r="AG273" s="98"/>
      <c r="AH273" s="98"/>
    </row>
    <row r="274" spans="2:34" x14ac:dyDescent="0.25">
      <c r="B274" s="73"/>
      <c r="C274" s="74"/>
      <c r="D274" s="80"/>
      <c r="E274" s="81"/>
      <c r="F274" s="81"/>
      <c r="G274" s="81"/>
      <c r="H274" s="81"/>
      <c r="I274" s="82"/>
      <c r="J274" s="88"/>
      <c r="K274" s="89"/>
      <c r="L274" s="88"/>
      <c r="M274" s="89"/>
      <c r="N274" s="80"/>
      <c r="O274" s="82"/>
      <c r="P274" s="94"/>
      <c r="Q274" s="95"/>
      <c r="S274" s="99"/>
      <c r="T274" s="99"/>
      <c r="U274" s="99"/>
      <c r="V274" s="99"/>
      <c r="W274" s="99"/>
      <c r="X274" s="99"/>
      <c r="Y274" s="99"/>
      <c r="Z274" s="99"/>
      <c r="AA274" s="99"/>
      <c r="AB274" s="99"/>
      <c r="AC274" s="98"/>
      <c r="AD274" s="98"/>
      <c r="AE274" s="98"/>
      <c r="AF274" s="98"/>
      <c r="AG274" s="98"/>
      <c r="AH274" s="98"/>
    </row>
    <row r="275" spans="2:34" x14ac:dyDescent="0.25">
      <c r="B275" s="75"/>
      <c r="C275" s="76"/>
      <c r="D275" s="83"/>
      <c r="E275" s="84"/>
      <c r="F275" s="84"/>
      <c r="G275" s="84"/>
      <c r="H275" s="84"/>
      <c r="I275" s="85"/>
      <c r="J275" s="90"/>
      <c r="K275" s="91"/>
      <c r="L275" s="90"/>
      <c r="M275" s="91"/>
      <c r="N275" s="83"/>
      <c r="O275" s="85"/>
      <c r="P275" s="96"/>
      <c r="Q275" s="97"/>
      <c r="S275" s="99"/>
      <c r="T275" s="99"/>
      <c r="U275" s="99"/>
      <c r="V275" s="99"/>
      <c r="W275" s="99"/>
      <c r="X275" s="99"/>
      <c r="Y275" s="99"/>
      <c r="Z275" s="99"/>
      <c r="AA275" s="99"/>
      <c r="AB275" s="99"/>
      <c r="AC275" s="98"/>
      <c r="AD275" s="98"/>
      <c r="AE275" s="98"/>
      <c r="AF275" s="98"/>
      <c r="AG275" s="98"/>
      <c r="AH275" s="98"/>
    </row>
    <row r="276" spans="2:34" x14ac:dyDescent="0.25">
      <c r="B276" s="71"/>
      <c r="C276" s="72"/>
      <c r="D276" s="77"/>
      <c r="E276" s="78"/>
      <c r="F276" s="78"/>
      <c r="G276" s="78"/>
      <c r="H276" s="78"/>
      <c r="I276" s="79"/>
      <c r="J276" s="86"/>
      <c r="K276" s="87"/>
      <c r="L276" s="86"/>
      <c r="M276" s="87"/>
      <c r="N276" s="77"/>
      <c r="O276" s="79"/>
      <c r="P276" s="92"/>
      <c r="Q276" s="93"/>
      <c r="S276" s="99"/>
      <c r="T276" s="99"/>
      <c r="U276" s="99"/>
      <c r="V276" s="99"/>
      <c r="W276" s="99"/>
      <c r="X276" s="99"/>
      <c r="Y276" s="99"/>
      <c r="Z276" s="99"/>
      <c r="AA276" s="99"/>
      <c r="AB276" s="99"/>
      <c r="AC276" s="98"/>
      <c r="AD276" s="98"/>
      <c r="AE276" s="98"/>
      <c r="AF276" s="98"/>
      <c r="AG276" s="98"/>
      <c r="AH276" s="98"/>
    </row>
    <row r="277" spans="2:34" x14ac:dyDescent="0.25">
      <c r="B277" s="73"/>
      <c r="C277" s="74"/>
      <c r="D277" s="80"/>
      <c r="E277" s="81"/>
      <c r="F277" s="81"/>
      <c r="G277" s="81"/>
      <c r="H277" s="81"/>
      <c r="I277" s="82"/>
      <c r="J277" s="88"/>
      <c r="K277" s="89"/>
      <c r="L277" s="88"/>
      <c r="M277" s="89"/>
      <c r="N277" s="80"/>
      <c r="O277" s="82"/>
      <c r="P277" s="94"/>
      <c r="Q277" s="95"/>
      <c r="S277" s="99"/>
      <c r="T277" s="99"/>
      <c r="U277" s="99"/>
      <c r="V277" s="99"/>
      <c r="W277" s="99"/>
      <c r="X277" s="99"/>
      <c r="Y277" s="99"/>
      <c r="Z277" s="99"/>
      <c r="AA277" s="99"/>
      <c r="AB277" s="99"/>
      <c r="AC277" s="98"/>
      <c r="AD277" s="98"/>
      <c r="AE277" s="98"/>
      <c r="AF277" s="98"/>
      <c r="AG277" s="98"/>
      <c r="AH277" s="98"/>
    </row>
    <row r="278" spans="2:34" x14ac:dyDescent="0.25">
      <c r="B278" s="75"/>
      <c r="C278" s="76"/>
      <c r="D278" s="83"/>
      <c r="E278" s="84"/>
      <c r="F278" s="84"/>
      <c r="G278" s="84"/>
      <c r="H278" s="84"/>
      <c r="I278" s="85"/>
      <c r="J278" s="90"/>
      <c r="K278" s="91"/>
      <c r="L278" s="90"/>
      <c r="M278" s="91"/>
      <c r="N278" s="83"/>
      <c r="O278" s="85"/>
      <c r="P278" s="96"/>
      <c r="Q278" s="97"/>
      <c r="S278" s="99"/>
      <c r="T278" s="99"/>
      <c r="U278" s="99"/>
      <c r="V278" s="99"/>
      <c r="W278" s="99"/>
      <c r="X278" s="99"/>
      <c r="Y278" s="99"/>
      <c r="Z278" s="99"/>
      <c r="AA278" s="99"/>
      <c r="AB278" s="99"/>
      <c r="AC278" s="98"/>
      <c r="AD278" s="98"/>
      <c r="AE278" s="98"/>
      <c r="AF278" s="98"/>
      <c r="AG278" s="98"/>
      <c r="AH278" s="98"/>
    </row>
    <row r="279" spans="2:34" x14ac:dyDescent="0.25">
      <c r="B279" s="71"/>
      <c r="C279" s="72"/>
      <c r="D279" s="77"/>
      <c r="E279" s="78"/>
      <c r="F279" s="78"/>
      <c r="G279" s="78"/>
      <c r="H279" s="78"/>
      <c r="I279" s="79"/>
      <c r="J279" s="86"/>
      <c r="K279" s="87"/>
      <c r="L279" s="86"/>
      <c r="M279" s="87"/>
      <c r="N279" s="77"/>
      <c r="O279" s="79"/>
      <c r="P279" s="92"/>
      <c r="Q279" s="93"/>
      <c r="S279" s="99"/>
      <c r="T279" s="99"/>
      <c r="U279" s="99"/>
      <c r="V279" s="99"/>
      <c r="W279" s="99"/>
      <c r="X279" s="99"/>
      <c r="Y279" s="99"/>
      <c r="Z279" s="99"/>
      <c r="AA279" s="99"/>
      <c r="AB279" s="99"/>
      <c r="AC279" s="98"/>
      <c r="AD279" s="98"/>
      <c r="AE279" s="98"/>
      <c r="AF279" s="98"/>
      <c r="AG279" s="98"/>
      <c r="AH279" s="98"/>
    </row>
    <row r="280" spans="2:34" x14ac:dyDescent="0.25">
      <c r="B280" s="73"/>
      <c r="C280" s="74"/>
      <c r="D280" s="80"/>
      <c r="E280" s="81"/>
      <c r="F280" s="81"/>
      <c r="G280" s="81"/>
      <c r="H280" s="81"/>
      <c r="I280" s="82"/>
      <c r="J280" s="88"/>
      <c r="K280" s="89"/>
      <c r="L280" s="88"/>
      <c r="M280" s="89"/>
      <c r="N280" s="80"/>
      <c r="O280" s="82"/>
      <c r="P280" s="94"/>
      <c r="Q280" s="95"/>
      <c r="S280" s="99"/>
      <c r="T280" s="99"/>
      <c r="U280" s="99"/>
      <c r="V280" s="99"/>
      <c r="W280" s="99"/>
      <c r="X280" s="99"/>
      <c r="Y280" s="99"/>
      <c r="Z280" s="99"/>
      <c r="AA280" s="99"/>
      <c r="AB280" s="99"/>
      <c r="AC280" s="98"/>
      <c r="AD280" s="98"/>
      <c r="AE280" s="98"/>
      <c r="AF280" s="98"/>
      <c r="AG280" s="98"/>
      <c r="AH280" s="98"/>
    </row>
    <row r="281" spans="2:34" x14ac:dyDescent="0.25">
      <c r="B281" s="75"/>
      <c r="C281" s="76"/>
      <c r="D281" s="83"/>
      <c r="E281" s="84"/>
      <c r="F281" s="84"/>
      <c r="G281" s="84"/>
      <c r="H281" s="84"/>
      <c r="I281" s="85"/>
      <c r="J281" s="90"/>
      <c r="K281" s="91"/>
      <c r="L281" s="90"/>
      <c r="M281" s="91"/>
      <c r="N281" s="83"/>
      <c r="O281" s="85"/>
      <c r="P281" s="96"/>
      <c r="Q281" s="97"/>
      <c r="S281" s="99"/>
      <c r="T281" s="99"/>
      <c r="U281" s="99"/>
      <c r="V281" s="99"/>
      <c r="W281" s="99"/>
      <c r="X281" s="99"/>
      <c r="Y281" s="99"/>
      <c r="Z281" s="99"/>
      <c r="AA281" s="99"/>
      <c r="AB281" s="99"/>
      <c r="AC281" s="98"/>
      <c r="AD281" s="98"/>
      <c r="AE281" s="98"/>
      <c r="AF281" s="98"/>
      <c r="AG281" s="98"/>
      <c r="AH281" s="98"/>
    </row>
    <row r="282" spans="2:34" x14ac:dyDescent="0.25">
      <c r="B282" s="71"/>
      <c r="C282" s="72"/>
      <c r="D282" s="77"/>
      <c r="E282" s="78"/>
      <c r="F282" s="78"/>
      <c r="G282" s="78"/>
      <c r="H282" s="78"/>
      <c r="I282" s="79"/>
      <c r="J282" s="86"/>
      <c r="K282" s="87"/>
      <c r="L282" s="86"/>
      <c r="M282" s="87"/>
      <c r="N282" s="77"/>
      <c r="O282" s="79"/>
      <c r="P282" s="92"/>
      <c r="Q282" s="93"/>
      <c r="S282" s="99"/>
      <c r="T282" s="99"/>
      <c r="U282" s="99"/>
      <c r="V282" s="99"/>
      <c r="W282" s="99"/>
      <c r="X282" s="99"/>
      <c r="Y282" s="99"/>
      <c r="Z282" s="99"/>
      <c r="AA282" s="99"/>
      <c r="AB282" s="99"/>
      <c r="AC282" s="98"/>
      <c r="AD282" s="98"/>
      <c r="AE282" s="98"/>
      <c r="AF282" s="98"/>
      <c r="AG282" s="98"/>
      <c r="AH282" s="98"/>
    </row>
    <row r="283" spans="2:34" x14ac:dyDescent="0.25">
      <c r="B283" s="73"/>
      <c r="C283" s="74"/>
      <c r="D283" s="80"/>
      <c r="E283" s="81"/>
      <c r="F283" s="81"/>
      <c r="G283" s="81"/>
      <c r="H283" s="81"/>
      <c r="I283" s="82"/>
      <c r="J283" s="88"/>
      <c r="K283" s="89"/>
      <c r="L283" s="88"/>
      <c r="M283" s="89"/>
      <c r="N283" s="80"/>
      <c r="O283" s="82"/>
      <c r="P283" s="94"/>
      <c r="Q283" s="95"/>
      <c r="S283" s="99"/>
      <c r="T283" s="99"/>
      <c r="U283" s="99"/>
      <c r="V283" s="99"/>
      <c r="W283" s="99"/>
      <c r="X283" s="99"/>
      <c r="Y283" s="99"/>
      <c r="Z283" s="99"/>
      <c r="AA283" s="99"/>
      <c r="AB283" s="99"/>
      <c r="AC283" s="98"/>
      <c r="AD283" s="98"/>
      <c r="AE283" s="98"/>
      <c r="AF283" s="98"/>
      <c r="AG283" s="98"/>
      <c r="AH283" s="98"/>
    </row>
    <row r="284" spans="2:34" x14ac:dyDescent="0.25">
      <c r="B284" s="75"/>
      <c r="C284" s="76"/>
      <c r="D284" s="83"/>
      <c r="E284" s="84"/>
      <c r="F284" s="84"/>
      <c r="G284" s="84"/>
      <c r="H284" s="84"/>
      <c r="I284" s="85"/>
      <c r="J284" s="90"/>
      <c r="K284" s="91"/>
      <c r="L284" s="90"/>
      <c r="M284" s="91"/>
      <c r="N284" s="83"/>
      <c r="O284" s="85"/>
      <c r="P284" s="96"/>
      <c r="Q284" s="97"/>
      <c r="S284" s="99"/>
      <c r="T284" s="99"/>
      <c r="U284" s="99"/>
      <c r="V284" s="99"/>
      <c r="W284" s="99"/>
      <c r="X284" s="99"/>
      <c r="Y284" s="99"/>
      <c r="Z284" s="99"/>
      <c r="AA284" s="99"/>
      <c r="AB284" s="99"/>
      <c r="AC284" s="98"/>
      <c r="AD284" s="98"/>
      <c r="AE284" s="98"/>
      <c r="AF284" s="98"/>
      <c r="AG284" s="98"/>
      <c r="AH284" s="98"/>
    </row>
    <row r="285" spans="2:34" x14ac:dyDescent="0.25">
      <c r="B285" s="71"/>
      <c r="C285" s="72"/>
      <c r="D285" s="77"/>
      <c r="E285" s="78"/>
      <c r="F285" s="78"/>
      <c r="G285" s="78"/>
      <c r="H285" s="78"/>
      <c r="I285" s="79"/>
      <c r="J285" s="86"/>
      <c r="K285" s="87"/>
      <c r="L285" s="86"/>
      <c r="M285" s="87"/>
      <c r="N285" s="77"/>
      <c r="O285" s="79"/>
      <c r="P285" s="92"/>
      <c r="Q285" s="93"/>
      <c r="S285" s="99"/>
      <c r="T285" s="99"/>
      <c r="U285" s="99"/>
      <c r="V285" s="99"/>
      <c r="W285" s="99"/>
      <c r="X285" s="99"/>
      <c r="Y285" s="99"/>
      <c r="Z285" s="99"/>
      <c r="AA285" s="99"/>
      <c r="AB285" s="99"/>
      <c r="AC285" s="98"/>
      <c r="AD285" s="98"/>
      <c r="AE285" s="98"/>
      <c r="AF285" s="98"/>
      <c r="AG285" s="98"/>
      <c r="AH285" s="98"/>
    </row>
    <row r="286" spans="2:34" x14ac:dyDescent="0.25">
      <c r="B286" s="73"/>
      <c r="C286" s="74"/>
      <c r="D286" s="80"/>
      <c r="E286" s="81"/>
      <c r="F286" s="81"/>
      <c r="G286" s="81"/>
      <c r="H286" s="81"/>
      <c r="I286" s="82"/>
      <c r="J286" s="88"/>
      <c r="K286" s="89"/>
      <c r="L286" s="88"/>
      <c r="M286" s="89"/>
      <c r="N286" s="80"/>
      <c r="O286" s="82"/>
      <c r="P286" s="94"/>
      <c r="Q286" s="95"/>
      <c r="S286" s="99"/>
      <c r="T286" s="99"/>
      <c r="U286" s="99"/>
      <c r="V286" s="99"/>
      <c r="W286" s="99"/>
      <c r="X286" s="99"/>
      <c r="Y286" s="99"/>
      <c r="Z286" s="99"/>
      <c r="AA286" s="99"/>
      <c r="AB286" s="99"/>
      <c r="AC286" s="98"/>
      <c r="AD286" s="98"/>
      <c r="AE286" s="98"/>
      <c r="AF286" s="98"/>
      <c r="AG286" s="98"/>
      <c r="AH286" s="98"/>
    </row>
    <row r="287" spans="2:34" x14ac:dyDescent="0.25">
      <c r="B287" s="75"/>
      <c r="C287" s="76"/>
      <c r="D287" s="83"/>
      <c r="E287" s="84"/>
      <c r="F287" s="84"/>
      <c r="G287" s="84"/>
      <c r="H287" s="84"/>
      <c r="I287" s="85"/>
      <c r="J287" s="90"/>
      <c r="K287" s="91"/>
      <c r="L287" s="90"/>
      <c r="M287" s="91"/>
      <c r="N287" s="83"/>
      <c r="O287" s="85"/>
      <c r="P287" s="96"/>
      <c r="Q287" s="97"/>
      <c r="S287" s="99"/>
      <c r="T287" s="99"/>
      <c r="U287" s="99"/>
      <c r="V287" s="99"/>
      <c r="W287" s="99"/>
      <c r="X287" s="99"/>
      <c r="Y287" s="99"/>
      <c r="Z287" s="99"/>
      <c r="AA287" s="99"/>
      <c r="AB287" s="99"/>
      <c r="AC287" s="98"/>
      <c r="AD287" s="98"/>
      <c r="AE287" s="98"/>
      <c r="AF287" s="98"/>
      <c r="AG287" s="98"/>
      <c r="AH287" s="98"/>
    </row>
    <row r="288" spans="2:34" x14ac:dyDescent="0.25">
      <c r="B288" s="71"/>
      <c r="C288" s="72"/>
      <c r="D288" s="77"/>
      <c r="E288" s="78"/>
      <c r="F288" s="78"/>
      <c r="G288" s="78"/>
      <c r="H288" s="78"/>
      <c r="I288" s="79"/>
      <c r="J288" s="86"/>
      <c r="K288" s="87"/>
      <c r="L288" s="86"/>
      <c r="M288" s="87"/>
      <c r="N288" s="77"/>
      <c r="O288" s="79"/>
      <c r="P288" s="92"/>
      <c r="Q288" s="93"/>
      <c r="S288" s="99"/>
      <c r="T288" s="99"/>
      <c r="U288" s="99"/>
      <c r="V288" s="99"/>
      <c r="W288" s="99"/>
      <c r="X288" s="99"/>
      <c r="Y288" s="99"/>
      <c r="Z288" s="99"/>
      <c r="AA288" s="99"/>
      <c r="AB288" s="99"/>
      <c r="AC288" s="98"/>
      <c r="AD288" s="98"/>
      <c r="AE288" s="98"/>
      <c r="AF288" s="98"/>
      <c r="AG288" s="98"/>
      <c r="AH288" s="98"/>
    </row>
    <row r="289" spans="2:34" x14ac:dyDescent="0.25">
      <c r="B289" s="73"/>
      <c r="C289" s="74"/>
      <c r="D289" s="80"/>
      <c r="E289" s="81"/>
      <c r="F289" s="81"/>
      <c r="G289" s="81"/>
      <c r="H289" s="81"/>
      <c r="I289" s="82"/>
      <c r="J289" s="88"/>
      <c r="K289" s="89"/>
      <c r="L289" s="88"/>
      <c r="M289" s="89"/>
      <c r="N289" s="80"/>
      <c r="O289" s="82"/>
      <c r="P289" s="94"/>
      <c r="Q289" s="95"/>
      <c r="S289" s="99"/>
      <c r="T289" s="99"/>
      <c r="U289" s="99"/>
      <c r="V289" s="99"/>
      <c r="W289" s="99"/>
      <c r="X289" s="99"/>
      <c r="Y289" s="99"/>
      <c r="Z289" s="99"/>
      <c r="AA289" s="99"/>
      <c r="AB289" s="99"/>
      <c r="AC289" s="98"/>
      <c r="AD289" s="98"/>
      <c r="AE289" s="98"/>
      <c r="AF289" s="98"/>
      <c r="AG289" s="98"/>
      <c r="AH289" s="98"/>
    </row>
    <row r="290" spans="2:34" x14ac:dyDescent="0.25">
      <c r="B290" s="75"/>
      <c r="C290" s="76"/>
      <c r="D290" s="83"/>
      <c r="E290" s="84"/>
      <c r="F290" s="84"/>
      <c r="G290" s="84"/>
      <c r="H290" s="84"/>
      <c r="I290" s="85"/>
      <c r="J290" s="90"/>
      <c r="K290" s="91"/>
      <c r="L290" s="90"/>
      <c r="M290" s="91"/>
      <c r="N290" s="83"/>
      <c r="O290" s="85"/>
      <c r="P290" s="96"/>
      <c r="Q290" s="97"/>
      <c r="S290" s="99"/>
      <c r="T290" s="99"/>
      <c r="U290" s="99"/>
      <c r="V290" s="99"/>
      <c r="W290" s="99"/>
      <c r="X290" s="99"/>
      <c r="Y290" s="99"/>
      <c r="Z290" s="99"/>
      <c r="AA290" s="99"/>
      <c r="AB290" s="99"/>
      <c r="AC290" s="98"/>
      <c r="AD290" s="98"/>
      <c r="AE290" s="98"/>
      <c r="AF290" s="98"/>
      <c r="AG290" s="98"/>
      <c r="AH290" s="98"/>
    </row>
    <row r="291" spans="2:34" x14ac:dyDescent="0.25">
      <c r="B291" s="71"/>
      <c r="C291" s="72"/>
      <c r="D291" s="77"/>
      <c r="E291" s="78"/>
      <c r="F291" s="78"/>
      <c r="G291" s="78"/>
      <c r="H291" s="78"/>
      <c r="I291" s="79"/>
      <c r="J291" s="86"/>
      <c r="K291" s="87"/>
      <c r="L291" s="86"/>
      <c r="M291" s="87"/>
      <c r="N291" s="77"/>
      <c r="O291" s="79"/>
      <c r="P291" s="92"/>
      <c r="Q291" s="93"/>
      <c r="S291" s="99"/>
      <c r="T291" s="99"/>
      <c r="U291" s="99"/>
      <c r="V291" s="99"/>
      <c r="W291" s="99"/>
      <c r="X291" s="99"/>
      <c r="Y291" s="99"/>
      <c r="Z291" s="99"/>
      <c r="AA291" s="99"/>
      <c r="AB291" s="99"/>
      <c r="AC291" s="98"/>
      <c r="AD291" s="98"/>
      <c r="AE291" s="98"/>
      <c r="AF291" s="98"/>
      <c r="AG291" s="98"/>
      <c r="AH291" s="98"/>
    </row>
    <row r="292" spans="2:34" x14ac:dyDescent="0.25">
      <c r="B292" s="73"/>
      <c r="C292" s="74"/>
      <c r="D292" s="80"/>
      <c r="E292" s="81"/>
      <c r="F292" s="81"/>
      <c r="G292" s="81"/>
      <c r="H292" s="81"/>
      <c r="I292" s="82"/>
      <c r="J292" s="88"/>
      <c r="K292" s="89"/>
      <c r="L292" s="88"/>
      <c r="M292" s="89"/>
      <c r="N292" s="80"/>
      <c r="O292" s="82"/>
      <c r="P292" s="94"/>
      <c r="Q292" s="95"/>
      <c r="S292" s="99"/>
      <c r="T292" s="99"/>
      <c r="U292" s="99"/>
      <c r="V292" s="99"/>
      <c r="W292" s="99"/>
      <c r="X292" s="99"/>
      <c r="Y292" s="99"/>
      <c r="Z292" s="99"/>
      <c r="AA292" s="99"/>
      <c r="AB292" s="99"/>
      <c r="AC292" s="98"/>
      <c r="AD292" s="98"/>
      <c r="AE292" s="98"/>
      <c r="AF292" s="98"/>
      <c r="AG292" s="98"/>
      <c r="AH292" s="98"/>
    </row>
    <row r="293" spans="2:34" x14ac:dyDescent="0.25">
      <c r="B293" s="75"/>
      <c r="C293" s="76"/>
      <c r="D293" s="83"/>
      <c r="E293" s="84"/>
      <c r="F293" s="84"/>
      <c r="G293" s="84"/>
      <c r="H293" s="84"/>
      <c r="I293" s="85"/>
      <c r="J293" s="90"/>
      <c r="K293" s="91"/>
      <c r="L293" s="90"/>
      <c r="M293" s="91"/>
      <c r="N293" s="83"/>
      <c r="O293" s="85"/>
      <c r="P293" s="96"/>
      <c r="Q293" s="97"/>
      <c r="S293" s="99"/>
      <c r="T293" s="99"/>
      <c r="U293" s="99"/>
      <c r="V293" s="99"/>
      <c r="W293" s="99"/>
      <c r="X293" s="99"/>
      <c r="Y293" s="99"/>
      <c r="Z293" s="99"/>
      <c r="AA293" s="99"/>
      <c r="AB293" s="99"/>
      <c r="AC293" s="98"/>
      <c r="AD293" s="98"/>
      <c r="AE293" s="98"/>
      <c r="AF293" s="98"/>
      <c r="AG293" s="98"/>
      <c r="AH293" s="98"/>
    </row>
    <row r="294" spans="2:34" x14ac:dyDescent="0.25">
      <c r="B294" s="71"/>
      <c r="C294" s="72"/>
      <c r="D294" s="77"/>
      <c r="E294" s="78"/>
      <c r="F294" s="78"/>
      <c r="G294" s="78"/>
      <c r="H294" s="78"/>
      <c r="I294" s="79"/>
      <c r="J294" s="86"/>
      <c r="K294" s="87"/>
      <c r="L294" s="86"/>
      <c r="M294" s="87"/>
      <c r="N294" s="77"/>
      <c r="O294" s="79"/>
      <c r="P294" s="92"/>
      <c r="Q294" s="93"/>
      <c r="S294" s="99"/>
      <c r="T294" s="99"/>
      <c r="U294" s="99"/>
      <c r="V294" s="99"/>
      <c r="W294" s="99"/>
      <c r="X294" s="99"/>
      <c r="Y294" s="99"/>
      <c r="Z294" s="99"/>
      <c r="AA294" s="99"/>
      <c r="AB294" s="99"/>
      <c r="AC294" s="98"/>
      <c r="AD294" s="98"/>
      <c r="AE294" s="98"/>
      <c r="AF294" s="98"/>
      <c r="AG294" s="98"/>
      <c r="AH294" s="98"/>
    </row>
    <row r="295" spans="2:34" x14ac:dyDescent="0.25">
      <c r="B295" s="73"/>
      <c r="C295" s="74"/>
      <c r="D295" s="80"/>
      <c r="E295" s="81"/>
      <c r="F295" s="81"/>
      <c r="G295" s="81"/>
      <c r="H295" s="81"/>
      <c r="I295" s="82"/>
      <c r="J295" s="88"/>
      <c r="K295" s="89"/>
      <c r="L295" s="88"/>
      <c r="M295" s="89"/>
      <c r="N295" s="80"/>
      <c r="O295" s="82"/>
      <c r="P295" s="94"/>
      <c r="Q295" s="95"/>
      <c r="S295" s="99"/>
      <c r="T295" s="99"/>
      <c r="U295" s="99"/>
      <c r="V295" s="99"/>
      <c r="W295" s="99"/>
      <c r="X295" s="99"/>
      <c r="Y295" s="99"/>
      <c r="Z295" s="99"/>
      <c r="AA295" s="99"/>
      <c r="AB295" s="99"/>
      <c r="AC295" s="98"/>
      <c r="AD295" s="98"/>
      <c r="AE295" s="98"/>
      <c r="AF295" s="98"/>
      <c r="AG295" s="98"/>
      <c r="AH295" s="98"/>
    </row>
    <row r="296" spans="2:34" x14ac:dyDescent="0.25">
      <c r="B296" s="75"/>
      <c r="C296" s="76"/>
      <c r="D296" s="83"/>
      <c r="E296" s="84"/>
      <c r="F296" s="84"/>
      <c r="G296" s="84"/>
      <c r="H296" s="84"/>
      <c r="I296" s="85"/>
      <c r="J296" s="90"/>
      <c r="K296" s="91"/>
      <c r="L296" s="90"/>
      <c r="M296" s="91"/>
      <c r="N296" s="83"/>
      <c r="O296" s="85"/>
      <c r="P296" s="96"/>
      <c r="Q296" s="97"/>
      <c r="S296" s="99"/>
      <c r="T296" s="99"/>
      <c r="U296" s="99"/>
      <c r="V296" s="99"/>
      <c r="W296" s="99"/>
      <c r="X296" s="99"/>
      <c r="Y296" s="99"/>
      <c r="Z296" s="99"/>
      <c r="AA296" s="99"/>
      <c r="AB296" s="99"/>
      <c r="AC296" s="98"/>
      <c r="AD296" s="98"/>
      <c r="AE296" s="98"/>
      <c r="AF296" s="98"/>
      <c r="AG296" s="98"/>
      <c r="AH296" s="98"/>
    </row>
    <row r="297" spans="2:34" x14ac:dyDescent="0.25">
      <c r="B297" s="71"/>
      <c r="C297" s="72"/>
      <c r="D297" s="77"/>
      <c r="E297" s="78"/>
      <c r="F297" s="78"/>
      <c r="G297" s="78"/>
      <c r="H297" s="78"/>
      <c r="I297" s="79"/>
      <c r="J297" s="86"/>
      <c r="K297" s="87"/>
      <c r="L297" s="86"/>
      <c r="M297" s="87"/>
      <c r="N297" s="77"/>
      <c r="O297" s="79"/>
      <c r="P297" s="92"/>
      <c r="Q297" s="93"/>
      <c r="S297" s="99"/>
      <c r="T297" s="99"/>
      <c r="U297" s="99"/>
      <c r="V297" s="99"/>
      <c r="W297" s="99"/>
      <c r="X297" s="99"/>
      <c r="Y297" s="99"/>
      <c r="Z297" s="99"/>
      <c r="AA297" s="99"/>
      <c r="AB297" s="99"/>
      <c r="AC297" s="98"/>
      <c r="AD297" s="98"/>
      <c r="AE297" s="98"/>
      <c r="AF297" s="98"/>
      <c r="AG297" s="98"/>
      <c r="AH297" s="98"/>
    </row>
    <row r="298" spans="2:34" x14ac:dyDescent="0.25">
      <c r="B298" s="73"/>
      <c r="C298" s="74"/>
      <c r="D298" s="80"/>
      <c r="E298" s="81"/>
      <c r="F298" s="81"/>
      <c r="G298" s="81"/>
      <c r="H298" s="81"/>
      <c r="I298" s="82"/>
      <c r="J298" s="88"/>
      <c r="K298" s="89"/>
      <c r="L298" s="88"/>
      <c r="M298" s="89"/>
      <c r="N298" s="80"/>
      <c r="O298" s="82"/>
      <c r="P298" s="94"/>
      <c r="Q298" s="95"/>
      <c r="S298" s="99"/>
      <c r="T298" s="99"/>
      <c r="U298" s="99"/>
      <c r="V298" s="99"/>
      <c r="W298" s="99"/>
      <c r="X298" s="99"/>
      <c r="Y298" s="99"/>
      <c r="Z298" s="99"/>
      <c r="AA298" s="99"/>
      <c r="AB298" s="99"/>
      <c r="AC298" s="98"/>
      <c r="AD298" s="98"/>
      <c r="AE298" s="98"/>
      <c r="AF298" s="98"/>
      <c r="AG298" s="98"/>
      <c r="AH298" s="98"/>
    </row>
    <row r="299" spans="2:34" x14ac:dyDescent="0.25">
      <c r="B299" s="75"/>
      <c r="C299" s="76"/>
      <c r="D299" s="83"/>
      <c r="E299" s="84"/>
      <c r="F299" s="84"/>
      <c r="G299" s="84"/>
      <c r="H299" s="84"/>
      <c r="I299" s="85"/>
      <c r="J299" s="90"/>
      <c r="K299" s="91"/>
      <c r="L299" s="90"/>
      <c r="M299" s="91"/>
      <c r="N299" s="83"/>
      <c r="O299" s="85"/>
      <c r="P299" s="96"/>
      <c r="Q299" s="97"/>
      <c r="S299" s="99"/>
      <c r="T299" s="99"/>
      <c r="U299" s="99"/>
      <c r="V299" s="99"/>
      <c r="W299" s="99"/>
      <c r="X299" s="99"/>
      <c r="Y299" s="99"/>
      <c r="Z299" s="99"/>
      <c r="AA299" s="99"/>
      <c r="AB299" s="99"/>
      <c r="AC299" s="98"/>
      <c r="AD299" s="98"/>
      <c r="AE299" s="98"/>
      <c r="AF299" s="98"/>
      <c r="AG299" s="98"/>
      <c r="AH299" s="98"/>
    </row>
    <row r="300" spans="2:34" x14ac:dyDescent="0.25">
      <c r="B300" s="71"/>
      <c r="C300" s="72"/>
      <c r="D300" s="77"/>
      <c r="E300" s="78"/>
      <c r="F300" s="78"/>
      <c r="G300" s="78"/>
      <c r="H300" s="78"/>
      <c r="I300" s="79"/>
      <c r="J300" s="86"/>
      <c r="K300" s="87"/>
      <c r="L300" s="86"/>
      <c r="M300" s="87"/>
      <c r="N300" s="77"/>
      <c r="O300" s="79"/>
      <c r="P300" s="92"/>
      <c r="Q300" s="93"/>
      <c r="S300" s="99"/>
      <c r="T300" s="99"/>
      <c r="U300" s="99"/>
      <c r="V300" s="99"/>
      <c r="W300" s="99"/>
      <c r="X300" s="99"/>
      <c r="Y300" s="99"/>
      <c r="Z300" s="99"/>
      <c r="AA300" s="99"/>
      <c r="AB300" s="99"/>
      <c r="AC300" s="98"/>
      <c r="AD300" s="98"/>
      <c r="AE300" s="98"/>
      <c r="AF300" s="98"/>
      <c r="AG300" s="98"/>
      <c r="AH300" s="98"/>
    </row>
    <row r="301" spans="2:34" x14ac:dyDescent="0.25">
      <c r="B301" s="73"/>
      <c r="C301" s="74"/>
      <c r="D301" s="80"/>
      <c r="E301" s="81"/>
      <c r="F301" s="81"/>
      <c r="G301" s="81"/>
      <c r="H301" s="81"/>
      <c r="I301" s="82"/>
      <c r="J301" s="88"/>
      <c r="K301" s="89"/>
      <c r="L301" s="88"/>
      <c r="M301" s="89"/>
      <c r="N301" s="80"/>
      <c r="O301" s="82"/>
      <c r="P301" s="94"/>
      <c r="Q301" s="95"/>
      <c r="S301" s="99"/>
      <c r="T301" s="99"/>
      <c r="U301" s="99"/>
      <c r="V301" s="99"/>
      <c r="W301" s="99"/>
      <c r="X301" s="99"/>
      <c r="Y301" s="99"/>
      <c r="Z301" s="99"/>
      <c r="AA301" s="99"/>
      <c r="AB301" s="99"/>
      <c r="AC301" s="98"/>
      <c r="AD301" s="98"/>
      <c r="AE301" s="98"/>
      <c r="AF301" s="98"/>
      <c r="AG301" s="98"/>
      <c r="AH301" s="98"/>
    </row>
    <row r="302" spans="2:34" x14ac:dyDescent="0.25">
      <c r="B302" s="75"/>
      <c r="C302" s="76"/>
      <c r="D302" s="83"/>
      <c r="E302" s="84"/>
      <c r="F302" s="84"/>
      <c r="G302" s="84"/>
      <c r="H302" s="84"/>
      <c r="I302" s="85"/>
      <c r="J302" s="90"/>
      <c r="K302" s="91"/>
      <c r="L302" s="90"/>
      <c r="M302" s="91"/>
      <c r="N302" s="83"/>
      <c r="O302" s="85"/>
      <c r="P302" s="96"/>
      <c r="Q302" s="97"/>
      <c r="S302" s="99"/>
      <c r="T302" s="99"/>
      <c r="U302" s="99"/>
      <c r="V302" s="99"/>
      <c r="W302" s="99"/>
      <c r="X302" s="99"/>
      <c r="Y302" s="99"/>
      <c r="Z302" s="99"/>
      <c r="AA302" s="99"/>
      <c r="AB302" s="99"/>
      <c r="AC302" s="98"/>
      <c r="AD302" s="98"/>
      <c r="AE302" s="98"/>
      <c r="AF302" s="98"/>
      <c r="AG302" s="98"/>
      <c r="AH302" s="98"/>
    </row>
    <row r="303" spans="2:34" x14ac:dyDescent="0.25">
      <c r="B303" s="71"/>
      <c r="C303" s="72"/>
      <c r="D303" s="77"/>
      <c r="E303" s="78"/>
      <c r="F303" s="78"/>
      <c r="G303" s="78"/>
      <c r="H303" s="78"/>
      <c r="I303" s="79"/>
      <c r="J303" s="86"/>
      <c r="K303" s="87"/>
      <c r="L303" s="86"/>
      <c r="M303" s="87"/>
      <c r="N303" s="77"/>
      <c r="O303" s="79"/>
      <c r="P303" s="92"/>
      <c r="Q303" s="93"/>
      <c r="S303" s="99"/>
      <c r="T303" s="99"/>
      <c r="U303" s="99"/>
      <c r="V303" s="99"/>
      <c r="W303" s="99"/>
      <c r="X303" s="99"/>
      <c r="Y303" s="99"/>
      <c r="Z303" s="99"/>
      <c r="AA303" s="99"/>
      <c r="AB303" s="99"/>
      <c r="AC303" s="98"/>
      <c r="AD303" s="98"/>
      <c r="AE303" s="98"/>
      <c r="AF303" s="98"/>
      <c r="AG303" s="98"/>
      <c r="AH303" s="98"/>
    </row>
    <row r="304" spans="2:34" x14ac:dyDescent="0.25">
      <c r="B304" s="73"/>
      <c r="C304" s="74"/>
      <c r="D304" s="80"/>
      <c r="E304" s="81"/>
      <c r="F304" s="81"/>
      <c r="G304" s="81"/>
      <c r="H304" s="81"/>
      <c r="I304" s="82"/>
      <c r="J304" s="88"/>
      <c r="K304" s="89"/>
      <c r="L304" s="88"/>
      <c r="M304" s="89"/>
      <c r="N304" s="80"/>
      <c r="O304" s="82"/>
      <c r="P304" s="94"/>
      <c r="Q304" s="95"/>
      <c r="S304" s="99"/>
      <c r="T304" s="99"/>
      <c r="U304" s="99"/>
      <c r="V304" s="99"/>
      <c r="W304" s="99"/>
      <c r="X304" s="99"/>
      <c r="Y304" s="99"/>
      <c r="Z304" s="99"/>
      <c r="AA304" s="99"/>
      <c r="AB304" s="99"/>
      <c r="AC304" s="98"/>
      <c r="AD304" s="98"/>
      <c r="AE304" s="98"/>
      <c r="AF304" s="98"/>
      <c r="AG304" s="98"/>
      <c r="AH304" s="98"/>
    </row>
    <row r="305" spans="2:34" x14ac:dyDescent="0.25">
      <c r="B305" s="75"/>
      <c r="C305" s="76"/>
      <c r="D305" s="83"/>
      <c r="E305" s="84"/>
      <c r="F305" s="84"/>
      <c r="G305" s="84"/>
      <c r="H305" s="84"/>
      <c r="I305" s="85"/>
      <c r="J305" s="90"/>
      <c r="K305" s="91"/>
      <c r="L305" s="90"/>
      <c r="M305" s="91"/>
      <c r="N305" s="83"/>
      <c r="O305" s="85"/>
      <c r="P305" s="96"/>
      <c r="Q305" s="97"/>
      <c r="S305" s="99"/>
      <c r="T305" s="99"/>
      <c r="U305" s="99"/>
      <c r="V305" s="99"/>
      <c r="W305" s="99"/>
      <c r="X305" s="99"/>
      <c r="Y305" s="99"/>
      <c r="Z305" s="99"/>
      <c r="AA305" s="99"/>
      <c r="AB305" s="99"/>
      <c r="AC305" s="98"/>
      <c r="AD305" s="98"/>
      <c r="AE305" s="98"/>
      <c r="AF305" s="98"/>
      <c r="AG305" s="98"/>
      <c r="AH305" s="98"/>
    </row>
    <row r="306" spans="2:34" x14ac:dyDescent="0.25">
      <c r="B306" s="71"/>
      <c r="C306" s="72"/>
      <c r="D306" s="77"/>
      <c r="E306" s="78"/>
      <c r="F306" s="78"/>
      <c r="G306" s="78"/>
      <c r="H306" s="78"/>
      <c r="I306" s="79"/>
      <c r="J306" s="86"/>
      <c r="K306" s="87"/>
      <c r="L306" s="86"/>
      <c r="M306" s="87"/>
      <c r="N306" s="77"/>
      <c r="O306" s="79"/>
      <c r="P306" s="92"/>
      <c r="Q306" s="93"/>
      <c r="S306" s="99"/>
      <c r="T306" s="99"/>
      <c r="U306" s="99"/>
      <c r="V306" s="99"/>
      <c r="W306" s="99"/>
      <c r="X306" s="99"/>
      <c r="Y306" s="99"/>
      <c r="Z306" s="99"/>
      <c r="AA306" s="99"/>
      <c r="AB306" s="99"/>
      <c r="AC306" s="98"/>
      <c r="AD306" s="98"/>
      <c r="AE306" s="98"/>
      <c r="AF306" s="98"/>
      <c r="AG306" s="98"/>
      <c r="AH306" s="98"/>
    </row>
    <row r="307" spans="2:34" x14ac:dyDescent="0.25">
      <c r="B307" s="73"/>
      <c r="C307" s="74"/>
      <c r="D307" s="80"/>
      <c r="E307" s="81"/>
      <c r="F307" s="81"/>
      <c r="G307" s="81"/>
      <c r="H307" s="81"/>
      <c r="I307" s="82"/>
      <c r="J307" s="88"/>
      <c r="K307" s="89"/>
      <c r="L307" s="88"/>
      <c r="M307" s="89"/>
      <c r="N307" s="80"/>
      <c r="O307" s="82"/>
      <c r="P307" s="94"/>
      <c r="Q307" s="95"/>
      <c r="S307" s="99"/>
      <c r="T307" s="99"/>
      <c r="U307" s="99"/>
      <c r="V307" s="99"/>
      <c r="W307" s="99"/>
      <c r="X307" s="99"/>
      <c r="Y307" s="99"/>
      <c r="Z307" s="99"/>
      <c r="AA307" s="99"/>
      <c r="AB307" s="99"/>
      <c r="AC307" s="98"/>
      <c r="AD307" s="98"/>
      <c r="AE307" s="98"/>
      <c r="AF307" s="98"/>
      <c r="AG307" s="98"/>
      <c r="AH307" s="98"/>
    </row>
    <row r="308" spans="2:34" x14ac:dyDescent="0.25">
      <c r="B308" s="75"/>
      <c r="C308" s="76"/>
      <c r="D308" s="83"/>
      <c r="E308" s="84"/>
      <c r="F308" s="84"/>
      <c r="G308" s="84"/>
      <c r="H308" s="84"/>
      <c r="I308" s="85"/>
      <c r="J308" s="90"/>
      <c r="K308" s="91"/>
      <c r="L308" s="90"/>
      <c r="M308" s="91"/>
      <c r="N308" s="83"/>
      <c r="O308" s="85"/>
      <c r="P308" s="96"/>
      <c r="Q308" s="97"/>
      <c r="S308" s="99"/>
      <c r="T308" s="99"/>
      <c r="U308" s="99"/>
      <c r="V308" s="99"/>
      <c r="W308" s="99"/>
      <c r="X308" s="99"/>
      <c r="Y308" s="99"/>
      <c r="Z308" s="99"/>
      <c r="AA308" s="99"/>
      <c r="AB308" s="99"/>
      <c r="AC308" s="98"/>
      <c r="AD308" s="98"/>
      <c r="AE308" s="98"/>
      <c r="AF308" s="98"/>
      <c r="AG308" s="98"/>
      <c r="AH308" s="98"/>
    </row>
    <row r="309" spans="2:34" x14ac:dyDescent="0.25">
      <c r="B309" s="71"/>
      <c r="C309" s="72"/>
      <c r="D309" s="77"/>
      <c r="E309" s="78"/>
      <c r="F309" s="78"/>
      <c r="G309" s="78"/>
      <c r="H309" s="78"/>
      <c r="I309" s="79"/>
      <c r="J309" s="86"/>
      <c r="K309" s="87"/>
      <c r="L309" s="86"/>
      <c r="M309" s="87"/>
      <c r="N309" s="77"/>
      <c r="O309" s="79"/>
      <c r="P309" s="92"/>
      <c r="Q309" s="93"/>
      <c r="S309" s="99"/>
      <c r="T309" s="99"/>
      <c r="U309" s="99"/>
      <c r="V309" s="99"/>
      <c r="W309" s="99"/>
      <c r="X309" s="99"/>
      <c r="Y309" s="99"/>
      <c r="Z309" s="99"/>
      <c r="AA309" s="99"/>
      <c r="AB309" s="99"/>
      <c r="AC309" s="98"/>
      <c r="AD309" s="98"/>
      <c r="AE309" s="98"/>
      <c r="AF309" s="98"/>
      <c r="AG309" s="98"/>
      <c r="AH309" s="98"/>
    </row>
    <row r="310" spans="2:34" x14ac:dyDescent="0.25">
      <c r="B310" s="73"/>
      <c r="C310" s="74"/>
      <c r="D310" s="80"/>
      <c r="E310" s="81"/>
      <c r="F310" s="81"/>
      <c r="G310" s="81"/>
      <c r="H310" s="81"/>
      <c r="I310" s="82"/>
      <c r="J310" s="88"/>
      <c r="K310" s="89"/>
      <c r="L310" s="88"/>
      <c r="M310" s="89"/>
      <c r="N310" s="80"/>
      <c r="O310" s="82"/>
      <c r="P310" s="94"/>
      <c r="Q310" s="95"/>
      <c r="S310" s="99"/>
      <c r="T310" s="99"/>
      <c r="U310" s="99"/>
      <c r="V310" s="99"/>
      <c r="W310" s="99"/>
      <c r="X310" s="99"/>
      <c r="Y310" s="99"/>
      <c r="Z310" s="99"/>
      <c r="AA310" s="99"/>
      <c r="AB310" s="99"/>
      <c r="AC310" s="98"/>
      <c r="AD310" s="98"/>
      <c r="AE310" s="98"/>
      <c r="AF310" s="98"/>
      <c r="AG310" s="98"/>
      <c r="AH310" s="98"/>
    </row>
    <row r="311" spans="2:34" x14ac:dyDescent="0.25">
      <c r="B311" s="75"/>
      <c r="C311" s="76"/>
      <c r="D311" s="83"/>
      <c r="E311" s="84"/>
      <c r="F311" s="84"/>
      <c r="G311" s="84"/>
      <c r="H311" s="84"/>
      <c r="I311" s="85"/>
      <c r="J311" s="90"/>
      <c r="K311" s="91"/>
      <c r="L311" s="90"/>
      <c r="M311" s="91"/>
      <c r="N311" s="83"/>
      <c r="O311" s="85"/>
      <c r="P311" s="96"/>
      <c r="Q311" s="97"/>
      <c r="S311" s="99"/>
      <c r="T311" s="99"/>
      <c r="U311" s="99"/>
      <c r="V311" s="99"/>
      <c r="W311" s="99"/>
      <c r="X311" s="99"/>
      <c r="Y311" s="99"/>
      <c r="Z311" s="99"/>
      <c r="AA311" s="99"/>
      <c r="AB311" s="99"/>
      <c r="AC311" s="98"/>
      <c r="AD311" s="98"/>
      <c r="AE311" s="98"/>
      <c r="AF311" s="98"/>
      <c r="AG311" s="98"/>
      <c r="AH311" s="98"/>
    </row>
    <row r="312" spans="2:34" x14ac:dyDescent="0.25">
      <c r="B312" s="71"/>
      <c r="C312" s="72"/>
      <c r="D312" s="77"/>
      <c r="E312" s="78"/>
      <c r="F312" s="78"/>
      <c r="G312" s="78"/>
      <c r="H312" s="78"/>
      <c r="I312" s="79"/>
      <c r="J312" s="86"/>
      <c r="K312" s="87"/>
      <c r="L312" s="86"/>
      <c r="M312" s="87"/>
      <c r="N312" s="77"/>
      <c r="O312" s="79"/>
      <c r="P312" s="92"/>
      <c r="Q312" s="93"/>
      <c r="S312" s="99"/>
      <c r="T312" s="99"/>
      <c r="U312" s="99"/>
      <c r="V312" s="99"/>
      <c r="W312" s="99"/>
      <c r="X312" s="99"/>
      <c r="Y312" s="99"/>
      <c r="Z312" s="99"/>
      <c r="AA312" s="99"/>
      <c r="AB312" s="99"/>
      <c r="AC312" s="98"/>
      <c r="AD312" s="98"/>
      <c r="AE312" s="98"/>
      <c r="AF312" s="98"/>
      <c r="AG312" s="98"/>
      <c r="AH312" s="98"/>
    </row>
    <row r="313" spans="2:34" x14ac:dyDescent="0.25">
      <c r="B313" s="73"/>
      <c r="C313" s="74"/>
      <c r="D313" s="80"/>
      <c r="E313" s="81"/>
      <c r="F313" s="81"/>
      <c r="G313" s="81"/>
      <c r="H313" s="81"/>
      <c r="I313" s="82"/>
      <c r="J313" s="88"/>
      <c r="K313" s="89"/>
      <c r="L313" s="88"/>
      <c r="M313" s="89"/>
      <c r="N313" s="80"/>
      <c r="O313" s="82"/>
      <c r="P313" s="94"/>
      <c r="Q313" s="95"/>
      <c r="S313" s="99"/>
      <c r="T313" s="99"/>
      <c r="U313" s="99"/>
      <c r="V313" s="99"/>
      <c r="W313" s="99"/>
      <c r="X313" s="99"/>
      <c r="Y313" s="99"/>
      <c r="Z313" s="99"/>
      <c r="AA313" s="99"/>
      <c r="AB313" s="99"/>
      <c r="AC313" s="98"/>
      <c r="AD313" s="98"/>
      <c r="AE313" s="98"/>
      <c r="AF313" s="98"/>
      <c r="AG313" s="98"/>
      <c r="AH313" s="98"/>
    </row>
    <row r="314" spans="2:34" x14ac:dyDescent="0.25">
      <c r="B314" s="75"/>
      <c r="C314" s="76"/>
      <c r="D314" s="83"/>
      <c r="E314" s="84"/>
      <c r="F314" s="84"/>
      <c r="G314" s="84"/>
      <c r="H314" s="84"/>
      <c r="I314" s="85"/>
      <c r="J314" s="90"/>
      <c r="K314" s="91"/>
      <c r="L314" s="90"/>
      <c r="M314" s="91"/>
      <c r="N314" s="83"/>
      <c r="O314" s="85"/>
      <c r="P314" s="96"/>
      <c r="Q314" s="97"/>
      <c r="S314" s="99"/>
      <c r="T314" s="99"/>
      <c r="U314" s="99"/>
      <c r="V314" s="99"/>
      <c r="W314" s="99"/>
      <c r="X314" s="99"/>
      <c r="Y314" s="99"/>
      <c r="Z314" s="99"/>
      <c r="AA314" s="99"/>
      <c r="AB314" s="99"/>
      <c r="AC314" s="98"/>
      <c r="AD314" s="98"/>
      <c r="AE314" s="98"/>
      <c r="AF314" s="98"/>
      <c r="AG314" s="98"/>
      <c r="AH314" s="98"/>
    </row>
    <row r="315" spans="2:34" x14ac:dyDescent="0.25">
      <c r="B315" s="71"/>
      <c r="C315" s="72"/>
      <c r="D315" s="77"/>
      <c r="E315" s="78"/>
      <c r="F315" s="78"/>
      <c r="G315" s="78"/>
      <c r="H315" s="78"/>
      <c r="I315" s="79"/>
      <c r="J315" s="86"/>
      <c r="K315" s="87"/>
      <c r="L315" s="86"/>
      <c r="M315" s="87"/>
      <c r="N315" s="77"/>
      <c r="O315" s="79"/>
      <c r="P315" s="92"/>
      <c r="Q315" s="93"/>
      <c r="S315" s="99"/>
      <c r="T315" s="99"/>
      <c r="U315" s="99"/>
      <c r="V315" s="99"/>
      <c r="W315" s="99"/>
      <c r="X315" s="99"/>
      <c r="Y315" s="99"/>
      <c r="Z315" s="99"/>
      <c r="AA315" s="99"/>
      <c r="AB315" s="99"/>
      <c r="AC315" s="98"/>
      <c r="AD315" s="98"/>
      <c r="AE315" s="98"/>
      <c r="AF315" s="98"/>
      <c r="AG315" s="98"/>
      <c r="AH315" s="98"/>
    </row>
    <row r="316" spans="2:34" x14ac:dyDescent="0.25">
      <c r="B316" s="73"/>
      <c r="C316" s="74"/>
      <c r="D316" s="80"/>
      <c r="E316" s="81"/>
      <c r="F316" s="81"/>
      <c r="G316" s="81"/>
      <c r="H316" s="81"/>
      <c r="I316" s="82"/>
      <c r="J316" s="88"/>
      <c r="K316" s="89"/>
      <c r="L316" s="88"/>
      <c r="M316" s="89"/>
      <c r="N316" s="80"/>
      <c r="O316" s="82"/>
      <c r="P316" s="94"/>
      <c r="Q316" s="95"/>
      <c r="S316" s="99"/>
      <c r="T316" s="99"/>
      <c r="U316" s="99"/>
      <c r="V316" s="99"/>
      <c r="W316" s="99"/>
      <c r="X316" s="99"/>
      <c r="Y316" s="99"/>
      <c r="Z316" s="99"/>
      <c r="AA316" s="99"/>
      <c r="AB316" s="99"/>
      <c r="AC316" s="98"/>
      <c r="AD316" s="98"/>
      <c r="AE316" s="98"/>
      <c r="AF316" s="98"/>
      <c r="AG316" s="98"/>
      <c r="AH316" s="98"/>
    </row>
    <row r="317" spans="2:34" x14ac:dyDescent="0.25">
      <c r="B317" s="75"/>
      <c r="C317" s="76"/>
      <c r="D317" s="83"/>
      <c r="E317" s="84"/>
      <c r="F317" s="84"/>
      <c r="G317" s="84"/>
      <c r="H317" s="84"/>
      <c r="I317" s="85"/>
      <c r="J317" s="90"/>
      <c r="K317" s="91"/>
      <c r="L317" s="90"/>
      <c r="M317" s="91"/>
      <c r="N317" s="83"/>
      <c r="O317" s="85"/>
      <c r="P317" s="96"/>
      <c r="Q317" s="97"/>
      <c r="S317" s="99"/>
      <c r="T317" s="99"/>
      <c r="U317" s="99"/>
      <c r="V317" s="99"/>
      <c r="W317" s="99"/>
      <c r="X317" s="99"/>
      <c r="Y317" s="99"/>
      <c r="Z317" s="99"/>
      <c r="AA317" s="99"/>
      <c r="AB317" s="99"/>
      <c r="AC317" s="98"/>
      <c r="AD317" s="98"/>
      <c r="AE317" s="98"/>
      <c r="AF317" s="98"/>
      <c r="AG317" s="98"/>
      <c r="AH317" s="98"/>
    </row>
    <row r="318" spans="2:34" x14ac:dyDescent="0.25">
      <c r="B318" s="71"/>
      <c r="C318" s="72"/>
      <c r="D318" s="77"/>
      <c r="E318" s="78"/>
      <c r="F318" s="78"/>
      <c r="G318" s="78"/>
      <c r="H318" s="78"/>
      <c r="I318" s="79"/>
      <c r="J318" s="86"/>
      <c r="K318" s="87"/>
      <c r="L318" s="86"/>
      <c r="M318" s="87"/>
      <c r="N318" s="77"/>
      <c r="O318" s="79"/>
      <c r="P318" s="92"/>
      <c r="Q318" s="93"/>
      <c r="S318" s="99"/>
      <c r="T318" s="99"/>
      <c r="U318" s="99"/>
      <c r="V318" s="99"/>
      <c r="W318" s="99"/>
      <c r="X318" s="99"/>
      <c r="Y318" s="99"/>
      <c r="Z318" s="99"/>
      <c r="AA318" s="99"/>
      <c r="AB318" s="99"/>
      <c r="AC318" s="98"/>
      <c r="AD318" s="98"/>
      <c r="AE318" s="98"/>
      <c r="AF318" s="98"/>
      <c r="AG318" s="98"/>
      <c r="AH318" s="98"/>
    </row>
    <row r="319" spans="2:34" x14ac:dyDescent="0.25">
      <c r="B319" s="73"/>
      <c r="C319" s="74"/>
      <c r="D319" s="80"/>
      <c r="E319" s="81"/>
      <c r="F319" s="81"/>
      <c r="G319" s="81"/>
      <c r="H319" s="81"/>
      <c r="I319" s="82"/>
      <c r="J319" s="88"/>
      <c r="K319" s="89"/>
      <c r="L319" s="88"/>
      <c r="M319" s="89"/>
      <c r="N319" s="80"/>
      <c r="O319" s="82"/>
      <c r="P319" s="94"/>
      <c r="Q319" s="95"/>
      <c r="S319" s="99"/>
      <c r="T319" s="99"/>
      <c r="U319" s="99"/>
      <c r="V319" s="99"/>
      <c r="W319" s="99"/>
      <c r="X319" s="99"/>
      <c r="Y319" s="99"/>
      <c r="Z319" s="99"/>
      <c r="AA319" s="99"/>
      <c r="AB319" s="99"/>
      <c r="AC319" s="98"/>
      <c r="AD319" s="98"/>
      <c r="AE319" s="98"/>
      <c r="AF319" s="98"/>
      <c r="AG319" s="98"/>
      <c r="AH319" s="98"/>
    </row>
    <row r="320" spans="2:34" x14ac:dyDescent="0.25">
      <c r="B320" s="75"/>
      <c r="C320" s="76"/>
      <c r="D320" s="83"/>
      <c r="E320" s="84"/>
      <c r="F320" s="84"/>
      <c r="G320" s="84"/>
      <c r="H320" s="84"/>
      <c r="I320" s="85"/>
      <c r="J320" s="90"/>
      <c r="K320" s="91"/>
      <c r="L320" s="90"/>
      <c r="M320" s="91"/>
      <c r="N320" s="83"/>
      <c r="O320" s="85"/>
      <c r="P320" s="96"/>
      <c r="Q320" s="97"/>
      <c r="S320" s="99"/>
      <c r="T320" s="99"/>
      <c r="U320" s="99"/>
      <c r="V320" s="99"/>
      <c r="W320" s="99"/>
      <c r="X320" s="99"/>
      <c r="Y320" s="99"/>
      <c r="Z320" s="99"/>
      <c r="AA320" s="99"/>
      <c r="AB320" s="99"/>
      <c r="AC320" s="98"/>
      <c r="AD320" s="98"/>
      <c r="AE320" s="98"/>
      <c r="AF320" s="98"/>
      <c r="AG320" s="98"/>
      <c r="AH320" s="98"/>
    </row>
    <row r="321" spans="2:34" x14ac:dyDescent="0.25">
      <c r="B321" s="71"/>
      <c r="C321" s="72"/>
      <c r="D321" s="77"/>
      <c r="E321" s="78"/>
      <c r="F321" s="78"/>
      <c r="G321" s="78"/>
      <c r="H321" s="78"/>
      <c r="I321" s="79"/>
      <c r="J321" s="86"/>
      <c r="K321" s="87"/>
      <c r="L321" s="86"/>
      <c r="M321" s="87"/>
      <c r="N321" s="77"/>
      <c r="O321" s="79"/>
      <c r="P321" s="92"/>
      <c r="Q321" s="93"/>
      <c r="S321" s="99"/>
      <c r="T321" s="99"/>
      <c r="U321" s="99"/>
      <c r="V321" s="99"/>
      <c r="W321" s="99"/>
      <c r="X321" s="99"/>
      <c r="Y321" s="99"/>
      <c r="Z321" s="99"/>
      <c r="AA321" s="99"/>
      <c r="AB321" s="99"/>
      <c r="AC321" s="98"/>
      <c r="AD321" s="98"/>
      <c r="AE321" s="98"/>
      <c r="AF321" s="98"/>
      <c r="AG321" s="98"/>
      <c r="AH321" s="98"/>
    </row>
    <row r="322" spans="2:34" x14ac:dyDescent="0.25">
      <c r="B322" s="73"/>
      <c r="C322" s="74"/>
      <c r="D322" s="80"/>
      <c r="E322" s="81"/>
      <c r="F322" s="81"/>
      <c r="G322" s="81"/>
      <c r="H322" s="81"/>
      <c r="I322" s="82"/>
      <c r="J322" s="88"/>
      <c r="K322" s="89"/>
      <c r="L322" s="88"/>
      <c r="M322" s="89"/>
      <c r="N322" s="80"/>
      <c r="O322" s="82"/>
      <c r="P322" s="94"/>
      <c r="Q322" s="95"/>
      <c r="S322" s="99"/>
      <c r="T322" s="99"/>
      <c r="U322" s="99"/>
      <c r="V322" s="99"/>
      <c r="W322" s="99"/>
      <c r="X322" s="99"/>
      <c r="Y322" s="99"/>
      <c r="Z322" s="99"/>
      <c r="AA322" s="99"/>
      <c r="AB322" s="99"/>
      <c r="AC322" s="98"/>
      <c r="AD322" s="98"/>
      <c r="AE322" s="98"/>
      <c r="AF322" s="98"/>
      <c r="AG322" s="98"/>
      <c r="AH322" s="98"/>
    </row>
    <row r="323" spans="2:34" x14ac:dyDescent="0.25">
      <c r="B323" s="75"/>
      <c r="C323" s="76"/>
      <c r="D323" s="83"/>
      <c r="E323" s="84"/>
      <c r="F323" s="84"/>
      <c r="G323" s="84"/>
      <c r="H323" s="84"/>
      <c r="I323" s="85"/>
      <c r="J323" s="90"/>
      <c r="K323" s="91"/>
      <c r="L323" s="90"/>
      <c r="M323" s="91"/>
      <c r="N323" s="83"/>
      <c r="O323" s="85"/>
      <c r="P323" s="96"/>
      <c r="Q323" s="97"/>
      <c r="S323" s="99"/>
      <c r="T323" s="99"/>
      <c r="U323" s="99"/>
      <c r="V323" s="99"/>
      <c r="W323" s="99"/>
      <c r="X323" s="99"/>
      <c r="Y323" s="99"/>
      <c r="Z323" s="99"/>
      <c r="AA323" s="99"/>
      <c r="AB323" s="99"/>
      <c r="AC323" s="98"/>
      <c r="AD323" s="98"/>
      <c r="AE323" s="98"/>
      <c r="AF323" s="98"/>
      <c r="AG323" s="98"/>
      <c r="AH323" s="98"/>
    </row>
    <row r="324" spans="2:34" x14ac:dyDescent="0.25">
      <c r="B324" s="71"/>
      <c r="C324" s="72"/>
      <c r="D324" s="77"/>
      <c r="E324" s="78"/>
      <c r="F324" s="78"/>
      <c r="G324" s="78"/>
      <c r="H324" s="78"/>
      <c r="I324" s="79"/>
      <c r="J324" s="86"/>
      <c r="K324" s="87"/>
      <c r="L324" s="86"/>
      <c r="M324" s="87"/>
      <c r="N324" s="77"/>
      <c r="O324" s="79"/>
      <c r="P324" s="92"/>
      <c r="Q324" s="93"/>
      <c r="S324" s="99"/>
      <c r="T324" s="99"/>
      <c r="U324" s="99"/>
      <c r="V324" s="99"/>
      <c r="W324" s="99"/>
      <c r="X324" s="99"/>
      <c r="Y324" s="99"/>
      <c r="Z324" s="99"/>
      <c r="AA324" s="99"/>
      <c r="AB324" s="99"/>
      <c r="AC324" s="98"/>
      <c r="AD324" s="98"/>
      <c r="AE324" s="98"/>
      <c r="AF324" s="98"/>
      <c r="AG324" s="98"/>
      <c r="AH324" s="98"/>
    </row>
    <row r="325" spans="2:34" x14ac:dyDescent="0.25">
      <c r="B325" s="73"/>
      <c r="C325" s="74"/>
      <c r="D325" s="80"/>
      <c r="E325" s="81"/>
      <c r="F325" s="81"/>
      <c r="G325" s="81"/>
      <c r="H325" s="81"/>
      <c r="I325" s="82"/>
      <c r="J325" s="88"/>
      <c r="K325" s="89"/>
      <c r="L325" s="88"/>
      <c r="M325" s="89"/>
      <c r="N325" s="80"/>
      <c r="O325" s="82"/>
      <c r="P325" s="94"/>
      <c r="Q325" s="95"/>
      <c r="S325" s="99"/>
      <c r="T325" s="99"/>
      <c r="U325" s="99"/>
      <c r="V325" s="99"/>
      <c r="W325" s="99"/>
      <c r="X325" s="99"/>
      <c r="Y325" s="99"/>
      <c r="Z325" s="99"/>
      <c r="AA325" s="99"/>
      <c r="AB325" s="99"/>
      <c r="AC325" s="98"/>
      <c r="AD325" s="98"/>
      <c r="AE325" s="98"/>
      <c r="AF325" s="98"/>
      <c r="AG325" s="98"/>
      <c r="AH325" s="98"/>
    </row>
    <row r="326" spans="2:34" x14ac:dyDescent="0.25">
      <c r="B326" s="75"/>
      <c r="C326" s="76"/>
      <c r="D326" s="83"/>
      <c r="E326" s="84"/>
      <c r="F326" s="84"/>
      <c r="G326" s="84"/>
      <c r="H326" s="84"/>
      <c r="I326" s="85"/>
      <c r="J326" s="90"/>
      <c r="K326" s="91"/>
      <c r="L326" s="90"/>
      <c r="M326" s="91"/>
      <c r="N326" s="83"/>
      <c r="O326" s="85"/>
      <c r="P326" s="96"/>
      <c r="Q326" s="97"/>
      <c r="S326" s="99"/>
      <c r="T326" s="99"/>
      <c r="U326" s="99"/>
      <c r="V326" s="99"/>
      <c r="W326" s="99"/>
      <c r="X326" s="99"/>
      <c r="Y326" s="99"/>
      <c r="Z326" s="99"/>
      <c r="AA326" s="99"/>
      <c r="AB326" s="99"/>
      <c r="AC326" s="98"/>
      <c r="AD326" s="98"/>
      <c r="AE326" s="98"/>
      <c r="AF326" s="98"/>
      <c r="AG326" s="98"/>
      <c r="AH326" s="98"/>
    </row>
    <row r="327" spans="2:34" x14ac:dyDescent="0.25">
      <c r="B327" s="71"/>
      <c r="C327" s="72"/>
      <c r="D327" s="77"/>
      <c r="E327" s="78"/>
      <c r="F327" s="78"/>
      <c r="G327" s="78"/>
      <c r="H327" s="78"/>
      <c r="I327" s="79"/>
      <c r="J327" s="86"/>
      <c r="K327" s="87"/>
      <c r="L327" s="86"/>
      <c r="M327" s="87"/>
      <c r="N327" s="77"/>
      <c r="O327" s="79"/>
      <c r="P327" s="92"/>
      <c r="Q327" s="93"/>
      <c r="S327" s="99"/>
      <c r="T327" s="99"/>
      <c r="U327" s="99"/>
      <c r="V327" s="99"/>
      <c r="W327" s="99"/>
      <c r="X327" s="99"/>
      <c r="Y327" s="99"/>
      <c r="Z327" s="99"/>
      <c r="AA327" s="99"/>
      <c r="AB327" s="99"/>
      <c r="AC327" s="98"/>
      <c r="AD327" s="98"/>
      <c r="AE327" s="98"/>
      <c r="AF327" s="98"/>
      <c r="AG327" s="98"/>
      <c r="AH327" s="98"/>
    </row>
    <row r="328" spans="2:34" x14ac:dyDescent="0.25">
      <c r="B328" s="73"/>
      <c r="C328" s="74"/>
      <c r="D328" s="80"/>
      <c r="E328" s="81"/>
      <c r="F328" s="81"/>
      <c r="G328" s="81"/>
      <c r="H328" s="81"/>
      <c r="I328" s="82"/>
      <c r="J328" s="88"/>
      <c r="K328" s="89"/>
      <c r="L328" s="88"/>
      <c r="M328" s="89"/>
      <c r="N328" s="80"/>
      <c r="O328" s="82"/>
      <c r="P328" s="94"/>
      <c r="Q328" s="95"/>
      <c r="S328" s="99"/>
      <c r="T328" s="99"/>
      <c r="U328" s="99"/>
      <c r="V328" s="99"/>
      <c r="W328" s="99"/>
      <c r="X328" s="99"/>
      <c r="Y328" s="99"/>
      <c r="Z328" s="99"/>
      <c r="AA328" s="99"/>
      <c r="AB328" s="99"/>
      <c r="AC328" s="98"/>
      <c r="AD328" s="98"/>
      <c r="AE328" s="98"/>
      <c r="AF328" s="98"/>
      <c r="AG328" s="98"/>
      <c r="AH328" s="98"/>
    </row>
    <row r="329" spans="2:34" x14ac:dyDescent="0.25">
      <c r="B329" s="75"/>
      <c r="C329" s="76"/>
      <c r="D329" s="83"/>
      <c r="E329" s="84"/>
      <c r="F329" s="84"/>
      <c r="G329" s="84"/>
      <c r="H329" s="84"/>
      <c r="I329" s="85"/>
      <c r="J329" s="90"/>
      <c r="K329" s="91"/>
      <c r="L329" s="90"/>
      <c r="M329" s="91"/>
      <c r="N329" s="83"/>
      <c r="O329" s="85"/>
      <c r="P329" s="96"/>
      <c r="Q329" s="97"/>
      <c r="S329" s="99"/>
      <c r="T329" s="99"/>
      <c r="U329" s="99"/>
      <c r="V329" s="99"/>
      <c r="W329" s="99"/>
      <c r="X329" s="99"/>
      <c r="Y329" s="99"/>
      <c r="Z329" s="99"/>
      <c r="AA329" s="99"/>
      <c r="AB329" s="99"/>
      <c r="AC329" s="98"/>
      <c r="AD329" s="98"/>
      <c r="AE329" s="98"/>
      <c r="AF329" s="98"/>
      <c r="AG329" s="98"/>
      <c r="AH329" s="98"/>
    </row>
    <row r="330" spans="2:34" x14ac:dyDescent="0.25">
      <c r="B330" s="71"/>
      <c r="C330" s="72"/>
      <c r="D330" s="77"/>
      <c r="E330" s="78"/>
      <c r="F330" s="78"/>
      <c r="G330" s="78"/>
      <c r="H330" s="78"/>
      <c r="I330" s="79"/>
      <c r="J330" s="86"/>
      <c r="K330" s="87"/>
      <c r="L330" s="86"/>
      <c r="M330" s="87"/>
      <c r="N330" s="77"/>
      <c r="O330" s="79"/>
      <c r="P330" s="92"/>
      <c r="Q330" s="93"/>
      <c r="S330" s="99"/>
      <c r="T330" s="99"/>
      <c r="U330" s="99"/>
      <c r="V330" s="99"/>
      <c r="W330" s="99"/>
      <c r="X330" s="99"/>
      <c r="Y330" s="99"/>
      <c r="Z330" s="99"/>
      <c r="AA330" s="99"/>
      <c r="AB330" s="99"/>
      <c r="AC330" s="98"/>
      <c r="AD330" s="98"/>
      <c r="AE330" s="98"/>
      <c r="AF330" s="98"/>
      <c r="AG330" s="98"/>
      <c r="AH330" s="98"/>
    </row>
    <row r="331" spans="2:34" x14ac:dyDescent="0.25">
      <c r="B331" s="73"/>
      <c r="C331" s="74"/>
      <c r="D331" s="80"/>
      <c r="E331" s="81"/>
      <c r="F331" s="81"/>
      <c r="G331" s="81"/>
      <c r="H331" s="81"/>
      <c r="I331" s="82"/>
      <c r="J331" s="88"/>
      <c r="K331" s="89"/>
      <c r="L331" s="88"/>
      <c r="M331" s="89"/>
      <c r="N331" s="80"/>
      <c r="O331" s="82"/>
      <c r="P331" s="94"/>
      <c r="Q331" s="95"/>
      <c r="S331" s="99"/>
      <c r="T331" s="99"/>
      <c r="U331" s="99"/>
      <c r="V331" s="99"/>
      <c r="W331" s="99"/>
      <c r="X331" s="99"/>
      <c r="Y331" s="99"/>
      <c r="Z331" s="99"/>
      <c r="AA331" s="99"/>
      <c r="AB331" s="99"/>
      <c r="AC331" s="98"/>
      <c r="AD331" s="98"/>
      <c r="AE331" s="98"/>
      <c r="AF331" s="98"/>
      <c r="AG331" s="98"/>
      <c r="AH331" s="98"/>
    </row>
    <row r="332" spans="2:34" x14ac:dyDescent="0.25">
      <c r="B332" s="75"/>
      <c r="C332" s="76"/>
      <c r="D332" s="83"/>
      <c r="E332" s="84"/>
      <c r="F332" s="84"/>
      <c r="G332" s="84"/>
      <c r="H332" s="84"/>
      <c r="I332" s="85"/>
      <c r="J332" s="90"/>
      <c r="K332" s="91"/>
      <c r="L332" s="90"/>
      <c r="M332" s="91"/>
      <c r="N332" s="83"/>
      <c r="O332" s="85"/>
      <c r="P332" s="96"/>
      <c r="Q332" s="97"/>
      <c r="S332" s="99"/>
      <c r="T332" s="99"/>
      <c r="U332" s="99"/>
      <c r="V332" s="99"/>
      <c r="W332" s="99"/>
      <c r="X332" s="99"/>
      <c r="Y332" s="99"/>
      <c r="Z332" s="99"/>
      <c r="AA332" s="99"/>
      <c r="AB332" s="99"/>
      <c r="AC332" s="98"/>
      <c r="AD332" s="98"/>
      <c r="AE332" s="98"/>
      <c r="AF332" s="98"/>
      <c r="AG332" s="98"/>
      <c r="AH332" s="98"/>
    </row>
    <row r="333" spans="2:34" x14ac:dyDescent="0.25">
      <c r="B333" s="71"/>
      <c r="C333" s="72"/>
      <c r="D333" s="77"/>
      <c r="E333" s="78"/>
      <c r="F333" s="78"/>
      <c r="G333" s="78"/>
      <c r="H333" s="78"/>
      <c r="I333" s="79"/>
      <c r="J333" s="86"/>
      <c r="K333" s="87"/>
      <c r="L333" s="86"/>
      <c r="M333" s="87"/>
      <c r="N333" s="77"/>
      <c r="O333" s="79"/>
      <c r="P333" s="92"/>
      <c r="Q333" s="93"/>
      <c r="S333" s="99"/>
      <c r="T333" s="99"/>
      <c r="U333" s="99"/>
      <c r="V333" s="99"/>
      <c r="W333" s="99"/>
      <c r="X333" s="99"/>
      <c r="Y333" s="99"/>
      <c r="Z333" s="99"/>
      <c r="AA333" s="99"/>
      <c r="AB333" s="99"/>
      <c r="AC333" s="98"/>
      <c r="AD333" s="98"/>
      <c r="AE333" s="98"/>
      <c r="AF333" s="98"/>
      <c r="AG333" s="98"/>
      <c r="AH333" s="98"/>
    </row>
    <row r="334" spans="2:34" x14ac:dyDescent="0.25">
      <c r="B334" s="73"/>
      <c r="C334" s="74"/>
      <c r="D334" s="80"/>
      <c r="E334" s="81"/>
      <c r="F334" s="81"/>
      <c r="G334" s="81"/>
      <c r="H334" s="81"/>
      <c r="I334" s="82"/>
      <c r="J334" s="88"/>
      <c r="K334" s="89"/>
      <c r="L334" s="88"/>
      <c r="M334" s="89"/>
      <c r="N334" s="80"/>
      <c r="O334" s="82"/>
      <c r="P334" s="94"/>
      <c r="Q334" s="95"/>
      <c r="S334" s="99"/>
      <c r="T334" s="99"/>
      <c r="U334" s="99"/>
      <c r="V334" s="99"/>
      <c r="W334" s="99"/>
      <c r="X334" s="99"/>
      <c r="Y334" s="99"/>
      <c r="Z334" s="99"/>
      <c r="AA334" s="99"/>
      <c r="AB334" s="99"/>
      <c r="AC334" s="98"/>
      <c r="AD334" s="98"/>
      <c r="AE334" s="98"/>
      <c r="AF334" s="98"/>
      <c r="AG334" s="98"/>
      <c r="AH334" s="98"/>
    </row>
    <row r="335" spans="2:34" x14ac:dyDescent="0.25">
      <c r="B335" s="75"/>
      <c r="C335" s="76"/>
      <c r="D335" s="83"/>
      <c r="E335" s="84"/>
      <c r="F335" s="84"/>
      <c r="G335" s="84"/>
      <c r="H335" s="84"/>
      <c r="I335" s="85"/>
      <c r="J335" s="90"/>
      <c r="K335" s="91"/>
      <c r="L335" s="90"/>
      <c r="M335" s="91"/>
      <c r="N335" s="83"/>
      <c r="O335" s="85"/>
      <c r="P335" s="96"/>
      <c r="Q335" s="97"/>
      <c r="S335" s="99"/>
      <c r="T335" s="99"/>
      <c r="U335" s="99"/>
      <c r="V335" s="99"/>
      <c r="W335" s="99"/>
      <c r="X335" s="99"/>
      <c r="Y335" s="99"/>
      <c r="Z335" s="99"/>
      <c r="AA335" s="99"/>
      <c r="AB335" s="99"/>
      <c r="AC335" s="98"/>
      <c r="AD335" s="98"/>
      <c r="AE335" s="98"/>
      <c r="AF335" s="98"/>
      <c r="AG335" s="98"/>
      <c r="AH335" s="98"/>
    </row>
    <row r="336" spans="2:34" x14ac:dyDescent="0.25">
      <c r="B336" s="71"/>
      <c r="C336" s="72"/>
      <c r="D336" s="77"/>
      <c r="E336" s="78"/>
      <c r="F336" s="78"/>
      <c r="G336" s="78"/>
      <c r="H336" s="78"/>
      <c r="I336" s="79"/>
      <c r="J336" s="86"/>
      <c r="K336" s="87"/>
      <c r="L336" s="86"/>
      <c r="M336" s="87"/>
      <c r="N336" s="77"/>
      <c r="O336" s="79"/>
      <c r="P336" s="92"/>
      <c r="Q336" s="93"/>
      <c r="S336" s="99"/>
      <c r="T336" s="99"/>
      <c r="U336" s="99"/>
      <c r="V336" s="99"/>
      <c r="W336" s="99"/>
      <c r="X336" s="99"/>
      <c r="Y336" s="99"/>
      <c r="Z336" s="99"/>
      <c r="AA336" s="99"/>
      <c r="AB336" s="99"/>
      <c r="AC336" s="98"/>
      <c r="AD336" s="98"/>
      <c r="AE336" s="98"/>
      <c r="AF336" s="98"/>
      <c r="AG336" s="98"/>
      <c r="AH336" s="98"/>
    </row>
    <row r="337" spans="2:34" x14ac:dyDescent="0.25">
      <c r="B337" s="73"/>
      <c r="C337" s="74"/>
      <c r="D337" s="80"/>
      <c r="E337" s="81"/>
      <c r="F337" s="81"/>
      <c r="G337" s="81"/>
      <c r="H337" s="81"/>
      <c r="I337" s="82"/>
      <c r="J337" s="88"/>
      <c r="K337" s="89"/>
      <c r="L337" s="88"/>
      <c r="M337" s="89"/>
      <c r="N337" s="80"/>
      <c r="O337" s="82"/>
      <c r="P337" s="94"/>
      <c r="Q337" s="95"/>
      <c r="S337" s="99"/>
      <c r="T337" s="99"/>
      <c r="U337" s="99"/>
      <c r="V337" s="99"/>
      <c r="W337" s="99"/>
      <c r="X337" s="99"/>
      <c r="Y337" s="99"/>
      <c r="Z337" s="99"/>
      <c r="AA337" s="99"/>
      <c r="AB337" s="99"/>
      <c r="AC337" s="98"/>
      <c r="AD337" s="98"/>
      <c r="AE337" s="98"/>
      <c r="AF337" s="98"/>
      <c r="AG337" s="98"/>
      <c r="AH337" s="98"/>
    </row>
    <row r="338" spans="2:34" x14ac:dyDescent="0.25">
      <c r="B338" s="75"/>
      <c r="C338" s="76"/>
      <c r="D338" s="83"/>
      <c r="E338" s="84"/>
      <c r="F338" s="84"/>
      <c r="G338" s="84"/>
      <c r="H338" s="84"/>
      <c r="I338" s="85"/>
      <c r="J338" s="90"/>
      <c r="K338" s="91"/>
      <c r="L338" s="90"/>
      <c r="M338" s="91"/>
      <c r="N338" s="83"/>
      <c r="O338" s="85"/>
      <c r="P338" s="96"/>
      <c r="Q338" s="97"/>
      <c r="S338" s="99"/>
      <c r="T338" s="99"/>
      <c r="U338" s="99"/>
      <c r="V338" s="99"/>
      <c r="W338" s="99"/>
      <c r="X338" s="99"/>
      <c r="Y338" s="99"/>
      <c r="Z338" s="99"/>
      <c r="AA338" s="99"/>
      <c r="AB338" s="99"/>
      <c r="AC338" s="98"/>
      <c r="AD338" s="98"/>
      <c r="AE338" s="98"/>
      <c r="AF338" s="98"/>
      <c r="AG338" s="98"/>
      <c r="AH338" s="98"/>
    </row>
    <row r="339" spans="2:34" x14ac:dyDescent="0.25">
      <c r="B339" s="71"/>
      <c r="C339" s="72"/>
      <c r="D339" s="77"/>
      <c r="E339" s="78"/>
      <c r="F339" s="78"/>
      <c r="G339" s="78"/>
      <c r="H339" s="78"/>
      <c r="I339" s="79"/>
      <c r="J339" s="86"/>
      <c r="K339" s="87"/>
      <c r="L339" s="86"/>
      <c r="M339" s="87"/>
      <c r="N339" s="77"/>
      <c r="O339" s="79"/>
      <c r="P339" s="92"/>
      <c r="Q339" s="93"/>
      <c r="S339" s="99"/>
      <c r="T339" s="99"/>
      <c r="U339" s="99"/>
      <c r="V339" s="99"/>
      <c r="W339" s="99"/>
      <c r="X339" s="99"/>
      <c r="Y339" s="99"/>
      <c r="Z339" s="99"/>
      <c r="AA339" s="99"/>
      <c r="AB339" s="99"/>
      <c r="AC339" s="98"/>
      <c r="AD339" s="98"/>
      <c r="AE339" s="98"/>
      <c r="AF339" s="98"/>
      <c r="AG339" s="98"/>
      <c r="AH339" s="98"/>
    </row>
    <row r="340" spans="2:34" x14ac:dyDescent="0.25">
      <c r="B340" s="73"/>
      <c r="C340" s="74"/>
      <c r="D340" s="80"/>
      <c r="E340" s="81"/>
      <c r="F340" s="81"/>
      <c r="G340" s="81"/>
      <c r="H340" s="81"/>
      <c r="I340" s="82"/>
      <c r="J340" s="88"/>
      <c r="K340" s="89"/>
      <c r="L340" s="88"/>
      <c r="M340" s="89"/>
      <c r="N340" s="80"/>
      <c r="O340" s="82"/>
      <c r="P340" s="94"/>
      <c r="Q340" s="95"/>
      <c r="S340" s="99"/>
      <c r="T340" s="99"/>
      <c r="U340" s="99"/>
      <c r="V340" s="99"/>
      <c r="W340" s="99"/>
      <c r="X340" s="99"/>
      <c r="Y340" s="99"/>
      <c r="Z340" s="99"/>
      <c r="AA340" s="99"/>
      <c r="AB340" s="99"/>
      <c r="AC340" s="98"/>
      <c r="AD340" s="98"/>
      <c r="AE340" s="98"/>
      <c r="AF340" s="98"/>
      <c r="AG340" s="98"/>
      <c r="AH340" s="98"/>
    </row>
    <row r="341" spans="2:34" x14ac:dyDescent="0.25">
      <c r="B341" s="75"/>
      <c r="C341" s="76"/>
      <c r="D341" s="83"/>
      <c r="E341" s="84"/>
      <c r="F341" s="84"/>
      <c r="G341" s="84"/>
      <c r="H341" s="84"/>
      <c r="I341" s="85"/>
      <c r="J341" s="90"/>
      <c r="K341" s="91"/>
      <c r="L341" s="90"/>
      <c r="M341" s="91"/>
      <c r="N341" s="83"/>
      <c r="O341" s="85"/>
      <c r="P341" s="96"/>
      <c r="Q341" s="97"/>
      <c r="S341" s="99"/>
      <c r="T341" s="99"/>
      <c r="U341" s="99"/>
      <c r="V341" s="99"/>
      <c r="W341" s="99"/>
      <c r="X341" s="99"/>
      <c r="Y341" s="99"/>
      <c r="Z341" s="99"/>
      <c r="AA341" s="99"/>
      <c r="AB341" s="99"/>
      <c r="AC341" s="98"/>
      <c r="AD341" s="98"/>
      <c r="AE341" s="98"/>
      <c r="AF341" s="98"/>
      <c r="AG341" s="98"/>
      <c r="AH341" s="98"/>
    </row>
    <row r="342" spans="2:34" x14ac:dyDescent="0.25">
      <c r="B342" s="71"/>
      <c r="C342" s="72"/>
      <c r="D342" s="77"/>
      <c r="E342" s="78"/>
      <c r="F342" s="78"/>
      <c r="G342" s="78"/>
      <c r="H342" s="78"/>
      <c r="I342" s="79"/>
      <c r="J342" s="86"/>
      <c r="K342" s="87"/>
      <c r="L342" s="86"/>
      <c r="M342" s="87"/>
      <c r="N342" s="77"/>
      <c r="O342" s="79"/>
      <c r="P342" s="92"/>
      <c r="Q342" s="93"/>
      <c r="S342" s="99"/>
      <c r="T342" s="99"/>
      <c r="U342" s="99"/>
      <c r="V342" s="99"/>
      <c r="W342" s="99"/>
      <c r="X342" s="99"/>
      <c r="Y342" s="99"/>
      <c r="Z342" s="99"/>
      <c r="AA342" s="99"/>
      <c r="AB342" s="99"/>
      <c r="AC342" s="98"/>
      <c r="AD342" s="98"/>
      <c r="AE342" s="98"/>
      <c r="AF342" s="98"/>
      <c r="AG342" s="98"/>
      <c r="AH342" s="98"/>
    </row>
    <row r="343" spans="2:34" x14ac:dyDescent="0.25">
      <c r="B343" s="73"/>
      <c r="C343" s="74"/>
      <c r="D343" s="80"/>
      <c r="E343" s="81"/>
      <c r="F343" s="81"/>
      <c r="G343" s="81"/>
      <c r="H343" s="81"/>
      <c r="I343" s="82"/>
      <c r="J343" s="88"/>
      <c r="K343" s="89"/>
      <c r="L343" s="88"/>
      <c r="M343" s="89"/>
      <c r="N343" s="80"/>
      <c r="O343" s="82"/>
      <c r="P343" s="94"/>
      <c r="Q343" s="95"/>
      <c r="S343" s="99"/>
      <c r="T343" s="99"/>
      <c r="U343" s="99"/>
      <c r="V343" s="99"/>
      <c r="W343" s="99"/>
      <c r="X343" s="99"/>
      <c r="Y343" s="99"/>
      <c r="Z343" s="99"/>
      <c r="AA343" s="99"/>
      <c r="AB343" s="99"/>
      <c r="AC343" s="98"/>
      <c r="AD343" s="98"/>
      <c r="AE343" s="98"/>
      <c r="AF343" s="98"/>
      <c r="AG343" s="98"/>
      <c r="AH343" s="98"/>
    </row>
    <row r="344" spans="2:34" x14ac:dyDescent="0.25">
      <c r="B344" s="75"/>
      <c r="C344" s="76"/>
      <c r="D344" s="83"/>
      <c r="E344" s="84"/>
      <c r="F344" s="84"/>
      <c r="G344" s="84"/>
      <c r="H344" s="84"/>
      <c r="I344" s="85"/>
      <c r="J344" s="90"/>
      <c r="K344" s="91"/>
      <c r="L344" s="90"/>
      <c r="M344" s="91"/>
      <c r="N344" s="83"/>
      <c r="O344" s="85"/>
      <c r="P344" s="96"/>
      <c r="Q344" s="97"/>
      <c r="S344" s="99"/>
      <c r="T344" s="99"/>
      <c r="U344" s="99"/>
      <c r="V344" s="99"/>
      <c r="W344" s="99"/>
      <c r="X344" s="99"/>
      <c r="Y344" s="99"/>
      <c r="Z344" s="99"/>
      <c r="AA344" s="99"/>
      <c r="AB344" s="99"/>
      <c r="AC344" s="98"/>
      <c r="AD344" s="98"/>
      <c r="AE344" s="98"/>
      <c r="AF344" s="98"/>
      <c r="AG344" s="98"/>
      <c r="AH344" s="98"/>
    </row>
    <row r="345" spans="2:34" x14ac:dyDescent="0.25">
      <c r="B345" s="71"/>
      <c r="C345" s="72"/>
      <c r="D345" s="77"/>
      <c r="E345" s="78"/>
      <c r="F345" s="78"/>
      <c r="G345" s="78"/>
      <c r="H345" s="78"/>
      <c r="I345" s="79"/>
      <c r="J345" s="86"/>
      <c r="K345" s="87"/>
      <c r="L345" s="86"/>
      <c r="M345" s="87"/>
      <c r="N345" s="77"/>
      <c r="O345" s="79"/>
      <c r="P345" s="92"/>
      <c r="Q345" s="93"/>
      <c r="S345" s="99"/>
      <c r="T345" s="99"/>
      <c r="U345" s="99"/>
      <c r="V345" s="99"/>
      <c r="W345" s="99"/>
      <c r="X345" s="99"/>
      <c r="Y345" s="99"/>
      <c r="Z345" s="99"/>
      <c r="AA345" s="99"/>
      <c r="AB345" s="99"/>
      <c r="AC345" s="98"/>
      <c r="AD345" s="98"/>
      <c r="AE345" s="98"/>
      <c r="AF345" s="98"/>
      <c r="AG345" s="98"/>
      <c r="AH345" s="98"/>
    </row>
    <row r="346" spans="2:34" x14ac:dyDescent="0.25">
      <c r="B346" s="73"/>
      <c r="C346" s="74"/>
      <c r="D346" s="80"/>
      <c r="E346" s="81"/>
      <c r="F346" s="81"/>
      <c r="G346" s="81"/>
      <c r="H346" s="81"/>
      <c r="I346" s="82"/>
      <c r="J346" s="88"/>
      <c r="K346" s="89"/>
      <c r="L346" s="88"/>
      <c r="M346" s="89"/>
      <c r="N346" s="80"/>
      <c r="O346" s="82"/>
      <c r="P346" s="94"/>
      <c r="Q346" s="95"/>
      <c r="S346" s="99"/>
      <c r="T346" s="99"/>
      <c r="U346" s="99"/>
      <c r="V346" s="99"/>
      <c r="W346" s="99"/>
      <c r="X346" s="99"/>
      <c r="Y346" s="99"/>
      <c r="Z346" s="99"/>
      <c r="AA346" s="99"/>
      <c r="AB346" s="99"/>
      <c r="AC346" s="98"/>
      <c r="AD346" s="98"/>
      <c r="AE346" s="98"/>
      <c r="AF346" s="98"/>
      <c r="AG346" s="98"/>
      <c r="AH346" s="98"/>
    </row>
    <row r="347" spans="2:34" x14ac:dyDescent="0.25">
      <c r="B347" s="75"/>
      <c r="C347" s="76"/>
      <c r="D347" s="83"/>
      <c r="E347" s="84"/>
      <c r="F347" s="84"/>
      <c r="G347" s="84"/>
      <c r="H347" s="84"/>
      <c r="I347" s="85"/>
      <c r="J347" s="90"/>
      <c r="K347" s="91"/>
      <c r="L347" s="90"/>
      <c r="M347" s="91"/>
      <c r="N347" s="83"/>
      <c r="O347" s="85"/>
      <c r="P347" s="96"/>
      <c r="Q347" s="97"/>
      <c r="S347" s="99"/>
      <c r="T347" s="99"/>
      <c r="U347" s="99"/>
      <c r="V347" s="99"/>
      <c r="W347" s="99"/>
      <c r="X347" s="99"/>
      <c r="Y347" s="99"/>
      <c r="Z347" s="99"/>
      <c r="AA347" s="99"/>
      <c r="AB347" s="99"/>
      <c r="AC347" s="98"/>
      <c r="AD347" s="98"/>
      <c r="AE347" s="98"/>
      <c r="AF347" s="98"/>
      <c r="AG347" s="98"/>
      <c r="AH347" s="98"/>
    </row>
    <row r="348" spans="2:34" x14ac:dyDescent="0.25">
      <c r="B348" s="71"/>
      <c r="C348" s="72"/>
      <c r="D348" s="77"/>
      <c r="E348" s="78"/>
      <c r="F348" s="78"/>
      <c r="G348" s="78"/>
      <c r="H348" s="78"/>
      <c r="I348" s="79"/>
      <c r="J348" s="86"/>
      <c r="K348" s="87"/>
      <c r="L348" s="86"/>
      <c r="M348" s="87"/>
      <c r="N348" s="77"/>
      <c r="O348" s="79"/>
      <c r="P348" s="92"/>
      <c r="Q348" s="93"/>
      <c r="S348" s="99"/>
      <c r="T348" s="99"/>
      <c r="U348" s="99"/>
      <c r="V348" s="99"/>
      <c r="W348" s="99"/>
      <c r="X348" s="99"/>
      <c r="Y348" s="99"/>
      <c r="Z348" s="99"/>
      <c r="AA348" s="99"/>
      <c r="AB348" s="99"/>
      <c r="AC348" s="98"/>
      <c r="AD348" s="98"/>
      <c r="AE348" s="98"/>
      <c r="AF348" s="98"/>
      <c r="AG348" s="98"/>
      <c r="AH348" s="98"/>
    </row>
    <row r="349" spans="2:34" x14ac:dyDescent="0.25">
      <c r="B349" s="73"/>
      <c r="C349" s="74"/>
      <c r="D349" s="80"/>
      <c r="E349" s="81"/>
      <c r="F349" s="81"/>
      <c r="G349" s="81"/>
      <c r="H349" s="81"/>
      <c r="I349" s="82"/>
      <c r="J349" s="88"/>
      <c r="K349" s="89"/>
      <c r="L349" s="88"/>
      <c r="M349" s="89"/>
      <c r="N349" s="80"/>
      <c r="O349" s="82"/>
      <c r="P349" s="94"/>
      <c r="Q349" s="95"/>
      <c r="S349" s="99"/>
      <c r="T349" s="99"/>
      <c r="U349" s="99"/>
      <c r="V349" s="99"/>
      <c r="W349" s="99"/>
      <c r="X349" s="99"/>
      <c r="Y349" s="99"/>
      <c r="Z349" s="99"/>
      <c r="AA349" s="99"/>
      <c r="AB349" s="99"/>
      <c r="AC349" s="98"/>
      <c r="AD349" s="98"/>
      <c r="AE349" s="98"/>
      <c r="AF349" s="98"/>
      <c r="AG349" s="98"/>
      <c r="AH349" s="98"/>
    </row>
    <row r="350" spans="2:34" x14ac:dyDescent="0.25">
      <c r="B350" s="75"/>
      <c r="C350" s="76"/>
      <c r="D350" s="83"/>
      <c r="E350" s="84"/>
      <c r="F350" s="84"/>
      <c r="G350" s="84"/>
      <c r="H350" s="84"/>
      <c r="I350" s="85"/>
      <c r="J350" s="90"/>
      <c r="K350" s="91"/>
      <c r="L350" s="90"/>
      <c r="M350" s="91"/>
      <c r="N350" s="83"/>
      <c r="O350" s="85"/>
      <c r="P350" s="96"/>
      <c r="Q350" s="97"/>
      <c r="S350" s="99"/>
      <c r="T350" s="99"/>
      <c r="U350" s="99"/>
      <c r="V350" s="99"/>
      <c r="W350" s="99"/>
      <c r="X350" s="99"/>
      <c r="Y350" s="99"/>
      <c r="Z350" s="99"/>
      <c r="AA350" s="99"/>
      <c r="AB350" s="99"/>
      <c r="AC350" s="98"/>
      <c r="AD350" s="98"/>
      <c r="AE350" s="98"/>
      <c r="AF350" s="98"/>
      <c r="AG350" s="98"/>
      <c r="AH350" s="98"/>
    </row>
    <row r="351" spans="2:34" x14ac:dyDescent="0.25">
      <c r="B351" s="71"/>
      <c r="C351" s="72"/>
      <c r="D351" s="77"/>
      <c r="E351" s="78"/>
      <c r="F351" s="78"/>
      <c r="G351" s="78"/>
      <c r="H351" s="78"/>
      <c r="I351" s="79"/>
      <c r="J351" s="86"/>
      <c r="K351" s="87"/>
      <c r="L351" s="86"/>
      <c r="M351" s="87"/>
      <c r="N351" s="77"/>
      <c r="O351" s="79"/>
      <c r="P351" s="92"/>
      <c r="Q351" s="93"/>
      <c r="S351" s="99"/>
      <c r="T351" s="99"/>
      <c r="U351" s="99"/>
      <c r="V351" s="99"/>
      <c r="W351" s="99"/>
      <c r="X351" s="99"/>
      <c r="Y351" s="99"/>
      <c r="Z351" s="99"/>
      <c r="AA351" s="99"/>
      <c r="AB351" s="99"/>
      <c r="AC351" s="98"/>
      <c r="AD351" s="98"/>
      <c r="AE351" s="98"/>
      <c r="AF351" s="98"/>
      <c r="AG351" s="98"/>
      <c r="AH351" s="98"/>
    </row>
    <row r="352" spans="2:34" x14ac:dyDescent="0.25">
      <c r="B352" s="73"/>
      <c r="C352" s="74"/>
      <c r="D352" s="80"/>
      <c r="E352" s="81"/>
      <c r="F352" s="81"/>
      <c r="G352" s="81"/>
      <c r="H352" s="81"/>
      <c r="I352" s="82"/>
      <c r="J352" s="88"/>
      <c r="K352" s="89"/>
      <c r="L352" s="88"/>
      <c r="M352" s="89"/>
      <c r="N352" s="80"/>
      <c r="O352" s="82"/>
      <c r="P352" s="94"/>
      <c r="Q352" s="95"/>
      <c r="S352" s="99"/>
      <c r="T352" s="99"/>
      <c r="U352" s="99"/>
      <c r="V352" s="99"/>
      <c r="W352" s="99"/>
      <c r="X352" s="99"/>
      <c r="Y352" s="99"/>
      <c r="Z352" s="99"/>
      <c r="AA352" s="99"/>
      <c r="AB352" s="99"/>
      <c r="AC352" s="98"/>
      <c r="AD352" s="98"/>
      <c r="AE352" s="98"/>
      <c r="AF352" s="98"/>
      <c r="AG352" s="98"/>
      <c r="AH352" s="98"/>
    </row>
    <row r="353" spans="2:34" x14ac:dyDescent="0.25">
      <c r="B353" s="75"/>
      <c r="C353" s="76"/>
      <c r="D353" s="83"/>
      <c r="E353" s="84"/>
      <c r="F353" s="84"/>
      <c r="G353" s="84"/>
      <c r="H353" s="84"/>
      <c r="I353" s="85"/>
      <c r="J353" s="90"/>
      <c r="K353" s="91"/>
      <c r="L353" s="90"/>
      <c r="M353" s="91"/>
      <c r="N353" s="83"/>
      <c r="O353" s="85"/>
      <c r="P353" s="96"/>
      <c r="Q353" s="97"/>
      <c r="S353" s="99"/>
      <c r="T353" s="99"/>
      <c r="U353" s="99"/>
      <c r="V353" s="99"/>
      <c r="W353" s="99"/>
      <c r="X353" s="99"/>
      <c r="Y353" s="99"/>
      <c r="Z353" s="99"/>
      <c r="AA353" s="99"/>
      <c r="AB353" s="99"/>
      <c r="AC353" s="98"/>
      <c r="AD353" s="98"/>
      <c r="AE353" s="98"/>
      <c r="AF353" s="98"/>
      <c r="AG353" s="98"/>
      <c r="AH353" s="98"/>
    </row>
    <row r="354" spans="2:34" x14ac:dyDescent="0.25">
      <c r="B354" s="71"/>
      <c r="C354" s="72"/>
      <c r="D354" s="77"/>
      <c r="E354" s="78"/>
      <c r="F354" s="78"/>
      <c r="G354" s="78"/>
      <c r="H354" s="78"/>
      <c r="I354" s="79"/>
      <c r="J354" s="86"/>
      <c r="K354" s="87"/>
      <c r="L354" s="86"/>
      <c r="M354" s="87"/>
      <c r="N354" s="77"/>
      <c r="O354" s="79"/>
      <c r="P354" s="92"/>
      <c r="Q354" s="93"/>
      <c r="S354" s="99"/>
      <c r="T354" s="99"/>
      <c r="U354" s="99"/>
      <c r="V354" s="99"/>
      <c r="W354" s="99"/>
      <c r="X354" s="99"/>
      <c r="Y354" s="99"/>
      <c r="Z354" s="99"/>
      <c r="AA354" s="99"/>
      <c r="AB354" s="99"/>
      <c r="AC354" s="98"/>
      <c r="AD354" s="98"/>
      <c r="AE354" s="98"/>
      <c r="AF354" s="98"/>
      <c r="AG354" s="98"/>
      <c r="AH354" s="98"/>
    </row>
    <row r="355" spans="2:34" x14ac:dyDescent="0.25">
      <c r="B355" s="73"/>
      <c r="C355" s="74"/>
      <c r="D355" s="80"/>
      <c r="E355" s="81"/>
      <c r="F355" s="81"/>
      <c r="G355" s="81"/>
      <c r="H355" s="81"/>
      <c r="I355" s="82"/>
      <c r="J355" s="88"/>
      <c r="K355" s="89"/>
      <c r="L355" s="88"/>
      <c r="M355" s="89"/>
      <c r="N355" s="80"/>
      <c r="O355" s="82"/>
      <c r="P355" s="94"/>
      <c r="Q355" s="95"/>
      <c r="S355" s="99"/>
      <c r="T355" s="99"/>
      <c r="U355" s="99"/>
      <c r="V355" s="99"/>
      <c r="W355" s="99"/>
      <c r="X355" s="99"/>
      <c r="Y355" s="99"/>
      <c r="Z355" s="99"/>
      <c r="AA355" s="99"/>
      <c r="AB355" s="99"/>
      <c r="AC355" s="98"/>
      <c r="AD355" s="98"/>
      <c r="AE355" s="98"/>
      <c r="AF355" s="98"/>
      <c r="AG355" s="98"/>
      <c r="AH355" s="98"/>
    </row>
    <row r="356" spans="2:34" x14ac:dyDescent="0.25">
      <c r="B356" s="75"/>
      <c r="C356" s="76"/>
      <c r="D356" s="83"/>
      <c r="E356" s="84"/>
      <c r="F356" s="84"/>
      <c r="G356" s="84"/>
      <c r="H356" s="84"/>
      <c r="I356" s="85"/>
      <c r="J356" s="90"/>
      <c r="K356" s="91"/>
      <c r="L356" s="90"/>
      <c r="M356" s="91"/>
      <c r="N356" s="83"/>
      <c r="O356" s="85"/>
      <c r="P356" s="96"/>
      <c r="Q356" s="97"/>
      <c r="S356" s="99"/>
      <c r="T356" s="99"/>
      <c r="U356" s="99"/>
      <c r="V356" s="99"/>
      <c r="W356" s="99"/>
      <c r="X356" s="99"/>
      <c r="Y356" s="99"/>
      <c r="Z356" s="99"/>
      <c r="AA356" s="99"/>
      <c r="AB356" s="99"/>
      <c r="AC356" s="98"/>
      <c r="AD356" s="98"/>
      <c r="AE356" s="98"/>
      <c r="AF356" s="98"/>
      <c r="AG356" s="98"/>
      <c r="AH356" s="98"/>
    </row>
    <row r="357" spans="2:34" x14ac:dyDescent="0.25">
      <c r="B357" s="71"/>
      <c r="C357" s="72"/>
      <c r="D357" s="77"/>
      <c r="E357" s="78"/>
      <c r="F357" s="78"/>
      <c r="G357" s="78"/>
      <c r="H357" s="78"/>
      <c r="I357" s="79"/>
      <c r="J357" s="86"/>
      <c r="K357" s="87"/>
      <c r="L357" s="86"/>
      <c r="M357" s="87"/>
      <c r="N357" s="77"/>
      <c r="O357" s="79"/>
      <c r="P357" s="92"/>
      <c r="Q357" s="93"/>
      <c r="S357" s="99"/>
      <c r="T357" s="99"/>
      <c r="U357" s="99"/>
      <c r="V357" s="99"/>
      <c r="W357" s="99"/>
      <c r="X357" s="99"/>
      <c r="Y357" s="99"/>
      <c r="Z357" s="99"/>
      <c r="AA357" s="99"/>
      <c r="AB357" s="99"/>
      <c r="AC357" s="98"/>
      <c r="AD357" s="98"/>
      <c r="AE357" s="98"/>
      <c r="AF357" s="98"/>
      <c r="AG357" s="98"/>
      <c r="AH357" s="98"/>
    </row>
    <row r="358" spans="2:34" x14ac:dyDescent="0.25">
      <c r="B358" s="73"/>
      <c r="C358" s="74"/>
      <c r="D358" s="80"/>
      <c r="E358" s="81"/>
      <c r="F358" s="81"/>
      <c r="G358" s="81"/>
      <c r="H358" s="81"/>
      <c r="I358" s="82"/>
      <c r="J358" s="88"/>
      <c r="K358" s="89"/>
      <c r="L358" s="88"/>
      <c r="M358" s="89"/>
      <c r="N358" s="80"/>
      <c r="O358" s="82"/>
      <c r="P358" s="94"/>
      <c r="Q358" s="95"/>
      <c r="S358" s="99"/>
      <c r="T358" s="99"/>
      <c r="U358" s="99"/>
      <c r="V358" s="99"/>
      <c r="W358" s="99"/>
      <c r="X358" s="99"/>
      <c r="Y358" s="99"/>
      <c r="Z358" s="99"/>
      <c r="AA358" s="99"/>
      <c r="AB358" s="99"/>
      <c r="AC358" s="98"/>
      <c r="AD358" s="98"/>
      <c r="AE358" s="98"/>
      <c r="AF358" s="98"/>
      <c r="AG358" s="98"/>
      <c r="AH358" s="98"/>
    </row>
    <row r="359" spans="2:34" x14ac:dyDescent="0.25">
      <c r="B359" s="75"/>
      <c r="C359" s="76"/>
      <c r="D359" s="83"/>
      <c r="E359" s="84"/>
      <c r="F359" s="84"/>
      <c r="G359" s="84"/>
      <c r="H359" s="84"/>
      <c r="I359" s="85"/>
      <c r="J359" s="90"/>
      <c r="K359" s="91"/>
      <c r="L359" s="90"/>
      <c r="M359" s="91"/>
      <c r="N359" s="83"/>
      <c r="O359" s="85"/>
      <c r="P359" s="96"/>
      <c r="Q359" s="97"/>
      <c r="S359" s="99"/>
      <c r="T359" s="99"/>
      <c r="U359" s="99"/>
      <c r="V359" s="99"/>
      <c r="W359" s="99"/>
      <c r="X359" s="99"/>
      <c r="Y359" s="99"/>
      <c r="Z359" s="99"/>
      <c r="AA359" s="99"/>
      <c r="AB359" s="99"/>
      <c r="AC359" s="98"/>
      <c r="AD359" s="98"/>
      <c r="AE359" s="98"/>
      <c r="AF359" s="98"/>
      <c r="AG359" s="98"/>
      <c r="AH359" s="98"/>
    </row>
    <row r="360" spans="2:34" x14ac:dyDescent="0.25">
      <c r="B360" s="71"/>
      <c r="C360" s="72"/>
      <c r="D360" s="77"/>
      <c r="E360" s="78"/>
      <c r="F360" s="78"/>
      <c r="G360" s="78"/>
      <c r="H360" s="78"/>
      <c r="I360" s="79"/>
      <c r="J360" s="86"/>
      <c r="K360" s="87"/>
      <c r="L360" s="86"/>
      <c r="M360" s="87"/>
      <c r="N360" s="77"/>
      <c r="O360" s="79"/>
      <c r="P360" s="92"/>
      <c r="Q360" s="93"/>
      <c r="S360" s="99"/>
      <c r="T360" s="99"/>
      <c r="U360" s="99"/>
      <c r="V360" s="99"/>
      <c r="W360" s="99"/>
      <c r="X360" s="99"/>
      <c r="Y360" s="99"/>
      <c r="Z360" s="99"/>
      <c r="AA360" s="99"/>
      <c r="AB360" s="99"/>
      <c r="AC360" s="98"/>
      <c r="AD360" s="98"/>
      <c r="AE360" s="98"/>
      <c r="AF360" s="98"/>
      <c r="AG360" s="98"/>
      <c r="AH360" s="98"/>
    </row>
    <row r="361" spans="2:34" x14ac:dyDescent="0.25">
      <c r="B361" s="73"/>
      <c r="C361" s="74"/>
      <c r="D361" s="80"/>
      <c r="E361" s="81"/>
      <c r="F361" s="81"/>
      <c r="G361" s="81"/>
      <c r="H361" s="81"/>
      <c r="I361" s="82"/>
      <c r="J361" s="88"/>
      <c r="K361" s="89"/>
      <c r="L361" s="88"/>
      <c r="M361" s="89"/>
      <c r="N361" s="80"/>
      <c r="O361" s="82"/>
      <c r="P361" s="94"/>
      <c r="Q361" s="95"/>
      <c r="S361" s="99"/>
      <c r="T361" s="99"/>
      <c r="U361" s="99"/>
      <c r="V361" s="99"/>
      <c r="W361" s="99"/>
      <c r="X361" s="99"/>
      <c r="Y361" s="99"/>
      <c r="Z361" s="99"/>
      <c r="AA361" s="99"/>
      <c r="AB361" s="99"/>
      <c r="AC361" s="98"/>
      <c r="AD361" s="98"/>
      <c r="AE361" s="98"/>
      <c r="AF361" s="98"/>
      <c r="AG361" s="98"/>
      <c r="AH361" s="98"/>
    </row>
    <row r="362" spans="2:34" x14ac:dyDescent="0.25">
      <c r="B362" s="75"/>
      <c r="C362" s="76"/>
      <c r="D362" s="83"/>
      <c r="E362" s="84"/>
      <c r="F362" s="84"/>
      <c r="G362" s="84"/>
      <c r="H362" s="84"/>
      <c r="I362" s="85"/>
      <c r="J362" s="90"/>
      <c r="K362" s="91"/>
      <c r="L362" s="90"/>
      <c r="M362" s="91"/>
      <c r="N362" s="83"/>
      <c r="O362" s="85"/>
      <c r="P362" s="96"/>
      <c r="Q362" s="97"/>
      <c r="S362" s="99"/>
      <c r="T362" s="99"/>
      <c r="U362" s="99"/>
      <c r="V362" s="99"/>
      <c r="W362" s="99"/>
      <c r="X362" s="99"/>
      <c r="Y362" s="99"/>
      <c r="Z362" s="99"/>
      <c r="AA362" s="99"/>
      <c r="AB362" s="99"/>
      <c r="AC362" s="98"/>
      <c r="AD362" s="98"/>
      <c r="AE362" s="98"/>
      <c r="AF362" s="98"/>
      <c r="AG362" s="98"/>
      <c r="AH362" s="98"/>
    </row>
    <row r="363" spans="2:34" x14ac:dyDescent="0.25">
      <c r="B363" s="71"/>
      <c r="C363" s="72"/>
      <c r="D363" s="77"/>
      <c r="E363" s="78"/>
      <c r="F363" s="78"/>
      <c r="G363" s="78"/>
      <c r="H363" s="78"/>
      <c r="I363" s="79"/>
      <c r="J363" s="86"/>
      <c r="K363" s="87"/>
      <c r="L363" s="86"/>
      <c r="M363" s="87"/>
      <c r="N363" s="77"/>
      <c r="O363" s="79"/>
      <c r="P363" s="92"/>
      <c r="Q363" s="93"/>
      <c r="S363" s="99"/>
      <c r="T363" s="99"/>
      <c r="U363" s="99"/>
      <c r="V363" s="99"/>
      <c r="W363" s="99"/>
      <c r="X363" s="99"/>
      <c r="Y363" s="99"/>
      <c r="Z363" s="99"/>
      <c r="AA363" s="99"/>
      <c r="AB363" s="99"/>
      <c r="AC363" s="98"/>
      <c r="AD363" s="98"/>
      <c r="AE363" s="98"/>
      <c r="AF363" s="98"/>
      <c r="AG363" s="98"/>
      <c r="AH363" s="98"/>
    </row>
    <row r="364" spans="2:34" x14ac:dyDescent="0.25">
      <c r="B364" s="73"/>
      <c r="C364" s="74"/>
      <c r="D364" s="80"/>
      <c r="E364" s="81"/>
      <c r="F364" s="81"/>
      <c r="G364" s="81"/>
      <c r="H364" s="81"/>
      <c r="I364" s="82"/>
      <c r="J364" s="88"/>
      <c r="K364" s="89"/>
      <c r="L364" s="88"/>
      <c r="M364" s="89"/>
      <c r="N364" s="80"/>
      <c r="O364" s="82"/>
      <c r="P364" s="94"/>
      <c r="Q364" s="95"/>
      <c r="S364" s="99"/>
      <c r="T364" s="99"/>
      <c r="U364" s="99"/>
      <c r="V364" s="99"/>
      <c r="W364" s="99"/>
      <c r="X364" s="99"/>
      <c r="Y364" s="99"/>
      <c r="Z364" s="99"/>
      <c r="AA364" s="99"/>
      <c r="AB364" s="99"/>
      <c r="AC364" s="98"/>
      <c r="AD364" s="98"/>
      <c r="AE364" s="98"/>
      <c r="AF364" s="98"/>
      <c r="AG364" s="98"/>
      <c r="AH364" s="98"/>
    </row>
    <row r="365" spans="2:34" x14ac:dyDescent="0.25">
      <c r="B365" s="75"/>
      <c r="C365" s="76"/>
      <c r="D365" s="83"/>
      <c r="E365" s="84"/>
      <c r="F365" s="84"/>
      <c r="G365" s="84"/>
      <c r="H365" s="84"/>
      <c r="I365" s="85"/>
      <c r="J365" s="90"/>
      <c r="K365" s="91"/>
      <c r="L365" s="90"/>
      <c r="M365" s="91"/>
      <c r="N365" s="83"/>
      <c r="O365" s="85"/>
      <c r="P365" s="96"/>
      <c r="Q365" s="97"/>
      <c r="S365" s="99"/>
      <c r="T365" s="99"/>
      <c r="U365" s="99"/>
      <c r="V365" s="99"/>
      <c r="W365" s="99"/>
      <c r="X365" s="99"/>
      <c r="Y365" s="99"/>
      <c r="Z365" s="99"/>
      <c r="AA365" s="99"/>
      <c r="AB365" s="99"/>
      <c r="AC365" s="98"/>
      <c r="AD365" s="98"/>
      <c r="AE365" s="98"/>
      <c r="AF365" s="98"/>
      <c r="AG365" s="98"/>
      <c r="AH365" s="98"/>
    </row>
    <row r="366" spans="2:34" x14ac:dyDescent="0.25">
      <c r="B366" s="71"/>
      <c r="C366" s="72"/>
      <c r="D366" s="77"/>
      <c r="E366" s="78"/>
      <c r="F366" s="78"/>
      <c r="G366" s="78"/>
      <c r="H366" s="78"/>
      <c r="I366" s="79"/>
      <c r="J366" s="86"/>
      <c r="K366" s="87"/>
      <c r="L366" s="86"/>
      <c r="M366" s="87"/>
      <c r="N366" s="77"/>
      <c r="O366" s="79"/>
      <c r="P366" s="92"/>
      <c r="Q366" s="93"/>
      <c r="S366" s="99"/>
      <c r="T366" s="99"/>
      <c r="U366" s="99"/>
      <c r="V366" s="99"/>
      <c r="W366" s="99"/>
      <c r="X366" s="99"/>
      <c r="Y366" s="99"/>
      <c r="Z366" s="99"/>
      <c r="AA366" s="99"/>
      <c r="AB366" s="99"/>
      <c r="AC366" s="98"/>
      <c r="AD366" s="98"/>
      <c r="AE366" s="98"/>
      <c r="AF366" s="98"/>
      <c r="AG366" s="98"/>
      <c r="AH366" s="98"/>
    </row>
    <row r="367" spans="2:34" x14ac:dyDescent="0.25">
      <c r="B367" s="73"/>
      <c r="C367" s="74"/>
      <c r="D367" s="80"/>
      <c r="E367" s="81"/>
      <c r="F367" s="81"/>
      <c r="G367" s="81"/>
      <c r="H367" s="81"/>
      <c r="I367" s="82"/>
      <c r="J367" s="88"/>
      <c r="K367" s="89"/>
      <c r="L367" s="88"/>
      <c r="M367" s="89"/>
      <c r="N367" s="80"/>
      <c r="O367" s="82"/>
      <c r="P367" s="94"/>
      <c r="Q367" s="95"/>
      <c r="S367" s="99"/>
      <c r="T367" s="99"/>
      <c r="U367" s="99"/>
      <c r="V367" s="99"/>
      <c r="W367" s="99"/>
      <c r="X367" s="99"/>
      <c r="Y367" s="99"/>
      <c r="Z367" s="99"/>
      <c r="AA367" s="99"/>
      <c r="AB367" s="99"/>
      <c r="AC367" s="98"/>
      <c r="AD367" s="98"/>
      <c r="AE367" s="98"/>
      <c r="AF367" s="98"/>
      <c r="AG367" s="98"/>
      <c r="AH367" s="98"/>
    </row>
    <row r="368" spans="2:34" x14ac:dyDescent="0.25">
      <c r="B368" s="75"/>
      <c r="C368" s="76"/>
      <c r="D368" s="83"/>
      <c r="E368" s="84"/>
      <c r="F368" s="84"/>
      <c r="G368" s="84"/>
      <c r="H368" s="84"/>
      <c r="I368" s="85"/>
      <c r="J368" s="90"/>
      <c r="K368" s="91"/>
      <c r="L368" s="90"/>
      <c r="M368" s="91"/>
      <c r="N368" s="83"/>
      <c r="O368" s="85"/>
      <c r="P368" s="96"/>
      <c r="Q368" s="97"/>
      <c r="S368" s="99"/>
      <c r="T368" s="99"/>
      <c r="U368" s="99"/>
      <c r="V368" s="99"/>
      <c r="W368" s="99"/>
      <c r="X368" s="99"/>
      <c r="Y368" s="99"/>
      <c r="Z368" s="99"/>
      <c r="AA368" s="99"/>
      <c r="AB368" s="99"/>
      <c r="AC368" s="98"/>
      <c r="AD368" s="98"/>
      <c r="AE368" s="98"/>
      <c r="AF368" s="98"/>
      <c r="AG368" s="98"/>
      <c r="AH368" s="98"/>
    </row>
    <row r="369" spans="2:34" x14ac:dyDescent="0.25">
      <c r="B369" s="71"/>
      <c r="C369" s="72"/>
      <c r="D369" s="77"/>
      <c r="E369" s="78"/>
      <c r="F369" s="78"/>
      <c r="G369" s="78"/>
      <c r="H369" s="78"/>
      <c r="I369" s="79"/>
      <c r="J369" s="86"/>
      <c r="K369" s="87"/>
      <c r="L369" s="86"/>
      <c r="M369" s="87"/>
      <c r="N369" s="77"/>
      <c r="O369" s="79"/>
      <c r="P369" s="92"/>
      <c r="Q369" s="93"/>
      <c r="S369" s="99"/>
      <c r="T369" s="99"/>
      <c r="U369" s="99"/>
      <c r="V369" s="99"/>
      <c r="W369" s="99"/>
      <c r="X369" s="99"/>
      <c r="Y369" s="99"/>
      <c r="Z369" s="99"/>
      <c r="AA369" s="99"/>
      <c r="AB369" s="99"/>
      <c r="AC369" s="98"/>
      <c r="AD369" s="98"/>
      <c r="AE369" s="98"/>
      <c r="AF369" s="98"/>
      <c r="AG369" s="98"/>
      <c r="AH369" s="98"/>
    </row>
    <row r="370" spans="2:34" x14ac:dyDescent="0.25">
      <c r="B370" s="73"/>
      <c r="C370" s="74"/>
      <c r="D370" s="80"/>
      <c r="E370" s="81"/>
      <c r="F370" s="81"/>
      <c r="G370" s="81"/>
      <c r="H370" s="81"/>
      <c r="I370" s="82"/>
      <c r="J370" s="88"/>
      <c r="K370" s="89"/>
      <c r="L370" s="88"/>
      <c r="M370" s="89"/>
      <c r="N370" s="80"/>
      <c r="O370" s="82"/>
      <c r="P370" s="94"/>
      <c r="Q370" s="95"/>
      <c r="S370" s="99"/>
      <c r="T370" s="99"/>
      <c r="U370" s="99"/>
      <c r="V370" s="99"/>
      <c r="W370" s="99"/>
      <c r="X370" s="99"/>
      <c r="Y370" s="99"/>
      <c r="Z370" s="99"/>
      <c r="AA370" s="99"/>
      <c r="AB370" s="99"/>
      <c r="AC370" s="98"/>
      <c r="AD370" s="98"/>
      <c r="AE370" s="98"/>
      <c r="AF370" s="98"/>
      <c r="AG370" s="98"/>
      <c r="AH370" s="98"/>
    </row>
    <row r="371" spans="2:34" x14ac:dyDescent="0.25">
      <c r="B371" s="75"/>
      <c r="C371" s="76"/>
      <c r="D371" s="83"/>
      <c r="E371" s="84"/>
      <c r="F371" s="84"/>
      <c r="G371" s="84"/>
      <c r="H371" s="84"/>
      <c r="I371" s="85"/>
      <c r="J371" s="90"/>
      <c r="K371" s="91"/>
      <c r="L371" s="90"/>
      <c r="M371" s="91"/>
      <c r="N371" s="83"/>
      <c r="O371" s="85"/>
      <c r="P371" s="96"/>
      <c r="Q371" s="97"/>
      <c r="S371" s="99"/>
      <c r="T371" s="99"/>
      <c r="U371" s="99"/>
      <c r="V371" s="99"/>
      <c r="W371" s="99"/>
      <c r="X371" s="99"/>
      <c r="Y371" s="99"/>
      <c r="Z371" s="99"/>
      <c r="AA371" s="99"/>
      <c r="AB371" s="99"/>
      <c r="AC371" s="98"/>
      <c r="AD371" s="98"/>
      <c r="AE371" s="98"/>
      <c r="AF371" s="98"/>
      <c r="AG371" s="98"/>
      <c r="AH371" s="98"/>
    </row>
    <row r="372" spans="2:34" x14ac:dyDescent="0.25">
      <c r="B372" s="71"/>
      <c r="C372" s="72"/>
      <c r="D372" s="77"/>
      <c r="E372" s="78"/>
      <c r="F372" s="78"/>
      <c r="G372" s="78"/>
      <c r="H372" s="78"/>
      <c r="I372" s="79"/>
      <c r="J372" s="86"/>
      <c r="K372" s="87"/>
      <c r="L372" s="86"/>
      <c r="M372" s="87"/>
      <c r="N372" s="77"/>
      <c r="O372" s="79"/>
      <c r="P372" s="92"/>
      <c r="Q372" s="93"/>
      <c r="S372" s="99"/>
      <c r="T372" s="99"/>
      <c r="U372" s="99"/>
      <c r="V372" s="99"/>
      <c r="W372" s="99"/>
      <c r="X372" s="99"/>
      <c r="Y372" s="99"/>
      <c r="Z372" s="99"/>
      <c r="AA372" s="99"/>
      <c r="AB372" s="99"/>
      <c r="AC372" s="98"/>
      <c r="AD372" s="98"/>
      <c r="AE372" s="98"/>
      <c r="AF372" s="98"/>
      <c r="AG372" s="98"/>
      <c r="AH372" s="98"/>
    </row>
    <row r="373" spans="2:34" x14ac:dyDescent="0.25">
      <c r="B373" s="73"/>
      <c r="C373" s="74"/>
      <c r="D373" s="80"/>
      <c r="E373" s="81"/>
      <c r="F373" s="81"/>
      <c r="G373" s="81"/>
      <c r="H373" s="81"/>
      <c r="I373" s="82"/>
      <c r="J373" s="88"/>
      <c r="K373" s="89"/>
      <c r="L373" s="88"/>
      <c r="M373" s="89"/>
      <c r="N373" s="80"/>
      <c r="O373" s="82"/>
      <c r="P373" s="94"/>
      <c r="Q373" s="95"/>
      <c r="S373" s="99"/>
      <c r="T373" s="99"/>
      <c r="U373" s="99"/>
      <c r="V373" s="99"/>
      <c r="W373" s="99"/>
      <c r="X373" s="99"/>
      <c r="Y373" s="99"/>
      <c r="Z373" s="99"/>
      <c r="AA373" s="99"/>
      <c r="AB373" s="99"/>
      <c r="AC373" s="98"/>
      <c r="AD373" s="98"/>
      <c r="AE373" s="98"/>
      <c r="AF373" s="98"/>
      <c r="AG373" s="98"/>
      <c r="AH373" s="98"/>
    </row>
    <row r="374" spans="2:34" x14ac:dyDescent="0.25">
      <c r="B374" s="75"/>
      <c r="C374" s="76"/>
      <c r="D374" s="83"/>
      <c r="E374" s="84"/>
      <c r="F374" s="84"/>
      <c r="G374" s="84"/>
      <c r="H374" s="84"/>
      <c r="I374" s="85"/>
      <c r="J374" s="90"/>
      <c r="K374" s="91"/>
      <c r="L374" s="90"/>
      <c r="M374" s="91"/>
      <c r="N374" s="83"/>
      <c r="O374" s="85"/>
      <c r="P374" s="96"/>
      <c r="Q374" s="97"/>
      <c r="S374" s="99"/>
      <c r="T374" s="99"/>
      <c r="U374" s="99"/>
      <c r="V374" s="99"/>
      <c r="W374" s="99"/>
      <c r="X374" s="99"/>
      <c r="Y374" s="99"/>
      <c r="Z374" s="99"/>
      <c r="AA374" s="99"/>
      <c r="AB374" s="99"/>
      <c r="AC374" s="98"/>
      <c r="AD374" s="98"/>
      <c r="AE374" s="98"/>
      <c r="AF374" s="98"/>
      <c r="AG374" s="98"/>
      <c r="AH374" s="98"/>
    </row>
    <row r="375" spans="2:34" x14ac:dyDescent="0.25">
      <c r="B375" s="71"/>
      <c r="C375" s="72"/>
      <c r="D375" s="77"/>
      <c r="E375" s="78"/>
      <c r="F375" s="78"/>
      <c r="G375" s="78"/>
      <c r="H375" s="78"/>
      <c r="I375" s="79"/>
      <c r="J375" s="86"/>
      <c r="K375" s="87"/>
      <c r="L375" s="86"/>
      <c r="M375" s="87"/>
      <c r="N375" s="77"/>
      <c r="O375" s="79"/>
      <c r="P375" s="92"/>
      <c r="Q375" s="93"/>
      <c r="S375" s="99"/>
      <c r="T375" s="99"/>
      <c r="U375" s="99"/>
      <c r="V375" s="99"/>
      <c r="W375" s="99"/>
      <c r="X375" s="99"/>
      <c r="Y375" s="99"/>
      <c r="Z375" s="99"/>
      <c r="AA375" s="99"/>
      <c r="AB375" s="99"/>
      <c r="AC375" s="98"/>
      <c r="AD375" s="98"/>
      <c r="AE375" s="98"/>
      <c r="AF375" s="98"/>
      <c r="AG375" s="98"/>
      <c r="AH375" s="98"/>
    </row>
    <row r="376" spans="2:34" x14ac:dyDescent="0.25">
      <c r="B376" s="73"/>
      <c r="C376" s="74"/>
      <c r="D376" s="80"/>
      <c r="E376" s="81"/>
      <c r="F376" s="81"/>
      <c r="G376" s="81"/>
      <c r="H376" s="81"/>
      <c r="I376" s="82"/>
      <c r="J376" s="88"/>
      <c r="K376" s="89"/>
      <c r="L376" s="88"/>
      <c r="M376" s="89"/>
      <c r="N376" s="80"/>
      <c r="O376" s="82"/>
      <c r="P376" s="94"/>
      <c r="Q376" s="95"/>
      <c r="S376" s="99"/>
      <c r="T376" s="99"/>
      <c r="U376" s="99"/>
      <c r="V376" s="99"/>
      <c r="W376" s="99"/>
      <c r="X376" s="99"/>
      <c r="Y376" s="99"/>
      <c r="Z376" s="99"/>
      <c r="AA376" s="99"/>
      <c r="AB376" s="99"/>
      <c r="AC376" s="98"/>
      <c r="AD376" s="98"/>
      <c r="AE376" s="98"/>
      <c r="AF376" s="98"/>
      <c r="AG376" s="98"/>
      <c r="AH376" s="98"/>
    </row>
    <row r="377" spans="2:34" x14ac:dyDescent="0.25">
      <c r="B377" s="75"/>
      <c r="C377" s="76"/>
      <c r="D377" s="83"/>
      <c r="E377" s="84"/>
      <c r="F377" s="84"/>
      <c r="G377" s="84"/>
      <c r="H377" s="84"/>
      <c r="I377" s="85"/>
      <c r="J377" s="90"/>
      <c r="K377" s="91"/>
      <c r="L377" s="90"/>
      <c r="M377" s="91"/>
      <c r="N377" s="83"/>
      <c r="O377" s="85"/>
      <c r="P377" s="96"/>
      <c r="Q377" s="97"/>
      <c r="S377" s="99"/>
      <c r="T377" s="99"/>
      <c r="U377" s="99"/>
      <c r="V377" s="99"/>
      <c r="W377" s="99"/>
      <c r="X377" s="99"/>
      <c r="Y377" s="99"/>
      <c r="Z377" s="99"/>
      <c r="AA377" s="99"/>
      <c r="AB377" s="99"/>
      <c r="AC377" s="98"/>
      <c r="AD377" s="98"/>
      <c r="AE377" s="98"/>
      <c r="AF377" s="98"/>
      <c r="AG377" s="98"/>
      <c r="AH377" s="98"/>
    </row>
    <row r="378" spans="2:34" x14ac:dyDescent="0.25">
      <c r="B378" s="71"/>
      <c r="C378" s="72"/>
      <c r="D378" s="77"/>
      <c r="E378" s="78"/>
      <c r="F378" s="78"/>
      <c r="G378" s="78"/>
      <c r="H378" s="78"/>
      <c r="I378" s="79"/>
      <c r="J378" s="86"/>
      <c r="K378" s="87"/>
      <c r="L378" s="86"/>
      <c r="M378" s="87"/>
      <c r="N378" s="77"/>
      <c r="O378" s="79"/>
      <c r="P378" s="92"/>
      <c r="Q378" s="93"/>
      <c r="S378" s="99"/>
      <c r="T378" s="99"/>
      <c r="U378" s="99"/>
      <c r="V378" s="99"/>
      <c r="W378" s="99"/>
      <c r="X378" s="99"/>
      <c r="Y378" s="99"/>
      <c r="Z378" s="99"/>
      <c r="AA378" s="99"/>
      <c r="AB378" s="99"/>
      <c r="AC378" s="98"/>
      <c r="AD378" s="98"/>
      <c r="AE378" s="98"/>
      <c r="AF378" s="98"/>
      <c r="AG378" s="98"/>
      <c r="AH378" s="98"/>
    </row>
    <row r="379" spans="2:34" x14ac:dyDescent="0.25">
      <c r="B379" s="73"/>
      <c r="C379" s="74"/>
      <c r="D379" s="80"/>
      <c r="E379" s="81"/>
      <c r="F379" s="81"/>
      <c r="G379" s="81"/>
      <c r="H379" s="81"/>
      <c r="I379" s="82"/>
      <c r="J379" s="88"/>
      <c r="K379" s="89"/>
      <c r="L379" s="88"/>
      <c r="M379" s="89"/>
      <c r="N379" s="80"/>
      <c r="O379" s="82"/>
      <c r="P379" s="94"/>
      <c r="Q379" s="95"/>
      <c r="S379" s="99"/>
      <c r="T379" s="99"/>
      <c r="U379" s="99"/>
      <c r="V379" s="99"/>
      <c r="W379" s="99"/>
      <c r="X379" s="99"/>
      <c r="Y379" s="99"/>
      <c r="Z379" s="99"/>
      <c r="AA379" s="99"/>
      <c r="AB379" s="99"/>
      <c r="AC379" s="98"/>
      <c r="AD379" s="98"/>
      <c r="AE379" s="98"/>
      <c r="AF379" s="98"/>
      <c r="AG379" s="98"/>
      <c r="AH379" s="98"/>
    </row>
    <row r="380" spans="2:34" x14ac:dyDescent="0.25">
      <c r="B380" s="75"/>
      <c r="C380" s="76"/>
      <c r="D380" s="83"/>
      <c r="E380" s="84"/>
      <c r="F380" s="84"/>
      <c r="G380" s="84"/>
      <c r="H380" s="84"/>
      <c r="I380" s="85"/>
      <c r="J380" s="90"/>
      <c r="K380" s="91"/>
      <c r="L380" s="90"/>
      <c r="M380" s="91"/>
      <c r="N380" s="83"/>
      <c r="O380" s="85"/>
      <c r="P380" s="96"/>
      <c r="Q380" s="97"/>
      <c r="S380" s="99"/>
      <c r="T380" s="99"/>
      <c r="U380" s="99"/>
      <c r="V380" s="99"/>
      <c r="W380" s="99"/>
      <c r="X380" s="99"/>
      <c r="Y380" s="99"/>
      <c r="Z380" s="99"/>
      <c r="AA380" s="99"/>
      <c r="AB380" s="99"/>
      <c r="AC380" s="98"/>
      <c r="AD380" s="98"/>
      <c r="AE380" s="98"/>
      <c r="AF380" s="98"/>
      <c r="AG380" s="98"/>
      <c r="AH380" s="98"/>
    </row>
    <row r="381" spans="2:34" x14ac:dyDescent="0.25">
      <c r="B381" s="71"/>
      <c r="C381" s="72"/>
      <c r="D381" s="77"/>
      <c r="E381" s="78"/>
      <c r="F381" s="78"/>
      <c r="G381" s="78"/>
      <c r="H381" s="78"/>
      <c r="I381" s="79"/>
      <c r="J381" s="86"/>
      <c r="K381" s="87"/>
      <c r="L381" s="86"/>
      <c r="M381" s="87"/>
      <c r="N381" s="77"/>
      <c r="O381" s="79"/>
      <c r="P381" s="92"/>
      <c r="Q381" s="93"/>
      <c r="S381" s="99"/>
      <c r="T381" s="99"/>
      <c r="U381" s="99"/>
      <c r="V381" s="99"/>
      <c r="W381" s="99"/>
      <c r="X381" s="99"/>
      <c r="Y381" s="99"/>
      <c r="Z381" s="99"/>
      <c r="AA381" s="99"/>
      <c r="AB381" s="99"/>
      <c r="AC381" s="98"/>
      <c r="AD381" s="98"/>
      <c r="AE381" s="98"/>
      <c r="AF381" s="98"/>
      <c r="AG381" s="98"/>
      <c r="AH381" s="98"/>
    </row>
    <row r="382" spans="2:34" x14ac:dyDescent="0.25">
      <c r="B382" s="73"/>
      <c r="C382" s="74"/>
      <c r="D382" s="80"/>
      <c r="E382" s="81"/>
      <c r="F382" s="81"/>
      <c r="G382" s="81"/>
      <c r="H382" s="81"/>
      <c r="I382" s="82"/>
      <c r="J382" s="88"/>
      <c r="K382" s="89"/>
      <c r="L382" s="88"/>
      <c r="M382" s="89"/>
      <c r="N382" s="80"/>
      <c r="O382" s="82"/>
      <c r="P382" s="94"/>
      <c r="Q382" s="95"/>
      <c r="S382" s="99"/>
      <c r="T382" s="99"/>
      <c r="U382" s="99"/>
      <c r="V382" s="99"/>
      <c r="W382" s="99"/>
      <c r="X382" s="99"/>
      <c r="Y382" s="99"/>
      <c r="Z382" s="99"/>
      <c r="AA382" s="99"/>
      <c r="AB382" s="99"/>
      <c r="AC382" s="98"/>
      <c r="AD382" s="98"/>
      <c r="AE382" s="98"/>
      <c r="AF382" s="98"/>
      <c r="AG382" s="98"/>
      <c r="AH382" s="98"/>
    </row>
    <row r="383" spans="2:34" x14ac:dyDescent="0.25">
      <c r="B383" s="75"/>
      <c r="C383" s="76"/>
      <c r="D383" s="83"/>
      <c r="E383" s="84"/>
      <c r="F383" s="84"/>
      <c r="G383" s="84"/>
      <c r="H383" s="84"/>
      <c r="I383" s="85"/>
      <c r="J383" s="90"/>
      <c r="K383" s="91"/>
      <c r="L383" s="90"/>
      <c r="M383" s="91"/>
      <c r="N383" s="83"/>
      <c r="O383" s="85"/>
      <c r="P383" s="96"/>
      <c r="Q383" s="97"/>
      <c r="S383" s="99"/>
      <c r="T383" s="99"/>
      <c r="U383" s="99"/>
      <c r="V383" s="99"/>
      <c r="W383" s="99"/>
      <c r="X383" s="99"/>
      <c r="Y383" s="99"/>
      <c r="Z383" s="99"/>
      <c r="AA383" s="99"/>
      <c r="AB383" s="99"/>
      <c r="AC383" s="98"/>
      <c r="AD383" s="98"/>
      <c r="AE383" s="98"/>
      <c r="AF383" s="98"/>
      <c r="AG383" s="98"/>
      <c r="AH383" s="98"/>
    </row>
    <row r="384" spans="2:34" x14ac:dyDescent="0.25">
      <c r="B384" s="71"/>
      <c r="C384" s="72"/>
      <c r="D384" s="77"/>
      <c r="E384" s="78"/>
      <c r="F384" s="78"/>
      <c r="G384" s="78"/>
      <c r="H384" s="78"/>
      <c r="I384" s="79"/>
      <c r="J384" s="86"/>
      <c r="K384" s="87"/>
      <c r="L384" s="86"/>
      <c r="M384" s="87"/>
      <c r="N384" s="77"/>
      <c r="O384" s="79"/>
      <c r="P384" s="92"/>
      <c r="Q384" s="93"/>
      <c r="S384" s="99"/>
      <c r="T384" s="99"/>
      <c r="U384" s="99"/>
      <c r="V384" s="99"/>
      <c r="W384" s="99"/>
      <c r="X384" s="99"/>
      <c r="Y384" s="99"/>
      <c r="Z384" s="99"/>
      <c r="AA384" s="99"/>
      <c r="AB384" s="99"/>
      <c r="AC384" s="98"/>
      <c r="AD384" s="98"/>
      <c r="AE384" s="98"/>
      <c r="AF384" s="98"/>
      <c r="AG384" s="98"/>
      <c r="AH384" s="98"/>
    </row>
    <row r="385" spans="2:34" x14ac:dyDescent="0.25">
      <c r="B385" s="73"/>
      <c r="C385" s="74"/>
      <c r="D385" s="80"/>
      <c r="E385" s="81"/>
      <c r="F385" s="81"/>
      <c r="G385" s="81"/>
      <c r="H385" s="81"/>
      <c r="I385" s="82"/>
      <c r="J385" s="88"/>
      <c r="K385" s="89"/>
      <c r="L385" s="88"/>
      <c r="M385" s="89"/>
      <c r="N385" s="80"/>
      <c r="O385" s="82"/>
      <c r="P385" s="94"/>
      <c r="Q385" s="95"/>
      <c r="S385" s="99"/>
      <c r="T385" s="99"/>
      <c r="U385" s="99"/>
      <c r="V385" s="99"/>
      <c r="W385" s="99"/>
      <c r="X385" s="99"/>
      <c r="Y385" s="99"/>
      <c r="Z385" s="99"/>
      <c r="AA385" s="99"/>
      <c r="AB385" s="99"/>
      <c r="AC385" s="98"/>
      <c r="AD385" s="98"/>
      <c r="AE385" s="98"/>
      <c r="AF385" s="98"/>
      <c r="AG385" s="98"/>
      <c r="AH385" s="98"/>
    </row>
    <row r="386" spans="2:34" x14ac:dyDescent="0.25">
      <c r="B386" s="75"/>
      <c r="C386" s="76"/>
      <c r="D386" s="83"/>
      <c r="E386" s="84"/>
      <c r="F386" s="84"/>
      <c r="G386" s="84"/>
      <c r="H386" s="84"/>
      <c r="I386" s="85"/>
      <c r="J386" s="90"/>
      <c r="K386" s="91"/>
      <c r="L386" s="90"/>
      <c r="M386" s="91"/>
      <c r="N386" s="83"/>
      <c r="O386" s="85"/>
      <c r="P386" s="96"/>
      <c r="Q386" s="97"/>
      <c r="S386" s="99"/>
      <c r="T386" s="99"/>
      <c r="U386" s="99"/>
      <c r="V386" s="99"/>
      <c r="W386" s="99"/>
      <c r="X386" s="99"/>
      <c r="Y386" s="99"/>
      <c r="Z386" s="99"/>
      <c r="AA386" s="99"/>
      <c r="AB386" s="99"/>
      <c r="AC386" s="98"/>
      <c r="AD386" s="98"/>
      <c r="AE386" s="98"/>
      <c r="AF386" s="98"/>
      <c r="AG386" s="98"/>
      <c r="AH386" s="98"/>
    </row>
    <row r="387" spans="2:34" x14ac:dyDescent="0.25">
      <c r="B387" s="71"/>
      <c r="C387" s="72"/>
      <c r="D387" s="77"/>
      <c r="E387" s="78"/>
      <c r="F387" s="78"/>
      <c r="G387" s="78"/>
      <c r="H387" s="78"/>
      <c r="I387" s="79"/>
      <c r="J387" s="86"/>
      <c r="K387" s="87"/>
      <c r="L387" s="86"/>
      <c r="M387" s="87"/>
      <c r="N387" s="77"/>
      <c r="O387" s="79"/>
      <c r="P387" s="92"/>
      <c r="Q387" s="93"/>
      <c r="S387" s="99"/>
      <c r="T387" s="99"/>
      <c r="U387" s="99"/>
      <c r="V387" s="99"/>
      <c r="W387" s="99"/>
      <c r="X387" s="99"/>
      <c r="Y387" s="99"/>
      <c r="Z387" s="99"/>
      <c r="AA387" s="99"/>
      <c r="AB387" s="99"/>
      <c r="AC387" s="98"/>
      <c r="AD387" s="98"/>
      <c r="AE387" s="98"/>
      <c r="AF387" s="98"/>
      <c r="AG387" s="98"/>
      <c r="AH387" s="98"/>
    </row>
    <row r="388" spans="2:34" x14ac:dyDescent="0.25">
      <c r="B388" s="73"/>
      <c r="C388" s="74"/>
      <c r="D388" s="80"/>
      <c r="E388" s="81"/>
      <c r="F388" s="81"/>
      <c r="G388" s="81"/>
      <c r="H388" s="81"/>
      <c r="I388" s="82"/>
      <c r="J388" s="88"/>
      <c r="K388" s="89"/>
      <c r="L388" s="88"/>
      <c r="M388" s="89"/>
      <c r="N388" s="80"/>
      <c r="O388" s="82"/>
      <c r="P388" s="94"/>
      <c r="Q388" s="95"/>
      <c r="S388" s="99"/>
      <c r="T388" s="99"/>
      <c r="U388" s="99"/>
      <c r="V388" s="99"/>
      <c r="W388" s="99"/>
      <c r="X388" s="99"/>
      <c r="Y388" s="99"/>
      <c r="Z388" s="99"/>
      <c r="AA388" s="99"/>
      <c r="AB388" s="99"/>
      <c r="AC388" s="98"/>
      <c r="AD388" s="98"/>
      <c r="AE388" s="98"/>
      <c r="AF388" s="98"/>
      <c r="AG388" s="98"/>
      <c r="AH388" s="98"/>
    </row>
    <row r="389" spans="2:34" x14ac:dyDescent="0.25">
      <c r="B389" s="75"/>
      <c r="C389" s="76"/>
      <c r="D389" s="83"/>
      <c r="E389" s="84"/>
      <c r="F389" s="84"/>
      <c r="G389" s="84"/>
      <c r="H389" s="84"/>
      <c r="I389" s="85"/>
      <c r="J389" s="90"/>
      <c r="K389" s="91"/>
      <c r="L389" s="90"/>
      <c r="M389" s="91"/>
      <c r="N389" s="83"/>
      <c r="O389" s="85"/>
      <c r="P389" s="96"/>
      <c r="Q389" s="97"/>
      <c r="S389" s="99"/>
      <c r="T389" s="99"/>
      <c r="U389" s="99"/>
      <c r="V389" s="99"/>
      <c r="W389" s="99"/>
      <c r="X389" s="99"/>
      <c r="Y389" s="99"/>
      <c r="Z389" s="99"/>
      <c r="AA389" s="99"/>
      <c r="AB389" s="99"/>
      <c r="AC389" s="98"/>
      <c r="AD389" s="98"/>
      <c r="AE389" s="98"/>
      <c r="AF389" s="98"/>
      <c r="AG389" s="98"/>
      <c r="AH389" s="98"/>
    </row>
    <row r="390" spans="2:34" x14ac:dyDescent="0.25">
      <c r="B390" s="71"/>
      <c r="C390" s="72"/>
      <c r="D390" s="77"/>
      <c r="E390" s="78"/>
      <c r="F390" s="78"/>
      <c r="G390" s="78"/>
      <c r="H390" s="78"/>
      <c r="I390" s="79"/>
      <c r="J390" s="86"/>
      <c r="K390" s="87"/>
      <c r="L390" s="86"/>
      <c r="M390" s="87"/>
      <c r="N390" s="77"/>
      <c r="O390" s="79"/>
      <c r="P390" s="92"/>
      <c r="Q390" s="93"/>
      <c r="S390" s="99"/>
      <c r="T390" s="99"/>
      <c r="U390" s="99"/>
      <c r="V390" s="99"/>
      <c r="W390" s="99"/>
      <c r="X390" s="99"/>
      <c r="Y390" s="99"/>
      <c r="Z390" s="99"/>
      <c r="AA390" s="99"/>
      <c r="AB390" s="99"/>
      <c r="AC390" s="98"/>
      <c r="AD390" s="98"/>
      <c r="AE390" s="98"/>
      <c r="AF390" s="98"/>
      <c r="AG390" s="98"/>
      <c r="AH390" s="98"/>
    </row>
    <row r="391" spans="2:34" x14ac:dyDescent="0.25">
      <c r="B391" s="73"/>
      <c r="C391" s="74"/>
      <c r="D391" s="80"/>
      <c r="E391" s="81"/>
      <c r="F391" s="81"/>
      <c r="G391" s="81"/>
      <c r="H391" s="81"/>
      <c r="I391" s="82"/>
      <c r="J391" s="88"/>
      <c r="K391" s="89"/>
      <c r="L391" s="88"/>
      <c r="M391" s="89"/>
      <c r="N391" s="80"/>
      <c r="O391" s="82"/>
      <c r="P391" s="94"/>
      <c r="Q391" s="95"/>
      <c r="S391" s="99"/>
      <c r="T391" s="99"/>
      <c r="U391" s="99"/>
      <c r="V391" s="99"/>
      <c r="W391" s="99"/>
      <c r="X391" s="99"/>
      <c r="Y391" s="99"/>
      <c r="Z391" s="99"/>
      <c r="AA391" s="99"/>
      <c r="AB391" s="99"/>
      <c r="AC391" s="98"/>
      <c r="AD391" s="98"/>
      <c r="AE391" s="98"/>
      <c r="AF391" s="98"/>
      <c r="AG391" s="98"/>
      <c r="AH391" s="98"/>
    </row>
    <row r="392" spans="2:34" x14ac:dyDescent="0.25">
      <c r="B392" s="75"/>
      <c r="C392" s="76"/>
      <c r="D392" s="83"/>
      <c r="E392" s="84"/>
      <c r="F392" s="84"/>
      <c r="G392" s="84"/>
      <c r="H392" s="84"/>
      <c r="I392" s="85"/>
      <c r="J392" s="90"/>
      <c r="K392" s="91"/>
      <c r="L392" s="90"/>
      <c r="M392" s="91"/>
      <c r="N392" s="83"/>
      <c r="O392" s="85"/>
      <c r="P392" s="96"/>
      <c r="Q392" s="97"/>
      <c r="S392" s="99"/>
      <c r="T392" s="99"/>
      <c r="U392" s="99"/>
      <c r="V392" s="99"/>
      <c r="W392" s="99"/>
      <c r="X392" s="99"/>
      <c r="Y392" s="99"/>
      <c r="Z392" s="99"/>
      <c r="AA392" s="99"/>
      <c r="AB392" s="99"/>
      <c r="AC392" s="98"/>
      <c r="AD392" s="98"/>
      <c r="AE392" s="98"/>
      <c r="AF392" s="98"/>
      <c r="AG392" s="98"/>
      <c r="AH392" s="98"/>
    </row>
    <row r="393" spans="2:34" x14ac:dyDescent="0.25">
      <c r="B393" s="71"/>
      <c r="C393" s="72"/>
      <c r="D393" s="77"/>
      <c r="E393" s="78"/>
      <c r="F393" s="78"/>
      <c r="G393" s="78"/>
      <c r="H393" s="78"/>
      <c r="I393" s="79"/>
      <c r="J393" s="86"/>
      <c r="K393" s="87"/>
      <c r="L393" s="86"/>
      <c r="M393" s="87"/>
      <c r="N393" s="77"/>
      <c r="O393" s="79"/>
      <c r="P393" s="92"/>
      <c r="Q393" s="93"/>
      <c r="S393" s="99"/>
      <c r="T393" s="99"/>
      <c r="U393" s="99"/>
      <c r="V393" s="99"/>
      <c r="W393" s="99"/>
      <c r="X393" s="99"/>
      <c r="Y393" s="99"/>
      <c r="Z393" s="99"/>
      <c r="AA393" s="99"/>
      <c r="AB393" s="99"/>
      <c r="AC393" s="98"/>
      <c r="AD393" s="98"/>
      <c r="AE393" s="98"/>
      <c r="AF393" s="98"/>
      <c r="AG393" s="98"/>
      <c r="AH393" s="98"/>
    </row>
    <row r="394" spans="2:34" x14ac:dyDescent="0.25">
      <c r="B394" s="73"/>
      <c r="C394" s="74"/>
      <c r="D394" s="80"/>
      <c r="E394" s="81"/>
      <c r="F394" s="81"/>
      <c r="G394" s="81"/>
      <c r="H394" s="81"/>
      <c r="I394" s="82"/>
      <c r="J394" s="88"/>
      <c r="K394" s="89"/>
      <c r="L394" s="88"/>
      <c r="M394" s="89"/>
      <c r="N394" s="80"/>
      <c r="O394" s="82"/>
      <c r="P394" s="94"/>
      <c r="Q394" s="95"/>
      <c r="S394" s="99"/>
      <c r="T394" s="99"/>
      <c r="U394" s="99"/>
      <c r="V394" s="99"/>
      <c r="W394" s="99"/>
      <c r="X394" s="99"/>
      <c r="Y394" s="99"/>
      <c r="Z394" s="99"/>
      <c r="AA394" s="99"/>
      <c r="AB394" s="99"/>
      <c r="AC394" s="98"/>
      <c r="AD394" s="98"/>
      <c r="AE394" s="98"/>
      <c r="AF394" s="98"/>
      <c r="AG394" s="98"/>
      <c r="AH394" s="98"/>
    </row>
    <row r="395" spans="2:34" x14ac:dyDescent="0.25">
      <c r="B395" s="75"/>
      <c r="C395" s="76"/>
      <c r="D395" s="83"/>
      <c r="E395" s="84"/>
      <c r="F395" s="84"/>
      <c r="G395" s="84"/>
      <c r="H395" s="84"/>
      <c r="I395" s="85"/>
      <c r="J395" s="90"/>
      <c r="K395" s="91"/>
      <c r="L395" s="90"/>
      <c r="M395" s="91"/>
      <c r="N395" s="83"/>
      <c r="O395" s="85"/>
      <c r="P395" s="96"/>
      <c r="Q395" s="97"/>
      <c r="S395" s="99"/>
      <c r="T395" s="99"/>
      <c r="U395" s="99"/>
      <c r="V395" s="99"/>
      <c r="W395" s="99"/>
      <c r="X395" s="99"/>
      <c r="Y395" s="99"/>
      <c r="Z395" s="99"/>
      <c r="AA395" s="99"/>
      <c r="AB395" s="99"/>
      <c r="AC395" s="98"/>
      <c r="AD395" s="98"/>
      <c r="AE395" s="98"/>
      <c r="AF395" s="98"/>
      <c r="AG395" s="98"/>
      <c r="AH395" s="98"/>
    </row>
    <row r="396" spans="2:34" x14ac:dyDescent="0.25">
      <c r="B396" s="71"/>
      <c r="C396" s="72"/>
      <c r="D396" s="77"/>
      <c r="E396" s="78"/>
      <c r="F396" s="78"/>
      <c r="G396" s="78"/>
      <c r="H396" s="78"/>
      <c r="I396" s="79"/>
      <c r="J396" s="86"/>
      <c r="K396" s="87"/>
      <c r="L396" s="86"/>
      <c r="M396" s="87"/>
      <c r="N396" s="77"/>
      <c r="O396" s="79"/>
      <c r="P396" s="92"/>
      <c r="Q396" s="93"/>
      <c r="S396" s="99"/>
      <c r="T396" s="99"/>
      <c r="U396" s="99"/>
      <c r="V396" s="99"/>
      <c r="W396" s="99"/>
      <c r="X396" s="99"/>
      <c r="Y396" s="99"/>
      <c r="Z396" s="99"/>
      <c r="AA396" s="99"/>
      <c r="AB396" s="99"/>
      <c r="AC396" s="98"/>
      <c r="AD396" s="98"/>
      <c r="AE396" s="98"/>
      <c r="AF396" s="98"/>
      <c r="AG396" s="98"/>
      <c r="AH396" s="98"/>
    </row>
    <row r="397" spans="2:34" x14ac:dyDescent="0.25">
      <c r="B397" s="73"/>
      <c r="C397" s="74"/>
      <c r="D397" s="80"/>
      <c r="E397" s="81"/>
      <c r="F397" s="81"/>
      <c r="G397" s="81"/>
      <c r="H397" s="81"/>
      <c r="I397" s="82"/>
      <c r="J397" s="88"/>
      <c r="K397" s="89"/>
      <c r="L397" s="88"/>
      <c r="M397" s="89"/>
      <c r="N397" s="80"/>
      <c r="O397" s="82"/>
      <c r="P397" s="94"/>
      <c r="Q397" s="95"/>
      <c r="S397" s="99"/>
      <c r="T397" s="99"/>
      <c r="U397" s="99"/>
      <c r="V397" s="99"/>
      <c r="W397" s="99"/>
      <c r="X397" s="99"/>
      <c r="Y397" s="99"/>
      <c r="Z397" s="99"/>
      <c r="AA397" s="99"/>
      <c r="AB397" s="99"/>
      <c r="AC397" s="98"/>
      <c r="AD397" s="98"/>
      <c r="AE397" s="98"/>
      <c r="AF397" s="98"/>
      <c r="AG397" s="98"/>
      <c r="AH397" s="98"/>
    </row>
    <row r="398" spans="2:34" x14ac:dyDescent="0.25">
      <c r="B398" s="75"/>
      <c r="C398" s="76"/>
      <c r="D398" s="83"/>
      <c r="E398" s="84"/>
      <c r="F398" s="84"/>
      <c r="G398" s="84"/>
      <c r="H398" s="84"/>
      <c r="I398" s="85"/>
      <c r="J398" s="90"/>
      <c r="K398" s="91"/>
      <c r="L398" s="90"/>
      <c r="M398" s="91"/>
      <c r="N398" s="83"/>
      <c r="O398" s="85"/>
      <c r="P398" s="96"/>
      <c r="Q398" s="97"/>
      <c r="S398" s="99"/>
      <c r="T398" s="99"/>
      <c r="U398" s="99"/>
      <c r="V398" s="99"/>
      <c r="W398" s="99"/>
      <c r="X398" s="99"/>
      <c r="Y398" s="99"/>
      <c r="Z398" s="99"/>
      <c r="AA398" s="99"/>
      <c r="AB398" s="99"/>
      <c r="AC398" s="98"/>
      <c r="AD398" s="98"/>
      <c r="AE398" s="98"/>
      <c r="AF398" s="98"/>
      <c r="AG398" s="98"/>
      <c r="AH398" s="98"/>
    </row>
    <row r="399" spans="2:34" x14ac:dyDescent="0.25">
      <c r="B399" s="71"/>
      <c r="C399" s="72"/>
      <c r="D399" s="77"/>
      <c r="E399" s="78"/>
      <c r="F399" s="78"/>
      <c r="G399" s="78"/>
      <c r="H399" s="78"/>
      <c r="I399" s="79"/>
      <c r="J399" s="86"/>
      <c r="K399" s="87"/>
      <c r="L399" s="86"/>
      <c r="M399" s="87"/>
      <c r="N399" s="77"/>
      <c r="O399" s="79"/>
      <c r="P399" s="92"/>
      <c r="Q399" s="93"/>
      <c r="S399" s="99"/>
      <c r="T399" s="99"/>
      <c r="U399" s="99"/>
      <c r="V399" s="99"/>
      <c r="W399" s="99"/>
      <c r="X399" s="99"/>
      <c r="Y399" s="99"/>
      <c r="Z399" s="99"/>
      <c r="AA399" s="99"/>
      <c r="AB399" s="99"/>
      <c r="AC399" s="98"/>
      <c r="AD399" s="98"/>
      <c r="AE399" s="98"/>
      <c r="AF399" s="98"/>
      <c r="AG399" s="98"/>
      <c r="AH399" s="98"/>
    </row>
    <row r="400" spans="2:34" x14ac:dyDescent="0.25">
      <c r="B400" s="73"/>
      <c r="C400" s="74"/>
      <c r="D400" s="80"/>
      <c r="E400" s="81"/>
      <c r="F400" s="81"/>
      <c r="G400" s="81"/>
      <c r="H400" s="81"/>
      <c r="I400" s="82"/>
      <c r="J400" s="88"/>
      <c r="K400" s="89"/>
      <c r="L400" s="88"/>
      <c r="M400" s="89"/>
      <c r="N400" s="80"/>
      <c r="O400" s="82"/>
      <c r="P400" s="94"/>
      <c r="Q400" s="95"/>
      <c r="S400" s="99"/>
      <c r="T400" s="99"/>
      <c r="U400" s="99"/>
      <c r="V400" s="99"/>
      <c r="W400" s="99"/>
      <c r="X400" s="99"/>
      <c r="Y400" s="99"/>
      <c r="Z400" s="99"/>
      <c r="AA400" s="99"/>
      <c r="AB400" s="99"/>
      <c r="AC400" s="98"/>
      <c r="AD400" s="98"/>
      <c r="AE400" s="98"/>
      <c r="AF400" s="98"/>
      <c r="AG400" s="98"/>
      <c r="AH400" s="98"/>
    </row>
    <row r="401" spans="2:34" x14ac:dyDescent="0.25">
      <c r="B401" s="75"/>
      <c r="C401" s="76"/>
      <c r="D401" s="83"/>
      <c r="E401" s="84"/>
      <c r="F401" s="84"/>
      <c r="G401" s="84"/>
      <c r="H401" s="84"/>
      <c r="I401" s="85"/>
      <c r="J401" s="90"/>
      <c r="K401" s="91"/>
      <c r="L401" s="90"/>
      <c r="M401" s="91"/>
      <c r="N401" s="83"/>
      <c r="O401" s="85"/>
      <c r="P401" s="96"/>
      <c r="Q401" s="97"/>
      <c r="S401" s="99"/>
      <c r="T401" s="99"/>
      <c r="U401" s="99"/>
      <c r="V401" s="99"/>
      <c r="W401" s="99"/>
      <c r="X401" s="99"/>
      <c r="Y401" s="99"/>
      <c r="Z401" s="99"/>
      <c r="AA401" s="99"/>
      <c r="AB401" s="99"/>
      <c r="AC401" s="98"/>
      <c r="AD401" s="98"/>
      <c r="AE401" s="98"/>
      <c r="AF401" s="98"/>
      <c r="AG401" s="98"/>
      <c r="AH401" s="98"/>
    </row>
    <row r="402" spans="2:34" x14ac:dyDescent="0.25">
      <c r="B402" s="71"/>
      <c r="C402" s="72"/>
      <c r="D402" s="77"/>
      <c r="E402" s="78"/>
      <c r="F402" s="78"/>
      <c r="G402" s="78"/>
      <c r="H402" s="78"/>
      <c r="I402" s="79"/>
      <c r="J402" s="86"/>
      <c r="K402" s="87"/>
      <c r="L402" s="86"/>
      <c r="M402" s="87"/>
      <c r="N402" s="77"/>
      <c r="O402" s="79"/>
      <c r="P402" s="92"/>
      <c r="Q402" s="93"/>
      <c r="S402" s="99"/>
      <c r="T402" s="99"/>
      <c r="U402" s="99"/>
      <c r="V402" s="99"/>
      <c r="W402" s="99"/>
      <c r="X402" s="99"/>
      <c r="Y402" s="99"/>
      <c r="Z402" s="99"/>
      <c r="AA402" s="99"/>
      <c r="AB402" s="99"/>
      <c r="AC402" s="98"/>
      <c r="AD402" s="98"/>
      <c r="AE402" s="98"/>
      <c r="AF402" s="98"/>
      <c r="AG402" s="98"/>
      <c r="AH402" s="98"/>
    </row>
    <row r="403" spans="2:34" x14ac:dyDescent="0.25">
      <c r="B403" s="73"/>
      <c r="C403" s="74"/>
      <c r="D403" s="80"/>
      <c r="E403" s="81"/>
      <c r="F403" s="81"/>
      <c r="G403" s="81"/>
      <c r="H403" s="81"/>
      <c r="I403" s="82"/>
      <c r="J403" s="88"/>
      <c r="K403" s="89"/>
      <c r="L403" s="88"/>
      <c r="M403" s="89"/>
      <c r="N403" s="80"/>
      <c r="O403" s="82"/>
      <c r="P403" s="94"/>
      <c r="Q403" s="95"/>
      <c r="S403" s="99"/>
      <c r="T403" s="99"/>
      <c r="U403" s="99"/>
      <c r="V403" s="99"/>
      <c r="W403" s="99"/>
      <c r="X403" s="99"/>
      <c r="Y403" s="99"/>
      <c r="Z403" s="99"/>
      <c r="AA403" s="99"/>
      <c r="AB403" s="99"/>
      <c r="AC403" s="98"/>
      <c r="AD403" s="98"/>
      <c r="AE403" s="98"/>
      <c r="AF403" s="98"/>
      <c r="AG403" s="98"/>
      <c r="AH403" s="98"/>
    </row>
    <row r="404" spans="2:34" x14ac:dyDescent="0.25">
      <c r="B404" s="75"/>
      <c r="C404" s="76"/>
      <c r="D404" s="83"/>
      <c r="E404" s="84"/>
      <c r="F404" s="84"/>
      <c r="G404" s="84"/>
      <c r="H404" s="84"/>
      <c r="I404" s="85"/>
      <c r="J404" s="90"/>
      <c r="K404" s="91"/>
      <c r="L404" s="90"/>
      <c r="M404" s="91"/>
      <c r="N404" s="83"/>
      <c r="O404" s="85"/>
      <c r="P404" s="96"/>
      <c r="Q404" s="97"/>
      <c r="S404" s="99"/>
      <c r="T404" s="99"/>
      <c r="U404" s="99"/>
      <c r="V404" s="99"/>
      <c r="W404" s="99"/>
      <c r="X404" s="99"/>
      <c r="Y404" s="99"/>
      <c r="Z404" s="99"/>
      <c r="AA404" s="99"/>
      <c r="AB404" s="99"/>
      <c r="AC404" s="98"/>
      <c r="AD404" s="98"/>
      <c r="AE404" s="98"/>
      <c r="AF404" s="98"/>
      <c r="AG404" s="98"/>
      <c r="AH404" s="98"/>
    </row>
    <row r="405" spans="2:34" x14ac:dyDescent="0.25">
      <c r="B405" s="71"/>
      <c r="C405" s="72"/>
      <c r="D405" s="77"/>
      <c r="E405" s="78"/>
      <c r="F405" s="78"/>
      <c r="G405" s="78"/>
      <c r="H405" s="78"/>
      <c r="I405" s="79"/>
      <c r="J405" s="86"/>
      <c r="K405" s="87"/>
      <c r="L405" s="86"/>
      <c r="M405" s="87"/>
      <c r="N405" s="77"/>
      <c r="O405" s="79"/>
      <c r="P405" s="92"/>
      <c r="Q405" s="93"/>
      <c r="S405" s="99"/>
      <c r="T405" s="99"/>
      <c r="U405" s="99"/>
      <c r="V405" s="99"/>
      <c r="W405" s="99"/>
      <c r="X405" s="99"/>
      <c r="Y405" s="99"/>
      <c r="Z405" s="99"/>
      <c r="AA405" s="99"/>
      <c r="AB405" s="99"/>
      <c r="AC405" s="98"/>
      <c r="AD405" s="98"/>
      <c r="AE405" s="98"/>
      <c r="AF405" s="98"/>
      <c r="AG405" s="98"/>
      <c r="AH405" s="98"/>
    </row>
    <row r="406" spans="2:34" x14ac:dyDescent="0.25">
      <c r="B406" s="73"/>
      <c r="C406" s="74"/>
      <c r="D406" s="80"/>
      <c r="E406" s="81"/>
      <c r="F406" s="81"/>
      <c r="G406" s="81"/>
      <c r="H406" s="81"/>
      <c r="I406" s="82"/>
      <c r="J406" s="88"/>
      <c r="K406" s="89"/>
      <c r="L406" s="88"/>
      <c r="M406" s="89"/>
      <c r="N406" s="80"/>
      <c r="O406" s="82"/>
      <c r="P406" s="94"/>
      <c r="Q406" s="95"/>
      <c r="S406" s="99"/>
      <c r="T406" s="99"/>
      <c r="U406" s="99"/>
      <c r="V406" s="99"/>
      <c r="W406" s="99"/>
      <c r="X406" s="99"/>
      <c r="Y406" s="99"/>
      <c r="Z406" s="99"/>
      <c r="AA406" s="99"/>
      <c r="AB406" s="99"/>
      <c r="AC406" s="98"/>
      <c r="AD406" s="98"/>
      <c r="AE406" s="98"/>
      <c r="AF406" s="98"/>
      <c r="AG406" s="98"/>
      <c r="AH406" s="98"/>
    </row>
    <row r="407" spans="2:34" x14ac:dyDescent="0.25">
      <c r="B407" s="75"/>
      <c r="C407" s="76"/>
      <c r="D407" s="83"/>
      <c r="E407" s="84"/>
      <c r="F407" s="84"/>
      <c r="G407" s="84"/>
      <c r="H407" s="84"/>
      <c r="I407" s="85"/>
      <c r="J407" s="90"/>
      <c r="K407" s="91"/>
      <c r="L407" s="90"/>
      <c r="M407" s="91"/>
      <c r="N407" s="83"/>
      <c r="O407" s="85"/>
      <c r="P407" s="96"/>
      <c r="Q407" s="97"/>
      <c r="S407" s="99"/>
      <c r="T407" s="99"/>
      <c r="U407" s="99"/>
      <c r="V407" s="99"/>
      <c r="W407" s="99"/>
      <c r="X407" s="99"/>
      <c r="Y407" s="99"/>
      <c r="Z407" s="99"/>
      <c r="AA407" s="99"/>
      <c r="AB407" s="99"/>
      <c r="AC407" s="98"/>
      <c r="AD407" s="98"/>
      <c r="AE407" s="98"/>
      <c r="AF407" s="98"/>
      <c r="AG407" s="98"/>
      <c r="AH407" s="98"/>
    </row>
    <row r="408" spans="2:34" x14ac:dyDescent="0.25">
      <c r="B408" s="71"/>
      <c r="C408" s="72"/>
      <c r="D408" s="77"/>
      <c r="E408" s="78"/>
      <c r="F408" s="78"/>
      <c r="G408" s="78"/>
      <c r="H408" s="78"/>
      <c r="I408" s="79"/>
      <c r="J408" s="86"/>
      <c r="K408" s="87"/>
      <c r="L408" s="86"/>
      <c r="M408" s="87"/>
      <c r="N408" s="77"/>
      <c r="O408" s="79"/>
      <c r="P408" s="92"/>
      <c r="Q408" s="93"/>
      <c r="S408" s="99"/>
      <c r="T408" s="99"/>
      <c r="U408" s="99"/>
      <c r="V408" s="99"/>
      <c r="W408" s="99"/>
      <c r="X408" s="99"/>
      <c r="Y408" s="99"/>
      <c r="Z408" s="99"/>
      <c r="AA408" s="99"/>
      <c r="AB408" s="99"/>
      <c r="AC408" s="98"/>
      <c r="AD408" s="98"/>
      <c r="AE408" s="98"/>
      <c r="AF408" s="98"/>
      <c r="AG408" s="98"/>
      <c r="AH408" s="98"/>
    </row>
    <row r="409" spans="2:34" x14ac:dyDescent="0.25">
      <c r="B409" s="73"/>
      <c r="C409" s="74"/>
      <c r="D409" s="80"/>
      <c r="E409" s="81"/>
      <c r="F409" s="81"/>
      <c r="G409" s="81"/>
      <c r="H409" s="81"/>
      <c r="I409" s="82"/>
      <c r="J409" s="88"/>
      <c r="K409" s="89"/>
      <c r="L409" s="88"/>
      <c r="M409" s="89"/>
      <c r="N409" s="80"/>
      <c r="O409" s="82"/>
      <c r="P409" s="94"/>
      <c r="Q409" s="95"/>
      <c r="S409" s="99"/>
      <c r="T409" s="99"/>
      <c r="U409" s="99"/>
      <c r="V409" s="99"/>
      <c r="W409" s="99"/>
      <c r="X409" s="99"/>
      <c r="Y409" s="99"/>
      <c r="Z409" s="99"/>
      <c r="AA409" s="99"/>
      <c r="AB409" s="99"/>
      <c r="AC409" s="98"/>
      <c r="AD409" s="98"/>
      <c r="AE409" s="98"/>
      <c r="AF409" s="98"/>
      <c r="AG409" s="98"/>
      <c r="AH409" s="98"/>
    </row>
    <row r="410" spans="2:34" x14ac:dyDescent="0.25">
      <c r="B410" s="75"/>
      <c r="C410" s="76"/>
      <c r="D410" s="83"/>
      <c r="E410" s="84"/>
      <c r="F410" s="84"/>
      <c r="G410" s="84"/>
      <c r="H410" s="84"/>
      <c r="I410" s="85"/>
      <c r="J410" s="90"/>
      <c r="K410" s="91"/>
      <c r="L410" s="90"/>
      <c r="M410" s="91"/>
      <c r="N410" s="83"/>
      <c r="O410" s="85"/>
      <c r="P410" s="96"/>
      <c r="Q410" s="97"/>
      <c r="S410" s="99"/>
      <c r="T410" s="99"/>
      <c r="U410" s="99"/>
      <c r="V410" s="99"/>
      <c r="W410" s="99"/>
      <c r="X410" s="99"/>
      <c r="Y410" s="99"/>
      <c r="Z410" s="99"/>
      <c r="AA410" s="99"/>
      <c r="AB410" s="99"/>
      <c r="AC410" s="98"/>
      <c r="AD410" s="98"/>
      <c r="AE410" s="98"/>
      <c r="AF410" s="98"/>
      <c r="AG410" s="98"/>
      <c r="AH410" s="98"/>
    </row>
    <row r="411" spans="2:34" x14ac:dyDescent="0.25">
      <c r="B411" s="71"/>
      <c r="C411" s="72"/>
      <c r="D411" s="77"/>
      <c r="E411" s="78"/>
      <c r="F411" s="78"/>
      <c r="G411" s="78"/>
      <c r="H411" s="78"/>
      <c r="I411" s="79"/>
      <c r="J411" s="86"/>
      <c r="K411" s="87"/>
      <c r="L411" s="86"/>
      <c r="M411" s="87"/>
      <c r="N411" s="77"/>
      <c r="O411" s="79"/>
      <c r="P411" s="92"/>
      <c r="Q411" s="93"/>
      <c r="S411" s="99"/>
      <c r="T411" s="99"/>
      <c r="U411" s="99"/>
      <c r="V411" s="99"/>
      <c r="W411" s="99"/>
      <c r="X411" s="99"/>
      <c r="Y411" s="99"/>
      <c r="Z411" s="99"/>
      <c r="AA411" s="99"/>
      <c r="AB411" s="99"/>
      <c r="AC411" s="98"/>
      <c r="AD411" s="98"/>
      <c r="AE411" s="98"/>
      <c r="AF411" s="98"/>
      <c r="AG411" s="98"/>
      <c r="AH411" s="98"/>
    </row>
    <row r="412" spans="2:34" x14ac:dyDescent="0.25">
      <c r="B412" s="73"/>
      <c r="C412" s="74"/>
      <c r="D412" s="80"/>
      <c r="E412" s="81"/>
      <c r="F412" s="81"/>
      <c r="G412" s="81"/>
      <c r="H412" s="81"/>
      <c r="I412" s="82"/>
      <c r="J412" s="88"/>
      <c r="K412" s="89"/>
      <c r="L412" s="88"/>
      <c r="M412" s="89"/>
      <c r="N412" s="80"/>
      <c r="O412" s="82"/>
      <c r="P412" s="94"/>
      <c r="Q412" s="95"/>
      <c r="S412" s="99"/>
      <c r="T412" s="99"/>
      <c r="U412" s="99"/>
      <c r="V412" s="99"/>
      <c r="W412" s="99"/>
      <c r="X412" s="99"/>
      <c r="Y412" s="99"/>
      <c r="Z412" s="99"/>
      <c r="AA412" s="99"/>
      <c r="AB412" s="99"/>
      <c r="AC412" s="98"/>
      <c r="AD412" s="98"/>
      <c r="AE412" s="98"/>
      <c r="AF412" s="98"/>
      <c r="AG412" s="98"/>
      <c r="AH412" s="98"/>
    </row>
    <row r="413" spans="2:34" x14ac:dyDescent="0.25">
      <c r="B413" s="75"/>
      <c r="C413" s="76"/>
      <c r="D413" s="83"/>
      <c r="E413" s="84"/>
      <c r="F413" s="84"/>
      <c r="G413" s="84"/>
      <c r="H413" s="84"/>
      <c r="I413" s="85"/>
      <c r="J413" s="90"/>
      <c r="K413" s="91"/>
      <c r="L413" s="90"/>
      <c r="M413" s="91"/>
      <c r="N413" s="83"/>
      <c r="O413" s="85"/>
      <c r="P413" s="96"/>
      <c r="Q413" s="97"/>
      <c r="S413" s="99"/>
      <c r="T413" s="99"/>
      <c r="U413" s="99"/>
      <c r="V413" s="99"/>
      <c r="W413" s="99"/>
      <c r="X413" s="99"/>
      <c r="Y413" s="99"/>
      <c r="Z413" s="99"/>
      <c r="AA413" s="99"/>
      <c r="AB413" s="99"/>
      <c r="AC413" s="98"/>
      <c r="AD413" s="98"/>
      <c r="AE413" s="98"/>
      <c r="AF413" s="98"/>
      <c r="AG413" s="98"/>
      <c r="AH413" s="98"/>
    </row>
    <row r="414" spans="2:34" x14ac:dyDescent="0.25">
      <c r="B414" s="71"/>
      <c r="C414" s="72"/>
      <c r="D414" s="77"/>
      <c r="E414" s="78"/>
      <c r="F414" s="78"/>
      <c r="G414" s="78"/>
      <c r="H414" s="78"/>
      <c r="I414" s="79"/>
      <c r="J414" s="86"/>
      <c r="K414" s="87"/>
      <c r="L414" s="86"/>
      <c r="M414" s="87"/>
      <c r="N414" s="77"/>
      <c r="O414" s="79"/>
      <c r="P414" s="92"/>
      <c r="Q414" s="93"/>
      <c r="S414" s="99"/>
      <c r="T414" s="99"/>
      <c r="U414" s="99"/>
      <c r="V414" s="99"/>
      <c r="W414" s="99"/>
      <c r="X414" s="99"/>
      <c r="Y414" s="99"/>
      <c r="Z414" s="99"/>
      <c r="AA414" s="99"/>
      <c r="AB414" s="99"/>
      <c r="AC414" s="98"/>
      <c r="AD414" s="98"/>
      <c r="AE414" s="98"/>
      <c r="AF414" s="98"/>
      <c r="AG414" s="98"/>
      <c r="AH414" s="98"/>
    </row>
    <row r="415" spans="2:34" x14ac:dyDescent="0.25">
      <c r="B415" s="73"/>
      <c r="C415" s="74"/>
      <c r="D415" s="80"/>
      <c r="E415" s="81"/>
      <c r="F415" s="81"/>
      <c r="G415" s="81"/>
      <c r="H415" s="81"/>
      <c r="I415" s="82"/>
      <c r="J415" s="88"/>
      <c r="K415" s="89"/>
      <c r="L415" s="88"/>
      <c r="M415" s="89"/>
      <c r="N415" s="80"/>
      <c r="O415" s="82"/>
      <c r="P415" s="94"/>
      <c r="Q415" s="95"/>
      <c r="S415" s="99"/>
      <c r="T415" s="99"/>
      <c r="U415" s="99"/>
      <c r="V415" s="99"/>
      <c r="W415" s="99"/>
      <c r="X415" s="99"/>
      <c r="Y415" s="99"/>
      <c r="Z415" s="99"/>
      <c r="AA415" s="99"/>
      <c r="AB415" s="99"/>
      <c r="AC415" s="98"/>
      <c r="AD415" s="98"/>
      <c r="AE415" s="98"/>
      <c r="AF415" s="98"/>
      <c r="AG415" s="98"/>
      <c r="AH415" s="98"/>
    </row>
    <row r="416" spans="2:34" x14ac:dyDescent="0.25">
      <c r="B416" s="75"/>
      <c r="C416" s="76"/>
      <c r="D416" s="83"/>
      <c r="E416" s="84"/>
      <c r="F416" s="84"/>
      <c r="G416" s="84"/>
      <c r="H416" s="84"/>
      <c r="I416" s="85"/>
      <c r="J416" s="90"/>
      <c r="K416" s="91"/>
      <c r="L416" s="90"/>
      <c r="M416" s="91"/>
      <c r="N416" s="83"/>
      <c r="O416" s="85"/>
      <c r="P416" s="96"/>
      <c r="Q416" s="97"/>
      <c r="S416" s="99"/>
      <c r="T416" s="99"/>
      <c r="U416" s="99"/>
      <c r="V416" s="99"/>
      <c r="W416" s="99"/>
      <c r="X416" s="99"/>
      <c r="Y416" s="99"/>
      <c r="Z416" s="99"/>
      <c r="AA416" s="99"/>
      <c r="AB416" s="99"/>
      <c r="AC416" s="98"/>
      <c r="AD416" s="98"/>
      <c r="AE416" s="98"/>
      <c r="AF416" s="98"/>
      <c r="AG416" s="98"/>
      <c r="AH416" s="98"/>
    </row>
    <row r="417" spans="2:34" x14ac:dyDescent="0.25">
      <c r="B417" s="71"/>
      <c r="C417" s="72"/>
      <c r="D417" s="77"/>
      <c r="E417" s="78"/>
      <c r="F417" s="78"/>
      <c r="G417" s="78"/>
      <c r="H417" s="78"/>
      <c r="I417" s="79"/>
      <c r="J417" s="86"/>
      <c r="K417" s="87"/>
      <c r="L417" s="86"/>
      <c r="M417" s="87"/>
      <c r="N417" s="77"/>
      <c r="O417" s="79"/>
      <c r="P417" s="92"/>
      <c r="Q417" s="93"/>
      <c r="S417" s="99"/>
      <c r="T417" s="99"/>
      <c r="U417" s="99"/>
      <c r="V417" s="99"/>
      <c r="W417" s="99"/>
      <c r="X417" s="99"/>
      <c r="Y417" s="99"/>
      <c r="Z417" s="99"/>
      <c r="AA417" s="99"/>
      <c r="AB417" s="99"/>
      <c r="AC417" s="98"/>
      <c r="AD417" s="98"/>
      <c r="AE417" s="98"/>
      <c r="AF417" s="98"/>
      <c r="AG417" s="98"/>
      <c r="AH417" s="98"/>
    </row>
    <row r="418" spans="2:34" x14ac:dyDescent="0.25">
      <c r="B418" s="73"/>
      <c r="C418" s="74"/>
      <c r="D418" s="80"/>
      <c r="E418" s="81"/>
      <c r="F418" s="81"/>
      <c r="G418" s="81"/>
      <c r="H418" s="81"/>
      <c r="I418" s="82"/>
      <c r="J418" s="88"/>
      <c r="K418" s="89"/>
      <c r="L418" s="88"/>
      <c r="M418" s="89"/>
      <c r="N418" s="80"/>
      <c r="O418" s="82"/>
      <c r="P418" s="94"/>
      <c r="Q418" s="95"/>
      <c r="S418" s="99"/>
      <c r="T418" s="99"/>
      <c r="U418" s="99"/>
      <c r="V418" s="99"/>
      <c r="W418" s="99"/>
      <c r="X418" s="99"/>
      <c r="Y418" s="99"/>
      <c r="Z418" s="99"/>
      <c r="AA418" s="99"/>
      <c r="AB418" s="99"/>
      <c r="AC418" s="98"/>
      <c r="AD418" s="98"/>
      <c r="AE418" s="98"/>
      <c r="AF418" s="98"/>
      <c r="AG418" s="98"/>
      <c r="AH418" s="98"/>
    </row>
    <row r="419" spans="2:34" x14ac:dyDescent="0.25">
      <c r="B419" s="75"/>
      <c r="C419" s="76"/>
      <c r="D419" s="83"/>
      <c r="E419" s="84"/>
      <c r="F419" s="84"/>
      <c r="G419" s="84"/>
      <c r="H419" s="84"/>
      <c r="I419" s="85"/>
      <c r="J419" s="90"/>
      <c r="K419" s="91"/>
      <c r="L419" s="90"/>
      <c r="M419" s="91"/>
      <c r="N419" s="83"/>
      <c r="O419" s="85"/>
      <c r="P419" s="96"/>
      <c r="Q419" s="97"/>
      <c r="S419" s="99"/>
      <c r="T419" s="99"/>
      <c r="U419" s="99"/>
      <c r="V419" s="99"/>
      <c r="W419" s="99"/>
      <c r="X419" s="99"/>
      <c r="Y419" s="99"/>
      <c r="Z419" s="99"/>
      <c r="AA419" s="99"/>
      <c r="AB419" s="99"/>
      <c r="AC419" s="98"/>
      <c r="AD419" s="98"/>
      <c r="AE419" s="98"/>
      <c r="AF419" s="98"/>
      <c r="AG419" s="98"/>
      <c r="AH419" s="98"/>
    </row>
    <row r="420" spans="2:34" x14ac:dyDescent="0.25">
      <c r="B420" s="71"/>
      <c r="C420" s="72"/>
      <c r="D420" s="77"/>
      <c r="E420" s="78"/>
      <c r="F420" s="78"/>
      <c r="G420" s="78"/>
      <c r="H420" s="78"/>
      <c r="I420" s="79"/>
      <c r="J420" s="86"/>
      <c r="K420" s="87"/>
      <c r="L420" s="86"/>
      <c r="M420" s="87"/>
      <c r="N420" s="77"/>
      <c r="O420" s="79"/>
      <c r="P420" s="92"/>
      <c r="Q420" s="93"/>
      <c r="S420" s="99"/>
      <c r="T420" s="99"/>
      <c r="U420" s="99"/>
      <c r="V420" s="99"/>
      <c r="W420" s="99"/>
      <c r="X420" s="99"/>
      <c r="Y420" s="99"/>
      <c r="Z420" s="99"/>
      <c r="AA420" s="99"/>
      <c r="AB420" s="99"/>
      <c r="AC420" s="98"/>
      <c r="AD420" s="98"/>
      <c r="AE420" s="98"/>
      <c r="AF420" s="98"/>
      <c r="AG420" s="98"/>
      <c r="AH420" s="98"/>
    </row>
    <row r="421" spans="2:34" x14ac:dyDescent="0.25">
      <c r="B421" s="73"/>
      <c r="C421" s="74"/>
      <c r="D421" s="80"/>
      <c r="E421" s="81"/>
      <c r="F421" s="81"/>
      <c r="G421" s="81"/>
      <c r="H421" s="81"/>
      <c r="I421" s="82"/>
      <c r="J421" s="88"/>
      <c r="K421" s="89"/>
      <c r="L421" s="88"/>
      <c r="M421" s="89"/>
      <c r="N421" s="80"/>
      <c r="O421" s="82"/>
      <c r="P421" s="94"/>
      <c r="Q421" s="95"/>
      <c r="S421" s="99"/>
      <c r="T421" s="99"/>
      <c r="U421" s="99"/>
      <c r="V421" s="99"/>
      <c r="W421" s="99"/>
      <c r="X421" s="99"/>
      <c r="Y421" s="99"/>
      <c r="Z421" s="99"/>
      <c r="AA421" s="99"/>
      <c r="AB421" s="99"/>
      <c r="AC421" s="98"/>
      <c r="AD421" s="98"/>
      <c r="AE421" s="98"/>
      <c r="AF421" s="98"/>
      <c r="AG421" s="98"/>
      <c r="AH421" s="98"/>
    </row>
    <row r="422" spans="2:34" x14ac:dyDescent="0.25">
      <c r="B422" s="75"/>
      <c r="C422" s="76"/>
      <c r="D422" s="83"/>
      <c r="E422" s="84"/>
      <c r="F422" s="84"/>
      <c r="G422" s="84"/>
      <c r="H422" s="84"/>
      <c r="I422" s="85"/>
      <c r="J422" s="90"/>
      <c r="K422" s="91"/>
      <c r="L422" s="90"/>
      <c r="M422" s="91"/>
      <c r="N422" s="83"/>
      <c r="O422" s="85"/>
      <c r="P422" s="96"/>
      <c r="Q422" s="97"/>
      <c r="S422" s="99"/>
      <c r="T422" s="99"/>
      <c r="U422" s="99"/>
      <c r="V422" s="99"/>
      <c r="W422" s="99"/>
      <c r="X422" s="99"/>
      <c r="Y422" s="99"/>
      <c r="Z422" s="99"/>
      <c r="AA422" s="99"/>
      <c r="AB422" s="99"/>
      <c r="AC422" s="98"/>
      <c r="AD422" s="98"/>
      <c r="AE422" s="98"/>
      <c r="AF422" s="98"/>
      <c r="AG422" s="98"/>
      <c r="AH422" s="98"/>
    </row>
    <row r="423" spans="2:34" x14ac:dyDescent="0.25">
      <c r="B423" s="71"/>
      <c r="C423" s="72"/>
      <c r="D423" s="77"/>
      <c r="E423" s="78"/>
      <c r="F423" s="78"/>
      <c r="G423" s="78"/>
      <c r="H423" s="78"/>
      <c r="I423" s="79"/>
      <c r="J423" s="86"/>
      <c r="K423" s="87"/>
      <c r="L423" s="86"/>
      <c r="M423" s="87"/>
      <c r="N423" s="77"/>
      <c r="O423" s="79"/>
      <c r="P423" s="92"/>
      <c r="Q423" s="93"/>
      <c r="S423" s="99"/>
      <c r="T423" s="99"/>
      <c r="U423" s="99"/>
      <c r="V423" s="99"/>
      <c r="W423" s="99"/>
      <c r="X423" s="99"/>
      <c r="Y423" s="99"/>
      <c r="Z423" s="99"/>
      <c r="AA423" s="99"/>
      <c r="AB423" s="99"/>
      <c r="AC423" s="98"/>
      <c r="AD423" s="98"/>
      <c r="AE423" s="98"/>
      <c r="AF423" s="98"/>
      <c r="AG423" s="98"/>
      <c r="AH423" s="98"/>
    </row>
    <row r="424" spans="2:34" x14ac:dyDescent="0.25">
      <c r="B424" s="73"/>
      <c r="C424" s="74"/>
      <c r="D424" s="80"/>
      <c r="E424" s="81"/>
      <c r="F424" s="81"/>
      <c r="G424" s="81"/>
      <c r="H424" s="81"/>
      <c r="I424" s="82"/>
      <c r="J424" s="88"/>
      <c r="K424" s="89"/>
      <c r="L424" s="88"/>
      <c r="M424" s="89"/>
      <c r="N424" s="80"/>
      <c r="O424" s="82"/>
      <c r="P424" s="94"/>
      <c r="Q424" s="95"/>
      <c r="S424" s="99"/>
      <c r="T424" s="99"/>
      <c r="U424" s="99"/>
      <c r="V424" s="99"/>
      <c r="W424" s="99"/>
      <c r="X424" s="99"/>
      <c r="Y424" s="99"/>
      <c r="Z424" s="99"/>
      <c r="AA424" s="99"/>
      <c r="AB424" s="99"/>
      <c r="AC424" s="98"/>
      <c r="AD424" s="98"/>
      <c r="AE424" s="98"/>
      <c r="AF424" s="98"/>
      <c r="AG424" s="98"/>
      <c r="AH424" s="98"/>
    </row>
    <row r="425" spans="2:34" x14ac:dyDescent="0.25">
      <c r="B425" s="75"/>
      <c r="C425" s="76"/>
      <c r="D425" s="83"/>
      <c r="E425" s="84"/>
      <c r="F425" s="84"/>
      <c r="G425" s="84"/>
      <c r="H425" s="84"/>
      <c r="I425" s="85"/>
      <c r="J425" s="90"/>
      <c r="K425" s="91"/>
      <c r="L425" s="90"/>
      <c r="M425" s="91"/>
      <c r="N425" s="83"/>
      <c r="O425" s="85"/>
      <c r="P425" s="96"/>
      <c r="Q425" s="97"/>
      <c r="S425" s="99"/>
      <c r="T425" s="99"/>
      <c r="U425" s="99"/>
      <c r="V425" s="99"/>
      <c r="W425" s="99"/>
      <c r="X425" s="99"/>
      <c r="Y425" s="99"/>
      <c r="Z425" s="99"/>
      <c r="AA425" s="99"/>
      <c r="AB425" s="99"/>
      <c r="AC425" s="98"/>
      <c r="AD425" s="98"/>
      <c r="AE425" s="98"/>
      <c r="AF425" s="98"/>
      <c r="AG425" s="98"/>
      <c r="AH425" s="98"/>
    </row>
    <row r="426" spans="2:34" x14ac:dyDescent="0.25">
      <c r="B426" s="71"/>
      <c r="C426" s="72"/>
      <c r="D426" s="77"/>
      <c r="E426" s="78"/>
      <c r="F426" s="78"/>
      <c r="G426" s="78"/>
      <c r="H426" s="78"/>
      <c r="I426" s="79"/>
      <c r="J426" s="86"/>
      <c r="K426" s="87"/>
      <c r="L426" s="86"/>
      <c r="M426" s="87"/>
      <c r="N426" s="77"/>
      <c r="O426" s="79"/>
      <c r="P426" s="92"/>
      <c r="Q426" s="93"/>
      <c r="S426" s="99"/>
      <c r="T426" s="99"/>
      <c r="U426" s="99"/>
      <c r="V426" s="99"/>
      <c r="W426" s="99"/>
      <c r="X426" s="99"/>
      <c r="Y426" s="99"/>
      <c r="Z426" s="99"/>
      <c r="AA426" s="99"/>
      <c r="AB426" s="99"/>
      <c r="AC426" s="98"/>
      <c r="AD426" s="98"/>
      <c r="AE426" s="98"/>
      <c r="AF426" s="98"/>
      <c r="AG426" s="98"/>
      <c r="AH426" s="98"/>
    </row>
    <row r="427" spans="2:34" x14ac:dyDescent="0.25">
      <c r="B427" s="73"/>
      <c r="C427" s="74"/>
      <c r="D427" s="80"/>
      <c r="E427" s="81"/>
      <c r="F427" s="81"/>
      <c r="G427" s="81"/>
      <c r="H427" s="81"/>
      <c r="I427" s="82"/>
      <c r="J427" s="88"/>
      <c r="K427" s="89"/>
      <c r="L427" s="88"/>
      <c r="M427" s="89"/>
      <c r="N427" s="80"/>
      <c r="O427" s="82"/>
      <c r="P427" s="94"/>
      <c r="Q427" s="95"/>
      <c r="S427" s="99"/>
      <c r="T427" s="99"/>
      <c r="U427" s="99"/>
      <c r="V427" s="99"/>
      <c r="W427" s="99"/>
      <c r="X427" s="99"/>
      <c r="Y427" s="99"/>
      <c r="Z427" s="99"/>
      <c r="AA427" s="99"/>
      <c r="AB427" s="99"/>
      <c r="AC427" s="98"/>
      <c r="AD427" s="98"/>
      <c r="AE427" s="98"/>
      <c r="AF427" s="98"/>
      <c r="AG427" s="98"/>
      <c r="AH427" s="98"/>
    </row>
    <row r="428" spans="2:34" x14ac:dyDescent="0.25">
      <c r="B428" s="75"/>
      <c r="C428" s="76"/>
      <c r="D428" s="83"/>
      <c r="E428" s="84"/>
      <c r="F428" s="84"/>
      <c r="G428" s="84"/>
      <c r="H428" s="84"/>
      <c r="I428" s="85"/>
      <c r="J428" s="90"/>
      <c r="K428" s="91"/>
      <c r="L428" s="90"/>
      <c r="M428" s="91"/>
      <c r="N428" s="83"/>
      <c r="O428" s="85"/>
      <c r="P428" s="96"/>
      <c r="Q428" s="97"/>
      <c r="S428" s="99"/>
      <c r="T428" s="99"/>
      <c r="U428" s="99"/>
      <c r="V428" s="99"/>
      <c r="W428" s="99"/>
      <c r="X428" s="99"/>
      <c r="Y428" s="99"/>
      <c r="Z428" s="99"/>
      <c r="AA428" s="99"/>
      <c r="AB428" s="99"/>
      <c r="AC428" s="98"/>
      <c r="AD428" s="98"/>
      <c r="AE428" s="98"/>
      <c r="AF428" s="98"/>
      <c r="AG428" s="98"/>
      <c r="AH428" s="98"/>
    </row>
    <row r="429" spans="2:34" x14ac:dyDescent="0.25">
      <c r="B429" s="71"/>
      <c r="C429" s="72"/>
      <c r="D429" s="77"/>
      <c r="E429" s="78"/>
      <c r="F429" s="78"/>
      <c r="G429" s="78"/>
      <c r="H429" s="78"/>
      <c r="I429" s="79"/>
      <c r="J429" s="86"/>
      <c r="K429" s="87"/>
      <c r="L429" s="86"/>
      <c r="M429" s="87"/>
      <c r="N429" s="77"/>
      <c r="O429" s="79"/>
      <c r="P429" s="92"/>
      <c r="Q429" s="93"/>
      <c r="S429" s="99"/>
      <c r="T429" s="99"/>
      <c r="U429" s="99"/>
      <c r="V429" s="99"/>
      <c r="W429" s="99"/>
      <c r="X429" s="99"/>
      <c r="Y429" s="99"/>
      <c r="Z429" s="99"/>
      <c r="AA429" s="99"/>
      <c r="AB429" s="99"/>
      <c r="AC429" s="98"/>
      <c r="AD429" s="98"/>
      <c r="AE429" s="98"/>
      <c r="AF429" s="98"/>
      <c r="AG429" s="98"/>
      <c r="AH429" s="98"/>
    </row>
    <row r="430" spans="2:34" x14ac:dyDescent="0.25">
      <c r="B430" s="73"/>
      <c r="C430" s="74"/>
      <c r="D430" s="80"/>
      <c r="E430" s="81"/>
      <c r="F430" s="81"/>
      <c r="G430" s="81"/>
      <c r="H430" s="81"/>
      <c r="I430" s="82"/>
      <c r="J430" s="88"/>
      <c r="K430" s="89"/>
      <c r="L430" s="88"/>
      <c r="M430" s="89"/>
      <c r="N430" s="80"/>
      <c r="O430" s="82"/>
      <c r="P430" s="94"/>
      <c r="Q430" s="95"/>
      <c r="S430" s="99"/>
      <c r="T430" s="99"/>
      <c r="U430" s="99"/>
      <c r="V430" s="99"/>
      <c r="W430" s="99"/>
      <c r="X430" s="99"/>
      <c r="Y430" s="99"/>
      <c r="Z430" s="99"/>
      <c r="AA430" s="99"/>
      <c r="AB430" s="99"/>
      <c r="AC430" s="98"/>
      <c r="AD430" s="98"/>
      <c r="AE430" s="98"/>
      <c r="AF430" s="98"/>
      <c r="AG430" s="98"/>
      <c r="AH430" s="98"/>
    </row>
    <row r="431" spans="2:34" x14ac:dyDescent="0.25">
      <c r="B431" s="75"/>
      <c r="C431" s="76"/>
      <c r="D431" s="83"/>
      <c r="E431" s="84"/>
      <c r="F431" s="84"/>
      <c r="G431" s="84"/>
      <c r="H431" s="84"/>
      <c r="I431" s="85"/>
      <c r="J431" s="90"/>
      <c r="K431" s="91"/>
      <c r="L431" s="90"/>
      <c r="M431" s="91"/>
      <c r="N431" s="83"/>
      <c r="O431" s="85"/>
      <c r="P431" s="96"/>
      <c r="Q431" s="97"/>
      <c r="S431" s="99"/>
      <c r="T431" s="99"/>
      <c r="U431" s="99"/>
      <c r="V431" s="99"/>
      <c r="W431" s="99"/>
      <c r="X431" s="99"/>
      <c r="Y431" s="99"/>
      <c r="Z431" s="99"/>
      <c r="AA431" s="99"/>
      <c r="AB431" s="99"/>
      <c r="AC431" s="98"/>
      <c r="AD431" s="98"/>
      <c r="AE431" s="98"/>
      <c r="AF431" s="98"/>
      <c r="AG431" s="98"/>
      <c r="AH431" s="98"/>
    </row>
    <row r="432" spans="2:34" x14ac:dyDescent="0.25">
      <c r="B432" s="71"/>
      <c r="C432" s="72"/>
      <c r="D432" s="77"/>
      <c r="E432" s="78"/>
      <c r="F432" s="78"/>
      <c r="G432" s="78"/>
      <c r="H432" s="78"/>
      <c r="I432" s="79"/>
      <c r="J432" s="86"/>
      <c r="K432" s="87"/>
      <c r="L432" s="86"/>
      <c r="M432" s="87"/>
      <c r="N432" s="77"/>
      <c r="O432" s="79"/>
      <c r="P432" s="92"/>
      <c r="Q432" s="93"/>
      <c r="S432" s="99"/>
      <c r="T432" s="99"/>
      <c r="U432" s="99"/>
      <c r="V432" s="99"/>
      <c r="W432" s="99"/>
      <c r="X432" s="99"/>
      <c r="Y432" s="99"/>
      <c r="Z432" s="99"/>
      <c r="AA432" s="99"/>
      <c r="AB432" s="99"/>
      <c r="AC432" s="98"/>
      <c r="AD432" s="98"/>
      <c r="AE432" s="98"/>
      <c r="AF432" s="98"/>
      <c r="AG432" s="98"/>
      <c r="AH432" s="98"/>
    </row>
    <row r="433" spans="2:34" x14ac:dyDescent="0.25">
      <c r="B433" s="73"/>
      <c r="C433" s="74"/>
      <c r="D433" s="80"/>
      <c r="E433" s="81"/>
      <c r="F433" s="81"/>
      <c r="G433" s="81"/>
      <c r="H433" s="81"/>
      <c r="I433" s="82"/>
      <c r="J433" s="88"/>
      <c r="K433" s="89"/>
      <c r="L433" s="88"/>
      <c r="M433" s="89"/>
      <c r="N433" s="80"/>
      <c r="O433" s="82"/>
      <c r="P433" s="94"/>
      <c r="Q433" s="95"/>
      <c r="S433" s="99"/>
      <c r="T433" s="99"/>
      <c r="U433" s="99"/>
      <c r="V433" s="99"/>
      <c r="W433" s="99"/>
      <c r="X433" s="99"/>
      <c r="Y433" s="99"/>
      <c r="Z433" s="99"/>
      <c r="AA433" s="99"/>
      <c r="AB433" s="99"/>
      <c r="AC433" s="98"/>
      <c r="AD433" s="98"/>
      <c r="AE433" s="98"/>
      <c r="AF433" s="98"/>
      <c r="AG433" s="98"/>
      <c r="AH433" s="98"/>
    </row>
    <row r="434" spans="2:34" x14ac:dyDescent="0.25">
      <c r="B434" s="75"/>
      <c r="C434" s="76"/>
      <c r="D434" s="83"/>
      <c r="E434" s="84"/>
      <c r="F434" s="84"/>
      <c r="G434" s="84"/>
      <c r="H434" s="84"/>
      <c r="I434" s="85"/>
      <c r="J434" s="90"/>
      <c r="K434" s="91"/>
      <c r="L434" s="90"/>
      <c r="M434" s="91"/>
      <c r="N434" s="83"/>
      <c r="O434" s="85"/>
      <c r="P434" s="96"/>
      <c r="Q434" s="97"/>
      <c r="S434" s="99"/>
      <c r="T434" s="99"/>
      <c r="U434" s="99"/>
      <c r="V434" s="99"/>
      <c r="W434" s="99"/>
      <c r="X434" s="99"/>
      <c r="Y434" s="99"/>
      <c r="Z434" s="99"/>
      <c r="AA434" s="99"/>
      <c r="AB434" s="99"/>
      <c r="AC434" s="98"/>
      <c r="AD434" s="98"/>
      <c r="AE434" s="98"/>
      <c r="AF434" s="98"/>
      <c r="AG434" s="98"/>
      <c r="AH434" s="98"/>
    </row>
    <row r="435" spans="2:34" x14ac:dyDescent="0.25">
      <c r="B435" s="71"/>
      <c r="C435" s="72"/>
      <c r="D435" s="77"/>
      <c r="E435" s="78"/>
      <c r="F435" s="78"/>
      <c r="G435" s="78"/>
      <c r="H435" s="78"/>
      <c r="I435" s="79"/>
      <c r="J435" s="86"/>
      <c r="K435" s="87"/>
      <c r="L435" s="86"/>
      <c r="M435" s="87"/>
      <c r="N435" s="77"/>
      <c r="O435" s="79"/>
      <c r="P435" s="92"/>
      <c r="Q435" s="93"/>
      <c r="S435" s="99"/>
      <c r="T435" s="99"/>
      <c r="U435" s="99"/>
      <c r="V435" s="99"/>
      <c r="W435" s="99"/>
      <c r="X435" s="99"/>
      <c r="Y435" s="99"/>
      <c r="Z435" s="99"/>
      <c r="AA435" s="99"/>
      <c r="AB435" s="99"/>
      <c r="AC435" s="98"/>
      <c r="AD435" s="98"/>
      <c r="AE435" s="98"/>
      <c r="AF435" s="98"/>
      <c r="AG435" s="98"/>
      <c r="AH435" s="98"/>
    </row>
    <row r="436" spans="2:34" x14ac:dyDescent="0.25">
      <c r="B436" s="73"/>
      <c r="C436" s="74"/>
      <c r="D436" s="80"/>
      <c r="E436" s="81"/>
      <c r="F436" s="81"/>
      <c r="G436" s="81"/>
      <c r="H436" s="81"/>
      <c r="I436" s="82"/>
      <c r="J436" s="88"/>
      <c r="K436" s="89"/>
      <c r="L436" s="88"/>
      <c r="M436" s="89"/>
      <c r="N436" s="80"/>
      <c r="O436" s="82"/>
      <c r="P436" s="94"/>
      <c r="Q436" s="95"/>
      <c r="S436" s="99"/>
      <c r="T436" s="99"/>
      <c r="U436" s="99"/>
      <c r="V436" s="99"/>
      <c r="W436" s="99"/>
      <c r="X436" s="99"/>
      <c r="Y436" s="99"/>
      <c r="Z436" s="99"/>
      <c r="AA436" s="99"/>
      <c r="AB436" s="99"/>
      <c r="AC436" s="98"/>
      <c r="AD436" s="98"/>
      <c r="AE436" s="98"/>
      <c r="AF436" s="98"/>
      <c r="AG436" s="98"/>
      <c r="AH436" s="98"/>
    </row>
    <row r="437" spans="2:34" x14ac:dyDescent="0.25">
      <c r="B437" s="75"/>
      <c r="C437" s="76"/>
      <c r="D437" s="83"/>
      <c r="E437" s="84"/>
      <c r="F437" s="84"/>
      <c r="G437" s="84"/>
      <c r="H437" s="84"/>
      <c r="I437" s="85"/>
      <c r="J437" s="90"/>
      <c r="K437" s="91"/>
      <c r="L437" s="90"/>
      <c r="M437" s="91"/>
      <c r="N437" s="83"/>
      <c r="O437" s="85"/>
      <c r="P437" s="96"/>
      <c r="Q437" s="97"/>
      <c r="S437" s="99"/>
      <c r="T437" s="99"/>
      <c r="U437" s="99"/>
      <c r="V437" s="99"/>
      <c r="W437" s="99"/>
      <c r="X437" s="99"/>
      <c r="Y437" s="99"/>
      <c r="Z437" s="99"/>
      <c r="AA437" s="99"/>
      <c r="AB437" s="99"/>
      <c r="AC437" s="98"/>
      <c r="AD437" s="98"/>
      <c r="AE437" s="98"/>
      <c r="AF437" s="98"/>
      <c r="AG437" s="98"/>
      <c r="AH437" s="98"/>
    </row>
    <row r="438" spans="2:34" x14ac:dyDescent="0.25">
      <c r="B438" s="71"/>
      <c r="C438" s="72"/>
      <c r="D438" s="77"/>
      <c r="E438" s="78"/>
      <c r="F438" s="78"/>
      <c r="G438" s="78"/>
      <c r="H438" s="78"/>
      <c r="I438" s="79"/>
      <c r="J438" s="86"/>
      <c r="K438" s="87"/>
      <c r="L438" s="86"/>
      <c r="M438" s="87"/>
      <c r="N438" s="77"/>
      <c r="O438" s="79"/>
      <c r="P438" s="92"/>
      <c r="Q438" s="93"/>
      <c r="S438" s="99"/>
      <c r="T438" s="99"/>
      <c r="U438" s="99"/>
      <c r="V438" s="99"/>
      <c r="W438" s="99"/>
      <c r="X438" s="99"/>
      <c r="Y438" s="99"/>
      <c r="Z438" s="99"/>
      <c r="AA438" s="99"/>
      <c r="AB438" s="99"/>
      <c r="AC438" s="98"/>
      <c r="AD438" s="98"/>
      <c r="AE438" s="98"/>
      <c r="AF438" s="98"/>
      <c r="AG438" s="98"/>
      <c r="AH438" s="98"/>
    </row>
    <row r="439" spans="2:34" x14ac:dyDescent="0.25">
      <c r="B439" s="73"/>
      <c r="C439" s="74"/>
      <c r="D439" s="80"/>
      <c r="E439" s="81"/>
      <c r="F439" s="81"/>
      <c r="G439" s="81"/>
      <c r="H439" s="81"/>
      <c r="I439" s="82"/>
      <c r="J439" s="88"/>
      <c r="K439" s="89"/>
      <c r="L439" s="88"/>
      <c r="M439" s="89"/>
      <c r="N439" s="80"/>
      <c r="O439" s="82"/>
      <c r="P439" s="94"/>
      <c r="Q439" s="95"/>
      <c r="S439" s="99"/>
      <c r="T439" s="99"/>
      <c r="U439" s="99"/>
      <c r="V439" s="99"/>
      <c r="W439" s="99"/>
      <c r="X439" s="99"/>
      <c r="Y439" s="99"/>
      <c r="Z439" s="99"/>
      <c r="AA439" s="99"/>
      <c r="AB439" s="99"/>
      <c r="AC439" s="98"/>
      <c r="AD439" s="98"/>
      <c r="AE439" s="98"/>
      <c r="AF439" s="98"/>
      <c r="AG439" s="98"/>
      <c r="AH439" s="98"/>
    </row>
    <row r="440" spans="2:34" x14ac:dyDescent="0.25">
      <c r="B440" s="75"/>
      <c r="C440" s="76"/>
      <c r="D440" s="83"/>
      <c r="E440" s="84"/>
      <c r="F440" s="84"/>
      <c r="G440" s="84"/>
      <c r="H440" s="84"/>
      <c r="I440" s="85"/>
      <c r="J440" s="90"/>
      <c r="K440" s="91"/>
      <c r="L440" s="90"/>
      <c r="M440" s="91"/>
      <c r="N440" s="83"/>
      <c r="O440" s="85"/>
      <c r="P440" s="96"/>
      <c r="Q440" s="97"/>
      <c r="S440" s="99"/>
      <c r="T440" s="99"/>
      <c r="U440" s="99"/>
      <c r="V440" s="99"/>
      <c r="W440" s="99"/>
      <c r="X440" s="99"/>
      <c r="Y440" s="99"/>
      <c r="Z440" s="99"/>
      <c r="AA440" s="99"/>
      <c r="AB440" s="99"/>
      <c r="AC440" s="98"/>
      <c r="AD440" s="98"/>
      <c r="AE440" s="98"/>
      <c r="AF440" s="98"/>
      <c r="AG440" s="98"/>
      <c r="AH440" s="98"/>
    </row>
    <row r="441" spans="2:34" x14ac:dyDescent="0.25">
      <c r="B441" s="71"/>
      <c r="C441" s="72"/>
      <c r="D441" s="77"/>
      <c r="E441" s="78"/>
      <c r="F441" s="78"/>
      <c r="G441" s="78"/>
      <c r="H441" s="78"/>
      <c r="I441" s="79"/>
      <c r="J441" s="86"/>
      <c r="K441" s="87"/>
      <c r="L441" s="86"/>
      <c r="M441" s="87"/>
      <c r="N441" s="77"/>
      <c r="O441" s="79"/>
      <c r="P441" s="92"/>
      <c r="Q441" s="93"/>
      <c r="S441" s="99"/>
      <c r="T441" s="99"/>
      <c r="U441" s="99"/>
      <c r="V441" s="99"/>
      <c r="W441" s="99"/>
      <c r="X441" s="99"/>
      <c r="Y441" s="99"/>
      <c r="Z441" s="99"/>
      <c r="AA441" s="99"/>
      <c r="AB441" s="99"/>
      <c r="AC441" s="98"/>
      <c r="AD441" s="98"/>
      <c r="AE441" s="98"/>
      <c r="AF441" s="98"/>
      <c r="AG441" s="98"/>
      <c r="AH441" s="98"/>
    </row>
    <row r="442" spans="2:34" x14ac:dyDescent="0.25">
      <c r="B442" s="73"/>
      <c r="C442" s="74"/>
      <c r="D442" s="80"/>
      <c r="E442" s="81"/>
      <c r="F442" s="81"/>
      <c r="G442" s="81"/>
      <c r="H442" s="81"/>
      <c r="I442" s="82"/>
      <c r="J442" s="88"/>
      <c r="K442" s="89"/>
      <c r="L442" s="88"/>
      <c r="M442" s="89"/>
      <c r="N442" s="80"/>
      <c r="O442" s="82"/>
      <c r="P442" s="94"/>
      <c r="Q442" s="95"/>
      <c r="S442" s="99"/>
      <c r="T442" s="99"/>
      <c r="U442" s="99"/>
      <c r="V442" s="99"/>
      <c r="W442" s="99"/>
      <c r="X442" s="99"/>
      <c r="Y442" s="99"/>
      <c r="Z442" s="99"/>
      <c r="AA442" s="99"/>
      <c r="AB442" s="99"/>
      <c r="AC442" s="98"/>
      <c r="AD442" s="98"/>
      <c r="AE442" s="98"/>
      <c r="AF442" s="98"/>
      <c r="AG442" s="98"/>
      <c r="AH442" s="98"/>
    </row>
    <row r="443" spans="2:34" x14ac:dyDescent="0.25">
      <c r="B443" s="75"/>
      <c r="C443" s="76"/>
      <c r="D443" s="83"/>
      <c r="E443" s="84"/>
      <c r="F443" s="84"/>
      <c r="G443" s="84"/>
      <c r="H443" s="84"/>
      <c r="I443" s="85"/>
      <c r="J443" s="90"/>
      <c r="K443" s="91"/>
      <c r="L443" s="90"/>
      <c r="M443" s="91"/>
      <c r="N443" s="83"/>
      <c r="O443" s="85"/>
      <c r="P443" s="96"/>
      <c r="Q443" s="97"/>
      <c r="S443" s="99"/>
      <c r="T443" s="99"/>
      <c r="U443" s="99"/>
      <c r="V443" s="99"/>
      <c r="W443" s="99"/>
      <c r="X443" s="99"/>
      <c r="Y443" s="99"/>
      <c r="Z443" s="99"/>
      <c r="AA443" s="99"/>
      <c r="AB443" s="99"/>
      <c r="AC443" s="98"/>
      <c r="AD443" s="98"/>
      <c r="AE443" s="98"/>
      <c r="AF443" s="98"/>
      <c r="AG443" s="98"/>
      <c r="AH443" s="98"/>
    </row>
    <row r="444" spans="2:34" x14ac:dyDescent="0.25">
      <c r="B444" s="71"/>
      <c r="C444" s="72"/>
      <c r="D444" s="77"/>
      <c r="E444" s="78"/>
      <c r="F444" s="78"/>
      <c r="G444" s="78"/>
      <c r="H444" s="78"/>
      <c r="I444" s="79"/>
      <c r="J444" s="86"/>
      <c r="K444" s="87"/>
      <c r="L444" s="86"/>
      <c r="M444" s="87"/>
      <c r="N444" s="77"/>
      <c r="O444" s="79"/>
      <c r="P444" s="92"/>
      <c r="Q444" s="93"/>
      <c r="S444" s="99"/>
      <c r="T444" s="99"/>
      <c r="U444" s="99"/>
      <c r="V444" s="99"/>
      <c r="W444" s="99"/>
      <c r="X444" s="99"/>
      <c r="Y444" s="99"/>
      <c r="Z444" s="99"/>
      <c r="AA444" s="99"/>
      <c r="AB444" s="99"/>
      <c r="AC444" s="98"/>
      <c r="AD444" s="98"/>
      <c r="AE444" s="98"/>
      <c r="AF444" s="98"/>
      <c r="AG444" s="98"/>
      <c r="AH444" s="98"/>
    </row>
    <row r="445" spans="2:34" x14ac:dyDescent="0.25">
      <c r="B445" s="73"/>
      <c r="C445" s="74"/>
      <c r="D445" s="80"/>
      <c r="E445" s="81"/>
      <c r="F445" s="81"/>
      <c r="G445" s="81"/>
      <c r="H445" s="81"/>
      <c r="I445" s="82"/>
      <c r="J445" s="88"/>
      <c r="K445" s="89"/>
      <c r="L445" s="88"/>
      <c r="M445" s="89"/>
      <c r="N445" s="80"/>
      <c r="O445" s="82"/>
      <c r="P445" s="94"/>
      <c r="Q445" s="95"/>
      <c r="S445" s="99"/>
      <c r="T445" s="99"/>
      <c r="U445" s="99"/>
      <c r="V445" s="99"/>
      <c r="W445" s="99"/>
      <c r="X445" s="99"/>
      <c r="Y445" s="99"/>
      <c r="Z445" s="99"/>
      <c r="AA445" s="99"/>
      <c r="AB445" s="99"/>
      <c r="AC445" s="98"/>
      <c r="AD445" s="98"/>
      <c r="AE445" s="98"/>
      <c r="AF445" s="98"/>
      <c r="AG445" s="98"/>
      <c r="AH445" s="98"/>
    </row>
    <row r="446" spans="2:34" x14ac:dyDescent="0.25">
      <c r="B446" s="75"/>
      <c r="C446" s="76"/>
      <c r="D446" s="83"/>
      <c r="E446" s="84"/>
      <c r="F446" s="84"/>
      <c r="G446" s="84"/>
      <c r="H446" s="84"/>
      <c r="I446" s="85"/>
      <c r="J446" s="90"/>
      <c r="K446" s="91"/>
      <c r="L446" s="90"/>
      <c r="M446" s="91"/>
      <c r="N446" s="83"/>
      <c r="O446" s="85"/>
      <c r="P446" s="96"/>
      <c r="Q446" s="97"/>
      <c r="S446" s="99"/>
      <c r="T446" s="99"/>
      <c r="U446" s="99"/>
      <c r="V446" s="99"/>
      <c r="W446" s="99"/>
      <c r="X446" s="99"/>
      <c r="Y446" s="99"/>
      <c r="Z446" s="99"/>
      <c r="AA446" s="99"/>
      <c r="AB446" s="99"/>
      <c r="AC446" s="98"/>
      <c r="AD446" s="98"/>
      <c r="AE446" s="98"/>
      <c r="AF446" s="98"/>
      <c r="AG446" s="98"/>
      <c r="AH446" s="98"/>
    </row>
    <row r="447" spans="2:34" x14ac:dyDescent="0.25">
      <c r="B447" s="71"/>
      <c r="C447" s="72"/>
      <c r="D447" s="77"/>
      <c r="E447" s="78"/>
      <c r="F447" s="78"/>
      <c r="G447" s="78"/>
      <c r="H447" s="78"/>
      <c r="I447" s="79"/>
      <c r="J447" s="86"/>
      <c r="K447" s="87"/>
      <c r="L447" s="86"/>
      <c r="M447" s="87"/>
      <c r="N447" s="77"/>
      <c r="O447" s="79"/>
      <c r="P447" s="92"/>
      <c r="Q447" s="93"/>
      <c r="S447" s="99"/>
      <c r="T447" s="99"/>
      <c r="U447" s="99"/>
      <c r="V447" s="99"/>
      <c r="W447" s="99"/>
      <c r="X447" s="99"/>
      <c r="Y447" s="99"/>
      <c r="Z447" s="99"/>
      <c r="AA447" s="99"/>
      <c r="AB447" s="99"/>
      <c r="AC447" s="98"/>
      <c r="AD447" s="98"/>
      <c r="AE447" s="98"/>
      <c r="AF447" s="98"/>
      <c r="AG447" s="98"/>
      <c r="AH447" s="98"/>
    </row>
    <row r="448" spans="2:34" x14ac:dyDescent="0.25">
      <c r="B448" s="73"/>
      <c r="C448" s="74"/>
      <c r="D448" s="80"/>
      <c r="E448" s="81"/>
      <c r="F448" s="81"/>
      <c r="G448" s="81"/>
      <c r="H448" s="81"/>
      <c r="I448" s="82"/>
      <c r="J448" s="88"/>
      <c r="K448" s="89"/>
      <c r="L448" s="88"/>
      <c r="M448" s="89"/>
      <c r="N448" s="80"/>
      <c r="O448" s="82"/>
      <c r="P448" s="94"/>
      <c r="Q448" s="95"/>
      <c r="S448" s="99"/>
      <c r="T448" s="99"/>
      <c r="U448" s="99"/>
      <c r="V448" s="99"/>
      <c r="W448" s="99"/>
      <c r="X448" s="99"/>
      <c r="Y448" s="99"/>
      <c r="Z448" s="99"/>
      <c r="AA448" s="99"/>
      <c r="AB448" s="99"/>
      <c r="AC448" s="98"/>
      <c r="AD448" s="98"/>
      <c r="AE448" s="98"/>
      <c r="AF448" s="98"/>
      <c r="AG448" s="98"/>
      <c r="AH448" s="98"/>
    </row>
    <row r="449" spans="2:34" x14ac:dyDescent="0.25">
      <c r="B449" s="75"/>
      <c r="C449" s="76"/>
      <c r="D449" s="83"/>
      <c r="E449" s="84"/>
      <c r="F449" s="84"/>
      <c r="G449" s="84"/>
      <c r="H449" s="84"/>
      <c r="I449" s="85"/>
      <c r="J449" s="90"/>
      <c r="K449" s="91"/>
      <c r="L449" s="90"/>
      <c r="M449" s="91"/>
      <c r="N449" s="83"/>
      <c r="O449" s="85"/>
      <c r="P449" s="96"/>
      <c r="Q449" s="97"/>
      <c r="S449" s="99"/>
      <c r="T449" s="99"/>
      <c r="U449" s="99"/>
      <c r="V449" s="99"/>
      <c r="W449" s="99"/>
      <c r="X449" s="99"/>
      <c r="Y449" s="99"/>
      <c r="Z449" s="99"/>
      <c r="AA449" s="99"/>
      <c r="AB449" s="99"/>
      <c r="AC449" s="98"/>
      <c r="AD449" s="98"/>
      <c r="AE449" s="98"/>
      <c r="AF449" s="98"/>
      <c r="AG449" s="98"/>
      <c r="AH449" s="98"/>
    </row>
    <row r="450" spans="2:34" x14ac:dyDescent="0.25">
      <c r="B450" s="71"/>
      <c r="C450" s="72"/>
      <c r="D450" s="77"/>
      <c r="E450" s="78"/>
      <c r="F450" s="78"/>
      <c r="G450" s="78"/>
      <c r="H450" s="78"/>
      <c r="I450" s="79"/>
      <c r="J450" s="86"/>
      <c r="K450" s="87"/>
      <c r="L450" s="86"/>
      <c r="M450" s="87"/>
      <c r="N450" s="77"/>
      <c r="O450" s="79"/>
      <c r="P450" s="92"/>
      <c r="Q450" s="93"/>
      <c r="S450" s="99"/>
      <c r="T450" s="99"/>
      <c r="U450" s="99"/>
      <c r="V450" s="99"/>
      <c r="W450" s="99"/>
      <c r="X450" s="99"/>
      <c r="Y450" s="99"/>
      <c r="Z450" s="99"/>
      <c r="AA450" s="99"/>
      <c r="AB450" s="99"/>
      <c r="AC450" s="98"/>
      <c r="AD450" s="98"/>
      <c r="AE450" s="98"/>
      <c r="AF450" s="98"/>
      <c r="AG450" s="98"/>
      <c r="AH450" s="98"/>
    </row>
    <row r="451" spans="2:34" x14ac:dyDescent="0.25">
      <c r="B451" s="73"/>
      <c r="C451" s="74"/>
      <c r="D451" s="80"/>
      <c r="E451" s="81"/>
      <c r="F451" s="81"/>
      <c r="G451" s="81"/>
      <c r="H451" s="81"/>
      <c r="I451" s="82"/>
      <c r="J451" s="88"/>
      <c r="K451" s="89"/>
      <c r="L451" s="88"/>
      <c r="M451" s="89"/>
      <c r="N451" s="80"/>
      <c r="O451" s="82"/>
      <c r="P451" s="94"/>
      <c r="Q451" s="95"/>
      <c r="S451" s="99"/>
      <c r="T451" s="99"/>
      <c r="U451" s="99"/>
      <c r="V451" s="99"/>
      <c r="W451" s="99"/>
      <c r="X451" s="99"/>
      <c r="Y451" s="99"/>
      <c r="Z451" s="99"/>
      <c r="AA451" s="99"/>
      <c r="AB451" s="99"/>
      <c r="AC451" s="98"/>
      <c r="AD451" s="98"/>
      <c r="AE451" s="98"/>
      <c r="AF451" s="98"/>
      <c r="AG451" s="98"/>
      <c r="AH451" s="98"/>
    </row>
    <row r="452" spans="2:34" x14ac:dyDescent="0.25">
      <c r="B452" s="75"/>
      <c r="C452" s="76"/>
      <c r="D452" s="83"/>
      <c r="E452" s="84"/>
      <c r="F452" s="84"/>
      <c r="G452" s="84"/>
      <c r="H452" s="84"/>
      <c r="I452" s="85"/>
      <c r="J452" s="90"/>
      <c r="K452" s="91"/>
      <c r="L452" s="90"/>
      <c r="M452" s="91"/>
      <c r="N452" s="83"/>
      <c r="O452" s="85"/>
      <c r="P452" s="96"/>
      <c r="Q452" s="97"/>
      <c r="S452" s="99"/>
      <c r="T452" s="99"/>
      <c r="U452" s="99"/>
      <c r="V452" s="99"/>
      <c r="W452" s="99"/>
      <c r="X452" s="99"/>
      <c r="Y452" s="99"/>
      <c r="Z452" s="99"/>
      <c r="AA452" s="99"/>
      <c r="AB452" s="99"/>
      <c r="AC452" s="98"/>
      <c r="AD452" s="98"/>
      <c r="AE452" s="98"/>
      <c r="AF452" s="98"/>
      <c r="AG452" s="98"/>
      <c r="AH452" s="98"/>
    </row>
    <row r="453" spans="2:34" x14ac:dyDescent="0.25">
      <c r="B453" s="71"/>
      <c r="C453" s="72"/>
      <c r="D453" s="77"/>
      <c r="E453" s="78"/>
      <c r="F453" s="78"/>
      <c r="G453" s="78"/>
      <c r="H453" s="78"/>
      <c r="I453" s="79"/>
      <c r="J453" s="86"/>
      <c r="K453" s="87"/>
      <c r="L453" s="86"/>
      <c r="M453" s="87"/>
      <c r="N453" s="77"/>
      <c r="O453" s="79"/>
      <c r="P453" s="92"/>
      <c r="Q453" s="93"/>
      <c r="S453" s="99"/>
      <c r="T453" s="99"/>
      <c r="U453" s="99"/>
      <c r="V453" s="99"/>
      <c r="W453" s="99"/>
      <c r="X453" s="99"/>
      <c r="Y453" s="99"/>
      <c r="Z453" s="99"/>
      <c r="AA453" s="99"/>
      <c r="AB453" s="99"/>
      <c r="AC453" s="98"/>
      <c r="AD453" s="98"/>
      <c r="AE453" s="98"/>
      <c r="AF453" s="98"/>
      <c r="AG453" s="98"/>
      <c r="AH453" s="98"/>
    </row>
    <row r="454" spans="2:34" x14ac:dyDescent="0.25">
      <c r="B454" s="73"/>
      <c r="C454" s="74"/>
      <c r="D454" s="80"/>
      <c r="E454" s="81"/>
      <c r="F454" s="81"/>
      <c r="G454" s="81"/>
      <c r="H454" s="81"/>
      <c r="I454" s="82"/>
      <c r="J454" s="88"/>
      <c r="K454" s="89"/>
      <c r="L454" s="88"/>
      <c r="M454" s="89"/>
      <c r="N454" s="80"/>
      <c r="O454" s="82"/>
      <c r="P454" s="94"/>
      <c r="Q454" s="95"/>
      <c r="S454" s="99"/>
      <c r="T454" s="99"/>
      <c r="U454" s="99"/>
      <c r="V454" s="99"/>
      <c r="W454" s="99"/>
      <c r="X454" s="99"/>
      <c r="Y454" s="99"/>
      <c r="Z454" s="99"/>
      <c r="AA454" s="99"/>
      <c r="AB454" s="99"/>
      <c r="AC454" s="98"/>
      <c r="AD454" s="98"/>
      <c r="AE454" s="98"/>
      <c r="AF454" s="98"/>
      <c r="AG454" s="98"/>
      <c r="AH454" s="98"/>
    </row>
    <row r="455" spans="2:34" x14ac:dyDescent="0.25">
      <c r="B455" s="75"/>
      <c r="C455" s="76"/>
      <c r="D455" s="83"/>
      <c r="E455" s="84"/>
      <c r="F455" s="84"/>
      <c r="G455" s="84"/>
      <c r="H455" s="84"/>
      <c r="I455" s="85"/>
      <c r="J455" s="90"/>
      <c r="K455" s="91"/>
      <c r="L455" s="90"/>
      <c r="M455" s="91"/>
      <c r="N455" s="83"/>
      <c r="O455" s="85"/>
      <c r="P455" s="96"/>
      <c r="Q455" s="97"/>
      <c r="S455" s="99"/>
      <c r="T455" s="99"/>
      <c r="U455" s="99"/>
      <c r="V455" s="99"/>
      <c r="W455" s="99"/>
      <c r="X455" s="99"/>
      <c r="Y455" s="99"/>
      <c r="Z455" s="99"/>
      <c r="AA455" s="99"/>
      <c r="AB455" s="99"/>
      <c r="AC455" s="98"/>
      <c r="AD455" s="98"/>
      <c r="AE455" s="98"/>
      <c r="AF455" s="98"/>
      <c r="AG455" s="98"/>
      <c r="AH455" s="98"/>
    </row>
    <row r="456" spans="2:34" x14ac:dyDescent="0.25">
      <c r="B456" s="71"/>
      <c r="C456" s="72"/>
      <c r="D456" s="77"/>
      <c r="E456" s="78"/>
      <c r="F456" s="78"/>
      <c r="G456" s="78"/>
      <c r="H456" s="78"/>
      <c r="I456" s="79"/>
      <c r="J456" s="86"/>
      <c r="K456" s="87"/>
      <c r="L456" s="86"/>
      <c r="M456" s="87"/>
      <c r="N456" s="77"/>
      <c r="O456" s="79"/>
      <c r="P456" s="92"/>
      <c r="Q456" s="93"/>
      <c r="S456" s="99"/>
      <c r="T456" s="99"/>
      <c r="U456" s="99"/>
      <c r="V456" s="99"/>
      <c r="W456" s="99"/>
      <c r="X456" s="99"/>
      <c r="Y456" s="99"/>
      <c r="Z456" s="99"/>
      <c r="AA456" s="99"/>
      <c r="AB456" s="99"/>
      <c r="AC456" s="98"/>
      <c r="AD456" s="98"/>
      <c r="AE456" s="98"/>
      <c r="AF456" s="98"/>
      <c r="AG456" s="98"/>
      <c r="AH456" s="98"/>
    </row>
    <row r="457" spans="2:34" x14ac:dyDescent="0.25">
      <c r="B457" s="73"/>
      <c r="C457" s="74"/>
      <c r="D457" s="80"/>
      <c r="E457" s="81"/>
      <c r="F457" s="81"/>
      <c r="G457" s="81"/>
      <c r="H457" s="81"/>
      <c r="I457" s="82"/>
      <c r="J457" s="88"/>
      <c r="K457" s="89"/>
      <c r="L457" s="88"/>
      <c r="M457" s="89"/>
      <c r="N457" s="80"/>
      <c r="O457" s="82"/>
      <c r="P457" s="94"/>
      <c r="Q457" s="95"/>
      <c r="S457" s="99"/>
      <c r="T457" s="99"/>
      <c r="U457" s="99"/>
      <c r="V457" s="99"/>
      <c r="W457" s="99"/>
      <c r="X457" s="99"/>
      <c r="Y457" s="99"/>
      <c r="Z457" s="99"/>
      <c r="AA457" s="99"/>
      <c r="AB457" s="99"/>
      <c r="AC457" s="98"/>
      <c r="AD457" s="98"/>
      <c r="AE457" s="98"/>
      <c r="AF457" s="98"/>
      <c r="AG457" s="98"/>
      <c r="AH457" s="98"/>
    </row>
    <row r="458" spans="2:34" x14ac:dyDescent="0.25">
      <c r="B458" s="75"/>
      <c r="C458" s="76"/>
      <c r="D458" s="83"/>
      <c r="E458" s="84"/>
      <c r="F458" s="84"/>
      <c r="G458" s="84"/>
      <c r="H458" s="84"/>
      <c r="I458" s="85"/>
      <c r="J458" s="90"/>
      <c r="K458" s="91"/>
      <c r="L458" s="90"/>
      <c r="M458" s="91"/>
      <c r="N458" s="83"/>
      <c r="O458" s="85"/>
      <c r="P458" s="96"/>
      <c r="Q458" s="97"/>
      <c r="S458" s="99"/>
      <c r="T458" s="99"/>
      <c r="U458" s="99"/>
      <c r="V458" s="99"/>
      <c r="W458" s="99"/>
      <c r="X458" s="99"/>
      <c r="Y458" s="99"/>
      <c r="Z458" s="99"/>
      <c r="AA458" s="99"/>
      <c r="AB458" s="99"/>
      <c r="AC458" s="98"/>
      <c r="AD458" s="98"/>
      <c r="AE458" s="98"/>
      <c r="AF458" s="98"/>
      <c r="AG458" s="98"/>
      <c r="AH458" s="98"/>
    </row>
    <row r="459" spans="2:34" x14ac:dyDescent="0.25">
      <c r="B459" s="71"/>
      <c r="C459" s="72"/>
      <c r="D459" s="77"/>
      <c r="E459" s="78"/>
      <c r="F459" s="78"/>
      <c r="G459" s="78"/>
      <c r="H459" s="78"/>
      <c r="I459" s="79"/>
      <c r="J459" s="86"/>
      <c r="K459" s="87"/>
      <c r="L459" s="86"/>
      <c r="M459" s="87"/>
      <c r="N459" s="77"/>
      <c r="O459" s="79"/>
      <c r="P459" s="92"/>
      <c r="Q459" s="93"/>
      <c r="S459" s="99"/>
      <c r="T459" s="99"/>
      <c r="U459" s="99"/>
      <c r="V459" s="99"/>
      <c r="W459" s="99"/>
      <c r="X459" s="99"/>
      <c r="Y459" s="99"/>
      <c r="Z459" s="99"/>
      <c r="AA459" s="99"/>
      <c r="AB459" s="99"/>
      <c r="AC459" s="98"/>
      <c r="AD459" s="98"/>
      <c r="AE459" s="98"/>
      <c r="AF459" s="98"/>
      <c r="AG459" s="98"/>
      <c r="AH459" s="98"/>
    </row>
    <row r="460" spans="2:34" x14ac:dyDescent="0.25">
      <c r="B460" s="73"/>
      <c r="C460" s="74"/>
      <c r="D460" s="80"/>
      <c r="E460" s="81"/>
      <c r="F460" s="81"/>
      <c r="G460" s="81"/>
      <c r="H460" s="81"/>
      <c r="I460" s="82"/>
      <c r="J460" s="88"/>
      <c r="K460" s="89"/>
      <c r="L460" s="88"/>
      <c r="M460" s="89"/>
      <c r="N460" s="80"/>
      <c r="O460" s="82"/>
      <c r="P460" s="94"/>
      <c r="Q460" s="95"/>
      <c r="S460" s="99"/>
      <c r="T460" s="99"/>
      <c r="U460" s="99"/>
      <c r="V460" s="99"/>
      <c r="W460" s="99"/>
      <c r="X460" s="99"/>
      <c r="Y460" s="99"/>
      <c r="Z460" s="99"/>
      <c r="AA460" s="99"/>
      <c r="AB460" s="99"/>
      <c r="AC460" s="98"/>
      <c r="AD460" s="98"/>
      <c r="AE460" s="98"/>
      <c r="AF460" s="98"/>
      <c r="AG460" s="98"/>
      <c r="AH460" s="98"/>
    </row>
    <row r="461" spans="2:34" x14ac:dyDescent="0.25">
      <c r="B461" s="75"/>
      <c r="C461" s="76"/>
      <c r="D461" s="83"/>
      <c r="E461" s="84"/>
      <c r="F461" s="84"/>
      <c r="G461" s="84"/>
      <c r="H461" s="84"/>
      <c r="I461" s="85"/>
      <c r="J461" s="90"/>
      <c r="K461" s="91"/>
      <c r="L461" s="90"/>
      <c r="M461" s="91"/>
      <c r="N461" s="83"/>
      <c r="O461" s="85"/>
      <c r="P461" s="96"/>
      <c r="Q461" s="97"/>
      <c r="S461" s="99"/>
      <c r="T461" s="99"/>
      <c r="U461" s="99"/>
      <c r="V461" s="99"/>
      <c r="W461" s="99"/>
      <c r="X461" s="99"/>
      <c r="Y461" s="99"/>
      <c r="Z461" s="99"/>
      <c r="AA461" s="99"/>
      <c r="AB461" s="99"/>
      <c r="AC461" s="98"/>
      <c r="AD461" s="98"/>
      <c r="AE461" s="98"/>
      <c r="AF461" s="98"/>
      <c r="AG461" s="98"/>
      <c r="AH461" s="98"/>
    </row>
    <row r="462" spans="2:34" x14ac:dyDescent="0.25">
      <c r="B462" s="71"/>
      <c r="C462" s="72"/>
      <c r="D462" s="77"/>
      <c r="E462" s="78"/>
      <c r="F462" s="78"/>
      <c r="G462" s="78"/>
      <c r="H462" s="78"/>
      <c r="I462" s="79"/>
      <c r="J462" s="86"/>
      <c r="K462" s="87"/>
      <c r="L462" s="86"/>
      <c r="M462" s="87"/>
      <c r="N462" s="77"/>
      <c r="O462" s="79"/>
      <c r="P462" s="92"/>
      <c r="Q462" s="93"/>
      <c r="S462" s="99"/>
      <c r="T462" s="99"/>
      <c r="U462" s="99"/>
      <c r="V462" s="99"/>
      <c r="W462" s="99"/>
      <c r="X462" s="99"/>
      <c r="Y462" s="99"/>
      <c r="Z462" s="99"/>
      <c r="AA462" s="99"/>
      <c r="AB462" s="99"/>
      <c r="AC462" s="98"/>
      <c r="AD462" s="98"/>
      <c r="AE462" s="98"/>
      <c r="AF462" s="98"/>
      <c r="AG462" s="98"/>
      <c r="AH462" s="98"/>
    </row>
    <row r="463" spans="2:34" x14ac:dyDescent="0.25">
      <c r="B463" s="73"/>
      <c r="C463" s="74"/>
      <c r="D463" s="80"/>
      <c r="E463" s="81"/>
      <c r="F463" s="81"/>
      <c r="G463" s="81"/>
      <c r="H463" s="81"/>
      <c r="I463" s="82"/>
      <c r="J463" s="88"/>
      <c r="K463" s="89"/>
      <c r="L463" s="88"/>
      <c r="M463" s="89"/>
      <c r="N463" s="80"/>
      <c r="O463" s="82"/>
      <c r="P463" s="94"/>
      <c r="Q463" s="95"/>
      <c r="S463" s="99"/>
      <c r="T463" s="99"/>
      <c r="U463" s="99"/>
      <c r="V463" s="99"/>
      <c r="W463" s="99"/>
      <c r="X463" s="99"/>
      <c r="Y463" s="99"/>
      <c r="Z463" s="99"/>
      <c r="AA463" s="99"/>
      <c r="AB463" s="99"/>
      <c r="AC463" s="98"/>
      <c r="AD463" s="98"/>
      <c r="AE463" s="98"/>
      <c r="AF463" s="98"/>
      <c r="AG463" s="98"/>
      <c r="AH463" s="98"/>
    </row>
    <row r="464" spans="2:34" x14ac:dyDescent="0.25">
      <c r="B464" s="75"/>
      <c r="C464" s="76"/>
      <c r="D464" s="83"/>
      <c r="E464" s="84"/>
      <c r="F464" s="84"/>
      <c r="G464" s="84"/>
      <c r="H464" s="84"/>
      <c r="I464" s="85"/>
      <c r="J464" s="90"/>
      <c r="K464" s="91"/>
      <c r="L464" s="90"/>
      <c r="M464" s="91"/>
      <c r="N464" s="83"/>
      <c r="O464" s="85"/>
      <c r="P464" s="96"/>
      <c r="Q464" s="97"/>
      <c r="S464" s="99"/>
      <c r="T464" s="99"/>
      <c r="U464" s="99"/>
      <c r="V464" s="99"/>
      <c r="W464" s="99"/>
      <c r="X464" s="99"/>
      <c r="Y464" s="99"/>
      <c r="Z464" s="99"/>
      <c r="AA464" s="99"/>
      <c r="AB464" s="99"/>
      <c r="AC464" s="98"/>
      <c r="AD464" s="98"/>
      <c r="AE464" s="98"/>
      <c r="AF464" s="98"/>
      <c r="AG464" s="98"/>
      <c r="AH464" s="98"/>
    </row>
    <row r="465" spans="2:34" x14ac:dyDescent="0.25">
      <c r="B465" s="71"/>
      <c r="C465" s="72"/>
      <c r="D465" s="77"/>
      <c r="E465" s="78"/>
      <c r="F465" s="78"/>
      <c r="G465" s="78"/>
      <c r="H465" s="78"/>
      <c r="I465" s="79"/>
      <c r="J465" s="86"/>
      <c r="K465" s="87"/>
      <c r="L465" s="86"/>
      <c r="M465" s="87"/>
      <c r="N465" s="77"/>
      <c r="O465" s="79"/>
      <c r="P465" s="92"/>
      <c r="Q465" s="93"/>
      <c r="S465" s="99"/>
      <c r="T465" s="99"/>
      <c r="U465" s="99"/>
      <c r="V465" s="99"/>
      <c r="W465" s="99"/>
      <c r="X465" s="99"/>
      <c r="Y465" s="99"/>
      <c r="Z465" s="99"/>
      <c r="AA465" s="99"/>
      <c r="AB465" s="99"/>
      <c r="AC465" s="98"/>
      <c r="AD465" s="98"/>
      <c r="AE465" s="98"/>
      <c r="AF465" s="98"/>
      <c r="AG465" s="98"/>
      <c r="AH465" s="98"/>
    </row>
    <row r="466" spans="2:34" x14ac:dyDescent="0.25">
      <c r="B466" s="73"/>
      <c r="C466" s="74"/>
      <c r="D466" s="80"/>
      <c r="E466" s="81"/>
      <c r="F466" s="81"/>
      <c r="G466" s="81"/>
      <c r="H466" s="81"/>
      <c r="I466" s="82"/>
      <c r="J466" s="88"/>
      <c r="K466" s="89"/>
      <c r="L466" s="88"/>
      <c r="M466" s="89"/>
      <c r="N466" s="80"/>
      <c r="O466" s="82"/>
      <c r="P466" s="94"/>
      <c r="Q466" s="95"/>
      <c r="S466" s="99"/>
      <c r="T466" s="99"/>
      <c r="U466" s="99"/>
      <c r="V466" s="99"/>
      <c r="W466" s="99"/>
      <c r="X466" s="99"/>
      <c r="Y466" s="99"/>
      <c r="Z466" s="99"/>
      <c r="AA466" s="99"/>
      <c r="AB466" s="99"/>
      <c r="AC466" s="98"/>
      <c r="AD466" s="98"/>
      <c r="AE466" s="98"/>
      <c r="AF466" s="98"/>
      <c r="AG466" s="98"/>
      <c r="AH466" s="98"/>
    </row>
    <row r="467" spans="2:34" x14ac:dyDescent="0.25">
      <c r="B467" s="75"/>
      <c r="C467" s="76"/>
      <c r="D467" s="83"/>
      <c r="E467" s="84"/>
      <c r="F467" s="84"/>
      <c r="G467" s="84"/>
      <c r="H467" s="84"/>
      <c r="I467" s="85"/>
      <c r="J467" s="90"/>
      <c r="K467" s="91"/>
      <c r="L467" s="90"/>
      <c r="M467" s="91"/>
      <c r="N467" s="83"/>
      <c r="O467" s="85"/>
      <c r="P467" s="96"/>
      <c r="Q467" s="97"/>
      <c r="S467" s="99"/>
      <c r="T467" s="99"/>
      <c r="U467" s="99"/>
      <c r="V467" s="99"/>
      <c r="W467" s="99"/>
      <c r="X467" s="99"/>
      <c r="Y467" s="99"/>
      <c r="Z467" s="99"/>
      <c r="AA467" s="99"/>
      <c r="AB467" s="99"/>
      <c r="AC467" s="98"/>
      <c r="AD467" s="98"/>
      <c r="AE467" s="98"/>
      <c r="AF467" s="98"/>
      <c r="AG467" s="98"/>
      <c r="AH467" s="98"/>
    </row>
    <row r="468" spans="2:34" x14ac:dyDescent="0.25">
      <c r="B468" s="71"/>
      <c r="C468" s="72"/>
      <c r="D468" s="77"/>
      <c r="E468" s="78"/>
      <c r="F468" s="78"/>
      <c r="G468" s="78"/>
      <c r="H468" s="78"/>
      <c r="I468" s="79"/>
      <c r="J468" s="86"/>
      <c r="K468" s="87"/>
      <c r="L468" s="86"/>
      <c r="M468" s="87"/>
      <c r="N468" s="77"/>
      <c r="O468" s="79"/>
      <c r="P468" s="92"/>
      <c r="Q468" s="93"/>
      <c r="S468" s="99"/>
      <c r="T468" s="99"/>
      <c r="U468" s="99"/>
      <c r="V468" s="99"/>
      <c r="W468" s="99"/>
      <c r="X468" s="99"/>
      <c r="Y468" s="99"/>
      <c r="Z468" s="99"/>
      <c r="AA468" s="99"/>
      <c r="AB468" s="99"/>
      <c r="AC468" s="98"/>
      <c r="AD468" s="98"/>
      <c r="AE468" s="98"/>
      <c r="AF468" s="98"/>
      <c r="AG468" s="98"/>
      <c r="AH468" s="98"/>
    </row>
    <row r="469" spans="2:34" x14ac:dyDescent="0.25">
      <c r="B469" s="73"/>
      <c r="C469" s="74"/>
      <c r="D469" s="80"/>
      <c r="E469" s="81"/>
      <c r="F469" s="81"/>
      <c r="G469" s="81"/>
      <c r="H469" s="81"/>
      <c r="I469" s="82"/>
      <c r="J469" s="88"/>
      <c r="K469" s="89"/>
      <c r="L469" s="88"/>
      <c r="M469" s="89"/>
      <c r="N469" s="80"/>
      <c r="O469" s="82"/>
      <c r="P469" s="94"/>
      <c r="Q469" s="95"/>
      <c r="S469" s="99"/>
      <c r="T469" s="99"/>
      <c r="U469" s="99"/>
      <c r="V469" s="99"/>
      <c r="W469" s="99"/>
      <c r="X469" s="99"/>
      <c r="Y469" s="99"/>
      <c r="Z469" s="99"/>
      <c r="AA469" s="99"/>
      <c r="AB469" s="99"/>
      <c r="AC469" s="98"/>
      <c r="AD469" s="98"/>
      <c r="AE469" s="98"/>
      <c r="AF469" s="98"/>
      <c r="AG469" s="98"/>
      <c r="AH469" s="98"/>
    </row>
    <row r="470" spans="2:34" x14ac:dyDescent="0.25">
      <c r="B470" s="75"/>
      <c r="C470" s="76"/>
      <c r="D470" s="83"/>
      <c r="E470" s="84"/>
      <c r="F470" s="84"/>
      <c r="G470" s="84"/>
      <c r="H470" s="84"/>
      <c r="I470" s="85"/>
      <c r="J470" s="90"/>
      <c r="K470" s="91"/>
      <c r="L470" s="90"/>
      <c r="M470" s="91"/>
      <c r="N470" s="83"/>
      <c r="O470" s="85"/>
      <c r="P470" s="96"/>
      <c r="Q470" s="97"/>
      <c r="S470" s="99"/>
      <c r="T470" s="99"/>
      <c r="U470" s="99"/>
      <c r="V470" s="99"/>
      <c r="W470" s="99"/>
      <c r="X470" s="99"/>
      <c r="Y470" s="99"/>
      <c r="Z470" s="99"/>
      <c r="AA470" s="99"/>
      <c r="AB470" s="99"/>
      <c r="AC470" s="98"/>
      <c r="AD470" s="98"/>
      <c r="AE470" s="98"/>
      <c r="AF470" s="98"/>
      <c r="AG470" s="98"/>
      <c r="AH470" s="98"/>
    </row>
    <row r="471" spans="2:34" x14ac:dyDescent="0.25">
      <c r="B471" s="71"/>
      <c r="C471" s="72"/>
      <c r="D471" s="77"/>
      <c r="E471" s="78"/>
      <c r="F471" s="78"/>
      <c r="G471" s="78"/>
      <c r="H471" s="78"/>
      <c r="I471" s="79"/>
      <c r="J471" s="86"/>
      <c r="K471" s="87"/>
      <c r="L471" s="86"/>
      <c r="M471" s="87"/>
      <c r="N471" s="77"/>
      <c r="O471" s="79"/>
      <c r="P471" s="92"/>
      <c r="Q471" s="93"/>
      <c r="S471" s="99"/>
      <c r="T471" s="99"/>
      <c r="U471" s="99"/>
      <c r="V471" s="99"/>
      <c r="W471" s="99"/>
      <c r="X471" s="99"/>
      <c r="Y471" s="99"/>
      <c r="Z471" s="99"/>
      <c r="AA471" s="99"/>
      <c r="AB471" s="99"/>
      <c r="AC471" s="98"/>
      <c r="AD471" s="98"/>
      <c r="AE471" s="98"/>
      <c r="AF471" s="98"/>
      <c r="AG471" s="98"/>
      <c r="AH471" s="98"/>
    </row>
    <row r="472" spans="2:34" x14ac:dyDescent="0.25">
      <c r="B472" s="73"/>
      <c r="C472" s="74"/>
      <c r="D472" s="80"/>
      <c r="E472" s="81"/>
      <c r="F472" s="81"/>
      <c r="G472" s="81"/>
      <c r="H472" s="81"/>
      <c r="I472" s="82"/>
      <c r="J472" s="88"/>
      <c r="K472" s="89"/>
      <c r="L472" s="88"/>
      <c r="M472" s="89"/>
      <c r="N472" s="80"/>
      <c r="O472" s="82"/>
      <c r="P472" s="94"/>
      <c r="Q472" s="95"/>
      <c r="S472" s="99"/>
      <c r="T472" s="99"/>
      <c r="U472" s="99"/>
      <c r="V472" s="99"/>
      <c r="W472" s="99"/>
      <c r="X472" s="99"/>
      <c r="Y472" s="99"/>
      <c r="Z472" s="99"/>
      <c r="AA472" s="99"/>
      <c r="AB472" s="99"/>
      <c r="AC472" s="98"/>
      <c r="AD472" s="98"/>
      <c r="AE472" s="98"/>
      <c r="AF472" s="98"/>
      <c r="AG472" s="98"/>
      <c r="AH472" s="98"/>
    </row>
    <row r="473" spans="2:34" x14ac:dyDescent="0.25">
      <c r="B473" s="75"/>
      <c r="C473" s="76"/>
      <c r="D473" s="83"/>
      <c r="E473" s="84"/>
      <c r="F473" s="84"/>
      <c r="G473" s="84"/>
      <c r="H473" s="84"/>
      <c r="I473" s="85"/>
      <c r="J473" s="90"/>
      <c r="K473" s="91"/>
      <c r="L473" s="90"/>
      <c r="M473" s="91"/>
      <c r="N473" s="83"/>
      <c r="O473" s="85"/>
      <c r="P473" s="96"/>
      <c r="Q473" s="97"/>
      <c r="S473" s="99"/>
      <c r="T473" s="99"/>
      <c r="U473" s="99"/>
      <c r="V473" s="99"/>
      <c r="W473" s="99"/>
      <c r="X473" s="99"/>
      <c r="Y473" s="99"/>
      <c r="Z473" s="99"/>
      <c r="AA473" s="99"/>
      <c r="AB473" s="99"/>
      <c r="AC473" s="98"/>
      <c r="AD473" s="98"/>
      <c r="AE473" s="98"/>
      <c r="AF473" s="98"/>
      <c r="AG473" s="98"/>
      <c r="AH473" s="98"/>
    </row>
    <row r="474" spans="2:34" x14ac:dyDescent="0.25">
      <c r="B474" s="71"/>
      <c r="C474" s="72"/>
      <c r="D474" s="77"/>
      <c r="E474" s="78"/>
      <c r="F474" s="78"/>
      <c r="G474" s="78"/>
      <c r="H474" s="78"/>
      <c r="I474" s="79"/>
      <c r="J474" s="86"/>
      <c r="K474" s="87"/>
      <c r="L474" s="86"/>
      <c r="M474" s="87"/>
      <c r="N474" s="77"/>
      <c r="O474" s="79"/>
      <c r="P474" s="92"/>
      <c r="Q474" s="93"/>
      <c r="S474" s="99"/>
      <c r="T474" s="99"/>
      <c r="U474" s="99"/>
      <c r="V474" s="99"/>
      <c r="W474" s="99"/>
      <c r="X474" s="99"/>
      <c r="Y474" s="99"/>
      <c r="Z474" s="99"/>
      <c r="AA474" s="99"/>
      <c r="AB474" s="99"/>
      <c r="AC474" s="98"/>
      <c r="AD474" s="98"/>
      <c r="AE474" s="98"/>
      <c r="AF474" s="98"/>
      <c r="AG474" s="98"/>
      <c r="AH474" s="98"/>
    </row>
    <row r="475" spans="2:34" x14ac:dyDescent="0.25">
      <c r="B475" s="73"/>
      <c r="C475" s="74"/>
      <c r="D475" s="80"/>
      <c r="E475" s="81"/>
      <c r="F475" s="81"/>
      <c r="G475" s="81"/>
      <c r="H475" s="81"/>
      <c r="I475" s="82"/>
      <c r="J475" s="88"/>
      <c r="K475" s="89"/>
      <c r="L475" s="88"/>
      <c r="M475" s="89"/>
      <c r="N475" s="80"/>
      <c r="O475" s="82"/>
      <c r="P475" s="94"/>
      <c r="Q475" s="95"/>
      <c r="S475" s="99"/>
      <c r="T475" s="99"/>
      <c r="U475" s="99"/>
      <c r="V475" s="99"/>
      <c r="W475" s="99"/>
      <c r="X475" s="99"/>
      <c r="Y475" s="99"/>
      <c r="Z475" s="99"/>
      <c r="AA475" s="99"/>
      <c r="AB475" s="99"/>
      <c r="AC475" s="98"/>
      <c r="AD475" s="98"/>
      <c r="AE475" s="98"/>
      <c r="AF475" s="98"/>
      <c r="AG475" s="98"/>
      <c r="AH475" s="98"/>
    </row>
    <row r="476" spans="2:34" x14ac:dyDescent="0.25">
      <c r="B476" s="75"/>
      <c r="C476" s="76"/>
      <c r="D476" s="83"/>
      <c r="E476" s="84"/>
      <c r="F476" s="84"/>
      <c r="G476" s="84"/>
      <c r="H476" s="84"/>
      <c r="I476" s="85"/>
      <c r="J476" s="90"/>
      <c r="K476" s="91"/>
      <c r="L476" s="90"/>
      <c r="M476" s="91"/>
      <c r="N476" s="83"/>
      <c r="O476" s="85"/>
      <c r="P476" s="96"/>
      <c r="Q476" s="97"/>
      <c r="S476" s="99"/>
      <c r="T476" s="99"/>
      <c r="U476" s="99"/>
      <c r="V476" s="99"/>
      <c r="W476" s="99"/>
      <c r="X476" s="99"/>
      <c r="Y476" s="99"/>
      <c r="Z476" s="99"/>
      <c r="AA476" s="99"/>
      <c r="AB476" s="99"/>
      <c r="AC476" s="98"/>
      <c r="AD476" s="98"/>
      <c r="AE476" s="98"/>
      <c r="AF476" s="98"/>
      <c r="AG476" s="98"/>
      <c r="AH476" s="98"/>
    </row>
    <row r="477" spans="2:34" x14ac:dyDescent="0.25">
      <c r="B477" s="71"/>
      <c r="C477" s="72"/>
      <c r="D477" s="77"/>
      <c r="E477" s="78"/>
      <c r="F477" s="78"/>
      <c r="G477" s="78"/>
      <c r="H477" s="78"/>
      <c r="I477" s="79"/>
      <c r="J477" s="86"/>
      <c r="K477" s="87"/>
      <c r="L477" s="86"/>
      <c r="M477" s="87"/>
      <c r="N477" s="77"/>
      <c r="O477" s="79"/>
      <c r="P477" s="92"/>
      <c r="Q477" s="93"/>
      <c r="S477" s="99"/>
      <c r="T477" s="99"/>
      <c r="U477" s="99"/>
      <c r="V477" s="99"/>
      <c r="W477" s="99"/>
      <c r="X477" s="99"/>
      <c r="Y477" s="99"/>
      <c r="Z477" s="99"/>
      <c r="AA477" s="99"/>
      <c r="AB477" s="99"/>
      <c r="AC477" s="98"/>
      <c r="AD477" s="98"/>
      <c r="AE477" s="98"/>
      <c r="AF477" s="98"/>
      <c r="AG477" s="98"/>
      <c r="AH477" s="98"/>
    </row>
    <row r="478" spans="2:34" x14ac:dyDescent="0.25">
      <c r="B478" s="73"/>
      <c r="C478" s="74"/>
      <c r="D478" s="80"/>
      <c r="E478" s="81"/>
      <c r="F478" s="81"/>
      <c r="G478" s="81"/>
      <c r="H478" s="81"/>
      <c r="I478" s="82"/>
      <c r="J478" s="88"/>
      <c r="K478" s="89"/>
      <c r="L478" s="88"/>
      <c r="M478" s="89"/>
      <c r="N478" s="80"/>
      <c r="O478" s="82"/>
      <c r="P478" s="94"/>
      <c r="Q478" s="95"/>
      <c r="S478" s="99"/>
      <c r="T478" s="99"/>
      <c r="U478" s="99"/>
      <c r="V478" s="99"/>
      <c r="W478" s="99"/>
      <c r="X478" s="99"/>
      <c r="Y478" s="99"/>
      <c r="Z478" s="99"/>
      <c r="AA478" s="99"/>
      <c r="AB478" s="99"/>
      <c r="AC478" s="98"/>
      <c r="AD478" s="98"/>
      <c r="AE478" s="98"/>
      <c r="AF478" s="98"/>
      <c r="AG478" s="98"/>
      <c r="AH478" s="98"/>
    </row>
    <row r="479" spans="2:34" x14ac:dyDescent="0.25">
      <c r="B479" s="75"/>
      <c r="C479" s="76"/>
      <c r="D479" s="83"/>
      <c r="E479" s="84"/>
      <c r="F479" s="84"/>
      <c r="G479" s="84"/>
      <c r="H479" s="84"/>
      <c r="I479" s="85"/>
      <c r="J479" s="90"/>
      <c r="K479" s="91"/>
      <c r="L479" s="90"/>
      <c r="M479" s="91"/>
      <c r="N479" s="83"/>
      <c r="O479" s="85"/>
      <c r="P479" s="96"/>
      <c r="Q479" s="97"/>
      <c r="S479" s="99"/>
      <c r="T479" s="99"/>
      <c r="U479" s="99"/>
      <c r="V479" s="99"/>
      <c r="W479" s="99"/>
      <c r="X479" s="99"/>
      <c r="Y479" s="99"/>
      <c r="Z479" s="99"/>
      <c r="AA479" s="99"/>
      <c r="AB479" s="99"/>
      <c r="AC479" s="98"/>
      <c r="AD479" s="98"/>
      <c r="AE479" s="98"/>
      <c r="AF479" s="98"/>
      <c r="AG479" s="98"/>
      <c r="AH479" s="98"/>
    </row>
    <row r="480" spans="2:34" x14ac:dyDescent="0.25">
      <c r="B480" s="71"/>
      <c r="C480" s="72"/>
      <c r="D480" s="77"/>
      <c r="E480" s="78"/>
      <c r="F480" s="78"/>
      <c r="G480" s="78"/>
      <c r="H480" s="78"/>
      <c r="I480" s="79"/>
      <c r="J480" s="86"/>
      <c r="K480" s="87"/>
      <c r="L480" s="86"/>
      <c r="M480" s="87"/>
      <c r="N480" s="77"/>
      <c r="O480" s="79"/>
      <c r="P480" s="92"/>
      <c r="Q480" s="93"/>
      <c r="S480" s="99"/>
      <c r="T480" s="99"/>
      <c r="U480" s="99"/>
      <c r="V480" s="99"/>
      <c r="W480" s="99"/>
      <c r="X480" s="99"/>
      <c r="Y480" s="99"/>
      <c r="Z480" s="99"/>
      <c r="AA480" s="99"/>
      <c r="AB480" s="99"/>
      <c r="AC480" s="98"/>
      <c r="AD480" s="98"/>
      <c r="AE480" s="98"/>
      <c r="AF480" s="98"/>
      <c r="AG480" s="98"/>
      <c r="AH480" s="98"/>
    </row>
    <row r="481" spans="2:34" x14ac:dyDescent="0.25">
      <c r="B481" s="73"/>
      <c r="C481" s="74"/>
      <c r="D481" s="80"/>
      <c r="E481" s="81"/>
      <c r="F481" s="81"/>
      <c r="G481" s="81"/>
      <c r="H481" s="81"/>
      <c r="I481" s="82"/>
      <c r="J481" s="88"/>
      <c r="K481" s="89"/>
      <c r="L481" s="88"/>
      <c r="M481" s="89"/>
      <c r="N481" s="80"/>
      <c r="O481" s="82"/>
      <c r="P481" s="94"/>
      <c r="Q481" s="95"/>
      <c r="S481" s="99"/>
      <c r="T481" s="99"/>
      <c r="U481" s="99"/>
      <c r="V481" s="99"/>
      <c r="W481" s="99"/>
      <c r="X481" s="99"/>
      <c r="Y481" s="99"/>
      <c r="Z481" s="99"/>
      <c r="AA481" s="99"/>
      <c r="AB481" s="99"/>
      <c r="AC481" s="98"/>
      <c r="AD481" s="98"/>
      <c r="AE481" s="98"/>
      <c r="AF481" s="98"/>
      <c r="AG481" s="98"/>
      <c r="AH481" s="98"/>
    </row>
    <row r="482" spans="2:34" x14ac:dyDescent="0.25">
      <c r="B482" s="75"/>
      <c r="C482" s="76"/>
      <c r="D482" s="83"/>
      <c r="E482" s="84"/>
      <c r="F482" s="84"/>
      <c r="G482" s="84"/>
      <c r="H482" s="84"/>
      <c r="I482" s="85"/>
      <c r="J482" s="90"/>
      <c r="K482" s="91"/>
      <c r="L482" s="90"/>
      <c r="M482" s="91"/>
      <c r="N482" s="83"/>
      <c r="O482" s="85"/>
      <c r="P482" s="96"/>
      <c r="Q482" s="97"/>
      <c r="S482" s="99"/>
      <c r="T482" s="99"/>
      <c r="U482" s="99"/>
      <c r="V482" s="99"/>
      <c r="W482" s="99"/>
      <c r="X482" s="99"/>
      <c r="Y482" s="99"/>
      <c r="Z482" s="99"/>
      <c r="AA482" s="99"/>
      <c r="AB482" s="99"/>
      <c r="AC482" s="98"/>
      <c r="AD482" s="98"/>
      <c r="AE482" s="98"/>
      <c r="AF482" s="98"/>
      <c r="AG482" s="98"/>
      <c r="AH482" s="98"/>
    </row>
    <row r="483" spans="2:34" x14ac:dyDescent="0.25">
      <c r="B483" s="71"/>
      <c r="C483" s="72"/>
      <c r="D483" s="77"/>
      <c r="E483" s="78"/>
      <c r="F483" s="78"/>
      <c r="G483" s="78"/>
      <c r="H483" s="78"/>
      <c r="I483" s="79"/>
      <c r="J483" s="86"/>
      <c r="K483" s="87"/>
      <c r="L483" s="86"/>
      <c r="M483" s="87"/>
      <c r="N483" s="77"/>
      <c r="O483" s="79"/>
      <c r="P483" s="92"/>
      <c r="Q483" s="93"/>
      <c r="S483" s="99"/>
      <c r="T483" s="99"/>
      <c r="U483" s="99"/>
      <c r="V483" s="99"/>
      <c r="W483" s="99"/>
      <c r="X483" s="99"/>
      <c r="Y483" s="99"/>
      <c r="Z483" s="99"/>
      <c r="AA483" s="99"/>
      <c r="AB483" s="99"/>
      <c r="AC483" s="98"/>
      <c r="AD483" s="98"/>
      <c r="AE483" s="98"/>
      <c r="AF483" s="98"/>
      <c r="AG483" s="98"/>
      <c r="AH483" s="98"/>
    </row>
    <row r="484" spans="2:34" x14ac:dyDescent="0.25">
      <c r="B484" s="73"/>
      <c r="C484" s="74"/>
      <c r="D484" s="80"/>
      <c r="E484" s="81"/>
      <c r="F484" s="81"/>
      <c r="G484" s="81"/>
      <c r="H484" s="81"/>
      <c r="I484" s="82"/>
      <c r="J484" s="88"/>
      <c r="K484" s="89"/>
      <c r="L484" s="88"/>
      <c r="M484" s="89"/>
      <c r="N484" s="80"/>
      <c r="O484" s="82"/>
      <c r="P484" s="94"/>
      <c r="Q484" s="95"/>
      <c r="S484" s="99"/>
      <c r="T484" s="99"/>
      <c r="U484" s="99"/>
      <c r="V484" s="99"/>
      <c r="W484" s="99"/>
      <c r="X484" s="99"/>
      <c r="Y484" s="99"/>
      <c r="Z484" s="99"/>
      <c r="AA484" s="99"/>
      <c r="AB484" s="99"/>
      <c r="AC484" s="98"/>
      <c r="AD484" s="98"/>
      <c r="AE484" s="98"/>
      <c r="AF484" s="98"/>
      <c r="AG484" s="98"/>
      <c r="AH484" s="98"/>
    </row>
    <row r="485" spans="2:34" x14ac:dyDescent="0.25">
      <c r="B485" s="75"/>
      <c r="C485" s="76"/>
      <c r="D485" s="83"/>
      <c r="E485" s="84"/>
      <c r="F485" s="84"/>
      <c r="G485" s="84"/>
      <c r="H485" s="84"/>
      <c r="I485" s="85"/>
      <c r="J485" s="90"/>
      <c r="K485" s="91"/>
      <c r="L485" s="90"/>
      <c r="M485" s="91"/>
      <c r="N485" s="83"/>
      <c r="O485" s="85"/>
      <c r="P485" s="96"/>
      <c r="Q485" s="97"/>
      <c r="S485" s="99"/>
      <c r="T485" s="99"/>
      <c r="U485" s="99"/>
      <c r="V485" s="99"/>
      <c r="W485" s="99"/>
      <c r="X485" s="99"/>
      <c r="Y485" s="99"/>
      <c r="Z485" s="99"/>
      <c r="AA485" s="99"/>
      <c r="AB485" s="99"/>
      <c r="AC485" s="98"/>
      <c r="AD485" s="98"/>
      <c r="AE485" s="98"/>
      <c r="AF485" s="98"/>
      <c r="AG485" s="98"/>
      <c r="AH485" s="98"/>
    </row>
    <row r="486" spans="2:34" x14ac:dyDescent="0.25">
      <c r="B486" s="71"/>
      <c r="C486" s="72"/>
      <c r="D486" s="77"/>
      <c r="E486" s="78"/>
      <c r="F486" s="78"/>
      <c r="G486" s="78"/>
      <c r="H486" s="78"/>
      <c r="I486" s="79"/>
      <c r="J486" s="86"/>
      <c r="K486" s="87"/>
      <c r="L486" s="86"/>
      <c r="M486" s="87"/>
      <c r="N486" s="77"/>
      <c r="O486" s="79"/>
      <c r="P486" s="92"/>
      <c r="Q486" s="93"/>
      <c r="S486" s="99"/>
      <c r="T486" s="99"/>
      <c r="U486" s="99"/>
      <c r="V486" s="99"/>
      <c r="W486" s="99"/>
      <c r="X486" s="99"/>
      <c r="Y486" s="99"/>
      <c r="Z486" s="99"/>
      <c r="AA486" s="99"/>
      <c r="AB486" s="99"/>
      <c r="AC486" s="98"/>
      <c r="AD486" s="98"/>
      <c r="AE486" s="98"/>
      <c r="AF486" s="98"/>
      <c r="AG486" s="98"/>
      <c r="AH486" s="98"/>
    </row>
    <row r="487" spans="2:34" x14ac:dyDescent="0.25">
      <c r="B487" s="73"/>
      <c r="C487" s="74"/>
      <c r="D487" s="80"/>
      <c r="E487" s="81"/>
      <c r="F487" s="81"/>
      <c r="G487" s="81"/>
      <c r="H487" s="81"/>
      <c r="I487" s="82"/>
      <c r="J487" s="88"/>
      <c r="K487" s="89"/>
      <c r="L487" s="88"/>
      <c r="M487" s="89"/>
      <c r="N487" s="80"/>
      <c r="O487" s="82"/>
      <c r="P487" s="94"/>
      <c r="Q487" s="95"/>
      <c r="S487" s="99"/>
      <c r="T487" s="99"/>
      <c r="U487" s="99"/>
      <c r="V487" s="99"/>
      <c r="W487" s="99"/>
      <c r="X487" s="99"/>
      <c r="Y487" s="99"/>
      <c r="Z487" s="99"/>
      <c r="AA487" s="99"/>
      <c r="AB487" s="99"/>
      <c r="AC487" s="98"/>
      <c r="AD487" s="98"/>
      <c r="AE487" s="98"/>
      <c r="AF487" s="98"/>
      <c r="AG487" s="98"/>
      <c r="AH487" s="98"/>
    </row>
    <row r="488" spans="2:34" x14ac:dyDescent="0.25">
      <c r="B488" s="75"/>
      <c r="C488" s="76"/>
      <c r="D488" s="83"/>
      <c r="E488" s="84"/>
      <c r="F488" s="84"/>
      <c r="G488" s="84"/>
      <c r="H488" s="84"/>
      <c r="I488" s="85"/>
      <c r="J488" s="90"/>
      <c r="K488" s="91"/>
      <c r="L488" s="90"/>
      <c r="M488" s="91"/>
      <c r="N488" s="83"/>
      <c r="O488" s="85"/>
      <c r="P488" s="96"/>
      <c r="Q488" s="97"/>
      <c r="S488" s="99"/>
      <c r="T488" s="99"/>
      <c r="U488" s="99"/>
      <c r="V488" s="99"/>
      <c r="W488" s="99"/>
      <c r="X488" s="99"/>
      <c r="Y488" s="99"/>
      <c r="Z488" s="99"/>
      <c r="AA488" s="99"/>
      <c r="AB488" s="99"/>
      <c r="AC488" s="98"/>
      <c r="AD488" s="98"/>
      <c r="AE488" s="98"/>
      <c r="AF488" s="98"/>
      <c r="AG488" s="98"/>
      <c r="AH488" s="98"/>
    </row>
    <row r="489" spans="2:34" x14ac:dyDescent="0.25">
      <c r="B489" s="71"/>
      <c r="C489" s="72"/>
      <c r="D489" s="77"/>
      <c r="E489" s="78"/>
      <c r="F489" s="78"/>
      <c r="G489" s="78"/>
      <c r="H489" s="78"/>
      <c r="I489" s="79"/>
      <c r="J489" s="86"/>
      <c r="K489" s="87"/>
      <c r="L489" s="86"/>
      <c r="M489" s="87"/>
      <c r="N489" s="77"/>
      <c r="O489" s="79"/>
      <c r="P489" s="92"/>
      <c r="Q489" s="93"/>
      <c r="S489" s="99"/>
      <c r="T489" s="99"/>
      <c r="U489" s="99"/>
      <c r="V489" s="99"/>
      <c r="W489" s="99"/>
      <c r="X489" s="99"/>
      <c r="Y489" s="99"/>
      <c r="Z489" s="99"/>
      <c r="AA489" s="99"/>
      <c r="AB489" s="99"/>
      <c r="AC489" s="98"/>
      <c r="AD489" s="98"/>
      <c r="AE489" s="98"/>
      <c r="AF489" s="98"/>
      <c r="AG489" s="98"/>
      <c r="AH489" s="98"/>
    </row>
    <row r="490" spans="2:34" x14ac:dyDescent="0.25">
      <c r="B490" s="73"/>
      <c r="C490" s="74"/>
      <c r="D490" s="80"/>
      <c r="E490" s="81"/>
      <c r="F490" s="81"/>
      <c r="G490" s="81"/>
      <c r="H490" s="81"/>
      <c r="I490" s="82"/>
      <c r="J490" s="88"/>
      <c r="K490" s="89"/>
      <c r="L490" s="88"/>
      <c r="M490" s="89"/>
      <c r="N490" s="80"/>
      <c r="O490" s="82"/>
      <c r="P490" s="94"/>
      <c r="Q490" s="95"/>
      <c r="S490" s="99"/>
      <c r="T490" s="99"/>
      <c r="U490" s="99"/>
      <c r="V490" s="99"/>
      <c r="W490" s="99"/>
      <c r="X490" s="99"/>
      <c r="Y490" s="99"/>
      <c r="Z490" s="99"/>
      <c r="AA490" s="99"/>
      <c r="AB490" s="99"/>
      <c r="AC490" s="98"/>
      <c r="AD490" s="98"/>
      <c r="AE490" s="98"/>
      <c r="AF490" s="98"/>
      <c r="AG490" s="98"/>
      <c r="AH490" s="98"/>
    </row>
    <row r="491" spans="2:34" x14ac:dyDescent="0.25">
      <c r="B491" s="75"/>
      <c r="C491" s="76"/>
      <c r="D491" s="83"/>
      <c r="E491" s="84"/>
      <c r="F491" s="84"/>
      <c r="G491" s="84"/>
      <c r="H491" s="84"/>
      <c r="I491" s="85"/>
      <c r="J491" s="90"/>
      <c r="K491" s="91"/>
      <c r="L491" s="90"/>
      <c r="M491" s="91"/>
      <c r="N491" s="83"/>
      <c r="O491" s="85"/>
      <c r="P491" s="96"/>
      <c r="Q491" s="97"/>
      <c r="S491" s="99"/>
      <c r="T491" s="99"/>
      <c r="U491" s="99"/>
      <c r="V491" s="99"/>
      <c r="W491" s="99"/>
      <c r="X491" s="99"/>
      <c r="Y491" s="99"/>
      <c r="Z491" s="99"/>
      <c r="AA491" s="99"/>
      <c r="AB491" s="99"/>
      <c r="AC491" s="98"/>
      <c r="AD491" s="98"/>
      <c r="AE491" s="98"/>
      <c r="AF491" s="98"/>
      <c r="AG491" s="98"/>
      <c r="AH491" s="98"/>
    </row>
    <row r="492" spans="2:34" x14ac:dyDescent="0.25">
      <c r="B492" s="71"/>
      <c r="C492" s="72"/>
      <c r="D492" s="77"/>
      <c r="E492" s="78"/>
      <c r="F492" s="78"/>
      <c r="G492" s="78"/>
      <c r="H492" s="78"/>
      <c r="I492" s="79"/>
      <c r="J492" s="86"/>
      <c r="K492" s="87"/>
      <c r="L492" s="86"/>
      <c r="M492" s="87"/>
      <c r="N492" s="77"/>
      <c r="O492" s="79"/>
      <c r="P492" s="92"/>
      <c r="Q492" s="93"/>
      <c r="S492" s="99"/>
      <c r="T492" s="99"/>
      <c r="U492" s="99"/>
      <c r="V492" s="99"/>
      <c r="W492" s="99"/>
      <c r="X492" s="99"/>
      <c r="Y492" s="99"/>
      <c r="Z492" s="99"/>
      <c r="AA492" s="99"/>
      <c r="AB492" s="99"/>
      <c r="AC492" s="98"/>
      <c r="AD492" s="98"/>
      <c r="AE492" s="98"/>
      <c r="AF492" s="98"/>
      <c r="AG492" s="98"/>
      <c r="AH492" s="98"/>
    </row>
    <row r="493" spans="2:34" x14ac:dyDescent="0.25">
      <c r="B493" s="73"/>
      <c r="C493" s="74"/>
      <c r="D493" s="80"/>
      <c r="E493" s="81"/>
      <c r="F493" s="81"/>
      <c r="G493" s="81"/>
      <c r="H493" s="81"/>
      <c r="I493" s="82"/>
      <c r="J493" s="88"/>
      <c r="K493" s="89"/>
      <c r="L493" s="88"/>
      <c r="M493" s="89"/>
      <c r="N493" s="80"/>
      <c r="O493" s="82"/>
      <c r="P493" s="94"/>
      <c r="Q493" s="95"/>
      <c r="S493" s="99"/>
      <c r="T493" s="99"/>
      <c r="U493" s="99"/>
      <c r="V493" s="99"/>
      <c r="W493" s="99"/>
      <c r="X493" s="99"/>
      <c r="Y493" s="99"/>
      <c r="Z493" s="99"/>
      <c r="AA493" s="99"/>
      <c r="AB493" s="99"/>
      <c r="AC493" s="98"/>
      <c r="AD493" s="98"/>
      <c r="AE493" s="98"/>
      <c r="AF493" s="98"/>
      <c r="AG493" s="98"/>
      <c r="AH493" s="98"/>
    </row>
    <row r="494" spans="2:34" x14ac:dyDescent="0.25">
      <c r="B494" s="75"/>
      <c r="C494" s="76"/>
      <c r="D494" s="83"/>
      <c r="E494" s="84"/>
      <c r="F494" s="84"/>
      <c r="G494" s="84"/>
      <c r="H494" s="84"/>
      <c r="I494" s="85"/>
      <c r="J494" s="90"/>
      <c r="K494" s="91"/>
      <c r="L494" s="90"/>
      <c r="M494" s="91"/>
      <c r="N494" s="83"/>
      <c r="O494" s="85"/>
      <c r="P494" s="96"/>
      <c r="Q494" s="97"/>
      <c r="S494" s="99"/>
      <c r="T494" s="99"/>
      <c r="U494" s="99"/>
      <c r="V494" s="99"/>
      <c r="W494" s="99"/>
      <c r="X494" s="99"/>
      <c r="Y494" s="99"/>
      <c r="Z494" s="99"/>
      <c r="AA494" s="99"/>
      <c r="AB494" s="99"/>
      <c r="AC494" s="98"/>
      <c r="AD494" s="98"/>
      <c r="AE494" s="98"/>
      <c r="AF494" s="98"/>
      <c r="AG494" s="98"/>
      <c r="AH494" s="98"/>
    </row>
    <row r="495" spans="2:34" x14ac:dyDescent="0.25">
      <c r="B495" s="71"/>
      <c r="C495" s="72"/>
      <c r="D495" s="77"/>
      <c r="E495" s="78"/>
      <c r="F495" s="78"/>
      <c r="G495" s="78"/>
      <c r="H495" s="78"/>
      <c r="I495" s="79"/>
      <c r="J495" s="86"/>
      <c r="K495" s="87"/>
      <c r="L495" s="86"/>
      <c r="M495" s="87"/>
      <c r="N495" s="77"/>
      <c r="O495" s="79"/>
      <c r="P495" s="92"/>
      <c r="Q495" s="93"/>
      <c r="S495" s="99"/>
      <c r="T495" s="99"/>
      <c r="U495" s="99"/>
      <c r="V495" s="99"/>
      <c r="W495" s="99"/>
      <c r="X495" s="99"/>
      <c r="Y495" s="99"/>
      <c r="Z495" s="99"/>
      <c r="AA495" s="99"/>
      <c r="AB495" s="99"/>
      <c r="AC495" s="98"/>
      <c r="AD495" s="98"/>
      <c r="AE495" s="98"/>
      <c r="AF495" s="98"/>
      <c r="AG495" s="98"/>
      <c r="AH495" s="98"/>
    </row>
    <row r="496" spans="2:34" x14ac:dyDescent="0.25">
      <c r="B496" s="73"/>
      <c r="C496" s="74"/>
      <c r="D496" s="80"/>
      <c r="E496" s="81"/>
      <c r="F496" s="81"/>
      <c r="G496" s="81"/>
      <c r="H496" s="81"/>
      <c r="I496" s="82"/>
      <c r="J496" s="88"/>
      <c r="K496" s="89"/>
      <c r="L496" s="88"/>
      <c r="M496" s="89"/>
      <c r="N496" s="80"/>
      <c r="O496" s="82"/>
      <c r="P496" s="94"/>
      <c r="Q496" s="95"/>
      <c r="S496" s="99"/>
      <c r="T496" s="99"/>
      <c r="U496" s="99"/>
      <c r="V496" s="99"/>
      <c r="W496" s="99"/>
      <c r="X496" s="99"/>
      <c r="Y496" s="99"/>
      <c r="Z496" s="99"/>
      <c r="AA496" s="99"/>
      <c r="AB496" s="99"/>
      <c r="AC496" s="98"/>
      <c r="AD496" s="98"/>
      <c r="AE496" s="98"/>
      <c r="AF496" s="98"/>
      <c r="AG496" s="98"/>
      <c r="AH496" s="98"/>
    </row>
    <row r="497" spans="2:34" x14ac:dyDescent="0.25">
      <c r="B497" s="75"/>
      <c r="C497" s="76"/>
      <c r="D497" s="83"/>
      <c r="E497" s="84"/>
      <c r="F497" s="84"/>
      <c r="G497" s="84"/>
      <c r="H497" s="84"/>
      <c r="I497" s="85"/>
      <c r="J497" s="90"/>
      <c r="K497" s="91"/>
      <c r="L497" s="90"/>
      <c r="M497" s="91"/>
      <c r="N497" s="83"/>
      <c r="O497" s="85"/>
      <c r="P497" s="96"/>
      <c r="Q497" s="97"/>
      <c r="S497" s="99"/>
      <c r="T497" s="99"/>
      <c r="U497" s="99"/>
      <c r="V497" s="99"/>
      <c r="W497" s="99"/>
      <c r="X497" s="99"/>
      <c r="Y497" s="99"/>
      <c r="Z497" s="99"/>
      <c r="AA497" s="99"/>
      <c r="AB497" s="99"/>
      <c r="AC497" s="98"/>
      <c r="AD497" s="98"/>
      <c r="AE497" s="98"/>
      <c r="AF497" s="98"/>
      <c r="AG497" s="98"/>
      <c r="AH497" s="98"/>
    </row>
    <row r="498" spans="2:34" x14ac:dyDescent="0.25">
      <c r="B498" s="71"/>
      <c r="C498" s="72"/>
      <c r="D498" s="77"/>
      <c r="E498" s="78"/>
      <c r="F498" s="78"/>
      <c r="G498" s="78"/>
      <c r="H498" s="78"/>
      <c r="I498" s="79"/>
      <c r="J498" s="86"/>
      <c r="K498" s="87"/>
      <c r="L498" s="86"/>
      <c r="M498" s="87"/>
      <c r="N498" s="77"/>
      <c r="O498" s="79"/>
      <c r="P498" s="92"/>
      <c r="Q498" s="93"/>
      <c r="S498" s="99"/>
      <c r="T498" s="99"/>
      <c r="U498" s="99"/>
      <c r="V498" s="99"/>
      <c r="W498" s="99"/>
      <c r="X498" s="99"/>
      <c r="Y498" s="99"/>
      <c r="Z498" s="99"/>
      <c r="AA498" s="99"/>
      <c r="AB498" s="99"/>
      <c r="AC498" s="98"/>
      <c r="AD498" s="98"/>
      <c r="AE498" s="98"/>
      <c r="AF498" s="98"/>
      <c r="AG498" s="98"/>
      <c r="AH498" s="98"/>
    </row>
    <row r="499" spans="2:34" x14ac:dyDescent="0.25">
      <c r="B499" s="73"/>
      <c r="C499" s="74"/>
      <c r="D499" s="80"/>
      <c r="E499" s="81"/>
      <c r="F499" s="81"/>
      <c r="G499" s="81"/>
      <c r="H499" s="81"/>
      <c r="I499" s="82"/>
      <c r="J499" s="88"/>
      <c r="K499" s="89"/>
      <c r="L499" s="88"/>
      <c r="M499" s="89"/>
      <c r="N499" s="80"/>
      <c r="O499" s="82"/>
      <c r="P499" s="94"/>
      <c r="Q499" s="95"/>
      <c r="S499" s="99"/>
      <c r="T499" s="99"/>
      <c r="U499" s="99"/>
      <c r="V499" s="99"/>
      <c r="W499" s="99"/>
      <c r="X499" s="99"/>
      <c r="Y499" s="99"/>
      <c r="Z499" s="99"/>
      <c r="AA499" s="99"/>
      <c r="AB499" s="99"/>
      <c r="AC499" s="98"/>
      <c r="AD499" s="98"/>
      <c r="AE499" s="98"/>
      <c r="AF499" s="98"/>
      <c r="AG499" s="98"/>
      <c r="AH499" s="98"/>
    </row>
    <row r="500" spans="2:34" x14ac:dyDescent="0.25">
      <c r="B500" s="75"/>
      <c r="C500" s="76"/>
      <c r="D500" s="83"/>
      <c r="E500" s="84"/>
      <c r="F500" s="84"/>
      <c r="G500" s="84"/>
      <c r="H500" s="84"/>
      <c r="I500" s="85"/>
      <c r="J500" s="90"/>
      <c r="K500" s="91"/>
      <c r="L500" s="90"/>
      <c r="M500" s="91"/>
      <c r="N500" s="83"/>
      <c r="O500" s="85"/>
      <c r="P500" s="96"/>
      <c r="Q500" s="97"/>
      <c r="S500" s="99"/>
      <c r="T500" s="99"/>
      <c r="U500" s="99"/>
      <c r="V500" s="99"/>
      <c r="W500" s="99"/>
      <c r="X500" s="99"/>
      <c r="Y500" s="99"/>
      <c r="Z500" s="99"/>
      <c r="AA500" s="99"/>
      <c r="AB500" s="99"/>
      <c r="AC500" s="98"/>
      <c r="AD500" s="98"/>
      <c r="AE500" s="98"/>
      <c r="AF500" s="98"/>
      <c r="AG500" s="98"/>
      <c r="AH500" s="98"/>
    </row>
    <row r="501" spans="2:34" x14ac:dyDescent="0.25">
      <c r="B501" s="71"/>
      <c r="C501" s="72"/>
      <c r="D501" s="77"/>
      <c r="E501" s="78"/>
      <c r="F501" s="78"/>
      <c r="G501" s="78"/>
      <c r="H501" s="78"/>
      <c r="I501" s="79"/>
      <c r="J501" s="86"/>
      <c r="K501" s="87"/>
      <c r="L501" s="86"/>
      <c r="M501" s="87"/>
      <c r="N501" s="77"/>
      <c r="O501" s="79"/>
      <c r="P501" s="92"/>
      <c r="Q501" s="93"/>
      <c r="S501" s="99"/>
      <c r="T501" s="99"/>
      <c r="U501" s="99"/>
      <c r="V501" s="99"/>
      <c r="W501" s="99"/>
      <c r="X501" s="99"/>
      <c r="Y501" s="99"/>
      <c r="Z501" s="99"/>
      <c r="AA501" s="99"/>
      <c r="AB501" s="99"/>
      <c r="AC501" s="98"/>
      <c r="AD501" s="98"/>
      <c r="AE501" s="98"/>
      <c r="AF501" s="98"/>
      <c r="AG501" s="98"/>
      <c r="AH501" s="98"/>
    </row>
    <row r="502" spans="2:34" x14ac:dyDescent="0.25">
      <c r="B502" s="73"/>
      <c r="C502" s="74"/>
      <c r="D502" s="80"/>
      <c r="E502" s="81"/>
      <c r="F502" s="81"/>
      <c r="G502" s="81"/>
      <c r="H502" s="81"/>
      <c r="I502" s="82"/>
      <c r="J502" s="88"/>
      <c r="K502" s="89"/>
      <c r="L502" s="88"/>
      <c r="M502" s="89"/>
      <c r="N502" s="80"/>
      <c r="O502" s="82"/>
      <c r="P502" s="94"/>
      <c r="Q502" s="95"/>
      <c r="S502" s="99"/>
      <c r="T502" s="99"/>
      <c r="U502" s="99"/>
      <c r="V502" s="99"/>
      <c r="W502" s="99"/>
      <c r="X502" s="99"/>
      <c r="Y502" s="99"/>
      <c r="Z502" s="99"/>
      <c r="AA502" s="99"/>
      <c r="AB502" s="99"/>
      <c r="AC502" s="98"/>
      <c r="AD502" s="98"/>
      <c r="AE502" s="98"/>
      <c r="AF502" s="98"/>
      <c r="AG502" s="98"/>
      <c r="AH502" s="98"/>
    </row>
    <row r="503" spans="2:34" x14ac:dyDescent="0.25">
      <c r="B503" s="75"/>
      <c r="C503" s="76"/>
      <c r="D503" s="83"/>
      <c r="E503" s="84"/>
      <c r="F503" s="84"/>
      <c r="G503" s="84"/>
      <c r="H503" s="84"/>
      <c r="I503" s="85"/>
      <c r="J503" s="90"/>
      <c r="K503" s="91"/>
      <c r="L503" s="90"/>
      <c r="M503" s="91"/>
      <c r="N503" s="83"/>
      <c r="O503" s="85"/>
      <c r="P503" s="96"/>
      <c r="Q503" s="97"/>
      <c r="S503" s="99"/>
      <c r="T503" s="99"/>
      <c r="U503" s="99"/>
      <c r="V503" s="99"/>
      <c r="W503" s="99"/>
      <c r="X503" s="99"/>
      <c r="Y503" s="99"/>
      <c r="Z503" s="99"/>
      <c r="AA503" s="99"/>
      <c r="AB503" s="99"/>
      <c r="AC503" s="98"/>
      <c r="AD503" s="98"/>
      <c r="AE503" s="98"/>
      <c r="AF503" s="98"/>
      <c r="AG503" s="98"/>
      <c r="AH503" s="98"/>
    </row>
    <row r="504" spans="2:34" x14ac:dyDescent="0.25">
      <c r="B504" s="71"/>
      <c r="C504" s="72"/>
      <c r="D504" s="77"/>
      <c r="E504" s="78"/>
      <c r="F504" s="78"/>
      <c r="G504" s="78"/>
      <c r="H504" s="78"/>
      <c r="I504" s="79"/>
      <c r="J504" s="86"/>
      <c r="K504" s="87"/>
      <c r="L504" s="86"/>
      <c r="M504" s="87"/>
      <c r="N504" s="77"/>
      <c r="O504" s="79"/>
      <c r="P504" s="92"/>
      <c r="Q504" s="93"/>
      <c r="S504" s="99"/>
      <c r="T504" s="99"/>
      <c r="U504" s="99"/>
      <c r="V504" s="99"/>
      <c r="W504" s="99"/>
      <c r="X504" s="99"/>
      <c r="Y504" s="99"/>
      <c r="Z504" s="99"/>
      <c r="AA504" s="99"/>
      <c r="AB504" s="99"/>
      <c r="AC504" s="98"/>
      <c r="AD504" s="98"/>
      <c r="AE504" s="98"/>
      <c r="AF504" s="98"/>
      <c r="AG504" s="98"/>
      <c r="AH504" s="98"/>
    </row>
    <row r="505" spans="2:34" x14ac:dyDescent="0.25">
      <c r="B505" s="73"/>
      <c r="C505" s="74"/>
      <c r="D505" s="80"/>
      <c r="E505" s="81"/>
      <c r="F505" s="81"/>
      <c r="G505" s="81"/>
      <c r="H505" s="81"/>
      <c r="I505" s="82"/>
      <c r="J505" s="88"/>
      <c r="K505" s="89"/>
      <c r="L505" s="88"/>
      <c r="M505" s="89"/>
      <c r="N505" s="80"/>
      <c r="O505" s="82"/>
      <c r="P505" s="94"/>
      <c r="Q505" s="95"/>
      <c r="S505" s="99"/>
      <c r="T505" s="99"/>
      <c r="U505" s="99"/>
      <c r="V505" s="99"/>
      <c r="W505" s="99"/>
      <c r="X505" s="99"/>
      <c r="Y505" s="99"/>
      <c r="Z505" s="99"/>
      <c r="AA505" s="99"/>
      <c r="AB505" s="99"/>
      <c r="AC505" s="98"/>
      <c r="AD505" s="98"/>
      <c r="AE505" s="98"/>
      <c r="AF505" s="98"/>
      <c r="AG505" s="98"/>
      <c r="AH505" s="98"/>
    </row>
    <row r="506" spans="2:34" x14ac:dyDescent="0.25">
      <c r="B506" s="75"/>
      <c r="C506" s="76"/>
      <c r="D506" s="83"/>
      <c r="E506" s="84"/>
      <c r="F506" s="84"/>
      <c r="G506" s="84"/>
      <c r="H506" s="84"/>
      <c r="I506" s="85"/>
      <c r="J506" s="90"/>
      <c r="K506" s="91"/>
      <c r="L506" s="90"/>
      <c r="M506" s="91"/>
      <c r="N506" s="83"/>
      <c r="O506" s="85"/>
      <c r="P506" s="96"/>
      <c r="Q506" s="97"/>
      <c r="S506" s="99"/>
      <c r="T506" s="99"/>
      <c r="U506" s="99"/>
      <c r="V506" s="99"/>
      <c r="W506" s="99"/>
      <c r="X506" s="99"/>
      <c r="Y506" s="99"/>
      <c r="Z506" s="99"/>
      <c r="AA506" s="99"/>
      <c r="AB506" s="99"/>
      <c r="AC506" s="98"/>
      <c r="AD506" s="98"/>
      <c r="AE506" s="98"/>
      <c r="AF506" s="98"/>
      <c r="AG506" s="98"/>
      <c r="AH506" s="98"/>
    </row>
    <row r="507" spans="2:34" x14ac:dyDescent="0.25">
      <c r="B507" s="71"/>
      <c r="C507" s="72"/>
      <c r="D507" s="77"/>
      <c r="E507" s="78"/>
      <c r="F507" s="78"/>
      <c r="G507" s="78"/>
      <c r="H507" s="78"/>
      <c r="I507" s="79"/>
      <c r="J507" s="86"/>
      <c r="K507" s="87"/>
      <c r="L507" s="86"/>
      <c r="M507" s="87"/>
      <c r="N507" s="77"/>
      <c r="O507" s="79"/>
      <c r="P507" s="92"/>
      <c r="Q507" s="93"/>
      <c r="S507" s="99"/>
      <c r="T507" s="99"/>
      <c r="U507" s="99"/>
      <c r="V507" s="99"/>
      <c r="W507" s="99"/>
      <c r="X507" s="99"/>
      <c r="Y507" s="99"/>
      <c r="Z507" s="99"/>
      <c r="AA507" s="99"/>
      <c r="AB507" s="99"/>
      <c r="AC507" s="98"/>
      <c r="AD507" s="98"/>
      <c r="AE507" s="98"/>
      <c r="AF507" s="98"/>
      <c r="AG507" s="98"/>
      <c r="AH507" s="98"/>
    </row>
    <row r="508" spans="2:34" x14ac:dyDescent="0.25">
      <c r="B508" s="73"/>
      <c r="C508" s="74"/>
      <c r="D508" s="80"/>
      <c r="E508" s="81"/>
      <c r="F508" s="81"/>
      <c r="G508" s="81"/>
      <c r="H508" s="81"/>
      <c r="I508" s="82"/>
      <c r="J508" s="88"/>
      <c r="K508" s="89"/>
      <c r="L508" s="88"/>
      <c r="M508" s="89"/>
      <c r="N508" s="80"/>
      <c r="O508" s="82"/>
      <c r="P508" s="94"/>
      <c r="Q508" s="95"/>
      <c r="S508" s="99"/>
      <c r="T508" s="99"/>
      <c r="U508" s="99"/>
      <c r="V508" s="99"/>
      <c r="W508" s="99"/>
      <c r="X508" s="99"/>
      <c r="Y508" s="99"/>
      <c r="Z508" s="99"/>
      <c r="AA508" s="99"/>
      <c r="AB508" s="99"/>
      <c r="AC508" s="98"/>
      <c r="AD508" s="98"/>
      <c r="AE508" s="98"/>
      <c r="AF508" s="98"/>
      <c r="AG508" s="98"/>
      <c r="AH508" s="98"/>
    </row>
    <row r="509" spans="2:34" x14ac:dyDescent="0.25">
      <c r="B509" s="75"/>
      <c r="C509" s="76"/>
      <c r="D509" s="83"/>
      <c r="E509" s="84"/>
      <c r="F509" s="84"/>
      <c r="G509" s="84"/>
      <c r="H509" s="84"/>
      <c r="I509" s="85"/>
      <c r="J509" s="90"/>
      <c r="K509" s="91"/>
      <c r="L509" s="90"/>
      <c r="M509" s="91"/>
      <c r="N509" s="83"/>
      <c r="O509" s="85"/>
      <c r="P509" s="96"/>
      <c r="Q509" s="97"/>
      <c r="S509" s="99"/>
      <c r="T509" s="99"/>
      <c r="U509" s="99"/>
      <c r="V509" s="99"/>
      <c r="W509" s="99"/>
      <c r="X509" s="99"/>
      <c r="Y509" s="99"/>
      <c r="Z509" s="99"/>
      <c r="AA509" s="99"/>
      <c r="AB509" s="99"/>
      <c r="AC509" s="98"/>
      <c r="AD509" s="98"/>
      <c r="AE509" s="98"/>
      <c r="AF509" s="98"/>
      <c r="AG509" s="98"/>
      <c r="AH509" s="98"/>
    </row>
    <row r="510" spans="2:34" x14ac:dyDescent="0.25">
      <c r="B510" s="71"/>
      <c r="C510" s="72"/>
      <c r="D510" s="77"/>
      <c r="E510" s="78"/>
      <c r="F510" s="78"/>
      <c r="G510" s="78"/>
      <c r="H510" s="78"/>
      <c r="I510" s="79"/>
      <c r="J510" s="86"/>
      <c r="K510" s="87"/>
      <c r="L510" s="86"/>
      <c r="M510" s="87"/>
      <c r="N510" s="77"/>
      <c r="O510" s="79"/>
      <c r="P510" s="92"/>
      <c r="Q510" s="93"/>
      <c r="S510" s="99"/>
      <c r="T510" s="99"/>
      <c r="U510" s="99"/>
      <c r="V510" s="99"/>
      <c r="W510" s="99"/>
      <c r="X510" s="99"/>
      <c r="Y510" s="99"/>
      <c r="Z510" s="99"/>
      <c r="AA510" s="99"/>
      <c r="AB510" s="99"/>
      <c r="AC510" s="98"/>
      <c r="AD510" s="98"/>
      <c r="AE510" s="98"/>
      <c r="AF510" s="98"/>
      <c r="AG510" s="98"/>
      <c r="AH510" s="98"/>
    </row>
    <row r="511" spans="2:34" x14ac:dyDescent="0.25">
      <c r="B511" s="73"/>
      <c r="C511" s="74"/>
      <c r="D511" s="80"/>
      <c r="E511" s="81"/>
      <c r="F511" s="81"/>
      <c r="G511" s="81"/>
      <c r="H511" s="81"/>
      <c r="I511" s="82"/>
      <c r="J511" s="88"/>
      <c r="K511" s="89"/>
      <c r="L511" s="88"/>
      <c r="M511" s="89"/>
      <c r="N511" s="80"/>
      <c r="O511" s="82"/>
      <c r="P511" s="94"/>
      <c r="Q511" s="95"/>
      <c r="S511" s="99"/>
      <c r="T511" s="99"/>
      <c r="U511" s="99"/>
      <c r="V511" s="99"/>
      <c r="W511" s="99"/>
      <c r="X511" s="99"/>
      <c r="Y511" s="99"/>
      <c r="Z511" s="99"/>
      <c r="AA511" s="99"/>
      <c r="AB511" s="99"/>
      <c r="AC511" s="98"/>
      <c r="AD511" s="98"/>
      <c r="AE511" s="98"/>
      <c r="AF511" s="98"/>
      <c r="AG511" s="98"/>
      <c r="AH511" s="98"/>
    </row>
    <row r="512" spans="2:34" x14ac:dyDescent="0.25">
      <c r="B512" s="75"/>
      <c r="C512" s="76"/>
      <c r="D512" s="83"/>
      <c r="E512" s="84"/>
      <c r="F512" s="84"/>
      <c r="G512" s="84"/>
      <c r="H512" s="84"/>
      <c r="I512" s="85"/>
      <c r="J512" s="90"/>
      <c r="K512" s="91"/>
      <c r="L512" s="90"/>
      <c r="M512" s="91"/>
      <c r="N512" s="83"/>
      <c r="O512" s="85"/>
      <c r="P512" s="96"/>
      <c r="Q512" s="97"/>
      <c r="S512" s="99"/>
      <c r="T512" s="99"/>
      <c r="U512" s="99"/>
      <c r="V512" s="99"/>
      <c r="W512" s="99"/>
      <c r="X512" s="99"/>
      <c r="Y512" s="99"/>
      <c r="Z512" s="99"/>
      <c r="AA512" s="99"/>
      <c r="AB512" s="99"/>
      <c r="AC512" s="98"/>
      <c r="AD512" s="98"/>
      <c r="AE512" s="98"/>
      <c r="AF512" s="98"/>
      <c r="AG512" s="98"/>
      <c r="AH512" s="98"/>
    </row>
    <row r="513" spans="2:34" x14ac:dyDescent="0.25">
      <c r="B513" s="71"/>
      <c r="C513" s="72"/>
      <c r="D513" s="77"/>
      <c r="E513" s="78"/>
      <c r="F513" s="78"/>
      <c r="G513" s="78"/>
      <c r="H513" s="78"/>
      <c r="I513" s="79"/>
      <c r="J513" s="86"/>
      <c r="K513" s="87"/>
      <c r="L513" s="86"/>
      <c r="M513" s="87"/>
      <c r="N513" s="77"/>
      <c r="O513" s="79"/>
      <c r="P513" s="92"/>
      <c r="Q513" s="93"/>
      <c r="S513" s="99"/>
      <c r="T513" s="99"/>
      <c r="U513" s="99"/>
      <c r="V513" s="99"/>
      <c r="W513" s="99"/>
      <c r="X513" s="99"/>
      <c r="Y513" s="99"/>
      <c r="Z513" s="99"/>
      <c r="AA513" s="99"/>
      <c r="AB513" s="99"/>
      <c r="AC513" s="98"/>
      <c r="AD513" s="98"/>
      <c r="AE513" s="98"/>
      <c r="AF513" s="98"/>
      <c r="AG513" s="98"/>
      <c r="AH513" s="98"/>
    </row>
    <row r="514" spans="2:34" x14ac:dyDescent="0.25">
      <c r="B514" s="73"/>
      <c r="C514" s="74"/>
      <c r="D514" s="80"/>
      <c r="E514" s="81"/>
      <c r="F514" s="81"/>
      <c r="G514" s="81"/>
      <c r="H514" s="81"/>
      <c r="I514" s="82"/>
      <c r="J514" s="88"/>
      <c r="K514" s="89"/>
      <c r="L514" s="88"/>
      <c r="M514" s="89"/>
      <c r="N514" s="80"/>
      <c r="O514" s="82"/>
      <c r="P514" s="94"/>
      <c r="Q514" s="95"/>
      <c r="S514" s="99"/>
      <c r="T514" s="99"/>
      <c r="U514" s="99"/>
      <c r="V514" s="99"/>
      <c r="W514" s="99"/>
      <c r="X514" s="99"/>
      <c r="Y514" s="99"/>
      <c r="Z514" s="99"/>
      <c r="AA514" s="99"/>
      <c r="AB514" s="99"/>
      <c r="AC514" s="98"/>
      <c r="AD514" s="98"/>
      <c r="AE514" s="98"/>
      <c r="AF514" s="98"/>
      <c r="AG514" s="98"/>
      <c r="AH514" s="98"/>
    </row>
    <row r="515" spans="2:34" x14ac:dyDescent="0.25">
      <c r="B515" s="75"/>
      <c r="C515" s="76"/>
      <c r="D515" s="83"/>
      <c r="E515" s="84"/>
      <c r="F515" s="84"/>
      <c r="G515" s="84"/>
      <c r="H515" s="84"/>
      <c r="I515" s="85"/>
      <c r="J515" s="90"/>
      <c r="K515" s="91"/>
      <c r="L515" s="90"/>
      <c r="M515" s="91"/>
      <c r="N515" s="83"/>
      <c r="O515" s="85"/>
      <c r="P515" s="96"/>
      <c r="Q515" s="97"/>
      <c r="S515" s="99"/>
      <c r="T515" s="99"/>
      <c r="U515" s="99"/>
      <c r="V515" s="99"/>
      <c r="W515" s="99"/>
      <c r="X515" s="99"/>
      <c r="Y515" s="99"/>
      <c r="Z515" s="99"/>
      <c r="AA515" s="99"/>
      <c r="AB515" s="99"/>
      <c r="AC515" s="98"/>
      <c r="AD515" s="98"/>
      <c r="AE515" s="98"/>
      <c r="AF515" s="98"/>
      <c r="AG515" s="98"/>
      <c r="AH515" s="98"/>
    </row>
    <row r="516" spans="2:34" x14ac:dyDescent="0.25">
      <c r="B516" s="71"/>
      <c r="C516" s="72"/>
      <c r="D516" s="77"/>
      <c r="E516" s="78"/>
      <c r="F516" s="78"/>
      <c r="G516" s="78"/>
      <c r="H516" s="78"/>
      <c r="I516" s="79"/>
      <c r="J516" s="86"/>
      <c r="K516" s="87"/>
      <c r="L516" s="86"/>
      <c r="M516" s="87"/>
      <c r="N516" s="77"/>
      <c r="O516" s="79"/>
      <c r="P516" s="92"/>
      <c r="Q516" s="93"/>
      <c r="S516" s="99"/>
      <c r="T516" s="99"/>
      <c r="U516" s="99"/>
      <c r="V516" s="99"/>
      <c r="W516" s="99"/>
      <c r="X516" s="99"/>
      <c r="Y516" s="99"/>
      <c r="Z516" s="99"/>
      <c r="AA516" s="99"/>
      <c r="AB516" s="99"/>
      <c r="AC516" s="98"/>
      <c r="AD516" s="98"/>
      <c r="AE516" s="98"/>
      <c r="AF516" s="98"/>
      <c r="AG516" s="98"/>
      <c r="AH516" s="98"/>
    </row>
    <row r="517" spans="2:34" x14ac:dyDescent="0.25">
      <c r="B517" s="73"/>
      <c r="C517" s="74"/>
      <c r="D517" s="80"/>
      <c r="E517" s="81"/>
      <c r="F517" s="81"/>
      <c r="G517" s="81"/>
      <c r="H517" s="81"/>
      <c r="I517" s="82"/>
      <c r="J517" s="88"/>
      <c r="K517" s="89"/>
      <c r="L517" s="88"/>
      <c r="M517" s="89"/>
      <c r="N517" s="80"/>
      <c r="O517" s="82"/>
      <c r="P517" s="94"/>
      <c r="Q517" s="95"/>
      <c r="S517" s="99"/>
      <c r="T517" s="99"/>
      <c r="U517" s="99"/>
      <c r="V517" s="99"/>
      <c r="W517" s="99"/>
      <c r="X517" s="99"/>
      <c r="Y517" s="99"/>
      <c r="Z517" s="99"/>
      <c r="AA517" s="99"/>
      <c r="AB517" s="99"/>
      <c r="AC517" s="98"/>
      <c r="AD517" s="98"/>
      <c r="AE517" s="98"/>
      <c r="AF517" s="98"/>
      <c r="AG517" s="98"/>
      <c r="AH517" s="98"/>
    </row>
    <row r="518" spans="2:34" x14ac:dyDescent="0.25">
      <c r="B518" s="75"/>
      <c r="C518" s="76"/>
      <c r="D518" s="83"/>
      <c r="E518" s="84"/>
      <c r="F518" s="84"/>
      <c r="G518" s="84"/>
      <c r="H518" s="84"/>
      <c r="I518" s="85"/>
      <c r="J518" s="90"/>
      <c r="K518" s="91"/>
      <c r="L518" s="90"/>
      <c r="M518" s="91"/>
      <c r="N518" s="83"/>
      <c r="O518" s="85"/>
      <c r="P518" s="96"/>
      <c r="Q518" s="97"/>
      <c r="S518" s="99"/>
      <c r="T518" s="99"/>
      <c r="U518" s="99"/>
      <c r="V518" s="99"/>
      <c r="W518" s="99"/>
      <c r="X518" s="99"/>
      <c r="Y518" s="99"/>
      <c r="Z518" s="99"/>
      <c r="AA518" s="99"/>
      <c r="AB518" s="99"/>
      <c r="AC518" s="98"/>
      <c r="AD518" s="98"/>
      <c r="AE518" s="98"/>
      <c r="AF518" s="98"/>
      <c r="AG518" s="98"/>
      <c r="AH518" s="98"/>
    </row>
    <row r="519" spans="2:34" x14ac:dyDescent="0.25">
      <c r="B519" s="71"/>
      <c r="C519" s="72"/>
      <c r="D519" s="77"/>
      <c r="E519" s="78"/>
      <c r="F519" s="78"/>
      <c r="G519" s="78"/>
      <c r="H519" s="78"/>
      <c r="I519" s="79"/>
      <c r="J519" s="86"/>
      <c r="K519" s="87"/>
      <c r="L519" s="86"/>
      <c r="M519" s="87"/>
      <c r="N519" s="77"/>
      <c r="O519" s="79"/>
      <c r="P519" s="92"/>
      <c r="Q519" s="93"/>
      <c r="S519" s="99"/>
      <c r="T519" s="99"/>
      <c r="U519" s="99"/>
      <c r="V519" s="99"/>
      <c r="W519" s="99"/>
      <c r="X519" s="99"/>
      <c r="Y519" s="99"/>
      <c r="Z519" s="99"/>
      <c r="AA519" s="99"/>
      <c r="AB519" s="99"/>
      <c r="AC519" s="98"/>
      <c r="AD519" s="98"/>
      <c r="AE519" s="98"/>
      <c r="AF519" s="98"/>
      <c r="AG519" s="98"/>
      <c r="AH519" s="98"/>
    </row>
    <row r="520" spans="2:34" x14ac:dyDescent="0.25">
      <c r="B520" s="73"/>
      <c r="C520" s="74"/>
      <c r="D520" s="80"/>
      <c r="E520" s="81"/>
      <c r="F520" s="81"/>
      <c r="G520" s="81"/>
      <c r="H520" s="81"/>
      <c r="I520" s="82"/>
      <c r="J520" s="88"/>
      <c r="K520" s="89"/>
      <c r="L520" s="88"/>
      <c r="M520" s="89"/>
      <c r="N520" s="80"/>
      <c r="O520" s="82"/>
      <c r="P520" s="94"/>
      <c r="Q520" s="95"/>
      <c r="S520" s="99"/>
      <c r="T520" s="99"/>
      <c r="U520" s="99"/>
      <c r="V520" s="99"/>
      <c r="W520" s="99"/>
      <c r="X520" s="99"/>
      <c r="Y520" s="99"/>
      <c r="Z520" s="99"/>
      <c r="AA520" s="99"/>
      <c r="AB520" s="99"/>
      <c r="AC520" s="98"/>
      <c r="AD520" s="98"/>
      <c r="AE520" s="98"/>
      <c r="AF520" s="98"/>
      <c r="AG520" s="98"/>
      <c r="AH520" s="98"/>
    </row>
    <row r="521" spans="2:34" x14ac:dyDescent="0.25">
      <c r="B521" s="75"/>
      <c r="C521" s="76"/>
      <c r="D521" s="83"/>
      <c r="E521" s="84"/>
      <c r="F521" s="84"/>
      <c r="G521" s="84"/>
      <c r="H521" s="84"/>
      <c r="I521" s="85"/>
      <c r="J521" s="90"/>
      <c r="K521" s="91"/>
      <c r="L521" s="90"/>
      <c r="M521" s="91"/>
      <c r="N521" s="83"/>
      <c r="O521" s="85"/>
      <c r="P521" s="96"/>
      <c r="Q521" s="97"/>
      <c r="S521" s="99"/>
      <c r="T521" s="99"/>
      <c r="U521" s="99"/>
      <c r="V521" s="99"/>
      <c r="W521" s="99"/>
      <c r="X521" s="99"/>
      <c r="Y521" s="99"/>
      <c r="Z521" s="99"/>
      <c r="AA521" s="99"/>
      <c r="AB521" s="99"/>
      <c r="AC521" s="98"/>
      <c r="AD521" s="98"/>
      <c r="AE521" s="98"/>
      <c r="AF521" s="98"/>
      <c r="AG521" s="98"/>
      <c r="AH521" s="98"/>
    </row>
    <row r="522" spans="2:34" x14ac:dyDescent="0.25">
      <c r="B522" s="71"/>
      <c r="C522" s="72"/>
      <c r="D522" s="77"/>
      <c r="E522" s="78"/>
      <c r="F522" s="78"/>
      <c r="G522" s="78"/>
      <c r="H522" s="78"/>
      <c r="I522" s="79"/>
      <c r="J522" s="86"/>
      <c r="K522" s="87"/>
      <c r="L522" s="86"/>
      <c r="M522" s="87"/>
      <c r="N522" s="77"/>
      <c r="O522" s="79"/>
      <c r="P522" s="92"/>
      <c r="Q522" s="93"/>
      <c r="S522" s="99"/>
      <c r="T522" s="99"/>
      <c r="U522" s="99"/>
      <c r="V522" s="99"/>
      <c r="W522" s="99"/>
      <c r="X522" s="99"/>
      <c r="Y522" s="99"/>
      <c r="Z522" s="99"/>
      <c r="AA522" s="99"/>
      <c r="AB522" s="99"/>
      <c r="AC522" s="98"/>
      <c r="AD522" s="98"/>
      <c r="AE522" s="98"/>
      <c r="AF522" s="98"/>
      <c r="AG522" s="98"/>
      <c r="AH522" s="98"/>
    </row>
    <row r="523" spans="2:34" x14ac:dyDescent="0.25">
      <c r="B523" s="73"/>
      <c r="C523" s="74"/>
      <c r="D523" s="80"/>
      <c r="E523" s="81"/>
      <c r="F523" s="81"/>
      <c r="G523" s="81"/>
      <c r="H523" s="81"/>
      <c r="I523" s="82"/>
      <c r="J523" s="88"/>
      <c r="K523" s="89"/>
      <c r="L523" s="88"/>
      <c r="M523" s="89"/>
      <c r="N523" s="80"/>
      <c r="O523" s="82"/>
      <c r="P523" s="94"/>
      <c r="Q523" s="95"/>
      <c r="S523" s="99"/>
      <c r="T523" s="99"/>
      <c r="U523" s="99"/>
      <c r="V523" s="99"/>
      <c r="W523" s="99"/>
      <c r="X523" s="99"/>
      <c r="Y523" s="99"/>
      <c r="Z523" s="99"/>
      <c r="AA523" s="99"/>
      <c r="AB523" s="99"/>
      <c r="AC523" s="98"/>
      <c r="AD523" s="98"/>
      <c r="AE523" s="98"/>
      <c r="AF523" s="98"/>
      <c r="AG523" s="98"/>
      <c r="AH523" s="98"/>
    </row>
    <row r="524" spans="2:34" x14ac:dyDescent="0.25">
      <c r="B524" s="75"/>
      <c r="C524" s="76"/>
      <c r="D524" s="83"/>
      <c r="E524" s="84"/>
      <c r="F524" s="84"/>
      <c r="G524" s="84"/>
      <c r="H524" s="84"/>
      <c r="I524" s="85"/>
      <c r="J524" s="90"/>
      <c r="K524" s="91"/>
      <c r="L524" s="90"/>
      <c r="M524" s="91"/>
      <c r="N524" s="83"/>
      <c r="O524" s="85"/>
      <c r="P524" s="96"/>
      <c r="Q524" s="97"/>
      <c r="S524" s="99"/>
      <c r="T524" s="99"/>
      <c r="U524" s="99"/>
      <c r="V524" s="99"/>
      <c r="W524" s="99"/>
      <c r="X524" s="99"/>
      <c r="Y524" s="99"/>
      <c r="Z524" s="99"/>
      <c r="AA524" s="99"/>
      <c r="AB524" s="99"/>
      <c r="AC524" s="98"/>
      <c r="AD524" s="98"/>
      <c r="AE524" s="98"/>
      <c r="AF524" s="98"/>
      <c r="AG524" s="98"/>
      <c r="AH524" s="98"/>
    </row>
    <row r="525" spans="2:34" x14ac:dyDescent="0.25">
      <c r="B525" s="71"/>
      <c r="C525" s="72"/>
      <c r="D525" s="77"/>
      <c r="E525" s="78"/>
      <c r="F525" s="78"/>
      <c r="G525" s="78"/>
      <c r="H525" s="78"/>
      <c r="I525" s="79"/>
      <c r="J525" s="86"/>
      <c r="K525" s="87"/>
      <c r="L525" s="86"/>
      <c r="M525" s="87"/>
      <c r="N525" s="77"/>
      <c r="O525" s="79"/>
      <c r="P525" s="92"/>
      <c r="Q525" s="93"/>
      <c r="S525" s="99"/>
      <c r="T525" s="99"/>
      <c r="U525" s="99"/>
      <c r="V525" s="99"/>
      <c r="W525" s="99"/>
      <c r="X525" s="99"/>
      <c r="Y525" s="99"/>
      <c r="Z525" s="99"/>
      <c r="AA525" s="99"/>
      <c r="AB525" s="99"/>
      <c r="AC525" s="98"/>
      <c r="AD525" s="98"/>
      <c r="AE525" s="98"/>
      <c r="AF525" s="98"/>
      <c r="AG525" s="98"/>
      <c r="AH525" s="98"/>
    </row>
    <row r="526" spans="2:34" x14ac:dyDescent="0.25">
      <c r="B526" s="73"/>
      <c r="C526" s="74"/>
      <c r="D526" s="80"/>
      <c r="E526" s="81"/>
      <c r="F526" s="81"/>
      <c r="G526" s="81"/>
      <c r="H526" s="81"/>
      <c r="I526" s="82"/>
      <c r="J526" s="88"/>
      <c r="K526" s="89"/>
      <c r="L526" s="88"/>
      <c r="M526" s="89"/>
      <c r="N526" s="80"/>
      <c r="O526" s="82"/>
      <c r="P526" s="94"/>
      <c r="Q526" s="95"/>
      <c r="S526" s="99"/>
      <c r="T526" s="99"/>
      <c r="U526" s="99"/>
      <c r="V526" s="99"/>
      <c r="W526" s="99"/>
      <c r="X526" s="99"/>
      <c r="Y526" s="99"/>
      <c r="Z526" s="99"/>
      <c r="AA526" s="99"/>
      <c r="AB526" s="99"/>
      <c r="AC526" s="98"/>
      <c r="AD526" s="98"/>
      <c r="AE526" s="98"/>
      <c r="AF526" s="98"/>
      <c r="AG526" s="98"/>
      <c r="AH526" s="98"/>
    </row>
    <row r="527" spans="2:34" x14ac:dyDescent="0.25">
      <c r="B527" s="75"/>
      <c r="C527" s="76"/>
      <c r="D527" s="83"/>
      <c r="E527" s="84"/>
      <c r="F527" s="84"/>
      <c r="G527" s="84"/>
      <c r="H527" s="84"/>
      <c r="I527" s="85"/>
      <c r="J527" s="90"/>
      <c r="K527" s="91"/>
      <c r="L527" s="90"/>
      <c r="M527" s="91"/>
      <c r="N527" s="83"/>
      <c r="O527" s="85"/>
      <c r="P527" s="96"/>
      <c r="Q527" s="97"/>
      <c r="S527" s="99"/>
      <c r="T527" s="99"/>
      <c r="U527" s="99"/>
      <c r="V527" s="99"/>
      <c r="W527" s="99"/>
      <c r="X527" s="99"/>
      <c r="Y527" s="99"/>
      <c r="Z527" s="99"/>
      <c r="AA527" s="99"/>
      <c r="AB527" s="99"/>
      <c r="AC527" s="98"/>
      <c r="AD527" s="98"/>
      <c r="AE527" s="98"/>
      <c r="AF527" s="98"/>
      <c r="AG527" s="98"/>
      <c r="AH527" s="98"/>
    </row>
    <row r="528" spans="2:34" x14ac:dyDescent="0.25">
      <c r="B528" s="71"/>
      <c r="C528" s="72"/>
      <c r="D528" s="77"/>
      <c r="E528" s="78"/>
      <c r="F528" s="78"/>
      <c r="G528" s="78"/>
      <c r="H528" s="78"/>
      <c r="I528" s="79"/>
      <c r="J528" s="86"/>
      <c r="K528" s="87"/>
      <c r="L528" s="86"/>
      <c r="M528" s="87"/>
      <c r="N528" s="77"/>
      <c r="O528" s="79"/>
      <c r="P528" s="92"/>
      <c r="Q528" s="93"/>
      <c r="S528" s="99"/>
      <c r="T528" s="99"/>
      <c r="U528" s="99"/>
      <c r="V528" s="99"/>
      <c r="W528" s="99"/>
      <c r="X528" s="99"/>
      <c r="Y528" s="99"/>
      <c r="Z528" s="99"/>
      <c r="AA528" s="99"/>
      <c r="AB528" s="99"/>
      <c r="AC528" s="98"/>
      <c r="AD528" s="98"/>
      <c r="AE528" s="98"/>
      <c r="AF528" s="98"/>
      <c r="AG528" s="98"/>
      <c r="AH528" s="98"/>
    </row>
    <row r="529" spans="2:34" x14ac:dyDescent="0.25">
      <c r="B529" s="73"/>
      <c r="C529" s="74"/>
      <c r="D529" s="80"/>
      <c r="E529" s="81"/>
      <c r="F529" s="81"/>
      <c r="G529" s="81"/>
      <c r="H529" s="81"/>
      <c r="I529" s="82"/>
      <c r="J529" s="88"/>
      <c r="K529" s="89"/>
      <c r="L529" s="88"/>
      <c r="M529" s="89"/>
      <c r="N529" s="80"/>
      <c r="O529" s="82"/>
      <c r="P529" s="94"/>
      <c r="Q529" s="95"/>
      <c r="S529" s="99"/>
      <c r="T529" s="99"/>
      <c r="U529" s="99"/>
      <c r="V529" s="99"/>
      <c r="W529" s="99"/>
      <c r="X529" s="99"/>
      <c r="Y529" s="99"/>
      <c r="Z529" s="99"/>
      <c r="AA529" s="99"/>
      <c r="AB529" s="99"/>
      <c r="AC529" s="98"/>
      <c r="AD529" s="98"/>
      <c r="AE529" s="98"/>
      <c r="AF529" s="98"/>
      <c r="AG529" s="98"/>
      <c r="AH529" s="98"/>
    </row>
    <row r="530" spans="2:34" x14ac:dyDescent="0.25">
      <c r="B530" s="75"/>
      <c r="C530" s="76"/>
      <c r="D530" s="83"/>
      <c r="E530" s="84"/>
      <c r="F530" s="84"/>
      <c r="G530" s="84"/>
      <c r="H530" s="84"/>
      <c r="I530" s="85"/>
      <c r="J530" s="90"/>
      <c r="K530" s="91"/>
      <c r="L530" s="90"/>
      <c r="M530" s="91"/>
      <c r="N530" s="83"/>
      <c r="O530" s="85"/>
      <c r="P530" s="96"/>
      <c r="Q530" s="97"/>
      <c r="S530" s="99"/>
      <c r="T530" s="99"/>
      <c r="U530" s="99"/>
      <c r="V530" s="99"/>
      <c r="W530" s="99"/>
      <c r="X530" s="99"/>
      <c r="Y530" s="99"/>
      <c r="Z530" s="99"/>
      <c r="AA530" s="99"/>
      <c r="AB530" s="99"/>
      <c r="AC530" s="98"/>
      <c r="AD530" s="98"/>
      <c r="AE530" s="98"/>
      <c r="AF530" s="98"/>
      <c r="AG530" s="98"/>
      <c r="AH530" s="98"/>
    </row>
    <row r="531" spans="2:34" x14ac:dyDescent="0.25">
      <c r="B531" s="71"/>
      <c r="C531" s="72"/>
      <c r="D531" s="77"/>
      <c r="E531" s="78"/>
      <c r="F531" s="78"/>
      <c r="G531" s="78"/>
      <c r="H531" s="78"/>
      <c r="I531" s="79"/>
      <c r="J531" s="86"/>
      <c r="K531" s="87"/>
      <c r="L531" s="86"/>
      <c r="M531" s="87"/>
      <c r="N531" s="77"/>
      <c r="O531" s="79"/>
      <c r="P531" s="92"/>
      <c r="Q531" s="93"/>
      <c r="S531" s="99"/>
      <c r="T531" s="99"/>
      <c r="U531" s="99"/>
      <c r="V531" s="99"/>
      <c r="W531" s="99"/>
      <c r="X531" s="99"/>
      <c r="Y531" s="99"/>
      <c r="Z531" s="99"/>
      <c r="AA531" s="99"/>
      <c r="AB531" s="99"/>
      <c r="AC531" s="98"/>
      <c r="AD531" s="98"/>
      <c r="AE531" s="98"/>
      <c r="AF531" s="98"/>
      <c r="AG531" s="98"/>
      <c r="AH531" s="98"/>
    </row>
    <row r="532" spans="2:34" x14ac:dyDescent="0.25">
      <c r="B532" s="73"/>
      <c r="C532" s="74"/>
      <c r="D532" s="80"/>
      <c r="E532" s="81"/>
      <c r="F532" s="81"/>
      <c r="G532" s="81"/>
      <c r="H532" s="81"/>
      <c r="I532" s="82"/>
      <c r="J532" s="88"/>
      <c r="K532" s="89"/>
      <c r="L532" s="88"/>
      <c r="M532" s="89"/>
      <c r="N532" s="80"/>
      <c r="O532" s="82"/>
      <c r="P532" s="94"/>
      <c r="Q532" s="95"/>
      <c r="S532" s="99"/>
      <c r="T532" s="99"/>
      <c r="U532" s="99"/>
      <c r="V532" s="99"/>
      <c r="W532" s="99"/>
      <c r="X532" s="99"/>
      <c r="Y532" s="99"/>
      <c r="Z532" s="99"/>
      <c r="AA532" s="99"/>
      <c r="AB532" s="99"/>
      <c r="AC532" s="98"/>
      <c r="AD532" s="98"/>
      <c r="AE532" s="98"/>
      <c r="AF532" s="98"/>
      <c r="AG532" s="98"/>
      <c r="AH532" s="98"/>
    </row>
    <row r="533" spans="2:34" x14ac:dyDescent="0.25">
      <c r="B533" s="75"/>
      <c r="C533" s="76"/>
      <c r="D533" s="83"/>
      <c r="E533" s="84"/>
      <c r="F533" s="84"/>
      <c r="G533" s="84"/>
      <c r="H533" s="84"/>
      <c r="I533" s="85"/>
      <c r="J533" s="90"/>
      <c r="K533" s="91"/>
      <c r="L533" s="90"/>
      <c r="M533" s="91"/>
      <c r="N533" s="83"/>
      <c r="O533" s="85"/>
      <c r="P533" s="96"/>
      <c r="Q533" s="97"/>
      <c r="S533" s="99"/>
      <c r="T533" s="99"/>
      <c r="U533" s="99"/>
      <c r="V533" s="99"/>
      <c r="W533" s="99"/>
      <c r="X533" s="99"/>
      <c r="Y533" s="99"/>
      <c r="Z533" s="99"/>
      <c r="AA533" s="99"/>
      <c r="AB533" s="99"/>
      <c r="AC533" s="98"/>
      <c r="AD533" s="98"/>
      <c r="AE533" s="98"/>
      <c r="AF533" s="98"/>
      <c r="AG533" s="98"/>
      <c r="AH533" s="98"/>
    </row>
    <row r="534" spans="2:34" x14ac:dyDescent="0.25">
      <c r="B534" s="71"/>
      <c r="C534" s="72"/>
      <c r="D534" s="77"/>
      <c r="E534" s="78"/>
      <c r="F534" s="78"/>
      <c r="G534" s="78"/>
      <c r="H534" s="78"/>
      <c r="I534" s="79"/>
      <c r="J534" s="86"/>
      <c r="K534" s="87"/>
      <c r="L534" s="86"/>
      <c r="M534" s="87"/>
      <c r="N534" s="77"/>
      <c r="O534" s="79"/>
      <c r="P534" s="92"/>
      <c r="Q534" s="93"/>
      <c r="S534" s="99"/>
      <c r="T534" s="99"/>
      <c r="U534" s="99"/>
      <c r="V534" s="99"/>
      <c r="W534" s="99"/>
      <c r="X534" s="99"/>
      <c r="Y534" s="99"/>
      <c r="Z534" s="99"/>
      <c r="AA534" s="99"/>
      <c r="AB534" s="99"/>
      <c r="AC534" s="98"/>
      <c r="AD534" s="98"/>
      <c r="AE534" s="98"/>
      <c r="AF534" s="98"/>
      <c r="AG534" s="98"/>
      <c r="AH534" s="98"/>
    </row>
    <row r="535" spans="2:34" x14ac:dyDescent="0.25">
      <c r="B535" s="73"/>
      <c r="C535" s="74"/>
      <c r="D535" s="80"/>
      <c r="E535" s="81"/>
      <c r="F535" s="81"/>
      <c r="G535" s="81"/>
      <c r="H535" s="81"/>
      <c r="I535" s="82"/>
      <c r="J535" s="88"/>
      <c r="K535" s="89"/>
      <c r="L535" s="88"/>
      <c r="M535" s="89"/>
      <c r="N535" s="80"/>
      <c r="O535" s="82"/>
      <c r="P535" s="94"/>
      <c r="Q535" s="95"/>
      <c r="S535" s="99"/>
      <c r="T535" s="99"/>
      <c r="U535" s="99"/>
      <c r="V535" s="99"/>
      <c r="W535" s="99"/>
      <c r="X535" s="99"/>
      <c r="Y535" s="99"/>
      <c r="Z535" s="99"/>
      <c r="AA535" s="99"/>
      <c r="AB535" s="99"/>
      <c r="AC535" s="98"/>
      <c r="AD535" s="98"/>
      <c r="AE535" s="98"/>
      <c r="AF535" s="98"/>
      <c r="AG535" s="98"/>
      <c r="AH535" s="98"/>
    </row>
    <row r="536" spans="2:34" x14ac:dyDescent="0.25">
      <c r="B536" s="75"/>
      <c r="C536" s="76"/>
      <c r="D536" s="83"/>
      <c r="E536" s="84"/>
      <c r="F536" s="84"/>
      <c r="G536" s="84"/>
      <c r="H536" s="84"/>
      <c r="I536" s="85"/>
      <c r="J536" s="90"/>
      <c r="K536" s="91"/>
      <c r="L536" s="90"/>
      <c r="M536" s="91"/>
      <c r="N536" s="83"/>
      <c r="O536" s="85"/>
      <c r="P536" s="96"/>
      <c r="Q536" s="97"/>
      <c r="S536" s="99"/>
      <c r="T536" s="99"/>
      <c r="U536" s="99"/>
      <c r="V536" s="99"/>
      <c r="W536" s="99"/>
      <c r="X536" s="99"/>
      <c r="Y536" s="99"/>
      <c r="Z536" s="99"/>
      <c r="AA536" s="99"/>
      <c r="AB536" s="99"/>
      <c r="AC536" s="98"/>
      <c r="AD536" s="98"/>
      <c r="AE536" s="98"/>
      <c r="AF536" s="98"/>
      <c r="AG536" s="98"/>
      <c r="AH536" s="98"/>
    </row>
    <row r="537" spans="2:34" x14ac:dyDescent="0.25">
      <c r="B537" s="71"/>
      <c r="C537" s="72"/>
      <c r="D537" s="77"/>
      <c r="E537" s="78"/>
      <c r="F537" s="78"/>
      <c r="G537" s="78"/>
      <c r="H537" s="78"/>
      <c r="I537" s="79"/>
      <c r="J537" s="86"/>
      <c r="K537" s="87"/>
      <c r="L537" s="86"/>
      <c r="M537" s="87"/>
      <c r="N537" s="77"/>
      <c r="O537" s="79"/>
      <c r="P537" s="92"/>
      <c r="Q537" s="93"/>
      <c r="S537" s="99"/>
      <c r="T537" s="99"/>
      <c r="U537" s="99"/>
      <c r="V537" s="99"/>
      <c r="W537" s="99"/>
      <c r="X537" s="99"/>
      <c r="Y537" s="99"/>
      <c r="Z537" s="99"/>
      <c r="AA537" s="99"/>
      <c r="AB537" s="99"/>
      <c r="AC537" s="98"/>
      <c r="AD537" s="98"/>
      <c r="AE537" s="98"/>
      <c r="AF537" s="98"/>
      <c r="AG537" s="98"/>
      <c r="AH537" s="98"/>
    </row>
    <row r="538" spans="2:34" x14ac:dyDescent="0.25">
      <c r="B538" s="73"/>
      <c r="C538" s="74"/>
      <c r="D538" s="80"/>
      <c r="E538" s="81"/>
      <c r="F538" s="81"/>
      <c r="G538" s="81"/>
      <c r="H538" s="81"/>
      <c r="I538" s="82"/>
      <c r="J538" s="88"/>
      <c r="K538" s="89"/>
      <c r="L538" s="88"/>
      <c r="M538" s="89"/>
      <c r="N538" s="80"/>
      <c r="O538" s="82"/>
      <c r="P538" s="94"/>
      <c r="Q538" s="95"/>
      <c r="S538" s="99"/>
      <c r="T538" s="99"/>
      <c r="U538" s="99"/>
      <c r="V538" s="99"/>
      <c r="W538" s="99"/>
      <c r="X538" s="99"/>
      <c r="Y538" s="99"/>
      <c r="Z538" s="99"/>
      <c r="AA538" s="99"/>
      <c r="AB538" s="99"/>
      <c r="AC538" s="98"/>
      <c r="AD538" s="98"/>
      <c r="AE538" s="98"/>
      <c r="AF538" s="98"/>
      <c r="AG538" s="98"/>
      <c r="AH538" s="98"/>
    </row>
    <row r="539" spans="2:34" x14ac:dyDescent="0.25">
      <c r="B539" s="75"/>
      <c r="C539" s="76"/>
      <c r="D539" s="83"/>
      <c r="E539" s="84"/>
      <c r="F539" s="84"/>
      <c r="G539" s="84"/>
      <c r="H539" s="84"/>
      <c r="I539" s="85"/>
      <c r="J539" s="90"/>
      <c r="K539" s="91"/>
      <c r="L539" s="90"/>
      <c r="M539" s="91"/>
      <c r="N539" s="83"/>
      <c r="O539" s="85"/>
      <c r="P539" s="96"/>
      <c r="Q539" s="97"/>
      <c r="S539" s="99"/>
      <c r="T539" s="99"/>
      <c r="U539" s="99"/>
      <c r="V539" s="99"/>
      <c r="W539" s="99"/>
      <c r="X539" s="99"/>
      <c r="Y539" s="99"/>
      <c r="Z539" s="99"/>
      <c r="AA539" s="99"/>
      <c r="AB539" s="99"/>
      <c r="AC539" s="98"/>
      <c r="AD539" s="98"/>
      <c r="AE539" s="98"/>
      <c r="AF539" s="98"/>
      <c r="AG539" s="98"/>
      <c r="AH539" s="98"/>
    </row>
    <row r="540" spans="2:34" x14ac:dyDescent="0.25">
      <c r="B540" s="71"/>
      <c r="C540" s="72"/>
      <c r="D540" s="77"/>
      <c r="E540" s="78"/>
      <c r="F540" s="78"/>
      <c r="G540" s="78"/>
      <c r="H540" s="78"/>
      <c r="I540" s="79"/>
      <c r="J540" s="86"/>
      <c r="K540" s="87"/>
      <c r="L540" s="86"/>
      <c r="M540" s="87"/>
      <c r="N540" s="77"/>
      <c r="O540" s="79"/>
      <c r="P540" s="92"/>
      <c r="Q540" s="93"/>
      <c r="S540" s="99"/>
      <c r="T540" s="99"/>
      <c r="U540" s="99"/>
      <c r="V540" s="99"/>
      <c r="W540" s="99"/>
      <c r="X540" s="99"/>
      <c r="Y540" s="99"/>
      <c r="Z540" s="99"/>
      <c r="AA540" s="99"/>
      <c r="AB540" s="99"/>
      <c r="AC540" s="98"/>
      <c r="AD540" s="98"/>
      <c r="AE540" s="98"/>
      <c r="AF540" s="98"/>
      <c r="AG540" s="98"/>
      <c r="AH540" s="98"/>
    </row>
    <row r="541" spans="2:34" x14ac:dyDescent="0.25">
      <c r="B541" s="73"/>
      <c r="C541" s="74"/>
      <c r="D541" s="80"/>
      <c r="E541" s="81"/>
      <c r="F541" s="81"/>
      <c r="G541" s="81"/>
      <c r="H541" s="81"/>
      <c r="I541" s="82"/>
      <c r="J541" s="88"/>
      <c r="K541" s="89"/>
      <c r="L541" s="88"/>
      <c r="M541" s="89"/>
      <c r="N541" s="80"/>
      <c r="O541" s="82"/>
      <c r="P541" s="94"/>
      <c r="Q541" s="95"/>
      <c r="S541" s="99"/>
      <c r="T541" s="99"/>
      <c r="U541" s="99"/>
      <c r="V541" s="99"/>
      <c r="W541" s="99"/>
      <c r="X541" s="99"/>
      <c r="Y541" s="99"/>
      <c r="Z541" s="99"/>
      <c r="AA541" s="99"/>
      <c r="AB541" s="99"/>
      <c r="AC541" s="98"/>
      <c r="AD541" s="98"/>
      <c r="AE541" s="98"/>
      <c r="AF541" s="98"/>
      <c r="AG541" s="98"/>
      <c r="AH541" s="98"/>
    </row>
    <row r="542" spans="2:34" x14ac:dyDescent="0.25">
      <c r="B542" s="75"/>
      <c r="C542" s="76"/>
      <c r="D542" s="83"/>
      <c r="E542" s="84"/>
      <c r="F542" s="84"/>
      <c r="G542" s="84"/>
      <c r="H542" s="84"/>
      <c r="I542" s="85"/>
      <c r="J542" s="90"/>
      <c r="K542" s="91"/>
      <c r="L542" s="90"/>
      <c r="M542" s="91"/>
      <c r="N542" s="83"/>
      <c r="O542" s="85"/>
      <c r="P542" s="96"/>
      <c r="Q542" s="97"/>
      <c r="S542" s="99"/>
      <c r="T542" s="99"/>
      <c r="U542" s="99"/>
      <c r="V542" s="99"/>
      <c r="W542" s="99"/>
      <c r="X542" s="99"/>
      <c r="Y542" s="99"/>
      <c r="Z542" s="99"/>
      <c r="AA542" s="99"/>
      <c r="AB542" s="99"/>
      <c r="AC542" s="98"/>
      <c r="AD542" s="98"/>
      <c r="AE542" s="98"/>
      <c r="AF542" s="98"/>
      <c r="AG542" s="98"/>
      <c r="AH542" s="98"/>
    </row>
    <row r="543" spans="2:34" x14ac:dyDescent="0.25">
      <c r="B543" s="71"/>
      <c r="C543" s="72"/>
      <c r="D543" s="77"/>
      <c r="E543" s="78"/>
      <c r="F543" s="78"/>
      <c r="G543" s="78"/>
      <c r="H543" s="78"/>
      <c r="I543" s="79"/>
      <c r="J543" s="86"/>
      <c r="K543" s="87"/>
      <c r="L543" s="86"/>
      <c r="M543" s="87"/>
      <c r="N543" s="77"/>
      <c r="O543" s="79"/>
      <c r="P543" s="92"/>
      <c r="Q543" s="93"/>
      <c r="S543" s="99"/>
      <c r="T543" s="99"/>
      <c r="U543" s="99"/>
      <c r="V543" s="99"/>
      <c r="W543" s="99"/>
      <c r="X543" s="99"/>
      <c r="Y543" s="99"/>
      <c r="Z543" s="99"/>
      <c r="AA543" s="99"/>
      <c r="AB543" s="99"/>
      <c r="AC543" s="98"/>
      <c r="AD543" s="98"/>
      <c r="AE543" s="98"/>
      <c r="AF543" s="98"/>
      <c r="AG543" s="98"/>
      <c r="AH543" s="98"/>
    </row>
    <row r="544" spans="2:34" x14ac:dyDescent="0.25">
      <c r="B544" s="73"/>
      <c r="C544" s="74"/>
      <c r="D544" s="80"/>
      <c r="E544" s="81"/>
      <c r="F544" s="81"/>
      <c r="G544" s="81"/>
      <c r="H544" s="81"/>
      <c r="I544" s="82"/>
      <c r="J544" s="88"/>
      <c r="K544" s="89"/>
      <c r="L544" s="88"/>
      <c r="M544" s="89"/>
      <c r="N544" s="80"/>
      <c r="O544" s="82"/>
      <c r="P544" s="94"/>
      <c r="Q544" s="95"/>
      <c r="S544" s="99"/>
      <c r="T544" s="99"/>
      <c r="U544" s="99"/>
      <c r="V544" s="99"/>
      <c r="W544" s="99"/>
      <c r="X544" s="99"/>
      <c r="Y544" s="99"/>
      <c r="Z544" s="99"/>
      <c r="AA544" s="99"/>
      <c r="AB544" s="99"/>
      <c r="AC544" s="98"/>
      <c r="AD544" s="98"/>
      <c r="AE544" s="98"/>
      <c r="AF544" s="98"/>
      <c r="AG544" s="98"/>
      <c r="AH544" s="98"/>
    </row>
    <row r="545" spans="2:34" x14ac:dyDescent="0.25">
      <c r="B545" s="75"/>
      <c r="C545" s="76"/>
      <c r="D545" s="83"/>
      <c r="E545" s="84"/>
      <c r="F545" s="84"/>
      <c r="G545" s="84"/>
      <c r="H545" s="84"/>
      <c r="I545" s="85"/>
      <c r="J545" s="90"/>
      <c r="K545" s="91"/>
      <c r="L545" s="90"/>
      <c r="M545" s="91"/>
      <c r="N545" s="83"/>
      <c r="O545" s="85"/>
      <c r="P545" s="96"/>
      <c r="Q545" s="97"/>
      <c r="S545" s="99"/>
      <c r="T545" s="99"/>
      <c r="U545" s="99"/>
      <c r="V545" s="99"/>
      <c r="W545" s="99"/>
      <c r="X545" s="99"/>
      <c r="Y545" s="99"/>
      <c r="Z545" s="99"/>
      <c r="AA545" s="99"/>
      <c r="AB545" s="99"/>
      <c r="AC545" s="98"/>
      <c r="AD545" s="98"/>
      <c r="AE545" s="98"/>
      <c r="AF545" s="98"/>
      <c r="AG545" s="98"/>
      <c r="AH545" s="98"/>
    </row>
    <row r="546" spans="2:34" x14ac:dyDescent="0.25">
      <c r="B546" s="71"/>
      <c r="C546" s="72"/>
      <c r="D546" s="77"/>
      <c r="E546" s="78"/>
      <c r="F546" s="78"/>
      <c r="G546" s="78"/>
      <c r="H546" s="78"/>
      <c r="I546" s="79"/>
      <c r="J546" s="86"/>
      <c r="K546" s="87"/>
      <c r="L546" s="86"/>
      <c r="M546" s="87"/>
      <c r="N546" s="77"/>
      <c r="O546" s="79"/>
      <c r="P546" s="92"/>
      <c r="Q546" s="93"/>
      <c r="S546" s="99"/>
      <c r="T546" s="99"/>
      <c r="U546" s="99"/>
      <c r="V546" s="99"/>
      <c r="W546" s="99"/>
      <c r="X546" s="99"/>
      <c r="Y546" s="99"/>
      <c r="Z546" s="99"/>
      <c r="AA546" s="99"/>
      <c r="AB546" s="99"/>
      <c r="AC546" s="98"/>
      <c r="AD546" s="98"/>
      <c r="AE546" s="98"/>
      <c r="AF546" s="98"/>
      <c r="AG546" s="98"/>
      <c r="AH546" s="98"/>
    </row>
    <row r="547" spans="2:34" x14ac:dyDescent="0.25">
      <c r="B547" s="73"/>
      <c r="C547" s="74"/>
      <c r="D547" s="80"/>
      <c r="E547" s="81"/>
      <c r="F547" s="81"/>
      <c r="G547" s="81"/>
      <c r="H547" s="81"/>
      <c r="I547" s="82"/>
      <c r="J547" s="88"/>
      <c r="K547" s="89"/>
      <c r="L547" s="88"/>
      <c r="M547" s="89"/>
      <c r="N547" s="80"/>
      <c r="O547" s="82"/>
      <c r="P547" s="94"/>
      <c r="Q547" s="95"/>
      <c r="S547" s="99"/>
      <c r="T547" s="99"/>
      <c r="U547" s="99"/>
      <c r="V547" s="99"/>
      <c r="W547" s="99"/>
      <c r="X547" s="99"/>
      <c r="Y547" s="99"/>
      <c r="Z547" s="99"/>
      <c r="AA547" s="99"/>
      <c r="AB547" s="99"/>
      <c r="AC547" s="98"/>
      <c r="AD547" s="98"/>
      <c r="AE547" s="98"/>
      <c r="AF547" s="98"/>
      <c r="AG547" s="98"/>
      <c r="AH547" s="98"/>
    </row>
    <row r="548" spans="2:34" x14ac:dyDescent="0.25">
      <c r="B548" s="75"/>
      <c r="C548" s="76"/>
      <c r="D548" s="83"/>
      <c r="E548" s="84"/>
      <c r="F548" s="84"/>
      <c r="G548" s="84"/>
      <c r="H548" s="84"/>
      <c r="I548" s="85"/>
      <c r="J548" s="90"/>
      <c r="K548" s="91"/>
      <c r="L548" s="90"/>
      <c r="M548" s="91"/>
      <c r="N548" s="83"/>
      <c r="O548" s="85"/>
      <c r="P548" s="96"/>
      <c r="Q548" s="97"/>
      <c r="S548" s="99"/>
      <c r="T548" s="99"/>
      <c r="U548" s="99"/>
      <c r="V548" s="99"/>
      <c r="W548" s="99"/>
      <c r="X548" s="99"/>
      <c r="Y548" s="99"/>
      <c r="Z548" s="99"/>
      <c r="AA548" s="99"/>
      <c r="AB548" s="99"/>
      <c r="AC548" s="98"/>
      <c r="AD548" s="98"/>
      <c r="AE548" s="98"/>
      <c r="AF548" s="98"/>
      <c r="AG548" s="98"/>
      <c r="AH548" s="98"/>
    </row>
    <row r="549" spans="2:34" x14ac:dyDescent="0.25">
      <c r="B549" s="71"/>
      <c r="C549" s="72"/>
      <c r="D549" s="77"/>
      <c r="E549" s="78"/>
      <c r="F549" s="78"/>
      <c r="G549" s="78"/>
      <c r="H549" s="78"/>
      <c r="I549" s="79"/>
      <c r="J549" s="86"/>
      <c r="K549" s="87"/>
      <c r="L549" s="86"/>
      <c r="M549" s="87"/>
      <c r="N549" s="77"/>
      <c r="O549" s="79"/>
      <c r="P549" s="92"/>
      <c r="Q549" s="93"/>
      <c r="S549" s="99"/>
      <c r="T549" s="99"/>
      <c r="U549" s="99"/>
      <c r="V549" s="99"/>
      <c r="W549" s="99"/>
      <c r="X549" s="99"/>
      <c r="Y549" s="99"/>
      <c r="Z549" s="99"/>
      <c r="AA549" s="99"/>
      <c r="AB549" s="99"/>
      <c r="AC549" s="98"/>
      <c r="AD549" s="98"/>
      <c r="AE549" s="98"/>
      <c r="AF549" s="98"/>
      <c r="AG549" s="98"/>
      <c r="AH549" s="98"/>
    </row>
    <row r="550" spans="2:34" x14ac:dyDescent="0.25">
      <c r="B550" s="73"/>
      <c r="C550" s="74"/>
      <c r="D550" s="80"/>
      <c r="E550" s="81"/>
      <c r="F550" s="81"/>
      <c r="G550" s="81"/>
      <c r="H550" s="81"/>
      <c r="I550" s="82"/>
      <c r="J550" s="88"/>
      <c r="K550" s="89"/>
      <c r="L550" s="88"/>
      <c r="M550" s="89"/>
      <c r="N550" s="80"/>
      <c r="O550" s="82"/>
      <c r="P550" s="94"/>
      <c r="Q550" s="95"/>
      <c r="S550" s="99"/>
      <c r="T550" s="99"/>
      <c r="U550" s="99"/>
      <c r="V550" s="99"/>
      <c r="W550" s="99"/>
      <c r="X550" s="99"/>
      <c r="Y550" s="99"/>
      <c r="Z550" s="99"/>
      <c r="AA550" s="99"/>
      <c r="AB550" s="99"/>
      <c r="AC550" s="98"/>
      <c r="AD550" s="98"/>
      <c r="AE550" s="98"/>
      <c r="AF550" s="98"/>
      <c r="AG550" s="98"/>
      <c r="AH550" s="98"/>
    </row>
    <row r="551" spans="2:34" x14ac:dyDescent="0.25">
      <c r="B551" s="75"/>
      <c r="C551" s="76"/>
      <c r="D551" s="83"/>
      <c r="E551" s="84"/>
      <c r="F551" s="84"/>
      <c r="G551" s="84"/>
      <c r="H551" s="84"/>
      <c r="I551" s="85"/>
      <c r="J551" s="90"/>
      <c r="K551" s="91"/>
      <c r="L551" s="90"/>
      <c r="M551" s="91"/>
      <c r="N551" s="83"/>
      <c r="O551" s="85"/>
      <c r="P551" s="96"/>
      <c r="Q551" s="97"/>
      <c r="S551" s="99"/>
      <c r="T551" s="99"/>
      <c r="U551" s="99"/>
      <c r="V551" s="99"/>
      <c r="W551" s="99"/>
      <c r="X551" s="99"/>
      <c r="Y551" s="99"/>
      <c r="Z551" s="99"/>
      <c r="AA551" s="99"/>
      <c r="AB551" s="99"/>
      <c r="AC551" s="98"/>
      <c r="AD551" s="98"/>
      <c r="AE551" s="98"/>
      <c r="AF551" s="98"/>
      <c r="AG551" s="98"/>
      <c r="AH551" s="98"/>
    </row>
    <row r="552" spans="2:34" x14ac:dyDescent="0.25">
      <c r="B552" s="71"/>
      <c r="C552" s="72"/>
      <c r="D552" s="77"/>
      <c r="E552" s="78"/>
      <c r="F552" s="78"/>
      <c r="G552" s="78"/>
      <c r="H552" s="78"/>
      <c r="I552" s="79"/>
      <c r="J552" s="86"/>
      <c r="K552" s="87"/>
      <c r="L552" s="86"/>
      <c r="M552" s="87"/>
      <c r="N552" s="77"/>
      <c r="O552" s="79"/>
      <c r="P552" s="92"/>
      <c r="Q552" s="93"/>
      <c r="S552" s="99"/>
      <c r="T552" s="99"/>
      <c r="U552" s="99"/>
      <c r="V552" s="99"/>
      <c r="W552" s="99"/>
      <c r="X552" s="99"/>
      <c r="Y552" s="99"/>
      <c r="Z552" s="99"/>
      <c r="AA552" s="99"/>
      <c r="AB552" s="99"/>
      <c r="AC552" s="98"/>
      <c r="AD552" s="98"/>
      <c r="AE552" s="98"/>
      <c r="AF552" s="98"/>
      <c r="AG552" s="98"/>
      <c r="AH552" s="98"/>
    </row>
    <row r="553" spans="2:34" x14ac:dyDescent="0.25">
      <c r="B553" s="73"/>
      <c r="C553" s="74"/>
      <c r="D553" s="80"/>
      <c r="E553" s="81"/>
      <c r="F553" s="81"/>
      <c r="G553" s="81"/>
      <c r="H553" s="81"/>
      <c r="I553" s="82"/>
      <c r="J553" s="88"/>
      <c r="K553" s="89"/>
      <c r="L553" s="88"/>
      <c r="M553" s="89"/>
      <c r="N553" s="80"/>
      <c r="O553" s="82"/>
      <c r="P553" s="94"/>
      <c r="Q553" s="95"/>
      <c r="S553" s="99"/>
      <c r="T553" s="99"/>
      <c r="U553" s="99"/>
      <c r="V553" s="99"/>
      <c r="W553" s="99"/>
      <c r="X553" s="99"/>
      <c r="Y553" s="99"/>
      <c r="Z553" s="99"/>
      <c r="AA553" s="99"/>
      <c r="AB553" s="99"/>
      <c r="AC553" s="98"/>
      <c r="AD553" s="98"/>
      <c r="AE553" s="98"/>
      <c r="AF553" s="98"/>
      <c r="AG553" s="98"/>
      <c r="AH553" s="98"/>
    </row>
    <row r="554" spans="2:34" x14ac:dyDescent="0.25">
      <c r="B554" s="75"/>
      <c r="C554" s="76"/>
      <c r="D554" s="83"/>
      <c r="E554" s="84"/>
      <c r="F554" s="84"/>
      <c r="G554" s="84"/>
      <c r="H554" s="84"/>
      <c r="I554" s="85"/>
      <c r="J554" s="90"/>
      <c r="K554" s="91"/>
      <c r="L554" s="90"/>
      <c r="M554" s="91"/>
      <c r="N554" s="83"/>
      <c r="O554" s="85"/>
      <c r="P554" s="96"/>
      <c r="Q554" s="97"/>
      <c r="S554" s="99"/>
      <c r="T554" s="99"/>
      <c r="U554" s="99"/>
      <c r="V554" s="99"/>
      <c r="W554" s="99"/>
      <c r="X554" s="99"/>
      <c r="Y554" s="99"/>
      <c r="Z554" s="99"/>
      <c r="AA554" s="99"/>
      <c r="AB554" s="99"/>
      <c r="AC554" s="98"/>
      <c r="AD554" s="98"/>
      <c r="AE554" s="98"/>
      <c r="AF554" s="98"/>
      <c r="AG554" s="98"/>
      <c r="AH554" s="98"/>
    </row>
    <row r="555" spans="2:34" x14ac:dyDescent="0.25">
      <c r="B555" s="71"/>
      <c r="C555" s="72"/>
      <c r="D555" s="77"/>
      <c r="E555" s="78"/>
      <c r="F555" s="78"/>
      <c r="G555" s="78"/>
      <c r="H555" s="78"/>
      <c r="I555" s="79"/>
      <c r="J555" s="86"/>
      <c r="K555" s="87"/>
      <c r="L555" s="86"/>
      <c r="M555" s="87"/>
      <c r="N555" s="77"/>
      <c r="O555" s="79"/>
      <c r="P555" s="92"/>
      <c r="Q555" s="93"/>
      <c r="S555" s="99"/>
      <c r="T555" s="99"/>
      <c r="U555" s="99"/>
      <c r="V555" s="99"/>
      <c r="W555" s="99"/>
      <c r="X555" s="99"/>
      <c r="Y555" s="99"/>
      <c r="Z555" s="99"/>
      <c r="AA555" s="99"/>
      <c r="AB555" s="99"/>
      <c r="AC555" s="98"/>
      <c r="AD555" s="98"/>
      <c r="AE555" s="98"/>
      <c r="AF555" s="98"/>
      <c r="AG555" s="98"/>
      <c r="AH555" s="98"/>
    </row>
    <row r="556" spans="2:34" x14ac:dyDescent="0.25">
      <c r="B556" s="73"/>
      <c r="C556" s="74"/>
      <c r="D556" s="80"/>
      <c r="E556" s="81"/>
      <c r="F556" s="81"/>
      <c r="G556" s="81"/>
      <c r="H556" s="81"/>
      <c r="I556" s="82"/>
      <c r="J556" s="88"/>
      <c r="K556" s="89"/>
      <c r="L556" s="88"/>
      <c r="M556" s="89"/>
      <c r="N556" s="80"/>
      <c r="O556" s="82"/>
      <c r="P556" s="94"/>
      <c r="Q556" s="95"/>
      <c r="S556" s="99"/>
      <c r="T556" s="99"/>
      <c r="U556" s="99"/>
      <c r="V556" s="99"/>
      <c r="W556" s="99"/>
      <c r="X556" s="99"/>
      <c r="Y556" s="99"/>
      <c r="Z556" s="99"/>
      <c r="AA556" s="99"/>
      <c r="AB556" s="99"/>
      <c r="AC556" s="98"/>
      <c r="AD556" s="98"/>
      <c r="AE556" s="98"/>
      <c r="AF556" s="98"/>
      <c r="AG556" s="98"/>
      <c r="AH556" s="98"/>
    </row>
    <row r="557" spans="2:34" x14ac:dyDescent="0.25">
      <c r="B557" s="75"/>
      <c r="C557" s="76"/>
      <c r="D557" s="83"/>
      <c r="E557" s="84"/>
      <c r="F557" s="84"/>
      <c r="G557" s="84"/>
      <c r="H557" s="84"/>
      <c r="I557" s="85"/>
      <c r="J557" s="90"/>
      <c r="K557" s="91"/>
      <c r="L557" s="90"/>
      <c r="M557" s="91"/>
      <c r="N557" s="83"/>
      <c r="O557" s="85"/>
      <c r="P557" s="96"/>
      <c r="Q557" s="97"/>
      <c r="S557" s="99"/>
      <c r="T557" s="99"/>
      <c r="U557" s="99"/>
      <c r="V557" s="99"/>
      <c r="W557" s="99"/>
      <c r="X557" s="99"/>
      <c r="Y557" s="99"/>
      <c r="Z557" s="99"/>
      <c r="AA557" s="99"/>
      <c r="AB557" s="99"/>
      <c r="AC557" s="98"/>
      <c r="AD557" s="98"/>
      <c r="AE557" s="98"/>
      <c r="AF557" s="98"/>
      <c r="AG557" s="98"/>
      <c r="AH557" s="98"/>
    </row>
    <row r="558" spans="2:34" x14ac:dyDescent="0.25">
      <c r="B558" s="71"/>
      <c r="C558" s="72"/>
      <c r="D558" s="77"/>
      <c r="E558" s="78"/>
      <c r="F558" s="78"/>
      <c r="G558" s="78"/>
      <c r="H558" s="78"/>
      <c r="I558" s="79"/>
      <c r="J558" s="86"/>
      <c r="K558" s="87"/>
      <c r="L558" s="86"/>
      <c r="M558" s="87"/>
      <c r="N558" s="77"/>
      <c r="O558" s="79"/>
      <c r="P558" s="92"/>
      <c r="Q558" s="93"/>
      <c r="S558" s="99"/>
      <c r="T558" s="99"/>
      <c r="U558" s="99"/>
      <c r="V558" s="99"/>
      <c r="W558" s="99"/>
      <c r="X558" s="99"/>
      <c r="Y558" s="99"/>
      <c r="Z558" s="99"/>
      <c r="AA558" s="99"/>
      <c r="AB558" s="99"/>
      <c r="AC558" s="98"/>
      <c r="AD558" s="98"/>
      <c r="AE558" s="98"/>
      <c r="AF558" s="98"/>
      <c r="AG558" s="98"/>
      <c r="AH558" s="98"/>
    </row>
    <row r="559" spans="2:34" x14ac:dyDescent="0.25">
      <c r="B559" s="73"/>
      <c r="C559" s="74"/>
      <c r="D559" s="80"/>
      <c r="E559" s="81"/>
      <c r="F559" s="81"/>
      <c r="G559" s="81"/>
      <c r="H559" s="81"/>
      <c r="I559" s="82"/>
      <c r="J559" s="88"/>
      <c r="K559" s="89"/>
      <c r="L559" s="88"/>
      <c r="M559" s="89"/>
      <c r="N559" s="80"/>
      <c r="O559" s="82"/>
      <c r="P559" s="94"/>
      <c r="Q559" s="95"/>
      <c r="S559" s="99"/>
      <c r="T559" s="99"/>
      <c r="U559" s="99"/>
      <c r="V559" s="99"/>
      <c r="W559" s="99"/>
      <c r="X559" s="99"/>
      <c r="Y559" s="99"/>
      <c r="Z559" s="99"/>
      <c r="AA559" s="99"/>
      <c r="AB559" s="99"/>
      <c r="AC559" s="98"/>
      <c r="AD559" s="98"/>
      <c r="AE559" s="98"/>
      <c r="AF559" s="98"/>
      <c r="AG559" s="98"/>
      <c r="AH559" s="98"/>
    </row>
    <row r="560" spans="2:34" x14ac:dyDescent="0.25">
      <c r="B560" s="75"/>
      <c r="C560" s="76"/>
      <c r="D560" s="83"/>
      <c r="E560" s="84"/>
      <c r="F560" s="84"/>
      <c r="G560" s="84"/>
      <c r="H560" s="84"/>
      <c r="I560" s="85"/>
      <c r="J560" s="90"/>
      <c r="K560" s="91"/>
      <c r="L560" s="90"/>
      <c r="M560" s="91"/>
      <c r="N560" s="83"/>
      <c r="O560" s="85"/>
      <c r="P560" s="96"/>
      <c r="Q560" s="97"/>
      <c r="S560" s="99"/>
      <c r="T560" s="99"/>
      <c r="U560" s="99"/>
      <c r="V560" s="99"/>
      <c r="W560" s="99"/>
      <c r="X560" s="99"/>
      <c r="Y560" s="99"/>
      <c r="Z560" s="99"/>
      <c r="AA560" s="99"/>
      <c r="AB560" s="99"/>
      <c r="AC560" s="98"/>
      <c r="AD560" s="98"/>
      <c r="AE560" s="98"/>
      <c r="AF560" s="98"/>
      <c r="AG560" s="98"/>
      <c r="AH560" s="98"/>
    </row>
    <row r="561" spans="2:34" x14ac:dyDescent="0.25">
      <c r="B561" s="71"/>
      <c r="C561" s="72"/>
      <c r="D561" s="77"/>
      <c r="E561" s="78"/>
      <c r="F561" s="78"/>
      <c r="G561" s="78"/>
      <c r="H561" s="78"/>
      <c r="I561" s="79"/>
      <c r="J561" s="86"/>
      <c r="K561" s="87"/>
      <c r="L561" s="86"/>
      <c r="M561" s="87"/>
      <c r="N561" s="77"/>
      <c r="O561" s="79"/>
      <c r="P561" s="92"/>
      <c r="Q561" s="93"/>
      <c r="S561" s="99"/>
      <c r="T561" s="99"/>
      <c r="U561" s="99"/>
      <c r="V561" s="99"/>
      <c r="W561" s="99"/>
      <c r="X561" s="99"/>
      <c r="Y561" s="99"/>
      <c r="Z561" s="99"/>
      <c r="AA561" s="99"/>
      <c r="AB561" s="99"/>
      <c r="AC561" s="98"/>
      <c r="AD561" s="98"/>
      <c r="AE561" s="98"/>
      <c r="AF561" s="98"/>
      <c r="AG561" s="98"/>
      <c r="AH561" s="98"/>
    </row>
    <row r="562" spans="2:34" x14ac:dyDescent="0.25">
      <c r="B562" s="73"/>
      <c r="C562" s="74"/>
      <c r="D562" s="80"/>
      <c r="E562" s="81"/>
      <c r="F562" s="81"/>
      <c r="G562" s="81"/>
      <c r="H562" s="81"/>
      <c r="I562" s="82"/>
      <c r="J562" s="88"/>
      <c r="K562" s="89"/>
      <c r="L562" s="88"/>
      <c r="M562" s="89"/>
      <c r="N562" s="80"/>
      <c r="O562" s="82"/>
      <c r="P562" s="94"/>
      <c r="Q562" s="95"/>
      <c r="S562" s="99"/>
      <c r="T562" s="99"/>
      <c r="U562" s="99"/>
      <c r="V562" s="99"/>
      <c r="W562" s="99"/>
      <c r="X562" s="99"/>
      <c r="Y562" s="99"/>
      <c r="Z562" s="99"/>
      <c r="AA562" s="99"/>
      <c r="AB562" s="99"/>
      <c r="AC562" s="98"/>
      <c r="AD562" s="98"/>
      <c r="AE562" s="98"/>
      <c r="AF562" s="98"/>
      <c r="AG562" s="98"/>
      <c r="AH562" s="98"/>
    </row>
    <row r="563" spans="2:34" x14ac:dyDescent="0.25">
      <c r="B563" s="75"/>
      <c r="C563" s="76"/>
      <c r="D563" s="83"/>
      <c r="E563" s="84"/>
      <c r="F563" s="84"/>
      <c r="G563" s="84"/>
      <c r="H563" s="84"/>
      <c r="I563" s="85"/>
      <c r="J563" s="90"/>
      <c r="K563" s="91"/>
      <c r="L563" s="90"/>
      <c r="M563" s="91"/>
      <c r="N563" s="83"/>
      <c r="O563" s="85"/>
      <c r="P563" s="96"/>
      <c r="Q563" s="97"/>
      <c r="S563" s="99"/>
      <c r="T563" s="99"/>
      <c r="U563" s="99"/>
      <c r="V563" s="99"/>
      <c r="W563" s="99"/>
      <c r="X563" s="99"/>
      <c r="Y563" s="99"/>
      <c r="Z563" s="99"/>
      <c r="AA563" s="99"/>
      <c r="AB563" s="99"/>
      <c r="AC563" s="98"/>
      <c r="AD563" s="98"/>
      <c r="AE563" s="98"/>
      <c r="AF563" s="98"/>
      <c r="AG563" s="98"/>
      <c r="AH563" s="98"/>
    </row>
    <row r="564" spans="2:34" x14ac:dyDescent="0.25">
      <c r="B564" s="71"/>
      <c r="C564" s="72"/>
      <c r="D564" s="77"/>
      <c r="E564" s="78"/>
      <c r="F564" s="78"/>
      <c r="G564" s="78"/>
      <c r="H564" s="78"/>
      <c r="I564" s="79"/>
      <c r="J564" s="86"/>
      <c r="K564" s="87"/>
      <c r="L564" s="86"/>
      <c r="M564" s="87"/>
      <c r="N564" s="77"/>
      <c r="O564" s="79"/>
      <c r="P564" s="92"/>
      <c r="Q564" s="93"/>
      <c r="S564" s="99"/>
      <c r="T564" s="99"/>
      <c r="U564" s="99"/>
      <c r="V564" s="99"/>
      <c r="W564" s="99"/>
      <c r="X564" s="99"/>
      <c r="Y564" s="99"/>
      <c r="Z564" s="99"/>
      <c r="AA564" s="99"/>
      <c r="AB564" s="99"/>
      <c r="AC564" s="98"/>
      <c r="AD564" s="98"/>
      <c r="AE564" s="98"/>
      <c r="AF564" s="98"/>
      <c r="AG564" s="98"/>
      <c r="AH564" s="98"/>
    </row>
    <row r="565" spans="2:34" x14ac:dyDescent="0.25">
      <c r="B565" s="73"/>
      <c r="C565" s="74"/>
      <c r="D565" s="80"/>
      <c r="E565" s="81"/>
      <c r="F565" s="81"/>
      <c r="G565" s="81"/>
      <c r="H565" s="81"/>
      <c r="I565" s="82"/>
      <c r="J565" s="88"/>
      <c r="K565" s="89"/>
      <c r="L565" s="88"/>
      <c r="M565" s="89"/>
      <c r="N565" s="80"/>
      <c r="O565" s="82"/>
      <c r="P565" s="94"/>
      <c r="Q565" s="95"/>
      <c r="S565" s="99"/>
      <c r="T565" s="99"/>
      <c r="U565" s="99"/>
      <c r="V565" s="99"/>
      <c r="W565" s="99"/>
      <c r="X565" s="99"/>
      <c r="Y565" s="99"/>
      <c r="Z565" s="99"/>
      <c r="AA565" s="99"/>
      <c r="AB565" s="99"/>
      <c r="AC565" s="98"/>
      <c r="AD565" s="98"/>
      <c r="AE565" s="98"/>
      <c r="AF565" s="98"/>
      <c r="AG565" s="98"/>
      <c r="AH565" s="98"/>
    </row>
    <row r="566" spans="2:34" x14ac:dyDescent="0.25">
      <c r="B566" s="75"/>
      <c r="C566" s="76"/>
      <c r="D566" s="83"/>
      <c r="E566" s="84"/>
      <c r="F566" s="84"/>
      <c r="G566" s="84"/>
      <c r="H566" s="84"/>
      <c r="I566" s="85"/>
      <c r="J566" s="90"/>
      <c r="K566" s="91"/>
      <c r="L566" s="90"/>
      <c r="M566" s="91"/>
      <c r="N566" s="83"/>
      <c r="O566" s="85"/>
      <c r="P566" s="96"/>
      <c r="Q566" s="97"/>
      <c r="S566" s="99"/>
      <c r="T566" s="99"/>
      <c r="U566" s="99"/>
      <c r="V566" s="99"/>
      <c r="W566" s="99"/>
      <c r="X566" s="99"/>
      <c r="Y566" s="99"/>
      <c r="Z566" s="99"/>
      <c r="AA566" s="99"/>
      <c r="AB566" s="99"/>
      <c r="AC566" s="98"/>
      <c r="AD566" s="98"/>
      <c r="AE566" s="98"/>
      <c r="AF566" s="98"/>
      <c r="AG566" s="98"/>
      <c r="AH566" s="98"/>
    </row>
    <row r="567" spans="2:34" x14ac:dyDescent="0.25">
      <c r="B567" s="71"/>
      <c r="C567" s="72"/>
      <c r="D567" s="77"/>
      <c r="E567" s="78"/>
      <c r="F567" s="78"/>
      <c r="G567" s="78"/>
      <c r="H567" s="78"/>
      <c r="I567" s="79"/>
      <c r="J567" s="86"/>
      <c r="K567" s="87"/>
      <c r="L567" s="86"/>
      <c r="M567" s="87"/>
      <c r="N567" s="77"/>
      <c r="O567" s="79"/>
      <c r="P567" s="92"/>
      <c r="Q567" s="93"/>
      <c r="S567" s="99"/>
      <c r="T567" s="99"/>
      <c r="U567" s="99"/>
      <c r="V567" s="99"/>
      <c r="W567" s="99"/>
      <c r="X567" s="99"/>
      <c r="Y567" s="99"/>
      <c r="Z567" s="99"/>
      <c r="AA567" s="99"/>
      <c r="AB567" s="99"/>
      <c r="AC567" s="98"/>
      <c r="AD567" s="98"/>
      <c r="AE567" s="98"/>
      <c r="AF567" s="98"/>
      <c r="AG567" s="98"/>
      <c r="AH567" s="98"/>
    </row>
    <row r="568" spans="2:34" x14ac:dyDescent="0.25">
      <c r="B568" s="73"/>
      <c r="C568" s="74"/>
      <c r="D568" s="80"/>
      <c r="E568" s="81"/>
      <c r="F568" s="81"/>
      <c r="G568" s="81"/>
      <c r="H568" s="81"/>
      <c r="I568" s="82"/>
      <c r="J568" s="88"/>
      <c r="K568" s="89"/>
      <c r="L568" s="88"/>
      <c r="M568" s="89"/>
      <c r="N568" s="80"/>
      <c r="O568" s="82"/>
      <c r="P568" s="94"/>
      <c r="Q568" s="95"/>
      <c r="S568" s="99"/>
      <c r="T568" s="99"/>
      <c r="U568" s="99"/>
      <c r="V568" s="99"/>
      <c r="W568" s="99"/>
      <c r="X568" s="99"/>
      <c r="Y568" s="99"/>
      <c r="Z568" s="99"/>
      <c r="AA568" s="99"/>
      <c r="AB568" s="99"/>
      <c r="AC568" s="98"/>
      <c r="AD568" s="98"/>
      <c r="AE568" s="98"/>
      <c r="AF568" s="98"/>
      <c r="AG568" s="98"/>
      <c r="AH568" s="98"/>
    </row>
    <row r="569" spans="2:34" x14ac:dyDescent="0.25">
      <c r="B569" s="75"/>
      <c r="C569" s="76"/>
      <c r="D569" s="83"/>
      <c r="E569" s="84"/>
      <c r="F569" s="84"/>
      <c r="G569" s="84"/>
      <c r="H569" s="84"/>
      <c r="I569" s="85"/>
      <c r="J569" s="90"/>
      <c r="K569" s="91"/>
      <c r="L569" s="90"/>
      <c r="M569" s="91"/>
      <c r="N569" s="83"/>
      <c r="O569" s="85"/>
      <c r="P569" s="96"/>
      <c r="Q569" s="97"/>
      <c r="S569" s="99"/>
      <c r="T569" s="99"/>
      <c r="U569" s="99"/>
      <c r="V569" s="99"/>
      <c r="W569" s="99"/>
      <c r="X569" s="99"/>
      <c r="Y569" s="99"/>
      <c r="Z569" s="99"/>
      <c r="AA569" s="99"/>
      <c r="AB569" s="99"/>
      <c r="AC569" s="98"/>
      <c r="AD569" s="98"/>
      <c r="AE569" s="98"/>
      <c r="AF569" s="98"/>
      <c r="AG569" s="98"/>
      <c r="AH569" s="98"/>
    </row>
    <row r="570" spans="2:34" x14ac:dyDescent="0.25">
      <c r="B570" s="71"/>
      <c r="C570" s="72"/>
      <c r="D570" s="77"/>
      <c r="E570" s="78"/>
      <c r="F570" s="78"/>
      <c r="G570" s="78"/>
      <c r="H570" s="78"/>
      <c r="I570" s="79"/>
      <c r="J570" s="86"/>
      <c r="K570" s="87"/>
      <c r="L570" s="86"/>
      <c r="M570" s="87"/>
      <c r="N570" s="77"/>
      <c r="O570" s="79"/>
      <c r="P570" s="92"/>
      <c r="Q570" s="93"/>
      <c r="S570" s="99"/>
      <c r="T570" s="99"/>
      <c r="U570" s="99"/>
      <c r="V570" s="99"/>
      <c r="W570" s="99"/>
      <c r="X570" s="99"/>
      <c r="Y570" s="99"/>
      <c r="Z570" s="99"/>
      <c r="AA570" s="99"/>
      <c r="AB570" s="99"/>
      <c r="AC570" s="98"/>
      <c r="AD570" s="98"/>
      <c r="AE570" s="98"/>
      <c r="AF570" s="98"/>
      <c r="AG570" s="98"/>
      <c r="AH570" s="98"/>
    </row>
    <row r="571" spans="2:34" x14ac:dyDescent="0.25">
      <c r="B571" s="73"/>
      <c r="C571" s="74"/>
      <c r="D571" s="80"/>
      <c r="E571" s="81"/>
      <c r="F571" s="81"/>
      <c r="G571" s="81"/>
      <c r="H571" s="81"/>
      <c r="I571" s="82"/>
      <c r="J571" s="88"/>
      <c r="K571" s="89"/>
      <c r="L571" s="88"/>
      <c r="M571" s="89"/>
      <c r="N571" s="80"/>
      <c r="O571" s="82"/>
      <c r="P571" s="94"/>
      <c r="Q571" s="95"/>
      <c r="S571" s="99"/>
      <c r="T571" s="99"/>
      <c r="U571" s="99"/>
      <c r="V571" s="99"/>
      <c r="W571" s="99"/>
      <c r="X571" s="99"/>
      <c r="Y571" s="99"/>
      <c r="Z571" s="99"/>
      <c r="AA571" s="99"/>
      <c r="AB571" s="99"/>
      <c r="AC571" s="98"/>
      <c r="AD571" s="98"/>
      <c r="AE571" s="98"/>
      <c r="AF571" s="98"/>
      <c r="AG571" s="98"/>
      <c r="AH571" s="98"/>
    </row>
    <row r="572" spans="2:34" x14ac:dyDescent="0.25">
      <c r="B572" s="75"/>
      <c r="C572" s="76"/>
      <c r="D572" s="83"/>
      <c r="E572" s="84"/>
      <c r="F572" s="84"/>
      <c r="G572" s="84"/>
      <c r="H572" s="84"/>
      <c r="I572" s="85"/>
      <c r="J572" s="90"/>
      <c r="K572" s="91"/>
      <c r="L572" s="90"/>
      <c r="M572" s="91"/>
      <c r="N572" s="83"/>
      <c r="O572" s="85"/>
      <c r="P572" s="96"/>
      <c r="Q572" s="97"/>
      <c r="S572" s="99"/>
      <c r="T572" s="99"/>
      <c r="U572" s="99"/>
      <c r="V572" s="99"/>
      <c r="W572" s="99"/>
      <c r="X572" s="99"/>
      <c r="Y572" s="99"/>
      <c r="Z572" s="99"/>
      <c r="AA572" s="99"/>
      <c r="AB572" s="99"/>
      <c r="AC572" s="98"/>
      <c r="AD572" s="98"/>
      <c r="AE572" s="98"/>
      <c r="AF572" s="98"/>
      <c r="AG572" s="98"/>
      <c r="AH572" s="98"/>
    </row>
    <row r="573" spans="2:34" x14ac:dyDescent="0.25">
      <c r="B573" s="71"/>
      <c r="C573" s="72"/>
      <c r="D573" s="77"/>
      <c r="E573" s="78"/>
      <c r="F573" s="78"/>
      <c r="G573" s="78"/>
      <c r="H573" s="78"/>
      <c r="I573" s="79"/>
      <c r="J573" s="86"/>
      <c r="K573" s="87"/>
      <c r="L573" s="86"/>
      <c r="M573" s="87"/>
      <c r="N573" s="77"/>
      <c r="O573" s="79"/>
      <c r="P573" s="92"/>
      <c r="Q573" s="93"/>
      <c r="S573" s="99"/>
      <c r="T573" s="99"/>
      <c r="U573" s="99"/>
      <c r="V573" s="99"/>
      <c r="W573" s="99"/>
      <c r="X573" s="99"/>
      <c r="Y573" s="99"/>
      <c r="Z573" s="99"/>
      <c r="AA573" s="99"/>
      <c r="AB573" s="99"/>
      <c r="AC573" s="98"/>
      <c r="AD573" s="98"/>
      <c r="AE573" s="98"/>
      <c r="AF573" s="98"/>
      <c r="AG573" s="98"/>
      <c r="AH573" s="98"/>
    </row>
    <row r="574" spans="2:34" x14ac:dyDescent="0.25">
      <c r="B574" s="73"/>
      <c r="C574" s="74"/>
      <c r="D574" s="80"/>
      <c r="E574" s="81"/>
      <c r="F574" s="81"/>
      <c r="G574" s="81"/>
      <c r="H574" s="81"/>
      <c r="I574" s="82"/>
      <c r="J574" s="88"/>
      <c r="K574" s="89"/>
      <c r="L574" s="88"/>
      <c r="M574" s="89"/>
      <c r="N574" s="80"/>
      <c r="O574" s="82"/>
      <c r="P574" s="94"/>
      <c r="Q574" s="95"/>
      <c r="S574" s="99"/>
      <c r="T574" s="99"/>
      <c r="U574" s="99"/>
      <c r="V574" s="99"/>
      <c r="W574" s="99"/>
      <c r="X574" s="99"/>
      <c r="Y574" s="99"/>
      <c r="Z574" s="99"/>
      <c r="AA574" s="99"/>
      <c r="AB574" s="99"/>
      <c r="AC574" s="98"/>
      <c r="AD574" s="98"/>
      <c r="AE574" s="98"/>
      <c r="AF574" s="98"/>
      <c r="AG574" s="98"/>
      <c r="AH574" s="98"/>
    </row>
    <row r="575" spans="2:34" x14ac:dyDescent="0.25">
      <c r="B575" s="75"/>
      <c r="C575" s="76"/>
      <c r="D575" s="83"/>
      <c r="E575" s="84"/>
      <c r="F575" s="84"/>
      <c r="G575" s="84"/>
      <c r="H575" s="84"/>
      <c r="I575" s="85"/>
      <c r="J575" s="90"/>
      <c r="K575" s="91"/>
      <c r="L575" s="90"/>
      <c r="M575" s="91"/>
      <c r="N575" s="83"/>
      <c r="O575" s="85"/>
      <c r="P575" s="96"/>
      <c r="Q575" s="97"/>
      <c r="S575" s="99"/>
      <c r="T575" s="99"/>
      <c r="U575" s="99"/>
      <c r="V575" s="99"/>
      <c r="W575" s="99"/>
      <c r="X575" s="99"/>
      <c r="Y575" s="99"/>
      <c r="Z575" s="99"/>
      <c r="AA575" s="99"/>
      <c r="AB575" s="99"/>
      <c r="AC575" s="98"/>
      <c r="AD575" s="98"/>
      <c r="AE575" s="98"/>
      <c r="AF575" s="98"/>
      <c r="AG575" s="98"/>
      <c r="AH575" s="98"/>
    </row>
    <row r="576" spans="2:34" x14ac:dyDescent="0.25">
      <c r="B576" s="71"/>
      <c r="C576" s="72"/>
      <c r="D576" s="77"/>
      <c r="E576" s="78"/>
      <c r="F576" s="78"/>
      <c r="G576" s="78"/>
      <c r="H576" s="78"/>
      <c r="I576" s="79"/>
      <c r="J576" s="86"/>
      <c r="K576" s="87"/>
      <c r="L576" s="86"/>
      <c r="M576" s="87"/>
      <c r="N576" s="77"/>
      <c r="O576" s="79"/>
      <c r="P576" s="92"/>
      <c r="Q576" s="93"/>
      <c r="S576" s="99"/>
      <c r="T576" s="99"/>
      <c r="U576" s="99"/>
      <c r="V576" s="99"/>
      <c r="W576" s="99"/>
      <c r="X576" s="99"/>
      <c r="Y576" s="99"/>
      <c r="Z576" s="99"/>
      <c r="AA576" s="99"/>
      <c r="AB576" s="99"/>
      <c r="AC576" s="98"/>
      <c r="AD576" s="98"/>
      <c r="AE576" s="98"/>
      <c r="AF576" s="98"/>
      <c r="AG576" s="98"/>
      <c r="AH576" s="98"/>
    </row>
    <row r="577" spans="2:34" x14ac:dyDescent="0.25">
      <c r="B577" s="73"/>
      <c r="C577" s="74"/>
      <c r="D577" s="80"/>
      <c r="E577" s="81"/>
      <c r="F577" s="81"/>
      <c r="G577" s="81"/>
      <c r="H577" s="81"/>
      <c r="I577" s="82"/>
      <c r="J577" s="88"/>
      <c r="K577" s="89"/>
      <c r="L577" s="88"/>
      <c r="M577" s="89"/>
      <c r="N577" s="80"/>
      <c r="O577" s="82"/>
      <c r="P577" s="94"/>
      <c r="Q577" s="95"/>
      <c r="S577" s="99"/>
      <c r="T577" s="99"/>
      <c r="U577" s="99"/>
      <c r="V577" s="99"/>
      <c r="W577" s="99"/>
      <c r="X577" s="99"/>
      <c r="Y577" s="99"/>
      <c r="Z577" s="99"/>
      <c r="AA577" s="99"/>
      <c r="AB577" s="99"/>
      <c r="AC577" s="98"/>
      <c r="AD577" s="98"/>
      <c r="AE577" s="98"/>
      <c r="AF577" s="98"/>
      <c r="AG577" s="98"/>
      <c r="AH577" s="98"/>
    </row>
    <row r="578" spans="2:34" x14ac:dyDescent="0.25">
      <c r="B578" s="75"/>
      <c r="C578" s="76"/>
      <c r="D578" s="83"/>
      <c r="E578" s="84"/>
      <c r="F578" s="84"/>
      <c r="G578" s="84"/>
      <c r="H578" s="84"/>
      <c r="I578" s="85"/>
      <c r="J578" s="90"/>
      <c r="K578" s="91"/>
      <c r="L578" s="90"/>
      <c r="M578" s="91"/>
      <c r="N578" s="83"/>
      <c r="O578" s="85"/>
      <c r="P578" s="96"/>
      <c r="Q578" s="97"/>
      <c r="S578" s="99"/>
      <c r="T578" s="99"/>
      <c r="U578" s="99"/>
      <c r="V578" s="99"/>
      <c r="W578" s="99"/>
      <c r="X578" s="99"/>
      <c r="Y578" s="99"/>
      <c r="Z578" s="99"/>
      <c r="AA578" s="99"/>
      <c r="AB578" s="99"/>
      <c r="AC578" s="98"/>
      <c r="AD578" s="98"/>
      <c r="AE578" s="98"/>
      <c r="AF578" s="98"/>
      <c r="AG578" s="98"/>
      <c r="AH578" s="98"/>
    </row>
    <row r="579" spans="2:34" x14ac:dyDescent="0.25">
      <c r="B579" s="71"/>
      <c r="C579" s="72"/>
      <c r="D579" s="77"/>
      <c r="E579" s="78"/>
      <c r="F579" s="78"/>
      <c r="G579" s="78"/>
      <c r="H579" s="78"/>
      <c r="I579" s="79"/>
      <c r="J579" s="86"/>
      <c r="K579" s="87"/>
      <c r="L579" s="86"/>
      <c r="M579" s="87"/>
      <c r="N579" s="77"/>
      <c r="O579" s="79"/>
      <c r="P579" s="92"/>
      <c r="Q579" s="93"/>
      <c r="S579" s="99"/>
      <c r="T579" s="99"/>
      <c r="U579" s="99"/>
      <c r="V579" s="99"/>
      <c r="W579" s="99"/>
      <c r="X579" s="99"/>
      <c r="Y579" s="99"/>
      <c r="Z579" s="99"/>
      <c r="AA579" s="99"/>
      <c r="AB579" s="99"/>
      <c r="AC579" s="98"/>
      <c r="AD579" s="98"/>
      <c r="AE579" s="98"/>
      <c r="AF579" s="98"/>
      <c r="AG579" s="98"/>
      <c r="AH579" s="98"/>
    </row>
    <row r="580" spans="2:34" x14ac:dyDescent="0.25">
      <c r="B580" s="73"/>
      <c r="C580" s="74"/>
      <c r="D580" s="80"/>
      <c r="E580" s="81"/>
      <c r="F580" s="81"/>
      <c r="G580" s="81"/>
      <c r="H580" s="81"/>
      <c r="I580" s="82"/>
      <c r="J580" s="88"/>
      <c r="K580" s="89"/>
      <c r="L580" s="88"/>
      <c r="M580" s="89"/>
      <c r="N580" s="80"/>
      <c r="O580" s="82"/>
      <c r="P580" s="94"/>
      <c r="Q580" s="95"/>
      <c r="S580" s="99"/>
      <c r="T580" s="99"/>
      <c r="U580" s="99"/>
      <c r="V580" s="99"/>
      <c r="W580" s="99"/>
      <c r="X580" s="99"/>
      <c r="Y580" s="99"/>
      <c r="Z580" s="99"/>
      <c r="AA580" s="99"/>
      <c r="AB580" s="99"/>
      <c r="AC580" s="98"/>
      <c r="AD580" s="98"/>
      <c r="AE580" s="98"/>
      <c r="AF580" s="98"/>
      <c r="AG580" s="98"/>
      <c r="AH580" s="98"/>
    </row>
    <row r="581" spans="2:34" x14ac:dyDescent="0.25">
      <c r="B581" s="75"/>
      <c r="C581" s="76"/>
      <c r="D581" s="83"/>
      <c r="E581" s="84"/>
      <c r="F581" s="84"/>
      <c r="G581" s="84"/>
      <c r="H581" s="84"/>
      <c r="I581" s="85"/>
      <c r="J581" s="90"/>
      <c r="K581" s="91"/>
      <c r="L581" s="90"/>
      <c r="M581" s="91"/>
      <c r="N581" s="83"/>
      <c r="O581" s="85"/>
      <c r="P581" s="96"/>
      <c r="Q581" s="97"/>
      <c r="S581" s="99"/>
      <c r="T581" s="99"/>
      <c r="U581" s="99"/>
      <c r="V581" s="99"/>
      <c r="W581" s="99"/>
      <c r="X581" s="99"/>
      <c r="Y581" s="99"/>
      <c r="Z581" s="99"/>
      <c r="AA581" s="99"/>
      <c r="AB581" s="99"/>
      <c r="AC581" s="98"/>
      <c r="AD581" s="98"/>
      <c r="AE581" s="98"/>
      <c r="AF581" s="98"/>
      <c r="AG581" s="98"/>
      <c r="AH581" s="98"/>
    </row>
    <row r="582" spans="2:34" x14ac:dyDescent="0.25">
      <c r="B582" s="71"/>
      <c r="C582" s="72"/>
      <c r="D582" s="77"/>
      <c r="E582" s="78"/>
      <c r="F582" s="78"/>
      <c r="G582" s="78"/>
      <c r="H582" s="78"/>
      <c r="I582" s="79"/>
      <c r="J582" s="86"/>
      <c r="K582" s="87"/>
      <c r="L582" s="86"/>
      <c r="M582" s="87"/>
      <c r="N582" s="77"/>
      <c r="O582" s="79"/>
      <c r="P582" s="92"/>
      <c r="Q582" s="93"/>
      <c r="S582" s="99"/>
      <c r="T582" s="99"/>
      <c r="U582" s="99"/>
      <c r="V582" s="99"/>
      <c r="W582" s="99"/>
      <c r="X582" s="99"/>
      <c r="Y582" s="99"/>
      <c r="Z582" s="99"/>
      <c r="AA582" s="99"/>
      <c r="AB582" s="99"/>
      <c r="AC582" s="98"/>
      <c r="AD582" s="98"/>
      <c r="AE582" s="98"/>
      <c r="AF582" s="98"/>
      <c r="AG582" s="98"/>
      <c r="AH582" s="98"/>
    </row>
    <row r="583" spans="2:34" x14ac:dyDescent="0.25">
      <c r="B583" s="73"/>
      <c r="C583" s="74"/>
      <c r="D583" s="80"/>
      <c r="E583" s="81"/>
      <c r="F583" s="81"/>
      <c r="G583" s="81"/>
      <c r="H583" s="81"/>
      <c r="I583" s="82"/>
      <c r="J583" s="88"/>
      <c r="K583" s="89"/>
      <c r="L583" s="88"/>
      <c r="M583" s="89"/>
      <c r="N583" s="80"/>
      <c r="O583" s="82"/>
      <c r="P583" s="94"/>
      <c r="Q583" s="95"/>
      <c r="S583" s="99"/>
      <c r="T583" s="99"/>
      <c r="U583" s="99"/>
      <c r="V583" s="99"/>
      <c r="W583" s="99"/>
      <c r="X583" s="99"/>
      <c r="Y583" s="99"/>
      <c r="Z583" s="99"/>
      <c r="AA583" s="99"/>
      <c r="AB583" s="99"/>
      <c r="AC583" s="98"/>
      <c r="AD583" s="98"/>
      <c r="AE583" s="98"/>
      <c r="AF583" s="98"/>
      <c r="AG583" s="98"/>
      <c r="AH583" s="98"/>
    </row>
    <row r="584" spans="2:34" x14ac:dyDescent="0.25">
      <c r="B584" s="75"/>
      <c r="C584" s="76"/>
      <c r="D584" s="83"/>
      <c r="E584" s="84"/>
      <c r="F584" s="84"/>
      <c r="G584" s="84"/>
      <c r="H584" s="84"/>
      <c r="I584" s="85"/>
      <c r="J584" s="90"/>
      <c r="K584" s="91"/>
      <c r="L584" s="90"/>
      <c r="M584" s="91"/>
      <c r="N584" s="83"/>
      <c r="O584" s="85"/>
      <c r="P584" s="96"/>
      <c r="Q584" s="97"/>
      <c r="S584" s="99"/>
      <c r="T584" s="99"/>
      <c r="U584" s="99"/>
      <c r="V584" s="99"/>
      <c r="W584" s="99"/>
      <c r="X584" s="99"/>
      <c r="Y584" s="99"/>
      <c r="Z584" s="99"/>
      <c r="AA584" s="99"/>
      <c r="AB584" s="99"/>
      <c r="AC584" s="98"/>
      <c r="AD584" s="98"/>
      <c r="AE584" s="98"/>
      <c r="AF584" s="98"/>
      <c r="AG584" s="98"/>
      <c r="AH584" s="98"/>
    </row>
    <row r="585" spans="2:34" x14ac:dyDescent="0.25">
      <c r="B585" s="71"/>
      <c r="C585" s="72"/>
      <c r="D585" s="77"/>
      <c r="E585" s="78"/>
      <c r="F585" s="78"/>
      <c r="G585" s="78"/>
      <c r="H585" s="78"/>
      <c r="I585" s="79"/>
      <c r="J585" s="86"/>
      <c r="K585" s="87"/>
      <c r="L585" s="86"/>
      <c r="M585" s="87"/>
      <c r="N585" s="77"/>
      <c r="O585" s="79"/>
      <c r="P585" s="92"/>
      <c r="Q585" s="93"/>
      <c r="S585" s="99"/>
      <c r="T585" s="99"/>
      <c r="U585" s="99"/>
      <c r="V585" s="99"/>
      <c r="W585" s="99"/>
      <c r="X585" s="99"/>
      <c r="Y585" s="99"/>
      <c r="Z585" s="99"/>
      <c r="AA585" s="99"/>
      <c r="AB585" s="99"/>
      <c r="AC585" s="98"/>
      <c r="AD585" s="98"/>
      <c r="AE585" s="98"/>
      <c r="AF585" s="98"/>
      <c r="AG585" s="98"/>
      <c r="AH585" s="98"/>
    </row>
    <row r="586" spans="2:34" x14ac:dyDescent="0.25">
      <c r="B586" s="73"/>
      <c r="C586" s="74"/>
      <c r="D586" s="80"/>
      <c r="E586" s="81"/>
      <c r="F586" s="81"/>
      <c r="G586" s="81"/>
      <c r="H586" s="81"/>
      <c r="I586" s="82"/>
      <c r="J586" s="88"/>
      <c r="K586" s="89"/>
      <c r="L586" s="88"/>
      <c r="M586" s="89"/>
      <c r="N586" s="80"/>
      <c r="O586" s="82"/>
      <c r="P586" s="94"/>
      <c r="Q586" s="95"/>
      <c r="S586" s="99"/>
      <c r="T586" s="99"/>
      <c r="U586" s="99"/>
      <c r="V586" s="99"/>
      <c r="W586" s="99"/>
      <c r="X586" s="99"/>
      <c r="Y586" s="99"/>
      <c r="Z586" s="99"/>
      <c r="AA586" s="99"/>
      <c r="AB586" s="99"/>
      <c r="AC586" s="98"/>
      <c r="AD586" s="98"/>
      <c r="AE586" s="98"/>
      <c r="AF586" s="98"/>
      <c r="AG586" s="98"/>
      <c r="AH586" s="98"/>
    </row>
    <row r="587" spans="2:34" x14ac:dyDescent="0.25">
      <c r="B587" s="75"/>
      <c r="C587" s="76"/>
      <c r="D587" s="83"/>
      <c r="E587" s="84"/>
      <c r="F587" s="84"/>
      <c r="G587" s="84"/>
      <c r="H587" s="84"/>
      <c r="I587" s="85"/>
      <c r="J587" s="90"/>
      <c r="K587" s="91"/>
      <c r="L587" s="90"/>
      <c r="M587" s="91"/>
      <c r="N587" s="83"/>
      <c r="O587" s="85"/>
      <c r="P587" s="96"/>
      <c r="Q587" s="97"/>
      <c r="S587" s="99"/>
      <c r="T587" s="99"/>
      <c r="U587" s="99"/>
      <c r="V587" s="99"/>
      <c r="W587" s="99"/>
      <c r="X587" s="99"/>
      <c r="Y587" s="99"/>
      <c r="Z587" s="99"/>
      <c r="AA587" s="99"/>
      <c r="AB587" s="99"/>
      <c r="AC587" s="98"/>
      <c r="AD587" s="98"/>
      <c r="AE587" s="98"/>
      <c r="AF587" s="98"/>
      <c r="AG587" s="98"/>
      <c r="AH587" s="98"/>
    </row>
    <row r="588" spans="2:34" x14ac:dyDescent="0.25">
      <c r="B588" s="71"/>
      <c r="C588" s="72"/>
      <c r="D588" s="77"/>
      <c r="E588" s="78"/>
      <c r="F588" s="78"/>
      <c r="G588" s="78"/>
      <c r="H588" s="78"/>
      <c r="I588" s="79"/>
      <c r="J588" s="86"/>
      <c r="K588" s="87"/>
      <c r="L588" s="86"/>
      <c r="M588" s="87"/>
      <c r="N588" s="77"/>
      <c r="O588" s="79"/>
      <c r="P588" s="92"/>
      <c r="Q588" s="93"/>
      <c r="S588" s="99"/>
      <c r="T588" s="99"/>
      <c r="U588" s="99"/>
      <c r="V588" s="99"/>
      <c r="W588" s="99"/>
      <c r="X588" s="99"/>
      <c r="Y588" s="99"/>
      <c r="Z588" s="99"/>
      <c r="AA588" s="99"/>
      <c r="AB588" s="99"/>
      <c r="AC588" s="98"/>
      <c r="AD588" s="98"/>
      <c r="AE588" s="98"/>
      <c r="AF588" s="98"/>
      <c r="AG588" s="98"/>
      <c r="AH588" s="98"/>
    </row>
    <row r="589" spans="2:34" x14ac:dyDescent="0.25">
      <c r="B589" s="73"/>
      <c r="C589" s="74"/>
      <c r="D589" s="80"/>
      <c r="E589" s="81"/>
      <c r="F589" s="81"/>
      <c r="G589" s="81"/>
      <c r="H589" s="81"/>
      <c r="I589" s="82"/>
      <c r="J589" s="88"/>
      <c r="K589" s="89"/>
      <c r="L589" s="88"/>
      <c r="M589" s="89"/>
      <c r="N589" s="80"/>
      <c r="O589" s="82"/>
      <c r="P589" s="94"/>
      <c r="Q589" s="95"/>
      <c r="S589" s="99"/>
      <c r="T589" s="99"/>
      <c r="U589" s="99"/>
      <c r="V589" s="99"/>
      <c r="W589" s="99"/>
      <c r="X589" s="99"/>
      <c r="Y589" s="99"/>
      <c r="Z589" s="99"/>
      <c r="AA589" s="99"/>
      <c r="AB589" s="99"/>
      <c r="AC589" s="98"/>
      <c r="AD589" s="98"/>
      <c r="AE589" s="98"/>
      <c r="AF589" s="98"/>
      <c r="AG589" s="98"/>
      <c r="AH589" s="98"/>
    </row>
    <row r="590" spans="2:34" x14ac:dyDescent="0.25">
      <c r="B590" s="75"/>
      <c r="C590" s="76"/>
      <c r="D590" s="83"/>
      <c r="E590" s="84"/>
      <c r="F590" s="84"/>
      <c r="G590" s="84"/>
      <c r="H590" s="84"/>
      <c r="I590" s="85"/>
      <c r="J590" s="90"/>
      <c r="K590" s="91"/>
      <c r="L590" s="90"/>
      <c r="M590" s="91"/>
      <c r="N590" s="83"/>
      <c r="O590" s="85"/>
      <c r="P590" s="96"/>
      <c r="Q590" s="97"/>
      <c r="S590" s="99"/>
      <c r="T590" s="99"/>
      <c r="U590" s="99"/>
      <c r="V590" s="99"/>
      <c r="W590" s="99"/>
      <c r="X590" s="99"/>
      <c r="Y590" s="99"/>
      <c r="Z590" s="99"/>
      <c r="AA590" s="99"/>
      <c r="AB590" s="99"/>
      <c r="AC590" s="98"/>
      <c r="AD590" s="98"/>
      <c r="AE590" s="98"/>
      <c r="AF590" s="98"/>
      <c r="AG590" s="98"/>
      <c r="AH590" s="98"/>
    </row>
    <row r="591" spans="2:34" x14ac:dyDescent="0.25">
      <c r="B591" s="71"/>
      <c r="C591" s="72"/>
      <c r="D591" s="77"/>
      <c r="E591" s="78"/>
      <c r="F591" s="78"/>
      <c r="G591" s="78"/>
      <c r="H591" s="78"/>
      <c r="I591" s="79"/>
      <c r="J591" s="86"/>
      <c r="K591" s="87"/>
      <c r="L591" s="86"/>
      <c r="M591" s="87"/>
      <c r="N591" s="77"/>
      <c r="O591" s="79"/>
      <c r="P591" s="92"/>
      <c r="Q591" s="93"/>
      <c r="S591" s="99"/>
      <c r="T591" s="99"/>
      <c r="U591" s="99"/>
      <c r="V591" s="99"/>
      <c r="W591" s="99"/>
      <c r="X591" s="99"/>
      <c r="Y591" s="99"/>
      <c r="Z591" s="99"/>
      <c r="AA591" s="99"/>
      <c r="AB591" s="99"/>
      <c r="AC591" s="98"/>
      <c r="AD591" s="98"/>
      <c r="AE591" s="98"/>
      <c r="AF591" s="98"/>
      <c r="AG591" s="98"/>
      <c r="AH591" s="98"/>
    </row>
    <row r="592" spans="2:34" x14ac:dyDescent="0.25">
      <c r="B592" s="73"/>
      <c r="C592" s="74"/>
      <c r="D592" s="80"/>
      <c r="E592" s="81"/>
      <c r="F592" s="81"/>
      <c r="G592" s="81"/>
      <c r="H592" s="81"/>
      <c r="I592" s="82"/>
      <c r="J592" s="88"/>
      <c r="K592" s="89"/>
      <c r="L592" s="88"/>
      <c r="M592" s="89"/>
      <c r="N592" s="80"/>
      <c r="O592" s="82"/>
      <c r="P592" s="94"/>
      <c r="Q592" s="95"/>
      <c r="S592" s="99"/>
      <c r="T592" s="99"/>
      <c r="U592" s="99"/>
      <c r="V592" s="99"/>
      <c r="W592" s="99"/>
      <c r="X592" s="99"/>
      <c r="Y592" s="99"/>
      <c r="Z592" s="99"/>
      <c r="AA592" s="99"/>
      <c r="AB592" s="99"/>
      <c r="AC592" s="98"/>
      <c r="AD592" s="98"/>
      <c r="AE592" s="98"/>
      <c r="AF592" s="98"/>
      <c r="AG592" s="98"/>
      <c r="AH592" s="98"/>
    </row>
    <row r="593" spans="2:34" x14ac:dyDescent="0.25">
      <c r="B593" s="75"/>
      <c r="C593" s="76"/>
      <c r="D593" s="83"/>
      <c r="E593" s="84"/>
      <c r="F593" s="84"/>
      <c r="G593" s="84"/>
      <c r="H593" s="84"/>
      <c r="I593" s="85"/>
      <c r="J593" s="90"/>
      <c r="K593" s="91"/>
      <c r="L593" s="90"/>
      <c r="M593" s="91"/>
      <c r="N593" s="83"/>
      <c r="O593" s="85"/>
      <c r="P593" s="96"/>
      <c r="Q593" s="97"/>
      <c r="S593" s="99"/>
      <c r="T593" s="99"/>
      <c r="U593" s="99"/>
      <c r="V593" s="99"/>
      <c r="W593" s="99"/>
      <c r="X593" s="99"/>
      <c r="Y593" s="99"/>
      <c r="Z593" s="99"/>
      <c r="AA593" s="99"/>
      <c r="AB593" s="99"/>
      <c r="AC593" s="98"/>
      <c r="AD593" s="98"/>
      <c r="AE593" s="98"/>
      <c r="AF593" s="98"/>
      <c r="AG593" s="98"/>
      <c r="AH593" s="98"/>
    </row>
    <row r="594" spans="2:34" x14ac:dyDescent="0.25">
      <c r="B594" s="71"/>
      <c r="C594" s="72"/>
      <c r="D594" s="77"/>
      <c r="E594" s="78"/>
      <c r="F594" s="78"/>
      <c r="G594" s="78"/>
      <c r="H594" s="78"/>
      <c r="I594" s="79"/>
      <c r="J594" s="86"/>
      <c r="K594" s="87"/>
      <c r="L594" s="86"/>
      <c r="M594" s="87"/>
      <c r="N594" s="77"/>
      <c r="O594" s="79"/>
      <c r="P594" s="92"/>
      <c r="Q594" s="93"/>
      <c r="S594" s="99"/>
      <c r="T594" s="99"/>
      <c r="U594" s="99"/>
      <c r="V594" s="99"/>
      <c r="W594" s="99"/>
      <c r="X594" s="99"/>
      <c r="Y594" s="99"/>
      <c r="Z594" s="99"/>
      <c r="AA594" s="99"/>
      <c r="AB594" s="99"/>
      <c r="AC594" s="98"/>
      <c r="AD594" s="98"/>
      <c r="AE594" s="98"/>
      <c r="AF594" s="98"/>
      <c r="AG594" s="98"/>
      <c r="AH594" s="98"/>
    </row>
    <row r="595" spans="2:34" x14ac:dyDescent="0.25">
      <c r="B595" s="73"/>
      <c r="C595" s="74"/>
      <c r="D595" s="80"/>
      <c r="E595" s="81"/>
      <c r="F595" s="81"/>
      <c r="G595" s="81"/>
      <c r="H595" s="81"/>
      <c r="I595" s="82"/>
      <c r="J595" s="88"/>
      <c r="K595" s="89"/>
      <c r="L595" s="88"/>
      <c r="M595" s="89"/>
      <c r="N595" s="80"/>
      <c r="O595" s="82"/>
      <c r="P595" s="94"/>
      <c r="Q595" s="95"/>
      <c r="S595" s="99"/>
      <c r="T595" s="99"/>
      <c r="U595" s="99"/>
      <c r="V595" s="99"/>
      <c r="W595" s="99"/>
      <c r="X595" s="99"/>
      <c r="Y595" s="99"/>
      <c r="Z595" s="99"/>
      <c r="AA595" s="99"/>
      <c r="AB595" s="99"/>
      <c r="AC595" s="98"/>
      <c r="AD595" s="98"/>
      <c r="AE595" s="98"/>
      <c r="AF595" s="98"/>
      <c r="AG595" s="98"/>
      <c r="AH595" s="98"/>
    </row>
    <row r="596" spans="2:34" x14ac:dyDescent="0.25">
      <c r="B596" s="75"/>
      <c r="C596" s="76"/>
      <c r="D596" s="83"/>
      <c r="E596" s="84"/>
      <c r="F596" s="84"/>
      <c r="G596" s="84"/>
      <c r="H596" s="84"/>
      <c r="I596" s="85"/>
      <c r="J596" s="90"/>
      <c r="K596" s="91"/>
      <c r="L596" s="90"/>
      <c r="M596" s="91"/>
      <c r="N596" s="83"/>
      <c r="O596" s="85"/>
      <c r="P596" s="96"/>
      <c r="Q596" s="97"/>
      <c r="S596" s="99"/>
      <c r="T596" s="99"/>
      <c r="U596" s="99"/>
      <c r="V596" s="99"/>
      <c r="W596" s="99"/>
      <c r="X596" s="99"/>
      <c r="Y596" s="99"/>
      <c r="Z596" s="99"/>
      <c r="AA596" s="99"/>
      <c r="AB596" s="99"/>
      <c r="AC596" s="98"/>
      <c r="AD596" s="98"/>
      <c r="AE596" s="98"/>
      <c r="AF596" s="98"/>
      <c r="AG596" s="98"/>
      <c r="AH596" s="98"/>
    </row>
    <row r="597" spans="2:34" x14ac:dyDescent="0.25">
      <c r="B597" s="71"/>
      <c r="C597" s="72"/>
      <c r="D597" s="77"/>
      <c r="E597" s="78"/>
      <c r="F597" s="78"/>
      <c r="G597" s="78"/>
      <c r="H597" s="78"/>
      <c r="I597" s="79"/>
      <c r="J597" s="86"/>
      <c r="K597" s="87"/>
      <c r="L597" s="86"/>
      <c r="M597" s="87"/>
      <c r="N597" s="77"/>
      <c r="O597" s="79"/>
      <c r="P597" s="92"/>
      <c r="Q597" s="93"/>
      <c r="S597" s="99"/>
      <c r="T597" s="99"/>
      <c r="U597" s="99"/>
      <c r="V597" s="99"/>
      <c r="W597" s="99"/>
      <c r="X597" s="99"/>
      <c r="Y597" s="99"/>
      <c r="Z597" s="99"/>
      <c r="AA597" s="99"/>
      <c r="AB597" s="99"/>
      <c r="AC597" s="98"/>
      <c r="AD597" s="98"/>
      <c r="AE597" s="98"/>
      <c r="AF597" s="98"/>
      <c r="AG597" s="98"/>
      <c r="AH597" s="98"/>
    </row>
    <row r="598" spans="2:34" x14ac:dyDescent="0.25">
      <c r="B598" s="73"/>
      <c r="C598" s="74"/>
      <c r="D598" s="80"/>
      <c r="E598" s="81"/>
      <c r="F598" s="81"/>
      <c r="G598" s="81"/>
      <c r="H598" s="81"/>
      <c r="I598" s="82"/>
      <c r="J598" s="88"/>
      <c r="K598" s="89"/>
      <c r="L598" s="88"/>
      <c r="M598" s="89"/>
      <c r="N598" s="80"/>
      <c r="O598" s="82"/>
      <c r="P598" s="94"/>
      <c r="Q598" s="95"/>
      <c r="S598" s="99"/>
      <c r="T598" s="99"/>
      <c r="U598" s="99"/>
      <c r="V598" s="99"/>
      <c r="W598" s="99"/>
      <c r="X598" s="99"/>
      <c r="Y598" s="99"/>
      <c r="Z598" s="99"/>
      <c r="AA598" s="99"/>
      <c r="AB598" s="99"/>
      <c r="AC598" s="98"/>
      <c r="AD598" s="98"/>
      <c r="AE598" s="98"/>
      <c r="AF598" s="98"/>
      <c r="AG598" s="98"/>
      <c r="AH598" s="98"/>
    </row>
    <row r="599" spans="2:34" x14ac:dyDescent="0.25">
      <c r="B599" s="75"/>
      <c r="C599" s="76"/>
      <c r="D599" s="83"/>
      <c r="E599" s="84"/>
      <c r="F599" s="84"/>
      <c r="G599" s="84"/>
      <c r="H599" s="84"/>
      <c r="I599" s="85"/>
      <c r="J599" s="90"/>
      <c r="K599" s="91"/>
      <c r="L599" s="90"/>
      <c r="M599" s="91"/>
      <c r="N599" s="83"/>
      <c r="O599" s="85"/>
      <c r="P599" s="96"/>
      <c r="Q599" s="97"/>
      <c r="S599" s="99"/>
      <c r="T599" s="99"/>
      <c r="U599" s="99"/>
      <c r="V599" s="99"/>
      <c r="W599" s="99"/>
      <c r="X599" s="99"/>
      <c r="Y599" s="99"/>
      <c r="Z599" s="99"/>
      <c r="AA599" s="99"/>
      <c r="AB599" s="99"/>
      <c r="AC599" s="98"/>
      <c r="AD599" s="98"/>
      <c r="AE599" s="98"/>
      <c r="AF599" s="98"/>
      <c r="AG599" s="98"/>
      <c r="AH599" s="98"/>
    </row>
    <row r="600" spans="2:34" x14ac:dyDescent="0.25">
      <c r="B600" s="71"/>
      <c r="C600" s="72"/>
      <c r="D600" s="77"/>
      <c r="E600" s="78"/>
      <c r="F600" s="78"/>
      <c r="G600" s="78"/>
      <c r="H600" s="78"/>
      <c r="I600" s="79"/>
      <c r="J600" s="86"/>
      <c r="K600" s="87"/>
      <c r="L600" s="86"/>
      <c r="M600" s="87"/>
      <c r="N600" s="77"/>
      <c r="O600" s="79"/>
      <c r="P600" s="92"/>
      <c r="Q600" s="93"/>
      <c r="S600" s="99"/>
      <c r="T600" s="99"/>
      <c r="U600" s="99"/>
      <c r="V600" s="99"/>
      <c r="W600" s="99"/>
      <c r="X600" s="99"/>
      <c r="Y600" s="99"/>
      <c r="Z600" s="99"/>
      <c r="AA600" s="99"/>
      <c r="AB600" s="99"/>
      <c r="AC600" s="98"/>
      <c r="AD600" s="98"/>
      <c r="AE600" s="98"/>
      <c r="AF600" s="98"/>
      <c r="AG600" s="98"/>
      <c r="AH600" s="98"/>
    </row>
    <row r="601" spans="2:34" x14ac:dyDescent="0.25">
      <c r="B601" s="73"/>
      <c r="C601" s="74"/>
      <c r="D601" s="80"/>
      <c r="E601" s="81"/>
      <c r="F601" s="81"/>
      <c r="G601" s="81"/>
      <c r="H601" s="81"/>
      <c r="I601" s="82"/>
      <c r="J601" s="88"/>
      <c r="K601" s="89"/>
      <c r="L601" s="88"/>
      <c r="M601" s="89"/>
      <c r="N601" s="80"/>
      <c r="O601" s="82"/>
      <c r="P601" s="94"/>
      <c r="Q601" s="95"/>
      <c r="S601" s="99"/>
      <c r="T601" s="99"/>
      <c r="U601" s="99"/>
      <c r="V601" s="99"/>
      <c r="W601" s="99"/>
      <c r="X601" s="99"/>
      <c r="Y601" s="99"/>
      <c r="Z601" s="99"/>
      <c r="AA601" s="99"/>
      <c r="AB601" s="99"/>
      <c r="AC601" s="98"/>
      <c r="AD601" s="98"/>
      <c r="AE601" s="98"/>
      <c r="AF601" s="98"/>
      <c r="AG601" s="98"/>
      <c r="AH601" s="98"/>
    </row>
    <row r="602" spans="2:34" x14ac:dyDescent="0.25">
      <c r="B602" s="75"/>
      <c r="C602" s="76"/>
      <c r="D602" s="83"/>
      <c r="E602" s="84"/>
      <c r="F602" s="84"/>
      <c r="G602" s="84"/>
      <c r="H602" s="84"/>
      <c r="I602" s="85"/>
      <c r="J602" s="90"/>
      <c r="K602" s="91"/>
      <c r="L602" s="90"/>
      <c r="M602" s="91"/>
      <c r="N602" s="83"/>
      <c r="O602" s="85"/>
      <c r="P602" s="96"/>
      <c r="Q602" s="97"/>
      <c r="S602" s="99"/>
      <c r="T602" s="99"/>
      <c r="U602" s="99"/>
      <c r="V602" s="99"/>
      <c r="W602" s="99"/>
      <c r="X602" s="99"/>
      <c r="Y602" s="99"/>
      <c r="Z602" s="99"/>
      <c r="AA602" s="99"/>
      <c r="AB602" s="99"/>
      <c r="AC602" s="98"/>
      <c r="AD602" s="98"/>
      <c r="AE602" s="98"/>
      <c r="AF602" s="98"/>
      <c r="AG602" s="98"/>
      <c r="AH602" s="98"/>
    </row>
    <row r="603" spans="2:34" x14ac:dyDescent="0.25">
      <c r="B603" s="71"/>
      <c r="C603" s="72"/>
      <c r="D603" s="77"/>
      <c r="E603" s="78"/>
      <c r="F603" s="78"/>
      <c r="G603" s="78"/>
      <c r="H603" s="78"/>
      <c r="I603" s="79"/>
      <c r="J603" s="86"/>
      <c r="K603" s="87"/>
      <c r="L603" s="86"/>
      <c r="M603" s="87"/>
      <c r="N603" s="77"/>
      <c r="O603" s="79"/>
      <c r="P603" s="92"/>
      <c r="Q603" s="93"/>
      <c r="S603" s="99"/>
      <c r="T603" s="99"/>
      <c r="U603" s="99"/>
      <c r="V603" s="99"/>
      <c r="W603" s="99"/>
      <c r="X603" s="99"/>
      <c r="Y603" s="99"/>
      <c r="Z603" s="99"/>
      <c r="AA603" s="99"/>
      <c r="AB603" s="99"/>
      <c r="AC603" s="98"/>
      <c r="AD603" s="98"/>
      <c r="AE603" s="98"/>
      <c r="AF603" s="98"/>
      <c r="AG603" s="98"/>
      <c r="AH603" s="98"/>
    </row>
    <row r="604" spans="2:34" x14ac:dyDescent="0.25">
      <c r="B604" s="73"/>
      <c r="C604" s="74"/>
      <c r="D604" s="80"/>
      <c r="E604" s="81"/>
      <c r="F604" s="81"/>
      <c r="G604" s="81"/>
      <c r="H604" s="81"/>
      <c r="I604" s="82"/>
      <c r="J604" s="88"/>
      <c r="K604" s="89"/>
      <c r="L604" s="88"/>
      <c r="M604" s="89"/>
      <c r="N604" s="80"/>
      <c r="O604" s="82"/>
      <c r="P604" s="94"/>
      <c r="Q604" s="95"/>
      <c r="S604" s="99"/>
      <c r="T604" s="99"/>
      <c r="U604" s="99"/>
      <c r="V604" s="99"/>
      <c r="W604" s="99"/>
      <c r="X604" s="99"/>
      <c r="Y604" s="99"/>
      <c r="Z604" s="99"/>
      <c r="AA604" s="99"/>
      <c r="AB604" s="99"/>
      <c r="AC604" s="98"/>
      <c r="AD604" s="98"/>
      <c r="AE604" s="98"/>
      <c r="AF604" s="98"/>
      <c r="AG604" s="98"/>
      <c r="AH604" s="98"/>
    </row>
    <row r="605" spans="2:34" x14ac:dyDescent="0.25">
      <c r="B605" s="75"/>
      <c r="C605" s="76"/>
      <c r="D605" s="83"/>
      <c r="E605" s="84"/>
      <c r="F605" s="84"/>
      <c r="G605" s="84"/>
      <c r="H605" s="84"/>
      <c r="I605" s="85"/>
      <c r="J605" s="90"/>
      <c r="K605" s="91"/>
      <c r="L605" s="90"/>
      <c r="M605" s="91"/>
      <c r="N605" s="83"/>
      <c r="O605" s="85"/>
      <c r="P605" s="96"/>
      <c r="Q605" s="97"/>
      <c r="S605" s="99"/>
      <c r="T605" s="99"/>
      <c r="U605" s="99"/>
      <c r="V605" s="99"/>
      <c r="W605" s="99"/>
      <c r="X605" s="99"/>
      <c r="Y605" s="99"/>
      <c r="Z605" s="99"/>
      <c r="AA605" s="99"/>
      <c r="AB605" s="99"/>
      <c r="AC605" s="98"/>
      <c r="AD605" s="98"/>
      <c r="AE605" s="98"/>
      <c r="AF605" s="98"/>
      <c r="AG605" s="98"/>
      <c r="AH605" s="98"/>
    </row>
    <row r="606" spans="2:34" x14ac:dyDescent="0.25">
      <c r="B606" s="71"/>
      <c r="C606" s="72"/>
      <c r="D606" s="77"/>
      <c r="E606" s="78"/>
      <c r="F606" s="78"/>
      <c r="G606" s="78"/>
      <c r="H606" s="78"/>
      <c r="I606" s="79"/>
      <c r="J606" s="86"/>
      <c r="K606" s="87"/>
      <c r="L606" s="86"/>
      <c r="M606" s="87"/>
      <c r="N606" s="77"/>
      <c r="O606" s="79"/>
      <c r="P606" s="92"/>
      <c r="Q606" s="93"/>
      <c r="S606" s="99"/>
      <c r="T606" s="99"/>
      <c r="U606" s="99"/>
      <c r="V606" s="99"/>
      <c r="W606" s="99"/>
      <c r="X606" s="99"/>
      <c r="Y606" s="99"/>
      <c r="Z606" s="99"/>
      <c r="AA606" s="99"/>
      <c r="AB606" s="99"/>
      <c r="AC606" s="98"/>
      <c r="AD606" s="98"/>
      <c r="AE606" s="98"/>
      <c r="AF606" s="98"/>
      <c r="AG606" s="98"/>
      <c r="AH606" s="98"/>
    </row>
    <row r="607" spans="2:34" x14ac:dyDescent="0.25">
      <c r="B607" s="73"/>
      <c r="C607" s="74"/>
      <c r="D607" s="80"/>
      <c r="E607" s="81"/>
      <c r="F607" s="81"/>
      <c r="G607" s="81"/>
      <c r="H607" s="81"/>
      <c r="I607" s="82"/>
      <c r="J607" s="88"/>
      <c r="K607" s="89"/>
      <c r="L607" s="88"/>
      <c r="M607" s="89"/>
      <c r="N607" s="80"/>
      <c r="O607" s="82"/>
      <c r="P607" s="94"/>
      <c r="Q607" s="95"/>
      <c r="S607" s="99"/>
      <c r="T607" s="99"/>
      <c r="U607" s="99"/>
      <c r="V607" s="99"/>
      <c r="W607" s="99"/>
      <c r="X607" s="99"/>
      <c r="Y607" s="99"/>
      <c r="Z607" s="99"/>
      <c r="AA607" s="99"/>
      <c r="AB607" s="99"/>
      <c r="AC607" s="98"/>
      <c r="AD607" s="98"/>
      <c r="AE607" s="98"/>
      <c r="AF607" s="98"/>
      <c r="AG607" s="98"/>
      <c r="AH607" s="98"/>
    </row>
    <row r="608" spans="2:34" x14ac:dyDescent="0.25">
      <c r="B608" s="75"/>
      <c r="C608" s="76"/>
      <c r="D608" s="83"/>
      <c r="E608" s="84"/>
      <c r="F608" s="84"/>
      <c r="G608" s="84"/>
      <c r="H608" s="84"/>
      <c r="I608" s="85"/>
      <c r="J608" s="90"/>
      <c r="K608" s="91"/>
      <c r="L608" s="90"/>
      <c r="M608" s="91"/>
      <c r="N608" s="83"/>
      <c r="O608" s="85"/>
      <c r="P608" s="96"/>
      <c r="Q608" s="97"/>
      <c r="S608" s="99"/>
      <c r="T608" s="99"/>
      <c r="U608" s="99"/>
      <c r="V608" s="99"/>
      <c r="W608" s="99"/>
      <c r="X608" s="99"/>
      <c r="Y608" s="99"/>
      <c r="Z608" s="99"/>
      <c r="AA608" s="99"/>
      <c r="AB608" s="99"/>
      <c r="AC608" s="98"/>
      <c r="AD608" s="98"/>
      <c r="AE608" s="98"/>
      <c r="AF608" s="98"/>
      <c r="AG608" s="98"/>
      <c r="AH608" s="98"/>
    </row>
    <row r="609" spans="2:34" x14ac:dyDescent="0.25">
      <c r="B609" s="71"/>
      <c r="C609" s="72"/>
      <c r="D609" s="77"/>
      <c r="E609" s="78"/>
      <c r="F609" s="78"/>
      <c r="G609" s="78"/>
      <c r="H609" s="78"/>
      <c r="I609" s="79"/>
      <c r="J609" s="86"/>
      <c r="K609" s="87"/>
      <c r="L609" s="86"/>
      <c r="M609" s="87"/>
      <c r="N609" s="77"/>
      <c r="O609" s="79"/>
      <c r="P609" s="92"/>
      <c r="Q609" s="93"/>
      <c r="S609" s="99"/>
      <c r="T609" s="99"/>
      <c r="U609" s="99"/>
      <c r="V609" s="99"/>
      <c r="W609" s="99"/>
      <c r="X609" s="99"/>
      <c r="Y609" s="99"/>
      <c r="Z609" s="99"/>
      <c r="AA609" s="99"/>
      <c r="AB609" s="99"/>
      <c r="AC609" s="98"/>
      <c r="AD609" s="98"/>
      <c r="AE609" s="98"/>
      <c r="AF609" s="98"/>
      <c r="AG609" s="98"/>
      <c r="AH609" s="98"/>
    </row>
    <row r="610" spans="2:34" x14ac:dyDescent="0.25">
      <c r="B610" s="73"/>
      <c r="C610" s="74"/>
      <c r="D610" s="80"/>
      <c r="E610" s="81"/>
      <c r="F610" s="81"/>
      <c r="G610" s="81"/>
      <c r="H610" s="81"/>
      <c r="I610" s="82"/>
      <c r="J610" s="88"/>
      <c r="K610" s="89"/>
      <c r="L610" s="88"/>
      <c r="M610" s="89"/>
      <c r="N610" s="80"/>
      <c r="O610" s="82"/>
      <c r="P610" s="94"/>
      <c r="Q610" s="95"/>
      <c r="S610" s="99"/>
      <c r="T610" s="99"/>
      <c r="U610" s="99"/>
      <c r="V610" s="99"/>
      <c r="W610" s="99"/>
      <c r="X610" s="99"/>
      <c r="Y610" s="99"/>
      <c r="Z610" s="99"/>
      <c r="AA610" s="99"/>
      <c r="AB610" s="99"/>
      <c r="AC610" s="98"/>
      <c r="AD610" s="98"/>
      <c r="AE610" s="98"/>
      <c r="AF610" s="98"/>
      <c r="AG610" s="98"/>
      <c r="AH610" s="98"/>
    </row>
    <row r="611" spans="2:34" x14ac:dyDescent="0.25">
      <c r="B611" s="75"/>
      <c r="C611" s="76"/>
      <c r="D611" s="83"/>
      <c r="E611" s="84"/>
      <c r="F611" s="84"/>
      <c r="G611" s="84"/>
      <c r="H611" s="84"/>
      <c r="I611" s="85"/>
      <c r="J611" s="90"/>
      <c r="K611" s="91"/>
      <c r="L611" s="90"/>
      <c r="M611" s="91"/>
      <c r="N611" s="83"/>
      <c r="O611" s="85"/>
      <c r="P611" s="96"/>
      <c r="Q611" s="97"/>
      <c r="S611" s="99"/>
      <c r="T611" s="99"/>
      <c r="U611" s="99"/>
      <c r="V611" s="99"/>
      <c r="W611" s="99"/>
      <c r="X611" s="99"/>
      <c r="Y611" s="99"/>
      <c r="Z611" s="99"/>
      <c r="AA611" s="99"/>
      <c r="AB611" s="99"/>
      <c r="AC611" s="98"/>
      <c r="AD611" s="98"/>
      <c r="AE611" s="98"/>
      <c r="AF611" s="98"/>
      <c r="AG611" s="98"/>
      <c r="AH611" s="98"/>
    </row>
    <row r="612" spans="2:34" x14ac:dyDescent="0.25">
      <c r="B612" s="71"/>
      <c r="C612" s="72"/>
      <c r="D612" s="77"/>
      <c r="E612" s="78"/>
      <c r="F612" s="78"/>
      <c r="G612" s="78"/>
      <c r="H612" s="78"/>
      <c r="I612" s="79"/>
      <c r="J612" s="86"/>
      <c r="K612" s="87"/>
      <c r="L612" s="86"/>
      <c r="M612" s="87"/>
      <c r="N612" s="77"/>
      <c r="O612" s="79"/>
      <c r="P612" s="92"/>
      <c r="Q612" s="93"/>
      <c r="S612" s="99"/>
      <c r="T612" s="99"/>
      <c r="U612" s="99"/>
      <c r="V612" s="99"/>
      <c r="W612" s="99"/>
      <c r="X612" s="99"/>
      <c r="Y612" s="99"/>
      <c r="Z612" s="99"/>
      <c r="AA612" s="99"/>
      <c r="AB612" s="99"/>
      <c r="AC612" s="98"/>
      <c r="AD612" s="98"/>
      <c r="AE612" s="98"/>
      <c r="AF612" s="98"/>
      <c r="AG612" s="98"/>
      <c r="AH612" s="98"/>
    </row>
    <row r="613" spans="2:34" x14ac:dyDescent="0.25">
      <c r="B613" s="73"/>
      <c r="C613" s="74"/>
      <c r="D613" s="80"/>
      <c r="E613" s="81"/>
      <c r="F613" s="81"/>
      <c r="G613" s="81"/>
      <c r="H613" s="81"/>
      <c r="I613" s="82"/>
      <c r="J613" s="88"/>
      <c r="K613" s="89"/>
      <c r="L613" s="88"/>
      <c r="M613" s="89"/>
      <c r="N613" s="80"/>
      <c r="O613" s="82"/>
      <c r="P613" s="94"/>
      <c r="Q613" s="95"/>
      <c r="S613" s="99"/>
      <c r="T613" s="99"/>
      <c r="U613" s="99"/>
      <c r="V613" s="99"/>
      <c r="W613" s="99"/>
      <c r="X613" s="99"/>
      <c r="Y613" s="99"/>
      <c r="Z613" s="99"/>
      <c r="AA613" s="99"/>
      <c r="AB613" s="99"/>
      <c r="AC613" s="98"/>
      <c r="AD613" s="98"/>
      <c r="AE613" s="98"/>
      <c r="AF613" s="98"/>
      <c r="AG613" s="98"/>
      <c r="AH613" s="98"/>
    </row>
    <row r="614" spans="2:34" x14ac:dyDescent="0.25">
      <c r="B614" s="75"/>
      <c r="C614" s="76"/>
      <c r="D614" s="83"/>
      <c r="E614" s="84"/>
      <c r="F614" s="84"/>
      <c r="G614" s="84"/>
      <c r="H614" s="84"/>
      <c r="I614" s="85"/>
      <c r="J614" s="90"/>
      <c r="K614" s="91"/>
      <c r="L614" s="90"/>
      <c r="M614" s="91"/>
      <c r="N614" s="83"/>
      <c r="O614" s="85"/>
      <c r="P614" s="96"/>
      <c r="Q614" s="97"/>
      <c r="S614" s="99"/>
      <c r="T614" s="99"/>
      <c r="U614" s="99"/>
      <c r="V614" s="99"/>
      <c r="W614" s="99"/>
      <c r="X614" s="99"/>
      <c r="Y614" s="99"/>
      <c r="Z614" s="99"/>
      <c r="AA614" s="99"/>
      <c r="AB614" s="99"/>
      <c r="AC614" s="98"/>
      <c r="AD614" s="98"/>
      <c r="AE614" s="98"/>
      <c r="AF614" s="98"/>
      <c r="AG614" s="98"/>
      <c r="AH614" s="98"/>
    </row>
    <row r="615" spans="2:34" x14ac:dyDescent="0.25">
      <c r="B615" s="71"/>
      <c r="C615" s="72"/>
      <c r="D615" s="77"/>
      <c r="E615" s="78"/>
      <c r="F615" s="78"/>
      <c r="G615" s="78"/>
      <c r="H615" s="78"/>
      <c r="I615" s="79"/>
      <c r="J615" s="86"/>
      <c r="K615" s="87"/>
      <c r="L615" s="86"/>
      <c r="M615" s="87"/>
      <c r="N615" s="77"/>
      <c r="O615" s="79"/>
      <c r="P615" s="92"/>
      <c r="Q615" s="93"/>
      <c r="S615" s="99"/>
      <c r="T615" s="99"/>
      <c r="U615" s="99"/>
      <c r="V615" s="99"/>
      <c r="W615" s="99"/>
      <c r="X615" s="99"/>
      <c r="Y615" s="99"/>
      <c r="Z615" s="99"/>
      <c r="AA615" s="99"/>
      <c r="AB615" s="99"/>
      <c r="AC615" s="98"/>
      <c r="AD615" s="98"/>
      <c r="AE615" s="98"/>
      <c r="AF615" s="98"/>
      <c r="AG615" s="98"/>
      <c r="AH615" s="98"/>
    </row>
    <row r="616" spans="2:34" x14ac:dyDescent="0.25">
      <c r="B616" s="73"/>
      <c r="C616" s="74"/>
      <c r="D616" s="80"/>
      <c r="E616" s="81"/>
      <c r="F616" s="81"/>
      <c r="G616" s="81"/>
      <c r="H616" s="81"/>
      <c r="I616" s="82"/>
      <c r="J616" s="88"/>
      <c r="K616" s="89"/>
      <c r="L616" s="88"/>
      <c r="M616" s="89"/>
      <c r="N616" s="80"/>
      <c r="O616" s="82"/>
      <c r="P616" s="94"/>
      <c r="Q616" s="95"/>
      <c r="S616" s="99"/>
      <c r="T616" s="99"/>
      <c r="U616" s="99"/>
      <c r="V616" s="99"/>
      <c r="W616" s="99"/>
      <c r="X616" s="99"/>
      <c r="Y616" s="99"/>
      <c r="Z616" s="99"/>
      <c r="AA616" s="99"/>
      <c r="AB616" s="99"/>
      <c r="AC616" s="98"/>
      <c r="AD616" s="98"/>
      <c r="AE616" s="98"/>
      <c r="AF616" s="98"/>
      <c r="AG616" s="98"/>
      <c r="AH616" s="98"/>
    </row>
    <row r="617" spans="2:34" x14ac:dyDescent="0.25">
      <c r="B617" s="75"/>
      <c r="C617" s="76"/>
      <c r="D617" s="83"/>
      <c r="E617" s="84"/>
      <c r="F617" s="84"/>
      <c r="G617" s="84"/>
      <c r="H617" s="84"/>
      <c r="I617" s="85"/>
      <c r="J617" s="90"/>
      <c r="K617" s="91"/>
      <c r="L617" s="90"/>
      <c r="M617" s="91"/>
      <c r="N617" s="83"/>
      <c r="O617" s="85"/>
      <c r="P617" s="96"/>
      <c r="Q617" s="97"/>
      <c r="S617" s="99"/>
      <c r="T617" s="99"/>
      <c r="U617" s="99"/>
      <c r="V617" s="99"/>
      <c r="W617" s="99"/>
      <c r="X617" s="99"/>
      <c r="Y617" s="99"/>
      <c r="Z617" s="99"/>
      <c r="AA617" s="99"/>
      <c r="AB617" s="99"/>
      <c r="AC617" s="98"/>
      <c r="AD617" s="98"/>
      <c r="AE617" s="98"/>
      <c r="AF617" s="98"/>
      <c r="AG617" s="98"/>
      <c r="AH617" s="98"/>
    </row>
    <row r="618" spans="2:34" x14ac:dyDescent="0.25">
      <c r="B618" s="71"/>
      <c r="C618" s="72"/>
      <c r="D618" s="77"/>
      <c r="E618" s="78"/>
      <c r="F618" s="78"/>
      <c r="G618" s="78"/>
      <c r="H618" s="78"/>
      <c r="I618" s="79"/>
      <c r="J618" s="86"/>
      <c r="K618" s="87"/>
      <c r="L618" s="86"/>
      <c r="M618" s="87"/>
      <c r="N618" s="77"/>
      <c r="O618" s="79"/>
      <c r="P618" s="92"/>
      <c r="Q618" s="93"/>
      <c r="S618" s="99"/>
      <c r="T618" s="99"/>
      <c r="U618" s="99"/>
      <c r="V618" s="99"/>
      <c r="W618" s="99"/>
      <c r="X618" s="99"/>
      <c r="Y618" s="99"/>
      <c r="Z618" s="99"/>
      <c r="AA618" s="99"/>
      <c r="AB618" s="99"/>
      <c r="AC618" s="98"/>
      <c r="AD618" s="98"/>
      <c r="AE618" s="98"/>
      <c r="AF618" s="98"/>
      <c r="AG618" s="98"/>
      <c r="AH618" s="98"/>
    </row>
    <row r="619" spans="2:34" x14ac:dyDescent="0.25">
      <c r="B619" s="73"/>
      <c r="C619" s="74"/>
      <c r="D619" s="80"/>
      <c r="E619" s="81"/>
      <c r="F619" s="81"/>
      <c r="G619" s="81"/>
      <c r="H619" s="81"/>
      <c r="I619" s="82"/>
      <c r="J619" s="88"/>
      <c r="K619" s="89"/>
      <c r="L619" s="88"/>
      <c r="M619" s="89"/>
      <c r="N619" s="80"/>
      <c r="O619" s="82"/>
      <c r="P619" s="94"/>
      <c r="Q619" s="95"/>
      <c r="S619" s="99"/>
      <c r="T619" s="99"/>
      <c r="U619" s="99"/>
      <c r="V619" s="99"/>
      <c r="W619" s="99"/>
      <c r="X619" s="99"/>
      <c r="Y619" s="99"/>
      <c r="Z619" s="99"/>
      <c r="AA619" s="99"/>
      <c r="AB619" s="99"/>
      <c r="AC619" s="98"/>
      <c r="AD619" s="98"/>
      <c r="AE619" s="98"/>
      <c r="AF619" s="98"/>
      <c r="AG619" s="98"/>
      <c r="AH619" s="98"/>
    </row>
    <row r="620" spans="2:34" x14ac:dyDescent="0.25">
      <c r="B620" s="75"/>
      <c r="C620" s="76"/>
      <c r="D620" s="83"/>
      <c r="E620" s="84"/>
      <c r="F620" s="84"/>
      <c r="G620" s="84"/>
      <c r="H620" s="84"/>
      <c r="I620" s="85"/>
      <c r="J620" s="90"/>
      <c r="K620" s="91"/>
      <c r="L620" s="90"/>
      <c r="M620" s="91"/>
      <c r="N620" s="83"/>
      <c r="O620" s="85"/>
      <c r="P620" s="96"/>
      <c r="Q620" s="97"/>
      <c r="S620" s="99"/>
      <c r="T620" s="99"/>
      <c r="U620" s="99"/>
      <c r="V620" s="99"/>
      <c r="W620" s="99"/>
      <c r="X620" s="99"/>
      <c r="Y620" s="99"/>
      <c r="Z620" s="99"/>
      <c r="AA620" s="99"/>
      <c r="AB620" s="99"/>
      <c r="AC620" s="98"/>
      <c r="AD620" s="98"/>
      <c r="AE620" s="98"/>
      <c r="AF620" s="98"/>
      <c r="AG620" s="98"/>
      <c r="AH620" s="98"/>
    </row>
    <row r="621" spans="2:34" x14ac:dyDescent="0.25">
      <c r="B621" s="71"/>
      <c r="C621" s="72"/>
      <c r="D621" s="77"/>
      <c r="E621" s="78"/>
      <c r="F621" s="78"/>
      <c r="G621" s="78"/>
      <c r="H621" s="78"/>
      <c r="I621" s="79"/>
      <c r="J621" s="86"/>
      <c r="K621" s="87"/>
      <c r="L621" s="86"/>
      <c r="M621" s="87"/>
      <c r="N621" s="77"/>
      <c r="O621" s="79"/>
      <c r="P621" s="92"/>
      <c r="Q621" s="93"/>
      <c r="S621" s="99"/>
      <c r="T621" s="99"/>
      <c r="U621" s="99"/>
      <c r="V621" s="99"/>
      <c r="W621" s="99"/>
      <c r="X621" s="99"/>
      <c r="Y621" s="99"/>
      <c r="Z621" s="99"/>
      <c r="AA621" s="99"/>
      <c r="AB621" s="99"/>
      <c r="AC621" s="98"/>
      <c r="AD621" s="98"/>
      <c r="AE621" s="98"/>
      <c r="AF621" s="98"/>
      <c r="AG621" s="98"/>
      <c r="AH621" s="98"/>
    </row>
    <row r="622" spans="2:34" x14ac:dyDescent="0.25">
      <c r="B622" s="73"/>
      <c r="C622" s="74"/>
      <c r="D622" s="80"/>
      <c r="E622" s="81"/>
      <c r="F622" s="81"/>
      <c r="G622" s="81"/>
      <c r="H622" s="81"/>
      <c r="I622" s="82"/>
      <c r="J622" s="88"/>
      <c r="K622" s="89"/>
      <c r="L622" s="88"/>
      <c r="M622" s="89"/>
      <c r="N622" s="80"/>
      <c r="O622" s="82"/>
      <c r="P622" s="94"/>
      <c r="Q622" s="95"/>
      <c r="S622" s="99"/>
      <c r="T622" s="99"/>
      <c r="U622" s="99"/>
      <c r="V622" s="99"/>
      <c r="W622" s="99"/>
      <c r="X622" s="99"/>
      <c r="Y622" s="99"/>
      <c r="Z622" s="99"/>
      <c r="AA622" s="99"/>
      <c r="AB622" s="99"/>
      <c r="AC622" s="98"/>
      <c r="AD622" s="98"/>
      <c r="AE622" s="98"/>
      <c r="AF622" s="98"/>
      <c r="AG622" s="98"/>
      <c r="AH622" s="98"/>
    </row>
    <row r="623" spans="2:34" x14ac:dyDescent="0.25">
      <c r="B623" s="75"/>
      <c r="C623" s="76"/>
      <c r="D623" s="83"/>
      <c r="E623" s="84"/>
      <c r="F623" s="84"/>
      <c r="G623" s="84"/>
      <c r="H623" s="84"/>
      <c r="I623" s="85"/>
      <c r="J623" s="90"/>
      <c r="K623" s="91"/>
      <c r="L623" s="90"/>
      <c r="M623" s="91"/>
      <c r="N623" s="83"/>
      <c r="O623" s="85"/>
      <c r="P623" s="96"/>
      <c r="Q623" s="97"/>
      <c r="S623" s="99"/>
      <c r="T623" s="99"/>
      <c r="U623" s="99"/>
      <c r="V623" s="99"/>
      <c r="W623" s="99"/>
      <c r="X623" s="99"/>
      <c r="Y623" s="99"/>
      <c r="Z623" s="99"/>
      <c r="AA623" s="99"/>
      <c r="AB623" s="99"/>
      <c r="AC623" s="98"/>
      <c r="AD623" s="98"/>
      <c r="AE623" s="98"/>
      <c r="AF623" s="98"/>
      <c r="AG623" s="98"/>
      <c r="AH623" s="98"/>
    </row>
    <row r="624" spans="2:34" x14ac:dyDescent="0.25">
      <c r="B624" s="71"/>
      <c r="C624" s="72"/>
      <c r="D624" s="77"/>
      <c r="E624" s="78"/>
      <c r="F624" s="78"/>
      <c r="G624" s="78"/>
      <c r="H624" s="78"/>
      <c r="I624" s="79"/>
      <c r="J624" s="86"/>
      <c r="K624" s="87"/>
      <c r="L624" s="86"/>
      <c r="M624" s="87"/>
      <c r="N624" s="77"/>
      <c r="O624" s="79"/>
      <c r="P624" s="92"/>
      <c r="Q624" s="93"/>
      <c r="S624" s="99"/>
      <c r="T624" s="99"/>
      <c r="U624" s="99"/>
      <c r="V624" s="99"/>
      <c r="W624" s="99"/>
      <c r="X624" s="99"/>
      <c r="Y624" s="99"/>
      <c r="Z624" s="99"/>
      <c r="AA624" s="99"/>
      <c r="AB624" s="99"/>
      <c r="AC624" s="98"/>
      <c r="AD624" s="98"/>
      <c r="AE624" s="98"/>
      <c r="AF624" s="98"/>
      <c r="AG624" s="98"/>
      <c r="AH624" s="98"/>
    </row>
    <row r="625" spans="2:34" x14ac:dyDescent="0.25">
      <c r="B625" s="73"/>
      <c r="C625" s="74"/>
      <c r="D625" s="80"/>
      <c r="E625" s="81"/>
      <c r="F625" s="81"/>
      <c r="G625" s="81"/>
      <c r="H625" s="81"/>
      <c r="I625" s="82"/>
      <c r="J625" s="88"/>
      <c r="K625" s="89"/>
      <c r="L625" s="88"/>
      <c r="M625" s="89"/>
      <c r="N625" s="80"/>
      <c r="O625" s="82"/>
      <c r="P625" s="94"/>
      <c r="Q625" s="95"/>
      <c r="S625" s="99"/>
      <c r="T625" s="99"/>
      <c r="U625" s="99"/>
      <c r="V625" s="99"/>
      <c r="W625" s="99"/>
      <c r="X625" s="99"/>
      <c r="Y625" s="99"/>
      <c r="Z625" s="99"/>
      <c r="AA625" s="99"/>
      <c r="AB625" s="99"/>
      <c r="AC625" s="98"/>
      <c r="AD625" s="98"/>
      <c r="AE625" s="98"/>
      <c r="AF625" s="98"/>
      <c r="AG625" s="98"/>
      <c r="AH625" s="98"/>
    </row>
    <row r="626" spans="2:34" x14ac:dyDescent="0.25">
      <c r="B626" s="75"/>
      <c r="C626" s="76"/>
      <c r="D626" s="83"/>
      <c r="E626" s="84"/>
      <c r="F626" s="84"/>
      <c r="G626" s="84"/>
      <c r="H626" s="84"/>
      <c r="I626" s="85"/>
      <c r="J626" s="90"/>
      <c r="K626" s="91"/>
      <c r="L626" s="90"/>
      <c r="M626" s="91"/>
      <c r="N626" s="83"/>
      <c r="O626" s="85"/>
      <c r="P626" s="96"/>
      <c r="Q626" s="97"/>
      <c r="S626" s="99"/>
      <c r="T626" s="99"/>
      <c r="U626" s="99"/>
      <c r="V626" s="99"/>
      <c r="W626" s="99"/>
      <c r="X626" s="99"/>
      <c r="Y626" s="99"/>
      <c r="Z626" s="99"/>
      <c r="AA626" s="99"/>
      <c r="AB626" s="99"/>
      <c r="AC626" s="98"/>
      <c r="AD626" s="98"/>
      <c r="AE626" s="98"/>
      <c r="AF626" s="98"/>
      <c r="AG626" s="98"/>
      <c r="AH626" s="98"/>
    </row>
    <row r="627" spans="2:34" x14ac:dyDescent="0.25">
      <c r="B627" s="71"/>
      <c r="C627" s="72"/>
      <c r="D627" s="77"/>
      <c r="E627" s="78"/>
      <c r="F627" s="78"/>
      <c r="G627" s="78"/>
      <c r="H627" s="78"/>
      <c r="I627" s="79"/>
      <c r="J627" s="86"/>
      <c r="K627" s="87"/>
      <c r="L627" s="86"/>
      <c r="M627" s="87"/>
      <c r="N627" s="77"/>
      <c r="O627" s="79"/>
      <c r="P627" s="92"/>
      <c r="Q627" s="93"/>
      <c r="S627" s="99"/>
      <c r="T627" s="99"/>
      <c r="U627" s="99"/>
      <c r="V627" s="99"/>
      <c r="W627" s="99"/>
      <c r="X627" s="99"/>
      <c r="Y627" s="99"/>
      <c r="Z627" s="99"/>
      <c r="AA627" s="99"/>
      <c r="AB627" s="99"/>
      <c r="AC627" s="98"/>
      <c r="AD627" s="98"/>
      <c r="AE627" s="98"/>
      <c r="AF627" s="98"/>
      <c r="AG627" s="98"/>
      <c r="AH627" s="98"/>
    </row>
    <row r="628" spans="2:34" x14ac:dyDescent="0.25">
      <c r="B628" s="73"/>
      <c r="C628" s="74"/>
      <c r="D628" s="80"/>
      <c r="E628" s="81"/>
      <c r="F628" s="81"/>
      <c r="G628" s="81"/>
      <c r="H628" s="81"/>
      <c r="I628" s="82"/>
      <c r="J628" s="88"/>
      <c r="K628" s="89"/>
      <c r="L628" s="88"/>
      <c r="M628" s="89"/>
      <c r="N628" s="80"/>
      <c r="O628" s="82"/>
      <c r="P628" s="94"/>
      <c r="Q628" s="95"/>
      <c r="S628" s="99"/>
      <c r="T628" s="99"/>
      <c r="U628" s="99"/>
      <c r="V628" s="99"/>
      <c r="W628" s="99"/>
      <c r="X628" s="99"/>
      <c r="Y628" s="99"/>
      <c r="Z628" s="99"/>
      <c r="AA628" s="99"/>
      <c r="AB628" s="99"/>
      <c r="AC628" s="98"/>
      <c r="AD628" s="98"/>
      <c r="AE628" s="98"/>
      <c r="AF628" s="98"/>
      <c r="AG628" s="98"/>
      <c r="AH628" s="98"/>
    </row>
    <row r="629" spans="2:34" x14ac:dyDescent="0.25">
      <c r="B629" s="75"/>
      <c r="C629" s="76"/>
      <c r="D629" s="83"/>
      <c r="E629" s="84"/>
      <c r="F629" s="84"/>
      <c r="G629" s="84"/>
      <c r="H629" s="84"/>
      <c r="I629" s="85"/>
      <c r="J629" s="90"/>
      <c r="K629" s="91"/>
      <c r="L629" s="90"/>
      <c r="M629" s="91"/>
      <c r="N629" s="83"/>
      <c r="O629" s="85"/>
      <c r="P629" s="96"/>
      <c r="Q629" s="97"/>
      <c r="S629" s="99"/>
      <c r="T629" s="99"/>
      <c r="U629" s="99"/>
      <c r="V629" s="99"/>
      <c r="W629" s="99"/>
      <c r="X629" s="99"/>
      <c r="Y629" s="99"/>
      <c r="Z629" s="99"/>
      <c r="AA629" s="99"/>
      <c r="AB629" s="99"/>
      <c r="AC629" s="98"/>
      <c r="AD629" s="98"/>
      <c r="AE629" s="98"/>
      <c r="AF629" s="98"/>
      <c r="AG629" s="98"/>
      <c r="AH629" s="98"/>
    </row>
    <row r="630" spans="2:34" x14ac:dyDescent="0.25">
      <c r="B630" s="71"/>
      <c r="C630" s="72"/>
      <c r="D630" s="77"/>
      <c r="E630" s="78"/>
      <c r="F630" s="78"/>
      <c r="G630" s="78"/>
      <c r="H630" s="78"/>
      <c r="I630" s="79"/>
      <c r="J630" s="86"/>
      <c r="K630" s="87"/>
      <c r="L630" s="86"/>
      <c r="M630" s="87"/>
      <c r="N630" s="77"/>
      <c r="O630" s="79"/>
      <c r="P630" s="92"/>
      <c r="Q630" s="93"/>
      <c r="S630" s="99"/>
      <c r="T630" s="99"/>
      <c r="U630" s="99"/>
      <c r="V630" s="99"/>
      <c r="W630" s="99"/>
      <c r="X630" s="99"/>
      <c r="Y630" s="99"/>
      <c r="Z630" s="99"/>
      <c r="AA630" s="99"/>
      <c r="AB630" s="99"/>
      <c r="AC630" s="98"/>
      <c r="AD630" s="98"/>
      <c r="AE630" s="98"/>
      <c r="AF630" s="98"/>
      <c r="AG630" s="98"/>
      <c r="AH630" s="98"/>
    </row>
    <row r="631" spans="2:34" x14ac:dyDescent="0.25">
      <c r="B631" s="73"/>
      <c r="C631" s="74"/>
      <c r="D631" s="80"/>
      <c r="E631" s="81"/>
      <c r="F631" s="81"/>
      <c r="G631" s="81"/>
      <c r="H631" s="81"/>
      <c r="I631" s="82"/>
      <c r="J631" s="88"/>
      <c r="K631" s="89"/>
      <c r="L631" s="88"/>
      <c r="M631" s="89"/>
      <c r="N631" s="80"/>
      <c r="O631" s="82"/>
      <c r="P631" s="94"/>
      <c r="Q631" s="95"/>
      <c r="S631" s="99"/>
      <c r="T631" s="99"/>
      <c r="U631" s="99"/>
      <c r="V631" s="99"/>
      <c r="W631" s="99"/>
      <c r="X631" s="99"/>
      <c r="Y631" s="99"/>
      <c r="Z631" s="99"/>
      <c r="AA631" s="99"/>
      <c r="AB631" s="99"/>
      <c r="AC631" s="98"/>
      <c r="AD631" s="98"/>
      <c r="AE631" s="98"/>
      <c r="AF631" s="98"/>
      <c r="AG631" s="98"/>
      <c r="AH631" s="98"/>
    </row>
    <row r="632" spans="2:34" x14ac:dyDescent="0.25">
      <c r="B632" s="75"/>
      <c r="C632" s="76"/>
      <c r="D632" s="83"/>
      <c r="E632" s="84"/>
      <c r="F632" s="84"/>
      <c r="G632" s="84"/>
      <c r="H632" s="84"/>
      <c r="I632" s="85"/>
      <c r="J632" s="90"/>
      <c r="K632" s="91"/>
      <c r="L632" s="90"/>
      <c r="M632" s="91"/>
      <c r="N632" s="83"/>
      <c r="O632" s="85"/>
      <c r="P632" s="96"/>
      <c r="Q632" s="97"/>
      <c r="S632" s="99"/>
      <c r="T632" s="99"/>
      <c r="U632" s="99"/>
      <c r="V632" s="99"/>
      <c r="W632" s="99"/>
      <c r="X632" s="99"/>
      <c r="Y632" s="99"/>
      <c r="Z632" s="99"/>
      <c r="AA632" s="99"/>
      <c r="AB632" s="99"/>
      <c r="AC632" s="98"/>
      <c r="AD632" s="98"/>
      <c r="AE632" s="98"/>
      <c r="AF632" s="98"/>
      <c r="AG632" s="98"/>
      <c r="AH632" s="98"/>
    </row>
    <row r="633" spans="2:34" x14ac:dyDescent="0.25">
      <c r="B633" s="71"/>
      <c r="C633" s="72"/>
      <c r="D633" s="77"/>
      <c r="E633" s="78"/>
      <c r="F633" s="78"/>
      <c r="G633" s="78"/>
      <c r="H633" s="78"/>
      <c r="I633" s="79"/>
      <c r="J633" s="86"/>
      <c r="K633" s="87"/>
      <c r="L633" s="86"/>
      <c r="M633" s="87"/>
      <c r="N633" s="77"/>
      <c r="O633" s="79"/>
      <c r="P633" s="92"/>
      <c r="Q633" s="93"/>
      <c r="S633" s="99"/>
      <c r="T633" s="99"/>
      <c r="U633" s="99"/>
      <c r="V633" s="99"/>
      <c r="W633" s="99"/>
      <c r="X633" s="99"/>
      <c r="Y633" s="99"/>
      <c r="Z633" s="99"/>
      <c r="AA633" s="99"/>
      <c r="AB633" s="99"/>
      <c r="AC633" s="98"/>
      <c r="AD633" s="98"/>
      <c r="AE633" s="98"/>
      <c r="AF633" s="98"/>
      <c r="AG633" s="98"/>
      <c r="AH633" s="98"/>
    </row>
    <row r="634" spans="2:34" x14ac:dyDescent="0.25">
      <c r="B634" s="73"/>
      <c r="C634" s="74"/>
      <c r="D634" s="80"/>
      <c r="E634" s="81"/>
      <c r="F634" s="81"/>
      <c r="G634" s="81"/>
      <c r="H634" s="81"/>
      <c r="I634" s="82"/>
      <c r="J634" s="88"/>
      <c r="K634" s="89"/>
      <c r="L634" s="88"/>
      <c r="M634" s="89"/>
      <c r="N634" s="80"/>
      <c r="O634" s="82"/>
      <c r="P634" s="94"/>
      <c r="Q634" s="95"/>
      <c r="S634" s="99"/>
      <c r="T634" s="99"/>
      <c r="U634" s="99"/>
      <c r="V634" s="99"/>
      <c r="W634" s="99"/>
      <c r="X634" s="99"/>
      <c r="Y634" s="99"/>
      <c r="Z634" s="99"/>
      <c r="AA634" s="99"/>
      <c r="AB634" s="99"/>
      <c r="AC634" s="98"/>
      <c r="AD634" s="98"/>
      <c r="AE634" s="98"/>
      <c r="AF634" s="98"/>
      <c r="AG634" s="98"/>
      <c r="AH634" s="98"/>
    </row>
    <row r="635" spans="2:34" x14ac:dyDescent="0.25">
      <c r="B635" s="75"/>
      <c r="C635" s="76"/>
      <c r="D635" s="83"/>
      <c r="E635" s="84"/>
      <c r="F635" s="84"/>
      <c r="G635" s="84"/>
      <c r="H635" s="84"/>
      <c r="I635" s="85"/>
      <c r="J635" s="90"/>
      <c r="K635" s="91"/>
      <c r="L635" s="90"/>
      <c r="M635" s="91"/>
      <c r="N635" s="83"/>
      <c r="O635" s="85"/>
      <c r="P635" s="96"/>
      <c r="Q635" s="97"/>
      <c r="S635" s="99"/>
      <c r="T635" s="99"/>
      <c r="U635" s="99"/>
      <c r="V635" s="99"/>
      <c r="W635" s="99"/>
      <c r="X635" s="99"/>
      <c r="Y635" s="99"/>
      <c r="Z635" s="99"/>
      <c r="AA635" s="99"/>
      <c r="AB635" s="99"/>
      <c r="AC635" s="98"/>
      <c r="AD635" s="98"/>
      <c r="AE635" s="98"/>
      <c r="AF635" s="98"/>
      <c r="AG635" s="98"/>
      <c r="AH635" s="98"/>
    </row>
    <row r="636" spans="2:34" x14ac:dyDescent="0.25">
      <c r="B636" s="71"/>
      <c r="C636" s="72"/>
      <c r="D636" s="77"/>
      <c r="E636" s="78"/>
      <c r="F636" s="78"/>
      <c r="G636" s="78"/>
      <c r="H636" s="78"/>
      <c r="I636" s="79"/>
      <c r="J636" s="86"/>
      <c r="K636" s="87"/>
      <c r="L636" s="86"/>
      <c r="M636" s="87"/>
      <c r="N636" s="77"/>
      <c r="O636" s="79"/>
      <c r="P636" s="92"/>
      <c r="Q636" s="93"/>
      <c r="S636" s="99"/>
      <c r="T636" s="99"/>
      <c r="U636" s="99"/>
      <c r="V636" s="99"/>
      <c r="W636" s="99"/>
      <c r="X636" s="99"/>
      <c r="Y636" s="99"/>
      <c r="Z636" s="99"/>
      <c r="AA636" s="99"/>
      <c r="AB636" s="99"/>
      <c r="AC636" s="98"/>
      <c r="AD636" s="98"/>
      <c r="AE636" s="98"/>
      <c r="AF636" s="98"/>
      <c r="AG636" s="98"/>
      <c r="AH636" s="98"/>
    </row>
    <row r="637" spans="2:34" x14ac:dyDescent="0.25">
      <c r="B637" s="73"/>
      <c r="C637" s="74"/>
      <c r="D637" s="80"/>
      <c r="E637" s="81"/>
      <c r="F637" s="81"/>
      <c r="G637" s="81"/>
      <c r="H637" s="81"/>
      <c r="I637" s="82"/>
      <c r="J637" s="88"/>
      <c r="K637" s="89"/>
      <c r="L637" s="88"/>
      <c r="M637" s="89"/>
      <c r="N637" s="80"/>
      <c r="O637" s="82"/>
      <c r="P637" s="94"/>
      <c r="Q637" s="95"/>
      <c r="S637" s="99"/>
      <c r="T637" s="99"/>
      <c r="U637" s="99"/>
      <c r="V637" s="99"/>
      <c r="W637" s="99"/>
      <c r="X637" s="99"/>
      <c r="Y637" s="99"/>
      <c r="Z637" s="99"/>
      <c r="AA637" s="99"/>
      <c r="AB637" s="99"/>
      <c r="AC637" s="98"/>
      <c r="AD637" s="98"/>
      <c r="AE637" s="98"/>
      <c r="AF637" s="98"/>
      <c r="AG637" s="98"/>
      <c r="AH637" s="98"/>
    </row>
    <row r="638" spans="2:34" x14ac:dyDescent="0.25">
      <c r="B638" s="75"/>
      <c r="C638" s="76"/>
      <c r="D638" s="83"/>
      <c r="E638" s="84"/>
      <c r="F638" s="84"/>
      <c r="G638" s="84"/>
      <c r="H638" s="84"/>
      <c r="I638" s="85"/>
      <c r="J638" s="90"/>
      <c r="K638" s="91"/>
      <c r="L638" s="90"/>
      <c r="M638" s="91"/>
      <c r="N638" s="83"/>
      <c r="O638" s="85"/>
      <c r="P638" s="96"/>
      <c r="Q638" s="97"/>
      <c r="S638" s="99"/>
      <c r="T638" s="99"/>
      <c r="U638" s="99"/>
      <c r="V638" s="99"/>
      <c r="W638" s="99"/>
      <c r="X638" s="99"/>
      <c r="Y638" s="99"/>
      <c r="Z638" s="99"/>
      <c r="AA638" s="99"/>
      <c r="AB638" s="99"/>
      <c r="AC638" s="98"/>
      <c r="AD638" s="98"/>
      <c r="AE638" s="98"/>
      <c r="AF638" s="98"/>
      <c r="AG638" s="98"/>
      <c r="AH638" s="98"/>
    </row>
    <row r="639" spans="2:34" x14ac:dyDescent="0.25">
      <c r="B639" s="71"/>
      <c r="C639" s="72"/>
      <c r="D639" s="77"/>
      <c r="E639" s="78"/>
      <c r="F639" s="78"/>
      <c r="G639" s="78"/>
      <c r="H639" s="78"/>
      <c r="I639" s="79"/>
      <c r="J639" s="86"/>
      <c r="K639" s="87"/>
      <c r="L639" s="86"/>
      <c r="M639" s="87"/>
      <c r="N639" s="77"/>
      <c r="O639" s="79"/>
      <c r="P639" s="92"/>
      <c r="Q639" s="93"/>
      <c r="S639" s="99"/>
      <c r="T639" s="99"/>
      <c r="U639" s="99"/>
      <c r="V639" s="99"/>
      <c r="W639" s="99"/>
      <c r="X639" s="99"/>
      <c r="Y639" s="99"/>
      <c r="Z639" s="99"/>
      <c r="AA639" s="99"/>
      <c r="AB639" s="99"/>
      <c r="AC639" s="98"/>
      <c r="AD639" s="98"/>
      <c r="AE639" s="98"/>
      <c r="AF639" s="98"/>
      <c r="AG639" s="98"/>
      <c r="AH639" s="98"/>
    </row>
    <row r="640" spans="2:34" x14ac:dyDescent="0.25">
      <c r="B640" s="73"/>
      <c r="C640" s="74"/>
      <c r="D640" s="80"/>
      <c r="E640" s="81"/>
      <c r="F640" s="81"/>
      <c r="G640" s="81"/>
      <c r="H640" s="81"/>
      <c r="I640" s="82"/>
      <c r="J640" s="88"/>
      <c r="K640" s="89"/>
      <c r="L640" s="88"/>
      <c r="M640" s="89"/>
      <c r="N640" s="80"/>
      <c r="O640" s="82"/>
      <c r="P640" s="94"/>
      <c r="Q640" s="95"/>
      <c r="S640" s="99"/>
      <c r="T640" s="99"/>
      <c r="U640" s="99"/>
      <c r="V640" s="99"/>
      <c r="W640" s="99"/>
      <c r="X640" s="99"/>
      <c r="Y640" s="99"/>
      <c r="Z640" s="99"/>
      <c r="AA640" s="99"/>
      <c r="AB640" s="99"/>
      <c r="AC640" s="98"/>
      <c r="AD640" s="98"/>
      <c r="AE640" s="98"/>
      <c r="AF640" s="98"/>
      <c r="AG640" s="98"/>
      <c r="AH640" s="98"/>
    </row>
    <row r="641" spans="2:34" x14ac:dyDescent="0.25">
      <c r="B641" s="75"/>
      <c r="C641" s="76"/>
      <c r="D641" s="83"/>
      <c r="E641" s="84"/>
      <c r="F641" s="84"/>
      <c r="G641" s="84"/>
      <c r="H641" s="84"/>
      <c r="I641" s="85"/>
      <c r="J641" s="90"/>
      <c r="K641" s="91"/>
      <c r="L641" s="90"/>
      <c r="M641" s="91"/>
      <c r="N641" s="83"/>
      <c r="O641" s="85"/>
      <c r="P641" s="96"/>
      <c r="Q641" s="97"/>
      <c r="S641" s="99"/>
      <c r="T641" s="99"/>
      <c r="U641" s="99"/>
      <c r="V641" s="99"/>
      <c r="W641" s="99"/>
      <c r="X641" s="99"/>
      <c r="Y641" s="99"/>
      <c r="Z641" s="99"/>
      <c r="AA641" s="99"/>
      <c r="AB641" s="99"/>
      <c r="AC641" s="98"/>
      <c r="AD641" s="98"/>
      <c r="AE641" s="98"/>
      <c r="AF641" s="98"/>
      <c r="AG641" s="98"/>
      <c r="AH641" s="98"/>
    </row>
    <row r="642" spans="2:34" x14ac:dyDescent="0.25">
      <c r="B642" s="71"/>
      <c r="C642" s="72"/>
      <c r="D642" s="77"/>
      <c r="E642" s="78"/>
      <c r="F642" s="78"/>
      <c r="G642" s="78"/>
      <c r="H642" s="78"/>
      <c r="I642" s="79"/>
      <c r="J642" s="86"/>
      <c r="K642" s="87"/>
      <c r="L642" s="86"/>
      <c r="M642" s="87"/>
      <c r="N642" s="77"/>
      <c r="O642" s="79"/>
      <c r="P642" s="92"/>
      <c r="Q642" s="93"/>
      <c r="S642" s="99"/>
      <c r="T642" s="99"/>
      <c r="U642" s="99"/>
      <c r="V642" s="99"/>
      <c r="W642" s="99"/>
      <c r="X642" s="99"/>
      <c r="Y642" s="99"/>
      <c r="Z642" s="99"/>
      <c r="AA642" s="99"/>
      <c r="AB642" s="99"/>
      <c r="AC642" s="98"/>
      <c r="AD642" s="98"/>
      <c r="AE642" s="98"/>
      <c r="AF642" s="98"/>
      <c r="AG642" s="98"/>
      <c r="AH642" s="98"/>
    </row>
    <row r="643" spans="2:34" x14ac:dyDescent="0.25">
      <c r="B643" s="73"/>
      <c r="C643" s="74"/>
      <c r="D643" s="80"/>
      <c r="E643" s="81"/>
      <c r="F643" s="81"/>
      <c r="G643" s="81"/>
      <c r="H643" s="81"/>
      <c r="I643" s="82"/>
      <c r="J643" s="88"/>
      <c r="K643" s="89"/>
      <c r="L643" s="88"/>
      <c r="M643" s="89"/>
      <c r="N643" s="80"/>
      <c r="O643" s="82"/>
      <c r="P643" s="94"/>
      <c r="Q643" s="95"/>
      <c r="S643" s="99"/>
      <c r="T643" s="99"/>
      <c r="U643" s="99"/>
      <c r="V643" s="99"/>
      <c r="W643" s="99"/>
      <c r="X643" s="99"/>
      <c r="Y643" s="99"/>
      <c r="Z643" s="99"/>
      <c r="AA643" s="99"/>
      <c r="AB643" s="99"/>
      <c r="AC643" s="98"/>
      <c r="AD643" s="98"/>
      <c r="AE643" s="98"/>
      <c r="AF643" s="98"/>
      <c r="AG643" s="98"/>
      <c r="AH643" s="98"/>
    </row>
    <row r="644" spans="2:34" x14ac:dyDescent="0.25">
      <c r="B644" s="75"/>
      <c r="C644" s="76"/>
      <c r="D644" s="83"/>
      <c r="E644" s="84"/>
      <c r="F644" s="84"/>
      <c r="G644" s="84"/>
      <c r="H644" s="84"/>
      <c r="I644" s="85"/>
      <c r="J644" s="90"/>
      <c r="K644" s="91"/>
      <c r="L644" s="90"/>
      <c r="M644" s="91"/>
      <c r="N644" s="83"/>
      <c r="O644" s="85"/>
      <c r="P644" s="96"/>
      <c r="Q644" s="97"/>
      <c r="S644" s="99"/>
      <c r="T644" s="99"/>
      <c r="U644" s="99"/>
      <c r="V644" s="99"/>
      <c r="W644" s="99"/>
      <c r="X644" s="99"/>
      <c r="Y644" s="99"/>
      <c r="Z644" s="99"/>
      <c r="AA644" s="99"/>
      <c r="AB644" s="99"/>
      <c r="AC644" s="98"/>
      <c r="AD644" s="98"/>
      <c r="AE644" s="98"/>
      <c r="AF644" s="98"/>
      <c r="AG644" s="98"/>
      <c r="AH644" s="98"/>
    </row>
    <row r="645" spans="2:34" x14ac:dyDescent="0.25">
      <c r="B645" s="71"/>
      <c r="C645" s="72"/>
      <c r="D645" s="77"/>
      <c r="E645" s="78"/>
      <c r="F645" s="78"/>
      <c r="G645" s="78"/>
      <c r="H645" s="78"/>
      <c r="I645" s="79"/>
      <c r="J645" s="86"/>
      <c r="K645" s="87"/>
      <c r="L645" s="86"/>
      <c r="M645" s="87"/>
      <c r="N645" s="77"/>
      <c r="O645" s="79"/>
      <c r="P645" s="92"/>
      <c r="Q645" s="93"/>
      <c r="S645" s="99"/>
      <c r="T645" s="99"/>
      <c r="U645" s="99"/>
      <c r="V645" s="99"/>
      <c r="W645" s="99"/>
      <c r="X645" s="99"/>
      <c r="Y645" s="99"/>
      <c r="Z645" s="99"/>
      <c r="AA645" s="99"/>
      <c r="AB645" s="99"/>
      <c r="AC645" s="98"/>
      <c r="AD645" s="98"/>
      <c r="AE645" s="98"/>
      <c r="AF645" s="98"/>
      <c r="AG645" s="98"/>
      <c r="AH645" s="98"/>
    </row>
    <row r="646" spans="2:34" x14ac:dyDescent="0.25">
      <c r="B646" s="73"/>
      <c r="C646" s="74"/>
      <c r="D646" s="80"/>
      <c r="E646" s="81"/>
      <c r="F646" s="81"/>
      <c r="G646" s="81"/>
      <c r="H646" s="81"/>
      <c r="I646" s="82"/>
      <c r="J646" s="88"/>
      <c r="K646" s="89"/>
      <c r="L646" s="88"/>
      <c r="M646" s="89"/>
      <c r="N646" s="80"/>
      <c r="O646" s="82"/>
      <c r="P646" s="94"/>
      <c r="Q646" s="95"/>
      <c r="S646" s="99"/>
      <c r="T646" s="99"/>
      <c r="U646" s="99"/>
      <c r="V646" s="99"/>
      <c r="W646" s="99"/>
      <c r="X646" s="99"/>
      <c r="Y646" s="99"/>
      <c r="Z646" s="99"/>
      <c r="AA646" s="99"/>
      <c r="AB646" s="99"/>
      <c r="AC646" s="98"/>
      <c r="AD646" s="98"/>
      <c r="AE646" s="98"/>
      <c r="AF646" s="98"/>
      <c r="AG646" s="98"/>
      <c r="AH646" s="98"/>
    </row>
    <row r="647" spans="2:34" x14ac:dyDescent="0.25">
      <c r="B647" s="75"/>
      <c r="C647" s="76"/>
      <c r="D647" s="83"/>
      <c r="E647" s="84"/>
      <c r="F647" s="84"/>
      <c r="G647" s="84"/>
      <c r="H647" s="84"/>
      <c r="I647" s="85"/>
      <c r="J647" s="90"/>
      <c r="K647" s="91"/>
      <c r="L647" s="90"/>
      <c r="M647" s="91"/>
      <c r="N647" s="83"/>
      <c r="O647" s="85"/>
      <c r="P647" s="96"/>
      <c r="Q647" s="97"/>
      <c r="S647" s="99"/>
      <c r="T647" s="99"/>
      <c r="U647" s="99"/>
      <c r="V647" s="99"/>
      <c r="W647" s="99"/>
      <c r="X647" s="99"/>
      <c r="Y647" s="99"/>
      <c r="Z647" s="99"/>
      <c r="AA647" s="99"/>
      <c r="AB647" s="99"/>
      <c r="AC647" s="98"/>
      <c r="AD647" s="98"/>
      <c r="AE647" s="98"/>
      <c r="AF647" s="98"/>
      <c r="AG647" s="98"/>
      <c r="AH647" s="98"/>
    </row>
    <row r="648" spans="2:34" x14ac:dyDescent="0.25">
      <c r="B648" s="71"/>
      <c r="C648" s="72"/>
      <c r="D648" s="77"/>
      <c r="E648" s="78"/>
      <c r="F648" s="78"/>
      <c r="G648" s="78"/>
      <c r="H648" s="78"/>
      <c r="I648" s="79"/>
      <c r="J648" s="86"/>
      <c r="K648" s="87"/>
      <c r="L648" s="86"/>
      <c r="M648" s="87"/>
      <c r="N648" s="77"/>
      <c r="O648" s="79"/>
      <c r="P648" s="92"/>
      <c r="Q648" s="93"/>
      <c r="S648" s="99"/>
      <c r="T648" s="99"/>
      <c r="U648" s="99"/>
      <c r="V648" s="99"/>
      <c r="W648" s="99"/>
      <c r="X648" s="99"/>
      <c r="Y648" s="99"/>
      <c r="Z648" s="99"/>
      <c r="AA648" s="99"/>
      <c r="AB648" s="99"/>
      <c r="AC648" s="98"/>
      <c r="AD648" s="98"/>
      <c r="AE648" s="98"/>
      <c r="AF648" s="98"/>
      <c r="AG648" s="98"/>
      <c r="AH648" s="98"/>
    </row>
    <row r="649" spans="2:34" x14ac:dyDescent="0.25">
      <c r="B649" s="73"/>
      <c r="C649" s="74"/>
      <c r="D649" s="80"/>
      <c r="E649" s="81"/>
      <c r="F649" s="81"/>
      <c r="G649" s="81"/>
      <c r="H649" s="81"/>
      <c r="I649" s="82"/>
      <c r="J649" s="88"/>
      <c r="K649" s="89"/>
      <c r="L649" s="88"/>
      <c r="M649" s="89"/>
      <c r="N649" s="80"/>
      <c r="O649" s="82"/>
      <c r="P649" s="94"/>
      <c r="Q649" s="95"/>
      <c r="S649" s="99"/>
      <c r="T649" s="99"/>
      <c r="U649" s="99"/>
      <c r="V649" s="99"/>
      <c r="W649" s="99"/>
      <c r="X649" s="99"/>
      <c r="Y649" s="99"/>
      <c r="Z649" s="99"/>
      <c r="AA649" s="99"/>
      <c r="AB649" s="99"/>
      <c r="AC649" s="98"/>
      <c r="AD649" s="98"/>
      <c r="AE649" s="98"/>
      <c r="AF649" s="98"/>
      <c r="AG649" s="98"/>
      <c r="AH649" s="98"/>
    </row>
    <row r="650" spans="2:34" x14ac:dyDescent="0.25">
      <c r="B650" s="75"/>
      <c r="C650" s="76"/>
      <c r="D650" s="83"/>
      <c r="E650" s="84"/>
      <c r="F650" s="84"/>
      <c r="G650" s="84"/>
      <c r="H650" s="84"/>
      <c r="I650" s="85"/>
      <c r="J650" s="90"/>
      <c r="K650" s="91"/>
      <c r="L650" s="90"/>
      <c r="M650" s="91"/>
      <c r="N650" s="83"/>
      <c r="O650" s="85"/>
      <c r="P650" s="96"/>
      <c r="Q650" s="97"/>
      <c r="S650" s="99"/>
      <c r="T650" s="99"/>
      <c r="U650" s="99"/>
      <c r="V650" s="99"/>
      <c r="W650" s="99"/>
      <c r="X650" s="99"/>
      <c r="Y650" s="99"/>
      <c r="Z650" s="99"/>
      <c r="AA650" s="99"/>
      <c r="AB650" s="99"/>
      <c r="AC650" s="98"/>
      <c r="AD650" s="98"/>
      <c r="AE650" s="98"/>
      <c r="AF650" s="98"/>
      <c r="AG650" s="98"/>
      <c r="AH650" s="98"/>
    </row>
    <row r="651" spans="2:34" x14ac:dyDescent="0.25">
      <c r="B651" s="71"/>
      <c r="C651" s="72"/>
      <c r="D651" s="77"/>
      <c r="E651" s="78"/>
      <c r="F651" s="78"/>
      <c r="G651" s="78"/>
      <c r="H651" s="78"/>
      <c r="I651" s="79"/>
      <c r="J651" s="86"/>
      <c r="K651" s="87"/>
      <c r="L651" s="86"/>
      <c r="M651" s="87"/>
      <c r="N651" s="77"/>
      <c r="O651" s="79"/>
      <c r="P651" s="92"/>
      <c r="Q651" s="93"/>
      <c r="S651" s="99"/>
      <c r="T651" s="99"/>
      <c r="U651" s="99"/>
      <c r="V651" s="99"/>
      <c r="W651" s="99"/>
      <c r="X651" s="99"/>
      <c r="Y651" s="99"/>
      <c r="Z651" s="99"/>
      <c r="AA651" s="99"/>
      <c r="AB651" s="99"/>
      <c r="AC651" s="98"/>
      <c r="AD651" s="98"/>
      <c r="AE651" s="98"/>
      <c r="AF651" s="98"/>
      <c r="AG651" s="98"/>
      <c r="AH651" s="98"/>
    </row>
    <row r="652" spans="2:34" x14ac:dyDescent="0.25">
      <c r="B652" s="73"/>
      <c r="C652" s="74"/>
      <c r="D652" s="80"/>
      <c r="E652" s="81"/>
      <c r="F652" s="81"/>
      <c r="G652" s="81"/>
      <c r="H652" s="81"/>
      <c r="I652" s="82"/>
      <c r="J652" s="88"/>
      <c r="K652" s="89"/>
      <c r="L652" s="88"/>
      <c r="M652" s="89"/>
      <c r="N652" s="80"/>
      <c r="O652" s="82"/>
      <c r="P652" s="94"/>
      <c r="Q652" s="95"/>
      <c r="S652" s="99"/>
      <c r="T652" s="99"/>
      <c r="U652" s="99"/>
      <c r="V652" s="99"/>
      <c r="W652" s="99"/>
      <c r="X652" s="99"/>
      <c r="Y652" s="99"/>
      <c r="Z652" s="99"/>
      <c r="AA652" s="99"/>
      <c r="AB652" s="99"/>
      <c r="AC652" s="98"/>
      <c r="AD652" s="98"/>
      <c r="AE652" s="98"/>
      <c r="AF652" s="98"/>
      <c r="AG652" s="98"/>
      <c r="AH652" s="98"/>
    </row>
    <row r="653" spans="2:34" x14ac:dyDescent="0.25">
      <c r="B653" s="75"/>
      <c r="C653" s="76"/>
      <c r="D653" s="83"/>
      <c r="E653" s="84"/>
      <c r="F653" s="84"/>
      <c r="G653" s="84"/>
      <c r="H653" s="84"/>
      <c r="I653" s="85"/>
      <c r="J653" s="90"/>
      <c r="K653" s="91"/>
      <c r="L653" s="90"/>
      <c r="M653" s="91"/>
      <c r="N653" s="83"/>
      <c r="O653" s="85"/>
      <c r="P653" s="96"/>
      <c r="Q653" s="97"/>
      <c r="S653" s="99"/>
      <c r="T653" s="99"/>
      <c r="U653" s="99"/>
      <c r="V653" s="99"/>
      <c r="W653" s="99"/>
      <c r="X653" s="99"/>
      <c r="Y653" s="99"/>
      <c r="Z653" s="99"/>
      <c r="AA653" s="99"/>
      <c r="AB653" s="99"/>
      <c r="AC653" s="98"/>
      <c r="AD653" s="98"/>
      <c r="AE653" s="98"/>
      <c r="AF653" s="98"/>
      <c r="AG653" s="98"/>
      <c r="AH653" s="98"/>
    </row>
    <row r="654" spans="2:34" x14ac:dyDescent="0.25">
      <c r="B654" s="71"/>
      <c r="C654" s="72"/>
      <c r="D654" s="77"/>
      <c r="E654" s="78"/>
      <c r="F654" s="78"/>
      <c r="G654" s="78"/>
      <c r="H654" s="78"/>
      <c r="I654" s="79"/>
      <c r="J654" s="86"/>
      <c r="K654" s="87"/>
      <c r="L654" s="86"/>
      <c r="M654" s="87"/>
      <c r="N654" s="77"/>
      <c r="O654" s="79"/>
      <c r="P654" s="92"/>
      <c r="Q654" s="93"/>
      <c r="S654" s="99"/>
      <c r="T654" s="99"/>
      <c r="U654" s="99"/>
      <c r="V654" s="99"/>
      <c r="W654" s="99"/>
      <c r="X654" s="99"/>
      <c r="Y654" s="99"/>
      <c r="Z654" s="99"/>
      <c r="AA654" s="99"/>
      <c r="AB654" s="99"/>
      <c r="AC654" s="98"/>
      <c r="AD654" s="98"/>
      <c r="AE654" s="98"/>
      <c r="AF654" s="98"/>
      <c r="AG654" s="98"/>
      <c r="AH654" s="98"/>
    </row>
    <row r="655" spans="2:34" x14ac:dyDescent="0.25">
      <c r="B655" s="73"/>
      <c r="C655" s="74"/>
      <c r="D655" s="80"/>
      <c r="E655" s="81"/>
      <c r="F655" s="81"/>
      <c r="G655" s="81"/>
      <c r="H655" s="81"/>
      <c r="I655" s="82"/>
      <c r="J655" s="88"/>
      <c r="K655" s="89"/>
      <c r="L655" s="88"/>
      <c r="M655" s="89"/>
      <c r="N655" s="80"/>
      <c r="O655" s="82"/>
      <c r="P655" s="94"/>
      <c r="Q655" s="95"/>
      <c r="S655" s="99"/>
      <c r="T655" s="99"/>
      <c r="U655" s="99"/>
      <c r="V655" s="99"/>
      <c r="W655" s="99"/>
      <c r="X655" s="99"/>
      <c r="Y655" s="99"/>
      <c r="Z655" s="99"/>
      <c r="AA655" s="99"/>
      <c r="AB655" s="99"/>
      <c r="AC655" s="98"/>
      <c r="AD655" s="98"/>
      <c r="AE655" s="98"/>
      <c r="AF655" s="98"/>
      <c r="AG655" s="98"/>
      <c r="AH655" s="98"/>
    </row>
    <row r="656" spans="2:34" x14ac:dyDescent="0.25">
      <c r="B656" s="75"/>
      <c r="C656" s="76"/>
      <c r="D656" s="83"/>
      <c r="E656" s="84"/>
      <c r="F656" s="84"/>
      <c r="G656" s="84"/>
      <c r="H656" s="84"/>
      <c r="I656" s="85"/>
      <c r="J656" s="90"/>
      <c r="K656" s="91"/>
      <c r="L656" s="90"/>
      <c r="M656" s="91"/>
      <c r="N656" s="83"/>
      <c r="O656" s="85"/>
      <c r="P656" s="96"/>
      <c r="Q656" s="97"/>
      <c r="S656" s="99"/>
      <c r="T656" s="99"/>
      <c r="U656" s="99"/>
      <c r="V656" s="99"/>
      <c r="W656" s="99"/>
      <c r="X656" s="99"/>
      <c r="Y656" s="99"/>
      <c r="Z656" s="99"/>
      <c r="AA656" s="99"/>
      <c r="AB656" s="99"/>
      <c r="AC656" s="98"/>
      <c r="AD656" s="98"/>
      <c r="AE656" s="98"/>
      <c r="AF656" s="98"/>
      <c r="AG656" s="98"/>
      <c r="AH656" s="98"/>
    </row>
    <row r="657" spans="2:34" x14ac:dyDescent="0.25">
      <c r="B657" s="71"/>
      <c r="C657" s="72"/>
      <c r="D657" s="77"/>
      <c r="E657" s="78"/>
      <c r="F657" s="78"/>
      <c r="G657" s="78"/>
      <c r="H657" s="78"/>
      <c r="I657" s="79"/>
      <c r="J657" s="86"/>
      <c r="K657" s="87"/>
      <c r="L657" s="86"/>
      <c r="M657" s="87"/>
      <c r="N657" s="77"/>
      <c r="O657" s="79"/>
      <c r="P657" s="92"/>
      <c r="Q657" s="93"/>
      <c r="S657" s="99"/>
      <c r="T657" s="99"/>
      <c r="U657" s="99"/>
      <c r="V657" s="99"/>
      <c r="W657" s="99"/>
      <c r="X657" s="99"/>
      <c r="Y657" s="99"/>
      <c r="Z657" s="99"/>
      <c r="AA657" s="99"/>
      <c r="AB657" s="99"/>
      <c r="AC657" s="98"/>
      <c r="AD657" s="98"/>
      <c r="AE657" s="98"/>
      <c r="AF657" s="98"/>
      <c r="AG657" s="98"/>
      <c r="AH657" s="98"/>
    </row>
    <row r="658" spans="2:34" x14ac:dyDescent="0.25">
      <c r="B658" s="73"/>
      <c r="C658" s="74"/>
      <c r="D658" s="80"/>
      <c r="E658" s="81"/>
      <c r="F658" s="81"/>
      <c r="G658" s="81"/>
      <c r="H658" s="81"/>
      <c r="I658" s="82"/>
      <c r="J658" s="88"/>
      <c r="K658" s="89"/>
      <c r="L658" s="88"/>
      <c r="M658" s="89"/>
      <c r="N658" s="80"/>
      <c r="O658" s="82"/>
      <c r="P658" s="94"/>
      <c r="Q658" s="95"/>
      <c r="S658" s="99"/>
      <c r="T658" s="99"/>
      <c r="U658" s="99"/>
      <c r="V658" s="99"/>
      <c r="W658" s="99"/>
      <c r="X658" s="99"/>
      <c r="Y658" s="99"/>
      <c r="Z658" s="99"/>
      <c r="AA658" s="99"/>
      <c r="AB658" s="99"/>
      <c r="AC658" s="98"/>
      <c r="AD658" s="98"/>
      <c r="AE658" s="98"/>
      <c r="AF658" s="98"/>
      <c r="AG658" s="98"/>
      <c r="AH658" s="98"/>
    </row>
    <row r="659" spans="2:34" x14ac:dyDescent="0.25">
      <c r="B659" s="75"/>
      <c r="C659" s="76"/>
      <c r="D659" s="83"/>
      <c r="E659" s="84"/>
      <c r="F659" s="84"/>
      <c r="G659" s="84"/>
      <c r="H659" s="84"/>
      <c r="I659" s="85"/>
      <c r="J659" s="90"/>
      <c r="K659" s="91"/>
      <c r="L659" s="90"/>
      <c r="M659" s="91"/>
      <c r="N659" s="83"/>
      <c r="O659" s="85"/>
      <c r="P659" s="96"/>
      <c r="Q659" s="97"/>
      <c r="S659" s="99"/>
      <c r="T659" s="99"/>
      <c r="U659" s="99"/>
      <c r="V659" s="99"/>
      <c r="W659" s="99"/>
      <c r="X659" s="99"/>
      <c r="Y659" s="99"/>
      <c r="Z659" s="99"/>
      <c r="AA659" s="99"/>
      <c r="AB659" s="99"/>
      <c r="AC659" s="98"/>
      <c r="AD659" s="98"/>
      <c r="AE659" s="98"/>
      <c r="AF659" s="98"/>
      <c r="AG659" s="98"/>
      <c r="AH659" s="98"/>
    </row>
    <row r="660" spans="2:34" x14ac:dyDescent="0.25">
      <c r="B660" s="71"/>
      <c r="C660" s="72"/>
      <c r="D660" s="77"/>
      <c r="E660" s="78"/>
      <c r="F660" s="78"/>
      <c r="G660" s="78"/>
      <c r="H660" s="78"/>
      <c r="I660" s="79"/>
      <c r="J660" s="86"/>
      <c r="K660" s="87"/>
      <c r="L660" s="86"/>
      <c r="M660" s="87"/>
      <c r="N660" s="77"/>
      <c r="O660" s="79"/>
      <c r="P660" s="92"/>
      <c r="Q660" s="93"/>
      <c r="S660" s="99"/>
      <c r="T660" s="99"/>
      <c r="U660" s="99"/>
      <c r="V660" s="99"/>
      <c r="W660" s="99"/>
      <c r="X660" s="99"/>
      <c r="Y660" s="99"/>
      <c r="Z660" s="99"/>
      <c r="AA660" s="99"/>
      <c r="AB660" s="99"/>
      <c r="AC660" s="98"/>
      <c r="AD660" s="98"/>
      <c r="AE660" s="98"/>
      <c r="AF660" s="98"/>
      <c r="AG660" s="98"/>
      <c r="AH660" s="98"/>
    </row>
    <row r="661" spans="2:34" x14ac:dyDescent="0.25">
      <c r="B661" s="73"/>
      <c r="C661" s="74"/>
      <c r="D661" s="80"/>
      <c r="E661" s="81"/>
      <c r="F661" s="81"/>
      <c r="G661" s="81"/>
      <c r="H661" s="81"/>
      <c r="I661" s="82"/>
      <c r="J661" s="88"/>
      <c r="K661" s="89"/>
      <c r="L661" s="88"/>
      <c r="M661" s="89"/>
      <c r="N661" s="80"/>
      <c r="O661" s="82"/>
      <c r="P661" s="94"/>
      <c r="Q661" s="95"/>
      <c r="S661" s="99"/>
      <c r="T661" s="99"/>
      <c r="U661" s="99"/>
      <c r="V661" s="99"/>
      <c r="W661" s="99"/>
      <c r="X661" s="99"/>
      <c r="Y661" s="99"/>
      <c r="Z661" s="99"/>
      <c r="AA661" s="99"/>
      <c r="AB661" s="99"/>
      <c r="AC661" s="98"/>
      <c r="AD661" s="98"/>
      <c r="AE661" s="98"/>
      <c r="AF661" s="98"/>
      <c r="AG661" s="98"/>
      <c r="AH661" s="98"/>
    </row>
    <row r="662" spans="2:34" x14ac:dyDescent="0.25">
      <c r="B662" s="75"/>
      <c r="C662" s="76"/>
      <c r="D662" s="83"/>
      <c r="E662" s="84"/>
      <c r="F662" s="84"/>
      <c r="G662" s="84"/>
      <c r="H662" s="84"/>
      <c r="I662" s="85"/>
      <c r="J662" s="90"/>
      <c r="K662" s="91"/>
      <c r="L662" s="90"/>
      <c r="M662" s="91"/>
      <c r="N662" s="83"/>
      <c r="O662" s="85"/>
      <c r="P662" s="96"/>
      <c r="Q662" s="97"/>
      <c r="S662" s="99"/>
      <c r="T662" s="99"/>
      <c r="U662" s="99"/>
      <c r="V662" s="99"/>
      <c r="W662" s="99"/>
      <c r="X662" s="99"/>
      <c r="Y662" s="99"/>
      <c r="Z662" s="99"/>
      <c r="AA662" s="99"/>
      <c r="AB662" s="99"/>
      <c r="AC662" s="98"/>
      <c r="AD662" s="98"/>
      <c r="AE662" s="98"/>
      <c r="AF662" s="98"/>
      <c r="AG662" s="98"/>
      <c r="AH662" s="98"/>
    </row>
    <row r="663" spans="2:34" x14ac:dyDescent="0.25">
      <c r="B663" s="71"/>
      <c r="C663" s="72"/>
      <c r="D663" s="77"/>
      <c r="E663" s="78"/>
      <c r="F663" s="78"/>
      <c r="G663" s="78"/>
      <c r="H663" s="78"/>
      <c r="I663" s="79"/>
      <c r="J663" s="86"/>
      <c r="K663" s="87"/>
      <c r="L663" s="86"/>
      <c r="M663" s="87"/>
      <c r="N663" s="77"/>
      <c r="O663" s="79"/>
      <c r="P663" s="92"/>
      <c r="Q663" s="93"/>
      <c r="S663" s="99"/>
      <c r="T663" s="99"/>
      <c r="U663" s="99"/>
      <c r="V663" s="99"/>
      <c r="W663" s="99"/>
      <c r="X663" s="99"/>
      <c r="Y663" s="99"/>
      <c r="Z663" s="99"/>
      <c r="AA663" s="99"/>
      <c r="AB663" s="99"/>
      <c r="AC663" s="98"/>
      <c r="AD663" s="98"/>
      <c r="AE663" s="98"/>
      <c r="AF663" s="98"/>
      <c r="AG663" s="98"/>
      <c r="AH663" s="98"/>
    </row>
    <row r="664" spans="2:34" x14ac:dyDescent="0.25">
      <c r="B664" s="73"/>
      <c r="C664" s="74"/>
      <c r="D664" s="80"/>
      <c r="E664" s="81"/>
      <c r="F664" s="81"/>
      <c r="G664" s="81"/>
      <c r="H664" s="81"/>
      <c r="I664" s="82"/>
      <c r="J664" s="88"/>
      <c r="K664" s="89"/>
      <c r="L664" s="88"/>
      <c r="M664" s="89"/>
      <c r="N664" s="80"/>
      <c r="O664" s="82"/>
      <c r="P664" s="94"/>
      <c r="Q664" s="95"/>
      <c r="S664" s="99"/>
      <c r="T664" s="99"/>
      <c r="U664" s="99"/>
      <c r="V664" s="99"/>
      <c r="W664" s="99"/>
      <c r="X664" s="99"/>
      <c r="Y664" s="99"/>
      <c r="Z664" s="99"/>
      <c r="AA664" s="99"/>
      <c r="AB664" s="99"/>
      <c r="AC664" s="98"/>
      <c r="AD664" s="98"/>
      <c r="AE664" s="98"/>
      <c r="AF664" s="98"/>
      <c r="AG664" s="98"/>
      <c r="AH664" s="98"/>
    </row>
    <row r="665" spans="2:34" x14ac:dyDescent="0.25">
      <c r="B665" s="75"/>
      <c r="C665" s="76"/>
      <c r="D665" s="83"/>
      <c r="E665" s="84"/>
      <c r="F665" s="84"/>
      <c r="G665" s="84"/>
      <c r="H665" s="84"/>
      <c r="I665" s="85"/>
      <c r="J665" s="90"/>
      <c r="K665" s="91"/>
      <c r="L665" s="90"/>
      <c r="M665" s="91"/>
      <c r="N665" s="83"/>
      <c r="O665" s="85"/>
      <c r="P665" s="96"/>
      <c r="Q665" s="97"/>
      <c r="S665" s="99"/>
      <c r="T665" s="99"/>
      <c r="U665" s="99"/>
      <c r="V665" s="99"/>
      <c r="W665" s="99"/>
      <c r="X665" s="99"/>
      <c r="Y665" s="99"/>
      <c r="Z665" s="99"/>
      <c r="AA665" s="99"/>
      <c r="AB665" s="99"/>
      <c r="AC665" s="98"/>
      <c r="AD665" s="98"/>
      <c r="AE665" s="98"/>
      <c r="AF665" s="98"/>
      <c r="AG665" s="98"/>
      <c r="AH665" s="98"/>
    </row>
    <row r="666" spans="2:34" x14ac:dyDescent="0.25">
      <c r="B666" s="71"/>
      <c r="C666" s="72"/>
      <c r="D666" s="77"/>
      <c r="E666" s="78"/>
      <c r="F666" s="78"/>
      <c r="G666" s="78"/>
      <c r="H666" s="78"/>
      <c r="I666" s="79"/>
      <c r="J666" s="86"/>
      <c r="K666" s="87"/>
      <c r="L666" s="86"/>
      <c r="M666" s="87"/>
      <c r="N666" s="77"/>
      <c r="O666" s="79"/>
      <c r="P666" s="92"/>
      <c r="Q666" s="93"/>
      <c r="S666" s="99"/>
      <c r="T666" s="99"/>
      <c r="U666" s="99"/>
      <c r="V666" s="99"/>
      <c r="W666" s="99"/>
      <c r="X666" s="99"/>
      <c r="Y666" s="99"/>
      <c r="Z666" s="99"/>
      <c r="AA666" s="99"/>
      <c r="AB666" s="99"/>
      <c r="AC666" s="98"/>
      <c r="AD666" s="98"/>
      <c r="AE666" s="98"/>
      <c r="AF666" s="98"/>
      <c r="AG666" s="98"/>
      <c r="AH666" s="98"/>
    </row>
    <row r="667" spans="2:34" x14ac:dyDescent="0.25">
      <c r="B667" s="73"/>
      <c r="C667" s="74"/>
      <c r="D667" s="80"/>
      <c r="E667" s="81"/>
      <c r="F667" s="81"/>
      <c r="G667" s="81"/>
      <c r="H667" s="81"/>
      <c r="I667" s="82"/>
      <c r="J667" s="88"/>
      <c r="K667" s="89"/>
      <c r="L667" s="88"/>
      <c r="M667" s="89"/>
      <c r="N667" s="80"/>
      <c r="O667" s="82"/>
      <c r="P667" s="94"/>
      <c r="Q667" s="95"/>
      <c r="S667" s="99"/>
      <c r="T667" s="99"/>
      <c r="U667" s="99"/>
      <c r="V667" s="99"/>
      <c r="W667" s="99"/>
      <c r="X667" s="99"/>
      <c r="Y667" s="99"/>
      <c r="Z667" s="99"/>
      <c r="AA667" s="99"/>
      <c r="AB667" s="99"/>
      <c r="AC667" s="98"/>
      <c r="AD667" s="98"/>
      <c r="AE667" s="98"/>
      <c r="AF667" s="98"/>
      <c r="AG667" s="98"/>
      <c r="AH667" s="98"/>
    </row>
    <row r="668" spans="2:34" x14ac:dyDescent="0.25">
      <c r="B668" s="75"/>
      <c r="C668" s="76"/>
      <c r="D668" s="83"/>
      <c r="E668" s="84"/>
      <c r="F668" s="84"/>
      <c r="G668" s="84"/>
      <c r="H668" s="84"/>
      <c r="I668" s="85"/>
      <c r="J668" s="90"/>
      <c r="K668" s="91"/>
      <c r="L668" s="90"/>
      <c r="M668" s="91"/>
      <c r="N668" s="83"/>
      <c r="O668" s="85"/>
      <c r="P668" s="96"/>
      <c r="Q668" s="97"/>
      <c r="S668" s="99"/>
      <c r="T668" s="99"/>
      <c r="U668" s="99"/>
      <c r="V668" s="99"/>
      <c r="W668" s="99"/>
      <c r="X668" s="99"/>
      <c r="Y668" s="99"/>
      <c r="Z668" s="99"/>
      <c r="AA668" s="99"/>
      <c r="AB668" s="99"/>
      <c r="AC668" s="98"/>
      <c r="AD668" s="98"/>
      <c r="AE668" s="98"/>
      <c r="AF668" s="98"/>
      <c r="AG668" s="98"/>
      <c r="AH668" s="98"/>
    </row>
    <row r="669" spans="2:34" x14ac:dyDescent="0.25">
      <c r="B669" s="71"/>
      <c r="C669" s="72"/>
      <c r="D669" s="77"/>
      <c r="E669" s="78"/>
      <c r="F669" s="78"/>
      <c r="G669" s="78"/>
      <c r="H669" s="78"/>
      <c r="I669" s="79"/>
      <c r="J669" s="86"/>
      <c r="K669" s="87"/>
      <c r="L669" s="86"/>
      <c r="M669" s="87"/>
      <c r="N669" s="77"/>
      <c r="O669" s="79"/>
      <c r="P669" s="92"/>
      <c r="Q669" s="93"/>
      <c r="S669" s="99"/>
      <c r="T669" s="99"/>
      <c r="U669" s="99"/>
      <c r="V669" s="99"/>
      <c r="W669" s="99"/>
      <c r="X669" s="99"/>
      <c r="Y669" s="99"/>
      <c r="Z669" s="99"/>
      <c r="AA669" s="99"/>
      <c r="AB669" s="99"/>
      <c r="AC669" s="98"/>
      <c r="AD669" s="98"/>
      <c r="AE669" s="98"/>
      <c r="AF669" s="98"/>
      <c r="AG669" s="98"/>
      <c r="AH669" s="98"/>
    </row>
    <row r="670" spans="2:34" x14ac:dyDescent="0.25">
      <c r="B670" s="73"/>
      <c r="C670" s="74"/>
      <c r="D670" s="80"/>
      <c r="E670" s="81"/>
      <c r="F670" s="81"/>
      <c r="G670" s="81"/>
      <c r="H670" s="81"/>
      <c r="I670" s="82"/>
      <c r="J670" s="88"/>
      <c r="K670" s="89"/>
      <c r="L670" s="88"/>
      <c r="M670" s="89"/>
      <c r="N670" s="80"/>
      <c r="O670" s="82"/>
      <c r="P670" s="94"/>
      <c r="Q670" s="95"/>
      <c r="S670" s="99"/>
      <c r="T670" s="99"/>
      <c r="U670" s="99"/>
      <c r="V670" s="99"/>
      <c r="W670" s="99"/>
      <c r="X670" s="99"/>
      <c r="Y670" s="99"/>
      <c r="Z670" s="99"/>
      <c r="AA670" s="99"/>
      <c r="AB670" s="99"/>
      <c r="AC670" s="98"/>
      <c r="AD670" s="98"/>
      <c r="AE670" s="98"/>
      <c r="AF670" s="98"/>
      <c r="AG670" s="98"/>
      <c r="AH670" s="98"/>
    </row>
    <row r="671" spans="2:34" x14ac:dyDescent="0.25">
      <c r="B671" s="75"/>
      <c r="C671" s="76"/>
      <c r="D671" s="83"/>
      <c r="E671" s="84"/>
      <c r="F671" s="84"/>
      <c r="G671" s="84"/>
      <c r="H671" s="84"/>
      <c r="I671" s="85"/>
      <c r="J671" s="90"/>
      <c r="K671" s="91"/>
      <c r="L671" s="90"/>
      <c r="M671" s="91"/>
      <c r="N671" s="83"/>
      <c r="O671" s="85"/>
      <c r="P671" s="96"/>
      <c r="Q671" s="97"/>
      <c r="S671" s="99"/>
      <c r="T671" s="99"/>
      <c r="U671" s="99"/>
      <c r="V671" s="99"/>
      <c r="W671" s="99"/>
      <c r="X671" s="99"/>
      <c r="Y671" s="99"/>
      <c r="Z671" s="99"/>
      <c r="AA671" s="99"/>
      <c r="AB671" s="99"/>
      <c r="AC671" s="98"/>
      <c r="AD671" s="98"/>
      <c r="AE671" s="98"/>
      <c r="AF671" s="98"/>
      <c r="AG671" s="98"/>
      <c r="AH671" s="98"/>
    </row>
    <row r="672" spans="2:34" x14ac:dyDescent="0.25">
      <c r="B672" s="71"/>
      <c r="C672" s="72"/>
      <c r="D672" s="77"/>
      <c r="E672" s="78"/>
      <c r="F672" s="78"/>
      <c r="G672" s="78"/>
      <c r="H672" s="78"/>
      <c r="I672" s="79"/>
      <c r="J672" s="86"/>
      <c r="K672" s="87"/>
      <c r="L672" s="86"/>
      <c r="M672" s="87"/>
      <c r="N672" s="77"/>
      <c r="O672" s="79"/>
      <c r="P672" s="92"/>
      <c r="Q672" s="93"/>
      <c r="S672" s="99"/>
      <c r="T672" s="99"/>
      <c r="U672" s="99"/>
      <c r="V672" s="99"/>
      <c r="W672" s="99"/>
      <c r="X672" s="99"/>
      <c r="Y672" s="99"/>
      <c r="Z672" s="99"/>
      <c r="AA672" s="99"/>
      <c r="AB672" s="99"/>
      <c r="AC672" s="98"/>
      <c r="AD672" s="98"/>
      <c r="AE672" s="98"/>
      <c r="AF672" s="98"/>
      <c r="AG672" s="98"/>
      <c r="AH672" s="98"/>
    </row>
    <row r="673" spans="2:34" x14ac:dyDescent="0.25">
      <c r="B673" s="73"/>
      <c r="C673" s="74"/>
      <c r="D673" s="80"/>
      <c r="E673" s="81"/>
      <c r="F673" s="81"/>
      <c r="G673" s="81"/>
      <c r="H673" s="81"/>
      <c r="I673" s="82"/>
      <c r="J673" s="88"/>
      <c r="K673" s="89"/>
      <c r="L673" s="88"/>
      <c r="M673" s="89"/>
      <c r="N673" s="80"/>
      <c r="O673" s="82"/>
      <c r="P673" s="94"/>
      <c r="Q673" s="95"/>
      <c r="S673" s="99"/>
      <c r="T673" s="99"/>
      <c r="U673" s="99"/>
      <c r="V673" s="99"/>
      <c r="W673" s="99"/>
      <c r="X673" s="99"/>
      <c r="Y673" s="99"/>
      <c r="Z673" s="99"/>
      <c r="AA673" s="99"/>
      <c r="AB673" s="99"/>
      <c r="AC673" s="98"/>
      <c r="AD673" s="98"/>
      <c r="AE673" s="98"/>
      <c r="AF673" s="98"/>
      <c r="AG673" s="98"/>
      <c r="AH673" s="98"/>
    </row>
    <row r="674" spans="2:34" x14ac:dyDescent="0.25">
      <c r="B674" s="75"/>
      <c r="C674" s="76"/>
      <c r="D674" s="83"/>
      <c r="E674" s="84"/>
      <c r="F674" s="84"/>
      <c r="G674" s="84"/>
      <c r="H674" s="84"/>
      <c r="I674" s="85"/>
      <c r="J674" s="90"/>
      <c r="K674" s="91"/>
      <c r="L674" s="90"/>
      <c r="M674" s="91"/>
      <c r="N674" s="83"/>
      <c r="O674" s="85"/>
      <c r="P674" s="96"/>
      <c r="Q674" s="97"/>
      <c r="S674" s="99"/>
      <c r="T674" s="99"/>
      <c r="U674" s="99"/>
      <c r="V674" s="99"/>
      <c r="W674" s="99"/>
      <c r="X674" s="99"/>
      <c r="Y674" s="99"/>
      <c r="Z674" s="99"/>
      <c r="AA674" s="99"/>
      <c r="AB674" s="99"/>
      <c r="AC674" s="98"/>
      <c r="AD674" s="98"/>
      <c r="AE674" s="98"/>
      <c r="AF674" s="98"/>
      <c r="AG674" s="98"/>
      <c r="AH674" s="98"/>
    </row>
    <row r="675" spans="2:34" x14ac:dyDescent="0.25">
      <c r="B675" s="71"/>
      <c r="C675" s="72"/>
      <c r="D675" s="77"/>
      <c r="E675" s="78"/>
      <c r="F675" s="78"/>
      <c r="G675" s="78"/>
      <c r="H675" s="78"/>
      <c r="I675" s="79"/>
      <c r="J675" s="86"/>
      <c r="K675" s="87"/>
      <c r="L675" s="86"/>
      <c r="M675" s="87"/>
      <c r="N675" s="77"/>
      <c r="O675" s="79"/>
      <c r="P675" s="92"/>
      <c r="Q675" s="93"/>
      <c r="S675" s="99"/>
      <c r="T675" s="99"/>
      <c r="U675" s="99"/>
      <c r="V675" s="99"/>
      <c r="W675" s="99"/>
      <c r="X675" s="99"/>
      <c r="Y675" s="99"/>
      <c r="Z675" s="99"/>
      <c r="AA675" s="99"/>
      <c r="AB675" s="99"/>
      <c r="AC675" s="98"/>
      <c r="AD675" s="98"/>
      <c r="AE675" s="98"/>
      <c r="AF675" s="98"/>
      <c r="AG675" s="98"/>
      <c r="AH675" s="98"/>
    </row>
    <row r="676" spans="2:34" x14ac:dyDescent="0.25">
      <c r="B676" s="73"/>
      <c r="C676" s="74"/>
      <c r="D676" s="80"/>
      <c r="E676" s="81"/>
      <c r="F676" s="81"/>
      <c r="G676" s="81"/>
      <c r="H676" s="81"/>
      <c r="I676" s="82"/>
      <c r="J676" s="88"/>
      <c r="K676" s="89"/>
      <c r="L676" s="88"/>
      <c r="M676" s="89"/>
      <c r="N676" s="80"/>
      <c r="O676" s="82"/>
      <c r="P676" s="94"/>
      <c r="Q676" s="95"/>
      <c r="S676" s="99"/>
      <c r="T676" s="99"/>
      <c r="U676" s="99"/>
      <c r="V676" s="99"/>
      <c r="W676" s="99"/>
      <c r="X676" s="99"/>
      <c r="Y676" s="99"/>
      <c r="Z676" s="99"/>
      <c r="AA676" s="99"/>
      <c r="AB676" s="99"/>
      <c r="AC676" s="98"/>
      <c r="AD676" s="98"/>
      <c r="AE676" s="98"/>
      <c r="AF676" s="98"/>
      <c r="AG676" s="98"/>
      <c r="AH676" s="98"/>
    </row>
    <row r="677" spans="2:34" x14ac:dyDescent="0.25">
      <c r="B677" s="75"/>
      <c r="C677" s="76"/>
      <c r="D677" s="83"/>
      <c r="E677" s="84"/>
      <c r="F677" s="84"/>
      <c r="G677" s="84"/>
      <c r="H677" s="84"/>
      <c r="I677" s="85"/>
      <c r="J677" s="90"/>
      <c r="K677" s="91"/>
      <c r="L677" s="90"/>
      <c r="M677" s="91"/>
      <c r="N677" s="83"/>
      <c r="O677" s="85"/>
      <c r="P677" s="96"/>
      <c r="Q677" s="97"/>
      <c r="S677" s="99"/>
      <c r="T677" s="99"/>
      <c r="U677" s="99"/>
      <c r="V677" s="99"/>
      <c r="W677" s="99"/>
      <c r="X677" s="99"/>
      <c r="Y677" s="99"/>
      <c r="Z677" s="99"/>
      <c r="AA677" s="99"/>
      <c r="AB677" s="99"/>
      <c r="AC677" s="98"/>
      <c r="AD677" s="98"/>
      <c r="AE677" s="98"/>
      <c r="AF677" s="98"/>
      <c r="AG677" s="98"/>
      <c r="AH677" s="98"/>
    </row>
    <row r="678" spans="2:34" x14ac:dyDescent="0.25">
      <c r="B678" s="71"/>
      <c r="C678" s="72"/>
      <c r="D678" s="77"/>
      <c r="E678" s="78"/>
      <c r="F678" s="78"/>
      <c r="G678" s="78"/>
      <c r="H678" s="78"/>
      <c r="I678" s="79"/>
      <c r="J678" s="86"/>
      <c r="K678" s="87"/>
      <c r="L678" s="86"/>
      <c r="M678" s="87"/>
      <c r="N678" s="77"/>
      <c r="O678" s="79"/>
      <c r="P678" s="92"/>
      <c r="Q678" s="93"/>
      <c r="S678" s="99"/>
      <c r="T678" s="99"/>
      <c r="U678" s="99"/>
      <c r="V678" s="99"/>
      <c r="W678" s="99"/>
      <c r="X678" s="99"/>
      <c r="Y678" s="99"/>
      <c r="Z678" s="99"/>
      <c r="AA678" s="99"/>
      <c r="AB678" s="99"/>
      <c r="AC678" s="98"/>
      <c r="AD678" s="98"/>
      <c r="AE678" s="98"/>
      <c r="AF678" s="98"/>
      <c r="AG678" s="98"/>
      <c r="AH678" s="98"/>
    </row>
    <row r="679" spans="2:34" x14ac:dyDescent="0.25">
      <c r="B679" s="73"/>
      <c r="C679" s="74"/>
      <c r="D679" s="80"/>
      <c r="E679" s="81"/>
      <c r="F679" s="81"/>
      <c r="G679" s="81"/>
      <c r="H679" s="81"/>
      <c r="I679" s="82"/>
      <c r="J679" s="88"/>
      <c r="K679" s="89"/>
      <c r="L679" s="88"/>
      <c r="M679" s="89"/>
      <c r="N679" s="80"/>
      <c r="O679" s="82"/>
      <c r="P679" s="94"/>
      <c r="Q679" s="95"/>
      <c r="S679" s="99"/>
      <c r="T679" s="99"/>
      <c r="U679" s="99"/>
      <c r="V679" s="99"/>
      <c r="W679" s="99"/>
      <c r="X679" s="99"/>
      <c r="Y679" s="99"/>
      <c r="Z679" s="99"/>
      <c r="AA679" s="99"/>
      <c r="AB679" s="99"/>
      <c r="AC679" s="98"/>
      <c r="AD679" s="98"/>
      <c r="AE679" s="98"/>
      <c r="AF679" s="98"/>
      <c r="AG679" s="98"/>
      <c r="AH679" s="98"/>
    </row>
    <row r="680" spans="2:34" x14ac:dyDescent="0.25">
      <c r="B680" s="75"/>
      <c r="C680" s="76"/>
      <c r="D680" s="83"/>
      <c r="E680" s="84"/>
      <c r="F680" s="84"/>
      <c r="G680" s="84"/>
      <c r="H680" s="84"/>
      <c r="I680" s="85"/>
      <c r="J680" s="90"/>
      <c r="K680" s="91"/>
      <c r="L680" s="90"/>
      <c r="M680" s="91"/>
      <c r="N680" s="83"/>
      <c r="O680" s="85"/>
      <c r="P680" s="96"/>
      <c r="Q680" s="97"/>
      <c r="S680" s="99"/>
      <c r="T680" s="99"/>
      <c r="U680" s="99"/>
      <c r="V680" s="99"/>
      <c r="W680" s="99"/>
      <c r="X680" s="99"/>
      <c r="Y680" s="99"/>
      <c r="Z680" s="99"/>
      <c r="AA680" s="99"/>
      <c r="AB680" s="99"/>
      <c r="AC680" s="98"/>
      <c r="AD680" s="98"/>
      <c r="AE680" s="98"/>
      <c r="AF680" s="98"/>
      <c r="AG680" s="98"/>
      <c r="AH680" s="98"/>
    </row>
    <row r="681" spans="2:34" x14ac:dyDescent="0.25">
      <c r="B681" s="71"/>
      <c r="C681" s="72"/>
      <c r="D681" s="77"/>
      <c r="E681" s="78"/>
      <c r="F681" s="78"/>
      <c r="G681" s="78"/>
      <c r="H681" s="78"/>
      <c r="I681" s="79"/>
      <c r="J681" s="86"/>
      <c r="K681" s="87"/>
      <c r="L681" s="86"/>
      <c r="M681" s="87"/>
      <c r="N681" s="77"/>
      <c r="O681" s="79"/>
      <c r="P681" s="92"/>
      <c r="Q681" s="93"/>
      <c r="S681" s="99"/>
      <c r="T681" s="99"/>
      <c r="U681" s="99"/>
      <c r="V681" s="99"/>
      <c r="W681" s="99"/>
      <c r="X681" s="99"/>
      <c r="Y681" s="99"/>
      <c r="Z681" s="99"/>
      <c r="AA681" s="99"/>
      <c r="AB681" s="99"/>
      <c r="AC681" s="98"/>
      <c r="AD681" s="98"/>
      <c r="AE681" s="98"/>
      <c r="AF681" s="98"/>
      <c r="AG681" s="98"/>
      <c r="AH681" s="98"/>
    </row>
    <row r="682" spans="2:34" x14ac:dyDescent="0.25">
      <c r="B682" s="73"/>
      <c r="C682" s="74"/>
      <c r="D682" s="80"/>
      <c r="E682" s="81"/>
      <c r="F682" s="81"/>
      <c r="G682" s="81"/>
      <c r="H682" s="81"/>
      <c r="I682" s="82"/>
      <c r="J682" s="88"/>
      <c r="K682" s="89"/>
      <c r="L682" s="88"/>
      <c r="M682" s="89"/>
      <c r="N682" s="80"/>
      <c r="O682" s="82"/>
      <c r="P682" s="94"/>
      <c r="Q682" s="95"/>
      <c r="S682" s="99"/>
      <c r="T682" s="99"/>
      <c r="U682" s="99"/>
      <c r="V682" s="99"/>
      <c r="W682" s="99"/>
      <c r="X682" s="99"/>
      <c r="Y682" s="99"/>
      <c r="Z682" s="99"/>
      <c r="AA682" s="99"/>
      <c r="AB682" s="99"/>
      <c r="AC682" s="98"/>
      <c r="AD682" s="98"/>
      <c r="AE682" s="98"/>
      <c r="AF682" s="98"/>
      <c r="AG682" s="98"/>
      <c r="AH682" s="98"/>
    </row>
    <row r="683" spans="2:34" x14ac:dyDescent="0.25">
      <c r="B683" s="75"/>
      <c r="C683" s="76"/>
      <c r="D683" s="83"/>
      <c r="E683" s="84"/>
      <c r="F683" s="84"/>
      <c r="G683" s="84"/>
      <c r="H683" s="84"/>
      <c r="I683" s="85"/>
      <c r="J683" s="90"/>
      <c r="K683" s="91"/>
      <c r="L683" s="90"/>
      <c r="M683" s="91"/>
      <c r="N683" s="83"/>
      <c r="O683" s="85"/>
      <c r="P683" s="96"/>
      <c r="Q683" s="97"/>
      <c r="S683" s="99"/>
      <c r="T683" s="99"/>
      <c r="U683" s="99"/>
      <c r="V683" s="99"/>
      <c r="W683" s="99"/>
      <c r="X683" s="99"/>
      <c r="Y683" s="99"/>
      <c r="Z683" s="99"/>
      <c r="AA683" s="99"/>
      <c r="AB683" s="99"/>
      <c r="AC683" s="98"/>
      <c r="AD683" s="98"/>
      <c r="AE683" s="98"/>
      <c r="AF683" s="98"/>
      <c r="AG683" s="98"/>
      <c r="AH683" s="98"/>
    </row>
    <row r="684" spans="2:34" x14ac:dyDescent="0.25">
      <c r="B684" s="71"/>
      <c r="C684" s="72"/>
      <c r="D684" s="77"/>
      <c r="E684" s="78"/>
      <c r="F684" s="78"/>
      <c r="G684" s="78"/>
      <c r="H684" s="78"/>
      <c r="I684" s="79"/>
      <c r="J684" s="86"/>
      <c r="K684" s="87"/>
      <c r="L684" s="86"/>
      <c r="M684" s="87"/>
      <c r="N684" s="77"/>
      <c r="O684" s="79"/>
      <c r="P684" s="92"/>
      <c r="Q684" s="93"/>
      <c r="S684" s="99"/>
      <c r="T684" s="99"/>
      <c r="U684" s="99"/>
      <c r="V684" s="99"/>
      <c r="W684" s="99"/>
      <c r="X684" s="99"/>
      <c r="Y684" s="99"/>
      <c r="Z684" s="99"/>
      <c r="AA684" s="99"/>
      <c r="AB684" s="99"/>
      <c r="AC684" s="98"/>
      <c r="AD684" s="98"/>
      <c r="AE684" s="98"/>
      <c r="AF684" s="98"/>
      <c r="AG684" s="98"/>
      <c r="AH684" s="98"/>
    </row>
    <row r="685" spans="2:34" x14ac:dyDescent="0.25">
      <c r="B685" s="73"/>
      <c r="C685" s="74"/>
      <c r="D685" s="80"/>
      <c r="E685" s="81"/>
      <c r="F685" s="81"/>
      <c r="G685" s="81"/>
      <c r="H685" s="81"/>
      <c r="I685" s="82"/>
      <c r="J685" s="88"/>
      <c r="K685" s="89"/>
      <c r="L685" s="88"/>
      <c r="M685" s="89"/>
      <c r="N685" s="80"/>
      <c r="O685" s="82"/>
      <c r="P685" s="94"/>
      <c r="Q685" s="95"/>
      <c r="S685" s="99"/>
      <c r="T685" s="99"/>
      <c r="U685" s="99"/>
      <c r="V685" s="99"/>
      <c r="W685" s="99"/>
      <c r="X685" s="99"/>
      <c r="Y685" s="99"/>
      <c r="Z685" s="99"/>
      <c r="AA685" s="99"/>
      <c r="AB685" s="99"/>
      <c r="AC685" s="98"/>
      <c r="AD685" s="98"/>
      <c r="AE685" s="98"/>
      <c r="AF685" s="98"/>
      <c r="AG685" s="98"/>
      <c r="AH685" s="98"/>
    </row>
    <row r="686" spans="2:34" x14ac:dyDescent="0.25">
      <c r="B686" s="75"/>
      <c r="C686" s="76"/>
      <c r="D686" s="83"/>
      <c r="E686" s="84"/>
      <c r="F686" s="84"/>
      <c r="G686" s="84"/>
      <c r="H686" s="84"/>
      <c r="I686" s="85"/>
      <c r="J686" s="90"/>
      <c r="K686" s="91"/>
      <c r="L686" s="90"/>
      <c r="M686" s="91"/>
      <c r="N686" s="83"/>
      <c r="O686" s="85"/>
      <c r="P686" s="96"/>
      <c r="Q686" s="97"/>
      <c r="S686" s="99"/>
      <c r="T686" s="99"/>
      <c r="U686" s="99"/>
      <c r="V686" s="99"/>
      <c r="W686" s="99"/>
      <c r="X686" s="99"/>
      <c r="Y686" s="99"/>
      <c r="Z686" s="99"/>
      <c r="AA686" s="99"/>
      <c r="AB686" s="99"/>
      <c r="AC686" s="98"/>
      <c r="AD686" s="98"/>
      <c r="AE686" s="98"/>
      <c r="AF686" s="98"/>
      <c r="AG686" s="98"/>
      <c r="AH686" s="98"/>
    </row>
    <row r="687" spans="2:34" x14ac:dyDescent="0.25">
      <c r="B687" s="71"/>
      <c r="C687" s="72"/>
      <c r="D687" s="77"/>
      <c r="E687" s="78"/>
      <c r="F687" s="78"/>
      <c r="G687" s="78"/>
      <c r="H687" s="78"/>
      <c r="I687" s="79"/>
      <c r="J687" s="86"/>
      <c r="K687" s="87"/>
      <c r="L687" s="86"/>
      <c r="M687" s="87"/>
      <c r="N687" s="77"/>
      <c r="O687" s="79"/>
      <c r="P687" s="92"/>
      <c r="Q687" s="93"/>
      <c r="S687" s="99"/>
      <c r="T687" s="99"/>
      <c r="U687" s="99"/>
      <c r="V687" s="99"/>
      <c r="W687" s="99"/>
      <c r="X687" s="99"/>
      <c r="Y687" s="99"/>
      <c r="Z687" s="99"/>
      <c r="AA687" s="99"/>
      <c r="AB687" s="99"/>
      <c r="AC687" s="98"/>
      <c r="AD687" s="98"/>
      <c r="AE687" s="98"/>
      <c r="AF687" s="98"/>
      <c r="AG687" s="98"/>
      <c r="AH687" s="98"/>
    </row>
    <row r="688" spans="2:34" x14ac:dyDescent="0.25">
      <c r="B688" s="73"/>
      <c r="C688" s="74"/>
      <c r="D688" s="80"/>
      <c r="E688" s="81"/>
      <c r="F688" s="81"/>
      <c r="G688" s="81"/>
      <c r="H688" s="81"/>
      <c r="I688" s="82"/>
      <c r="J688" s="88"/>
      <c r="K688" s="89"/>
      <c r="L688" s="88"/>
      <c r="M688" s="89"/>
      <c r="N688" s="80"/>
      <c r="O688" s="82"/>
      <c r="P688" s="94"/>
      <c r="Q688" s="95"/>
      <c r="S688" s="99"/>
      <c r="T688" s="99"/>
      <c r="U688" s="99"/>
      <c r="V688" s="99"/>
      <c r="W688" s="99"/>
      <c r="X688" s="99"/>
      <c r="Y688" s="99"/>
      <c r="Z688" s="99"/>
      <c r="AA688" s="99"/>
      <c r="AB688" s="99"/>
      <c r="AC688" s="98"/>
      <c r="AD688" s="98"/>
      <c r="AE688" s="98"/>
      <c r="AF688" s="98"/>
      <c r="AG688" s="98"/>
      <c r="AH688" s="98"/>
    </row>
    <row r="689" spans="2:34" x14ac:dyDescent="0.25">
      <c r="B689" s="75"/>
      <c r="C689" s="76"/>
      <c r="D689" s="83"/>
      <c r="E689" s="84"/>
      <c r="F689" s="84"/>
      <c r="G689" s="84"/>
      <c r="H689" s="84"/>
      <c r="I689" s="85"/>
      <c r="J689" s="90"/>
      <c r="K689" s="91"/>
      <c r="L689" s="90"/>
      <c r="M689" s="91"/>
      <c r="N689" s="83"/>
      <c r="O689" s="85"/>
      <c r="P689" s="96"/>
      <c r="Q689" s="97"/>
      <c r="S689" s="99"/>
      <c r="T689" s="99"/>
      <c r="U689" s="99"/>
      <c r="V689" s="99"/>
      <c r="W689" s="99"/>
      <c r="X689" s="99"/>
      <c r="Y689" s="99"/>
      <c r="Z689" s="99"/>
      <c r="AA689" s="99"/>
      <c r="AB689" s="99"/>
      <c r="AC689" s="98"/>
      <c r="AD689" s="98"/>
      <c r="AE689" s="98"/>
      <c r="AF689" s="98"/>
      <c r="AG689" s="98"/>
      <c r="AH689" s="98"/>
    </row>
    <row r="690" spans="2:34" x14ac:dyDescent="0.25">
      <c r="B690" s="71"/>
      <c r="C690" s="72"/>
      <c r="D690" s="77"/>
      <c r="E690" s="78"/>
      <c r="F690" s="78"/>
      <c r="G690" s="78"/>
      <c r="H690" s="78"/>
      <c r="I690" s="79"/>
      <c r="J690" s="86"/>
      <c r="K690" s="87"/>
      <c r="L690" s="86"/>
      <c r="M690" s="87"/>
      <c r="N690" s="77"/>
      <c r="O690" s="79"/>
      <c r="P690" s="92"/>
      <c r="Q690" s="93"/>
      <c r="S690" s="99"/>
      <c r="T690" s="99"/>
      <c r="U690" s="99"/>
      <c r="V690" s="99"/>
      <c r="W690" s="99"/>
      <c r="X690" s="99"/>
      <c r="Y690" s="99"/>
      <c r="Z690" s="99"/>
      <c r="AA690" s="99"/>
      <c r="AB690" s="99"/>
      <c r="AC690" s="98"/>
      <c r="AD690" s="98"/>
      <c r="AE690" s="98"/>
      <c r="AF690" s="98"/>
      <c r="AG690" s="98"/>
      <c r="AH690" s="98"/>
    </row>
    <row r="691" spans="2:34" x14ac:dyDescent="0.25">
      <c r="B691" s="73"/>
      <c r="C691" s="74"/>
      <c r="D691" s="80"/>
      <c r="E691" s="81"/>
      <c r="F691" s="81"/>
      <c r="G691" s="81"/>
      <c r="H691" s="81"/>
      <c r="I691" s="82"/>
      <c r="J691" s="88"/>
      <c r="K691" s="89"/>
      <c r="L691" s="88"/>
      <c r="M691" s="89"/>
      <c r="N691" s="80"/>
      <c r="O691" s="82"/>
      <c r="P691" s="94"/>
      <c r="Q691" s="95"/>
      <c r="S691" s="99"/>
      <c r="T691" s="99"/>
      <c r="U691" s="99"/>
      <c r="V691" s="99"/>
      <c r="W691" s="99"/>
      <c r="X691" s="99"/>
      <c r="Y691" s="99"/>
      <c r="Z691" s="99"/>
      <c r="AA691" s="99"/>
      <c r="AB691" s="99"/>
      <c r="AC691" s="98"/>
      <c r="AD691" s="98"/>
      <c r="AE691" s="98"/>
      <c r="AF691" s="98"/>
      <c r="AG691" s="98"/>
      <c r="AH691" s="98"/>
    </row>
    <row r="692" spans="2:34" x14ac:dyDescent="0.25">
      <c r="B692" s="75"/>
      <c r="C692" s="76"/>
      <c r="D692" s="83"/>
      <c r="E692" s="84"/>
      <c r="F692" s="84"/>
      <c r="G692" s="84"/>
      <c r="H692" s="84"/>
      <c r="I692" s="85"/>
      <c r="J692" s="90"/>
      <c r="K692" s="91"/>
      <c r="L692" s="90"/>
      <c r="M692" s="91"/>
      <c r="N692" s="83"/>
      <c r="O692" s="85"/>
      <c r="P692" s="96"/>
      <c r="Q692" s="97"/>
      <c r="S692" s="99"/>
      <c r="T692" s="99"/>
      <c r="U692" s="99"/>
      <c r="V692" s="99"/>
      <c r="W692" s="99"/>
      <c r="X692" s="99"/>
      <c r="Y692" s="99"/>
      <c r="Z692" s="99"/>
      <c r="AA692" s="99"/>
      <c r="AB692" s="99"/>
      <c r="AC692" s="98"/>
      <c r="AD692" s="98"/>
      <c r="AE692" s="98"/>
      <c r="AF692" s="98"/>
      <c r="AG692" s="98"/>
      <c r="AH692" s="98"/>
    </row>
    <row r="693" spans="2:34" x14ac:dyDescent="0.25">
      <c r="B693" s="71"/>
      <c r="C693" s="72"/>
      <c r="D693" s="77"/>
      <c r="E693" s="78"/>
      <c r="F693" s="78"/>
      <c r="G693" s="78"/>
      <c r="H693" s="78"/>
      <c r="I693" s="79"/>
      <c r="J693" s="86"/>
      <c r="K693" s="87"/>
      <c r="L693" s="86"/>
      <c r="M693" s="87"/>
      <c r="N693" s="77"/>
      <c r="O693" s="79"/>
      <c r="P693" s="92"/>
      <c r="Q693" s="93"/>
      <c r="S693" s="99"/>
      <c r="T693" s="99"/>
      <c r="U693" s="99"/>
      <c r="V693" s="99"/>
      <c r="W693" s="99"/>
      <c r="X693" s="99"/>
      <c r="Y693" s="99"/>
      <c r="Z693" s="99"/>
      <c r="AA693" s="99"/>
      <c r="AB693" s="99"/>
      <c r="AC693" s="98"/>
      <c r="AD693" s="98"/>
      <c r="AE693" s="98"/>
      <c r="AF693" s="98"/>
      <c r="AG693" s="98"/>
      <c r="AH693" s="98"/>
    </row>
    <row r="694" spans="2:34" x14ac:dyDescent="0.25">
      <c r="B694" s="73"/>
      <c r="C694" s="74"/>
      <c r="D694" s="80"/>
      <c r="E694" s="81"/>
      <c r="F694" s="81"/>
      <c r="G694" s="81"/>
      <c r="H694" s="81"/>
      <c r="I694" s="82"/>
      <c r="J694" s="88"/>
      <c r="K694" s="89"/>
      <c r="L694" s="88"/>
      <c r="M694" s="89"/>
      <c r="N694" s="80"/>
      <c r="O694" s="82"/>
      <c r="P694" s="94"/>
      <c r="Q694" s="95"/>
      <c r="S694" s="99"/>
      <c r="T694" s="99"/>
      <c r="U694" s="99"/>
      <c r="V694" s="99"/>
      <c r="W694" s="99"/>
      <c r="X694" s="99"/>
      <c r="Y694" s="99"/>
      <c r="Z694" s="99"/>
      <c r="AA694" s="99"/>
      <c r="AB694" s="99"/>
      <c r="AC694" s="98"/>
      <c r="AD694" s="98"/>
      <c r="AE694" s="98"/>
      <c r="AF694" s="98"/>
      <c r="AG694" s="98"/>
      <c r="AH694" s="98"/>
    </row>
    <row r="695" spans="2:34" x14ac:dyDescent="0.25">
      <c r="B695" s="75"/>
      <c r="C695" s="76"/>
      <c r="D695" s="83"/>
      <c r="E695" s="84"/>
      <c r="F695" s="84"/>
      <c r="G695" s="84"/>
      <c r="H695" s="84"/>
      <c r="I695" s="85"/>
      <c r="J695" s="90"/>
      <c r="K695" s="91"/>
      <c r="L695" s="90"/>
      <c r="M695" s="91"/>
      <c r="N695" s="83"/>
      <c r="O695" s="85"/>
      <c r="P695" s="96"/>
      <c r="Q695" s="97"/>
      <c r="S695" s="99"/>
      <c r="T695" s="99"/>
      <c r="U695" s="99"/>
      <c r="V695" s="99"/>
      <c r="W695" s="99"/>
      <c r="X695" s="99"/>
      <c r="Y695" s="99"/>
      <c r="Z695" s="99"/>
      <c r="AA695" s="99"/>
      <c r="AB695" s="99"/>
      <c r="AC695" s="98"/>
      <c r="AD695" s="98"/>
      <c r="AE695" s="98"/>
      <c r="AF695" s="98"/>
      <c r="AG695" s="98"/>
      <c r="AH695" s="98"/>
    </row>
    <row r="696" spans="2:34" x14ac:dyDescent="0.25">
      <c r="B696" s="71"/>
      <c r="C696" s="72"/>
      <c r="D696" s="77"/>
      <c r="E696" s="78"/>
      <c r="F696" s="78"/>
      <c r="G696" s="78"/>
      <c r="H696" s="78"/>
      <c r="I696" s="79"/>
      <c r="J696" s="86"/>
      <c r="K696" s="87"/>
      <c r="L696" s="86"/>
      <c r="M696" s="87"/>
      <c r="N696" s="77"/>
      <c r="O696" s="79"/>
      <c r="P696" s="92"/>
      <c r="Q696" s="93"/>
      <c r="S696" s="99"/>
      <c r="T696" s="99"/>
      <c r="U696" s="99"/>
      <c r="V696" s="99"/>
      <c r="W696" s="99"/>
      <c r="X696" s="99"/>
      <c r="Y696" s="99"/>
      <c r="Z696" s="99"/>
      <c r="AA696" s="99"/>
      <c r="AB696" s="99"/>
      <c r="AC696" s="98"/>
      <c r="AD696" s="98"/>
      <c r="AE696" s="98"/>
      <c r="AF696" s="98"/>
      <c r="AG696" s="98"/>
      <c r="AH696" s="98"/>
    </row>
    <row r="697" spans="2:34" x14ac:dyDescent="0.25">
      <c r="B697" s="73"/>
      <c r="C697" s="74"/>
      <c r="D697" s="80"/>
      <c r="E697" s="81"/>
      <c r="F697" s="81"/>
      <c r="G697" s="81"/>
      <c r="H697" s="81"/>
      <c r="I697" s="82"/>
      <c r="J697" s="88"/>
      <c r="K697" s="89"/>
      <c r="L697" s="88"/>
      <c r="M697" s="89"/>
      <c r="N697" s="80"/>
      <c r="O697" s="82"/>
      <c r="P697" s="94"/>
      <c r="Q697" s="95"/>
      <c r="S697" s="99"/>
      <c r="T697" s="99"/>
      <c r="U697" s="99"/>
      <c r="V697" s="99"/>
      <c r="W697" s="99"/>
      <c r="X697" s="99"/>
      <c r="Y697" s="99"/>
      <c r="Z697" s="99"/>
      <c r="AA697" s="99"/>
      <c r="AB697" s="99"/>
      <c r="AC697" s="98"/>
      <c r="AD697" s="98"/>
      <c r="AE697" s="98"/>
      <c r="AF697" s="98"/>
      <c r="AG697" s="98"/>
      <c r="AH697" s="98"/>
    </row>
    <row r="698" spans="2:34" x14ac:dyDescent="0.25">
      <c r="B698" s="75"/>
      <c r="C698" s="76"/>
      <c r="D698" s="83"/>
      <c r="E698" s="84"/>
      <c r="F698" s="84"/>
      <c r="G698" s="84"/>
      <c r="H698" s="84"/>
      <c r="I698" s="85"/>
      <c r="J698" s="90"/>
      <c r="K698" s="91"/>
      <c r="L698" s="90"/>
      <c r="M698" s="91"/>
      <c r="N698" s="83"/>
      <c r="O698" s="85"/>
      <c r="P698" s="96"/>
      <c r="Q698" s="97"/>
      <c r="S698" s="99"/>
      <c r="T698" s="99"/>
      <c r="U698" s="99"/>
      <c r="V698" s="99"/>
      <c r="W698" s="99"/>
      <c r="X698" s="99"/>
      <c r="Y698" s="99"/>
      <c r="Z698" s="99"/>
      <c r="AA698" s="99"/>
      <c r="AB698" s="99"/>
      <c r="AC698" s="98"/>
      <c r="AD698" s="98"/>
      <c r="AE698" s="98"/>
      <c r="AF698" s="98"/>
      <c r="AG698" s="98"/>
      <c r="AH698" s="98"/>
    </row>
    <row r="699" spans="2:34" x14ac:dyDescent="0.25">
      <c r="B699" s="71"/>
      <c r="C699" s="72"/>
      <c r="D699" s="77"/>
      <c r="E699" s="78"/>
      <c r="F699" s="78"/>
      <c r="G699" s="78"/>
      <c r="H699" s="78"/>
      <c r="I699" s="79"/>
      <c r="J699" s="86"/>
      <c r="K699" s="87"/>
      <c r="L699" s="86"/>
      <c r="M699" s="87"/>
      <c r="N699" s="77"/>
      <c r="O699" s="79"/>
      <c r="P699" s="92"/>
      <c r="Q699" s="93"/>
      <c r="S699" s="99"/>
      <c r="T699" s="99"/>
      <c r="U699" s="99"/>
      <c r="V699" s="99"/>
      <c r="W699" s="99"/>
      <c r="X699" s="99"/>
      <c r="Y699" s="99"/>
      <c r="Z699" s="99"/>
      <c r="AA699" s="99"/>
      <c r="AB699" s="99"/>
      <c r="AC699" s="98"/>
      <c r="AD699" s="98"/>
      <c r="AE699" s="98"/>
      <c r="AF699" s="98"/>
      <c r="AG699" s="98"/>
      <c r="AH699" s="98"/>
    </row>
    <row r="700" spans="2:34" x14ac:dyDescent="0.25">
      <c r="B700" s="73"/>
      <c r="C700" s="74"/>
      <c r="D700" s="80"/>
      <c r="E700" s="81"/>
      <c r="F700" s="81"/>
      <c r="G700" s="81"/>
      <c r="H700" s="81"/>
      <c r="I700" s="82"/>
      <c r="J700" s="88"/>
      <c r="K700" s="89"/>
      <c r="L700" s="88"/>
      <c r="M700" s="89"/>
      <c r="N700" s="80"/>
      <c r="O700" s="82"/>
      <c r="P700" s="94"/>
      <c r="Q700" s="95"/>
      <c r="S700" s="99"/>
      <c r="T700" s="99"/>
      <c r="U700" s="99"/>
      <c r="V700" s="99"/>
      <c r="W700" s="99"/>
      <c r="X700" s="99"/>
      <c r="Y700" s="99"/>
      <c r="Z700" s="99"/>
      <c r="AA700" s="99"/>
      <c r="AB700" s="99"/>
      <c r="AC700" s="98"/>
      <c r="AD700" s="98"/>
      <c r="AE700" s="98"/>
      <c r="AF700" s="98"/>
      <c r="AG700" s="98"/>
      <c r="AH700" s="98"/>
    </row>
    <row r="701" spans="2:34" x14ac:dyDescent="0.25">
      <c r="B701" s="75"/>
      <c r="C701" s="76"/>
      <c r="D701" s="83"/>
      <c r="E701" s="84"/>
      <c r="F701" s="84"/>
      <c r="G701" s="84"/>
      <c r="H701" s="84"/>
      <c r="I701" s="85"/>
      <c r="J701" s="90"/>
      <c r="K701" s="91"/>
      <c r="L701" s="90"/>
      <c r="M701" s="91"/>
      <c r="N701" s="83"/>
      <c r="O701" s="85"/>
      <c r="P701" s="96"/>
      <c r="Q701" s="97"/>
      <c r="S701" s="99"/>
      <c r="T701" s="99"/>
      <c r="U701" s="99"/>
      <c r="V701" s="99"/>
      <c r="W701" s="99"/>
      <c r="X701" s="99"/>
      <c r="Y701" s="99"/>
      <c r="Z701" s="99"/>
      <c r="AA701" s="99"/>
      <c r="AB701" s="99"/>
      <c r="AC701" s="98"/>
      <c r="AD701" s="98"/>
      <c r="AE701" s="98"/>
      <c r="AF701" s="98"/>
      <c r="AG701" s="98"/>
      <c r="AH701" s="98"/>
    </row>
    <row r="702" spans="2:34" x14ac:dyDescent="0.25">
      <c r="B702" s="71"/>
      <c r="C702" s="72"/>
      <c r="D702" s="77"/>
      <c r="E702" s="78"/>
      <c r="F702" s="78"/>
      <c r="G702" s="78"/>
      <c r="H702" s="78"/>
      <c r="I702" s="79"/>
      <c r="J702" s="86"/>
      <c r="K702" s="87"/>
      <c r="L702" s="86"/>
      <c r="M702" s="87"/>
      <c r="N702" s="77"/>
      <c r="O702" s="79"/>
      <c r="P702" s="92"/>
      <c r="Q702" s="93"/>
      <c r="S702" s="99"/>
      <c r="T702" s="99"/>
      <c r="U702" s="99"/>
      <c r="V702" s="99"/>
      <c r="W702" s="99"/>
      <c r="X702" s="99"/>
      <c r="Y702" s="99"/>
      <c r="Z702" s="99"/>
      <c r="AA702" s="99"/>
      <c r="AB702" s="99"/>
      <c r="AC702" s="98"/>
      <c r="AD702" s="98"/>
      <c r="AE702" s="98"/>
      <c r="AF702" s="98"/>
      <c r="AG702" s="98"/>
      <c r="AH702" s="98"/>
    </row>
    <row r="703" spans="2:34" x14ac:dyDescent="0.25">
      <c r="B703" s="73"/>
      <c r="C703" s="74"/>
      <c r="D703" s="80"/>
      <c r="E703" s="81"/>
      <c r="F703" s="81"/>
      <c r="G703" s="81"/>
      <c r="H703" s="81"/>
      <c r="I703" s="82"/>
      <c r="J703" s="88"/>
      <c r="K703" s="89"/>
      <c r="L703" s="88"/>
      <c r="M703" s="89"/>
      <c r="N703" s="80"/>
      <c r="O703" s="82"/>
      <c r="P703" s="94"/>
      <c r="Q703" s="95"/>
      <c r="S703" s="99"/>
      <c r="T703" s="99"/>
      <c r="U703" s="99"/>
      <c r="V703" s="99"/>
      <c r="W703" s="99"/>
      <c r="X703" s="99"/>
      <c r="Y703" s="99"/>
      <c r="Z703" s="99"/>
      <c r="AA703" s="99"/>
      <c r="AB703" s="99"/>
      <c r="AC703" s="98"/>
      <c r="AD703" s="98"/>
      <c r="AE703" s="98"/>
      <c r="AF703" s="98"/>
      <c r="AG703" s="98"/>
      <c r="AH703" s="98"/>
    </row>
    <row r="704" spans="2:34" x14ac:dyDescent="0.25">
      <c r="B704" s="75"/>
      <c r="C704" s="76"/>
      <c r="D704" s="83"/>
      <c r="E704" s="84"/>
      <c r="F704" s="84"/>
      <c r="G704" s="84"/>
      <c r="H704" s="84"/>
      <c r="I704" s="85"/>
      <c r="J704" s="90"/>
      <c r="K704" s="91"/>
      <c r="L704" s="90"/>
      <c r="M704" s="91"/>
      <c r="N704" s="83"/>
      <c r="O704" s="85"/>
      <c r="P704" s="96"/>
      <c r="Q704" s="97"/>
      <c r="S704" s="99"/>
      <c r="T704" s="99"/>
      <c r="U704" s="99"/>
      <c r="V704" s="99"/>
      <c r="W704" s="99"/>
      <c r="X704" s="99"/>
      <c r="Y704" s="99"/>
      <c r="Z704" s="99"/>
      <c r="AA704" s="99"/>
      <c r="AB704" s="99"/>
      <c r="AC704" s="98"/>
      <c r="AD704" s="98"/>
      <c r="AE704" s="98"/>
      <c r="AF704" s="98"/>
      <c r="AG704" s="98"/>
      <c r="AH704" s="98"/>
    </row>
    <row r="705" spans="2:34" x14ac:dyDescent="0.25">
      <c r="B705" s="71"/>
      <c r="C705" s="72"/>
      <c r="D705" s="77"/>
      <c r="E705" s="78"/>
      <c r="F705" s="78"/>
      <c r="G705" s="78"/>
      <c r="H705" s="78"/>
      <c r="I705" s="79"/>
      <c r="J705" s="86"/>
      <c r="K705" s="87"/>
      <c r="L705" s="86"/>
      <c r="M705" s="87"/>
      <c r="N705" s="77"/>
      <c r="O705" s="79"/>
      <c r="P705" s="92"/>
      <c r="Q705" s="93"/>
      <c r="S705" s="99"/>
      <c r="T705" s="99"/>
      <c r="U705" s="99"/>
      <c r="V705" s="99"/>
      <c r="W705" s="99"/>
      <c r="X705" s="99"/>
      <c r="Y705" s="99"/>
      <c r="Z705" s="99"/>
      <c r="AA705" s="99"/>
      <c r="AB705" s="99"/>
      <c r="AC705" s="98"/>
      <c r="AD705" s="98"/>
      <c r="AE705" s="98"/>
      <c r="AF705" s="98"/>
      <c r="AG705" s="98"/>
      <c r="AH705" s="98"/>
    </row>
    <row r="706" spans="2:34" x14ac:dyDescent="0.25">
      <c r="B706" s="73"/>
      <c r="C706" s="74"/>
      <c r="D706" s="80"/>
      <c r="E706" s="81"/>
      <c r="F706" s="81"/>
      <c r="G706" s="81"/>
      <c r="H706" s="81"/>
      <c r="I706" s="82"/>
      <c r="J706" s="88"/>
      <c r="K706" s="89"/>
      <c r="L706" s="88"/>
      <c r="M706" s="89"/>
      <c r="N706" s="80"/>
      <c r="O706" s="82"/>
      <c r="P706" s="94"/>
      <c r="Q706" s="95"/>
      <c r="S706" s="99"/>
      <c r="T706" s="99"/>
      <c r="U706" s="99"/>
      <c r="V706" s="99"/>
      <c r="W706" s="99"/>
      <c r="X706" s="99"/>
      <c r="Y706" s="99"/>
      <c r="Z706" s="99"/>
      <c r="AA706" s="99"/>
      <c r="AB706" s="99"/>
      <c r="AC706" s="98"/>
      <c r="AD706" s="98"/>
      <c r="AE706" s="98"/>
      <c r="AF706" s="98"/>
      <c r="AG706" s="98"/>
      <c r="AH706" s="98"/>
    </row>
    <row r="707" spans="2:34" x14ac:dyDescent="0.25">
      <c r="B707" s="75"/>
      <c r="C707" s="76"/>
      <c r="D707" s="83"/>
      <c r="E707" s="84"/>
      <c r="F707" s="84"/>
      <c r="G707" s="84"/>
      <c r="H707" s="84"/>
      <c r="I707" s="85"/>
      <c r="J707" s="90"/>
      <c r="K707" s="91"/>
      <c r="L707" s="90"/>
      <c r="M707" s="91"/>
      <c r="N707" s="83"/>
      <c r="O707" s="85"/>
      <c r="P707" s="96"/>
      <c r="Q707" s="97"/>
      <c r="S707" s="99"/>
      <c r="T707" s="99"/>
      <c r="U707" s="99"/>
      <c r="V707" s="99"/>
      <c r="W707" s="99"/>
      <c r="X707" s="99"/>
      <c r="Y707" s="99"/>
      <c r="Z707" s="99"/>
      <c r="AA707" s="99"/>
      <c r="AB707" s="99"/>
      <c r="AC707" s="98"/>
      <c r="AD707" s="98"/>
      <c r="AE707" s="98"/>
      <c r="AF707" s="98"/>
      <c r="AG707" s="98"/>
      <c r="AH707" s="98"/>
    </row>
    <row r="708" spans="2:34" x14ac:dyDescent="0.25">
      <c r="B708" s="71"/>
      <c r="C708" s="72"/>
      <c r="D708" s="77"/>
      <c r="E708" s="78"/>
      <c r="F708" s="78"/>
      <c r="G708" s="78"/>
      <c r="H708" s="78"/>
      <c r="I708" s="79"/>
      <c r="J708" s="86"/>
      <c r="K708" s="87"/>
      <c r="L708" s="86"/>
      <c r="M708" s="87"/>
      <c r="N708" s="77"/>
      <c r="O708" s="79"/>
      <c r="P708" s="92"/>
      <c r="Q708" s="93"/>
      <c r="S708" s="99"/>
      <c r="T708" s="99"/>
      <c r="U708" s="99"/>
      <c r="V708" s="99"/>
      <c r="W708" s="99"/>
      <c r="X708" s="99"/>
      <c r="Y708" s="99"/>
      <c r="Z708" s="99"/>
      <c r="AA708" s="99"/>
      <c r="AB708" s="99"/>
      <c r="AC708" s="98"/>
      <c r="AD708" s="98"/>
      <c r="AE708" s="98"/>
      <c r="AF708" s="98"/>
      <c r="AG708" s="98"/>
      <c r="AH708" s="98"/>
    </row>
    <row r="709" spans="2:34" x14ac:dyDescent="0.25">
      <c r="B709" s="73"/>
      <c r="C709" s="74"/>
      <c r="D709" s="80"/>
      <c r="E709" s="81"/>
      <c r="F709" s="81"/>
      <c r="G709" s="81"/>
      <c r="H709" s="81"/>
      <c r="I709" s="82"/>
      <c r="J709" s="88"/>
      <c r="K709" s="89"/>
      <c r="L709" s="88"/>
      <c r="M709" s="89"/>
      <c r="N709" s="80"/>
      <c r="O709" s="82"/>
      <c r="P709" s="94"/>
      <c r="Q709" s="95"/>
      <c r="S709" s="99"/>
      <c r="T709" s="99"/>
      <c r="U709" s="99"/>
      <c r="V709" s="99"/>
      <c r="W709" s="99"/>
      <c r="X709" s="99"/>
      <c r="Y709" s="99"/>
      <c r="Z709" s="99"/>
      <c r="AA709" s="99"/>
      <c r="AB709" s="99"/>
      <c r="AC709" s="98"/>
      <c r="AD709" s="98"/>
      <c r="AE709" s="98"/>
      <c r="AF709" s="98"/>
      <c r="AG709" s="98"/>
      <c r="AH709" s="98"/>
    </row>
    <row r="710" spans="2:34" x14ac:dyDescent="0.25">
      <c r="B710" s="75"/>
      <c r="C710" s="76"/>
      <c r="D710" s="83"/>
      <c r="E710" s="84"/>
      <c r="F710" s="84"/>
      <c r="G710" s="84"/>
      <c r="H710" s="84"/>
      <c r="I710" s="85"/>
      <c r="J710" s="90"/>
      <c r="K710" s="91"/>
      <c r="L710" s="90"/>
      <c r="M710" s="91"/>
      <c r="N710" s="83"/>
      <c r="O710" s="85"/>
      <c r="P710" s="96"/>
      <c r="Q710" s="97"/>
      <c r="S710" s="99"/>
      <c r="T710" s="99"/>
      <c r="U710" s="99"/>
      <c r="V710" s="99"/>
      <c r="W710" s="99"/>
      <c r="X710" s="99"/>
      <c r="Y710" s="99"/>
      <c r="Z710" s="99"/>
      <c r="AA710" s="99"/>
      <c r="AB710" s="99"/>
      <c r="AC710" s="98"/>
      <c r="AD710" s="98"/>
      <c r="AE710" s="98"/>
      <c r="AF710" s="98"/>
      <c r="AG710" s="98"/>
      <c r="AH710" s="98"/>
    </row>
    <row r="711" spans="2:34" x14ac:dyDescent="0.25">
      <c r="B711" s="71"/>
      <c r="C711" s="72"/>
      <c r="D711" s="77"/>
      <c r="E711" s="78"/>
      <c r="F711" s="78"/>
      <c r="G711" s="78"/>
      <c r="H711" s="78"/>
      <c r="I711" s="79"/>
      <c r="J711" s="86"/>
      <c r="K711" s="87"/>
      <c r="L711" s="86"/>
      <c r="M711" s="87"/>
      <c r="N711" s="77"/>
      <c r="O711" s="79"/>
      <c r="P711" s="92"/>
      <c r="Q711" s="93"/>
      <c r="S711" s="99"/>
      <c r="T711" s="99"/>
      <c r="U711" s="99"/>
      <c r="V711" s="99"/>
      <c r="W711" s="99"/>
      <c r="X711" s="99"/>
      <c r="Y711" s="99"/>
      <c r="Z711" s="99"/>
      <c r="AA711" s="99"/>
      <c r="AB711" s="99"/>
      <c r="AC711" s="98"/>
      <c r="AD711" s="98"/>
      <c r="AE711" s="98"/>
      <c r="AF711" s="98"/>
      <c r="AG711" s="98"/>
      <c r="AH711" s="98"/>
    </row>
    <row r="712" spans="2:34" x14ac:dyDescent="0.25">
      <c r="B712" s="73"/>
      <c r="C712" s="74"/>
      <c r="D712" s="80"/>
      <c r="E712" s="81"/>
      <c r="F712" s="81"/>
      <c r="G712" s="81"/>
      <c r="H712" s="81"/>
      <c r="I712" s="82"/>
      <c r="J712" s="88"/>
      <c r="K712" s="89"/>
      <c r="L712" s="88"/>
      <c r="M712" s="89"/>
      <c r="N712" s="80"/>
      <c r="O712" s="82"/>
      <c r="P712" s="94"/>
      <c r="Q712" s="95"/>
      <c r="S712" s="99"/>
      <c r="T712" s="99"/>
      <c r="U712" s="99"/>
      <c r="V712" s="99"/>
      <c r="W712" s="99"/>
      <c r="X712" s="99"/>
      <c r="Y712" s="99"/>
      <c r="Z712" s="99"/>
      <c r="AA712" s="99"/>
      <c r="AB712" s="99"/>
      <c r="AC712" s="98"/>
      <c r="AD712" s="98"/>
      <c r="AE712" s="98"/>
      <c r="AF712" s="98"/>
      <c r="AG712" s="98"/>
      <c r="AH712" s="98"/>
    </row>
    <row r="713" spans="2:34" x14ac:dyDescent="0.25">
      <c r="B713" s="75"/>
      <c r="C713" s="76"/>
      <c r="D713" s="83"/>
      <c r="E713" s="84"/>
      <c r="F713" s="84"/>
      <c r="G713" s="84"/>
      <c r="H713" s="84"/>
      <c r="I713" s="85"/>
      <c r="J713" s="90"/>
      <c r="K713" s="91"/>
      <c r="L713" s="90"/>
      <c r="M713" s="91"/>
      <c r="N713" s="83"/>
      <c r="O713" s="85"/>
      <c r="P713" s="96"/>
      <c r="Q713" s="97"/>
      <c r="S713" s="99"/>
      <c r="T713" s="99"/>
      <c r="U713" s="99"/>
      <c r="V713" s="99"/>
      <c r="W713" s="99"/>
      <c r="X713" s="99"/>
      <c r="Y713" s="99"/>
      <c r="Z713" s="99"/>
      <c r="AA713" s="99"/>
      <c r="AB713" s="99"/>
      <c r="AC713" s="98"/>
      <c r="AD713" s="98"/>
      <c r="AE713" s="98"/>
      <c r="AF713" s="98"/>
      <c r="AG713" s="98"/>
      <c r="AH713" s="98"/>
    </row>
    <row r="714" spans="2:34" x14ac:dyDescent="0.25">
      <c r="B714" s="71"/>
      <c r="C714" s="72"/>
      <c r="D714" s="77"/>
      <c r="E714" s="78"/>
      <c r="F714" s="78"/>
      <c r="G714" s="78"/>
      <c r="H714" s="78"/>
      <c r="I714" s="79"/>
      <c r="J714" s="86"/>
      <c r="K714" s="87"/>
      <c r="L714" s="86"/>
      <c r="M714" s="87"/>
      <c r="N714" s="77"/>
      <c r="O714" s="79"/>
      <c r="P714" s="92"/>
      <c r="Q714" s="93"/>
      <c r="S714" s="99"/>
      <c r="T714" s="99"/>
      <c r="U714" s="99"/>
      <c r="V714" s="99"/>
      <c r="W714" s="99"/>
      <c r="X714" s="99"/>
      <c r="Y714" s="99"/>
      <c r="Z714" s="99"/>
      <c r="AA714" s="99"/>
      <c r="AB714" s="99"/>
      <c r="AC714" s="98"/>
      <c r="AD714" s="98"/>
      <c r="AE714" s="98"/>
      <c r="AF714" s="98"/>
      <c r="AG714" s="98"/>
      <c r="AH714" s="98"/>
    </row>
    <row r="715" spans="2:34" x14ac:dyDescent="0.25">
      <c r="B715" s="73"/>
      <c r="C715" s="74"/>
      <c r="D715" s="80"/>
      <c r="E715" s="81"/>
      <c r="F715" s="81"/>
      <c r="G715" s="81"/>
      <c r="H715" s="81"/>
      <c r="I715" s="82"/>
      <c r="J715" s="88"/>
      <c r="K715" s="89"/>
      <c r="L715" s="88"/>
      <c r="M715" s="89"/>
      <c r="N715" s="80"/>
      <c r="O715" s="82"/>
      <c r="P715" s="94"/>
      <c r="Q715" s="95"/>
      <c r="S715" s="99"/>
      <c r="T715" s="99"/>
      <c r="U715" s="99"/>
      <c r="V715" s="99"/>
      <c r="W715" s="99"/>
      <c r="X715" s="99"/>
      <c r="Y715" s="99"/>
      <c r="Z715" s="99"/>
      <c r="AA715" s="99"/>
      <c r="AB715" s="99"/>
      <c r="AC715" s="98"/>
      <c r="AD715" s="98"/>
      <c r="AE715" s="98"/>
      <c r="AF715" s="98"/>
      <c r="AG715" s="98"/>
      <c r="AH715" s="98"/>
    </row>
    <row r="716" spans="2:34" x14ac:dyDescent="0.25">
      <c r="B716" s="75"/>
      <c r="C716" s="76"/>
      <c r="D716" s="83"/>
      <c r="E716" s="84"/>
      <c r="F716" s="84"/>
      <c r="G716" s="84"/>
      <c r="H716" s="84"/>
      <c r="I716" s="85"/>
      <c r="J716" s="90"/>
      <c r="K716" s="91"/>
      <c r="L716" s="90"/>
      <c r="M716" s="91"/>
      <c r="N716" s="83"/>
      <c r="O716" s="85"/>
      <c r="P716" s="96"/>
      <c r="Q716" s="97"/>
      <c r="S716" s="99"/>
      <c r="T716" s="99"/>
      <c r="U716" s="99"/>
      <c r="V716" s="99"/>
      <c r="W716" s="99"/>
      <c r="X716" s="99"/>
      <c r="Y716" s="99"/>
      <c r="Z716" s="99"/>
      <c r="AA716" s="99"/>
      <c r="AB716" s="99"/>
      <c r="AC716" s="98"/>
      <c r="AD716" s="98"/>
      <c r="AE716" s="98"/>
      <c r="AF716" s="98"/>
      <c r="AG716" s="98"/>
      <c r="AH716" s="98"/>
    </row>
    <row r="717" spans="2:34" x14ac:dyDescent="0.25">
      <c r="B717" s="71"/>
      <c r="C717" s="72"/>
      <c r="D717" s="77"/>
      <c r="E717" s="78"/>
      <c r="F717" s="78"/>
      <c r="G717" s="78"/>
      <c r="H717" s="78"/>
      <c r="I717" s="79"/>
      <c r="J717" s="86"/>
      <c r="K717" s="87"/>
      <c r="L717" s="86"/>
      <c r="M717" s="87"/>
      <c r="N717" s="77"/>
      <c r="O717" s="79"/>
      <c r="P717" s="92"/>
      <c r="Q717" s="93"/>
      <c r="S717" s="99"/>
      <c r="T717" s="99"/>
      <c r="U717" s="99"/>
      <c r="V717" s="99"/>
      <c r="W717" s="99"/>
      <c r="X717" s="99"/>
      <c r="Y717" s="99"/>
      <c r="Z717" s="99"/>
      <c r="AA717" s="99"/>
      <c r="AB717" s="99"/>
      <c r="AC717" s="98"/>
      <c r="AD717" s="98"/>
      <c r="AE717" s="98"/>
      <c r="AF717" s="98"/>
      <c r="AG717" s="98"/>
      <c r="AH717" s="98"/>
    </row>
    <row r="718" spans="2:34" x14ac:dyDescent="0.25">
      <c r="B718" s="73"/>
      <c r="C718" s="74"/>
      <c r="D718" s="80"/>
      <c r="E718" s="81"/>
      <c r="F718" s="81"/>
      <c r="G718" s="81"/>
      <c r="H718" s="81"/>
      <c r="I718" s="82"/>
      <c r="J718" s="88"/>
      <c r="K718" s="89"/>
      <c r="L718" s="88"/>
      <c r="M718" s="89"/>
      <c r="N718" s="80"/>
      <c r="O718" s="82"/>
      <c r="P718" s="94"/>
      <c r="Q718" s="95"/>
      <c r="S718" s="99"/>
      <c r="T718" s="99"/>
      <c r="U718" s="99"/>
      <c r="V718" s="99"/>
      <c r="W718" s="99"/>
      <c r="X718" s="99"/>
      <c r="Y718" s="99"/>
      <c r="Z718" s="99"/>
      <c r="AA718" s="99"/>
      <c r="AB718" s="99"/>
      <c r="AC718" s="98"/>
      <c r="AD718" s="98"/>
      <c r="AE718" s="98"/>
      <c r="AF718" s="98"/>
      <c r="AG718" s="98"/>
      <c r="AH718" s="98"/>
    </row>
    <row r="719" spans="2:34" x14ac:dyDescent="0.25">
      <c r="B719" s="75"/>
      <c r="C719" s="76"/>
      <c r="D719" s="83"/>
      <c r="E719" s="84"/>
      <c r="F719" s="84"/>
      <c r="G719" s="84"/>
      <c r="H719" s="84"/>
      <c r="I719" s="85"/>
      <c r="J719" s="90"/>
      <c r="K719" s="91"/>
      <c r="L719" s="90"/>
      <c r="M719" s="91"/>
      <c r="N719" s="83"/>
      <c r="O719" s="85"/>
      <c r="P719" s="96"/>
      <c r="Q719" s="97"/>
      <c r="S719" s="99"/>
      <c r="T719" s="99"/>
      <c r="U719" s="99"/>
      <c r="V719" s="99"/>
      <c r="W719" s="99"/>
      <c r="X719" s="99"/>
      <c r="Y719" s="99"/>
      <c r="Z719" s="99"/>
      <c r="AA719" s="99"/>
      <c r="AB719" s="99"/>
      <c r="AC719" s="98"/>
      <c r="AD719" s="98"/>
      <c r="AE719" s="98"/>
      <c r="AF719" s="98"/>
      <c r="AG719" s="98"/>
      <c r="AH719" s="98"/>
    </row>
    <row r="720" spans="2:34" x14ac:dyDescent="0.25">
      <c r="B720" s="71"/>
      <c r="C720" s="72"/>
      <c r="D720" s="77"/>
      <c r="E720" s="78"/>
      <c r="F720" s="78"/>
      <c r="G720" s="78"/>
      <c r="H720" s="78"/>
      <c r="I720" s="79"/>
      <c r="J720" s="86"/>
      <c r="K720" s="87"/>
      <c r="L720" s="86"/>
      <c r="M720" s="87"/>
      <c r="N720" s="77"/>
      <c r="O720" s="79"/>
      <c r="P720" s="92"/>
      <c r="Q720" s="93"/>
      <c r="S720" s="99"/>
      <c r="T720" s="99"/>
      <c r="U720" s="99"/>
      <c r="V720" s="99"/>
      <c r="W720" s="99"/>
      <c r="X720" s="99"/>
      <c r="Y720" s="99"/>
      <c r="Z720" s="99"/>
      <c r="AA720" s="99"/>
      <c r="AB720" s="99"/>
      <c r="AC720" s="98"/>
      <c r="AD720" s="98"/>
      <c r="AE720" s="98"/>
      <c r="AF720" s="98"/>
      <c r="AG720" s="98"/>
      <c r="AH720" s="98"/>
    </row>
    <row r="721" spans="2:34" x14ac:dyDescent="0.25">
      <c r="B721" s="73"/>
      <c r="C721" s="74"/>
      <c r="D721" s="80"/>
      <c r="E721" s="81"/>
      <c r="F721" s="81"/>
      <c r="G721" s="81"/>
      <c r="H721" s="81"/>
      <c r="I721" s="82"/>
      <c r="J721" s="88"/>
      <c r="K721" s="89"/>
      <c r="L721" s="88"/>
      <c r="M721" s="89"/>
      <c r="N721" s="80"/>
      <c r="O721" s="82"/>
      <c r="P721" s="94"/>
      <c r="Q721" s="95"/>
      <c r="S721" s="99"/>
      <c r="T721" s="99"/>
      <c r="U721" s="99"/>
      <c r="V721" s="99"/>
      <c r="W721" s="99"/>
      <c r="X721" s="99"/>
      <c r="Y721" s="99"/>
      <c r="Z721" s="99"/>
      <c r="AA721" s="99"/>
      <c r="AB721" s="99"/>
      <c r="AC721" s="98"/>
      <c r="AD721" s="98"/>
      <c r="AE721" s="98"/>
      <c r="AF721" s="98"/>
      <c r="AG721" s="98"/>
      <c r="AH721" s="98"/>
    </row>
    <row r="722" spans="2:34" x14ac:dyDescent="0.25">
      <c r="B722" s="75"/>
      <c r="C722" s="76"/>
      <c r="D722" s="83"/>
      <c r="E722" s="84"/>
      <c r="F722" s="84"/>
      <c r="G722" s="84"/>
      <c r="H722" s="84"/>
      <c r="I722" s="85"/>
      <c r="J722" s="90"/>
      <c r="K722" s="91"/>
      <c r="L722" s="90"/>
      <c r="M722" s="91"/>
      <c r="N722" s="83"/>
      <c r="O722" s="85"/>
      <c r="P722" s="96"/>
      <c r="Q722" s="97"/>
      <c r="S722" s="99"/>
      <c r="T722" s="99"/>
      <c r="U722" s="99"/>
      <c r="V722" s="99"/>
      <c r="W722" s="99"/>
      <c r="X722" s="99"/>
      <c r="Y722" s="99"/>
      <c r="Z722" s="99"/>
      <c r="AA722" s="99"/>
      <c r="AB722" s="99"/>
      <c r="AC722" s="98"/>
      <c r="AD722" s="98"/>
      <c r="AE722" s="98"/>
      <c r="AF722" s="98"/>
      <c r="AG722" s="98"/>
      <c r="AH722" s="98"/>
    </row>
    <row r="723" spans="2:34" x14ac:dyDescent="0.25">
      <c r="B723" s="71"/>
      <c r="C723" s="72"/>
      <c r="D723" s="77"/>
      <c r="E723" s="78"/>
      <c r="F723" s="78"/>
      <c r="G723" s="78"/>
      <c r="H723" s="78"/>
      <c r="I723" s="79"/>
      <c r="J723" s="86"/>
      <c r="K723" s="87"/>
      <c r="L723" s="86"/>
      <c r="M723" s="87"/>
      <c r="N723" s="77"/>
      <c r="O723" s="79"/>
      <c r="P723" s="92"/>
      <c r="Q723" s="93"/>
      <c r="S723" s="99"/>
      <c r="T723" s="99"/>
      <c r="U723" s="99"/>
      <c r="V723" s="99"/>
      <c r="W723" s="99"/>
      <c r="X723" s="99"/>
      <c r="Y723" s="99"/>
      <c r="Z723" s="99"/>
      <c r="AA723" s="99"/>
      <c r="AB723" s="99"/>
      <c r="AC723" s="98"/>
      <c r="AD723" s="98"/>
      <c r="AE723" s="98"/>
      <c r="AF723" s="98"/>
      <c r="AG723" s="98"/>
      <c r="AH723" s="98"/>
    </row>
    <row r="724" spans="2:34" x14ac:dyDescent="0.25">
      <c r="B724" s="73"/>
      <c r="C724" s="74"/>
      <c r="D724" s="80"/>
      <c r="E724" s="81"/>
      <c r="F724" s="81"/>
      <c r="G724" s="81"/>
      <c r="H724" s="81"/>
      <c r="I724" s="82"/>
      <c r="J724" s="88"/>
      <c r="K724" s="89"/>
      <c r="L724" s="88"/>
      <c r="M724" s="89"/>
      <c r="N724" s="80"/>
      <c r="O724" s="82"/>
      <c r="P724" s="94"/>
      <c r="Q724" s="95"/>
      <c r="S724" s="99"/>
      <c r="T724" s="99"/>
      <c r="U724" s="99"/>
      <c r="V724" s="99"/>
      <c r="W724" s="99"/>
      <c r="X724" s="99"/>
      <c r="Y724" s="99"/>
      <c r="Z724" s="99"/>
      <c r="AA724" s="99"/>
      <c r="AB724" s="99"/>
      <c r="AC724" s="98"/>
      <c r="AD724" s="98"/>
      <c r="AE724" s="98"/>
      <c r="AF724" s="98"/>
      <c r="AG724" s="98"/>
      <c r="AH724" s="98"/>
    </row>
    <row r="725" spans="2:34" x14ac:dyDescent="0.25">
      <c r="B725" s="75"/>
      <c r="C725" s="76"/>
      <c r="D725" s="83"/>
      <c r="E725" s="84"/>
      <c r="F725" s="84"/>
      <c r="G725" s="84"/>
      <c r="H725" s="84"/>
      <c r="I725" s="85"/>
      <c r="J725" s="90"/>
      <c r="K725" s="91"/>
      <c r="L725" s="90"/>
      <c r="M725" s="91"/>
      <c r="N725" s="83"/>
      <c r="O725" s="85"/>
      <c r="P725" s="96"/>
      <c r="Q725" s="97"/>
      <c r="S725" s="99"/>
      <c r="T725" s="99"/>
      <c r="U725" s="99"/>
      <c r="V725" s="99"/>
      <c r="W725" s="99"/>
      <c r="X725" s="99"/>
      <c r="Y725" s="99"/>
      <c r="Z725" s="99"/>
      <c r="AA725" s="99"/>
      <c r="AB725" s="99"/>
      <c r="AC725" s="98"/>
      <c r="AD725" s="98"/>
      <c r="AE725" s="98"/>
      <c r="AF725" s="98"/>
      <c r="AG725" s="98"/>
      <c r="AH725" s="98"/>
    </row>
    <row r="726" spans="2:34" x14ac:dyDescent="0.25">
      <c r="B726" s="71"/>
      <c r="C726" s="72"/>
      <c r="D726" s="77"/>
      <c r="E726" s="78"/>
      <c r="F726" s="78"/>
      <c r="G726" s="78"/>
      <c r="H726" s="78"/>
      <c r="I726" s="79"/>
      <c r="J726" s="86"/>
      <c r="K726" s="87"/>
      <c r="L726" s="86"/>
      <c r="M726" s="87"/>
      <c r="N726" s="77"/>
      <c r="O726" s="79"/>
      <c r="P726" s="92"/>
      <c r="Q726" s="93"/>
      <c r="S726" s="99"/>
      <c r="T726" s="99"/>
      <c r="U726" s="99"/>
      <c r="V726" s="99"/>
      <c r="W726" s="99"/>
      <c r="X726" s="99"/>
      <c r="Y726" s="99"/>
      <c r="Z726" s="99"/>
      <c r="AA726" s="99"/>
      <c r="AB726" s="99"/>
      <c r="AC726" s="98"/>
      <c r="AD726" s="98"/>
      <c r="AE726" s="98"/>
      <c r="AF726" s="98"/>
      <c r="AG726" s="98"/>
      <c r="AH726" s="98"/>
    </row>
    <row r="727" spans="2:34" x14ac:dyDescent="0.25">
      <c r="B727" s="73"/>
      <c r="C727" s="74"/>
      <c r="D727" s="80"/>
      <c r="E727" s="81"/>
      <c r="F727" s="81"/>
      <c r="G727" s="81"/>
      <c r="H727" s="81"/>
      <c r="I727" s="82"/>
      <c r="J727" s="88"/>
      <c r="K727" s="89"/>
      <c r="L727" s="88"/>
      <c r="M727" s="89"/>
      <c r="N727" s="80"/>
      <c r="O727" s="82"/>
      <c r="P727" s="94"/>
      <c r="Q727" s="95"/>
      <c r="S727" s="99"/>
      <c r="T727" s="99"/>
      <c r="U727" s="99"/>
      <c r="V727" s="99"/>
      <c r="W727" s="99"/>
      <c r="X727" s="99"/>
      <c r="Y727" s="99"/>
      <c r="Z727" s="99"/>
      <c r="AA727" s="99"/>
      <c r="AB727" s="99"/>
      <c r="AC727" s="98"/>
      <c r="AD727" s="98"/>
      <c r="AE727" s="98"/>
      <c r="AF727" s="98"/>
      <c r="AG727" s="98"/>
      <c r="AH727" s="98"/>
    </row>
    <row r="728" spans="2:34" x14ac:dyDescent="0.25">
      <c r="B728" s="75"/>
      <c r="C728" s="76"/>
      <c r="D728" s="83"/>
      <c r="E728" s="84"/>
      <c r="F728" s="84"/>
      <c r="G728" s="84"/>
      <c r="H728" s="84"/>
      <c r="I728" s="85"/>
      <c r="J728" s="90"/>
      <c r="K728" s="91"/>
      <c r="L728" s="90"/>
      <c r="M728" s="91"/>
      <c r="N728" s="83"/>
      <c r="O728" s="85"/>
      <c r="P728" s="96"/>
      <c r="Q728" s="97"/>
      <c r="S728" s="99"/>
      <c r="T728" s="99"/>
      <c r="U728" s="99"/>
      <c r="V728" s="99"/>
      <c r="W728" s="99"/>
      <c r="X728" s="99"/>
      <c r="Y728" s="99"/>
      <c r="Z728" s="99"/>
      <c r="AA728" s="99"/>
      <c r="AB728" s="99"/>
      <c r="AC728" s="98"/>
      <c r="AD728" s="98"/>
      <c r="AE728" s="98"/>
      <c r="AF728" s="98"/>
      <c r="AG728" s="98"/>
      <c r="AH728" s="98"/>
    </row>
    <row r="729" spans="2:34" x14ac:dyDescent="0.25">
      <c r="B729" s="71"/>
      <c r="C729" s="72"/>
      <c r="D729" s="77"/>
      <c r="E729" s="78"/>
      <c r="F729" s="78"/>
      <c r="G729" s="78"/>
      <c r="H729" s="78"/>
      <c r="I729" s="79"/>
      <c r="J729" s="86"/>
      <c r="K729" s="87"/>
      <c r="L729" s="86"/>
      <c r="M729" s="87"/>
      <c r="N729" s="77"/>
      <c r="O729" s="79"/>
      <c r="P729" s="92"/>
      <c r="Q729" s="93"/>
      <c r="S729" s="99"/>
      <c r="T729" s="99"/>
      <c r="U729" s="99"/>
      <c r="V729" s="99"/>
      <c r="W729" s="99"/>
      <c r="X729" s="99"/>
      <c r="Y729" s="99"/>
      <c r="Z729" s="99"/>
      <c r="AA729" s="99"/>
      <c r="AB729" s="99"/>
      <c r="AC729" s="98"/>
      <c r="AD729" s="98"/>
      <c r="AE729" s="98"/>
      <c r="AF729" s="98"/>
      <c r="AG729" s="98"/>
      <c r="AH729" s="98"/>
    </row>
    <row r="730" spans="2:34" x14ac:dyDescent="0.25">
      <c r="B730" s="73"/>
      <c r="C730" s="74"/>
      <c r="D730" s="80"/>
      <c r="E730" s="81"/>
      <c r="F730" s="81"/>
      <c r="G730" s="81"/>
      <c r="H730" s="81"/>
      <c r="I730" s="82"/>
      <c r="J730" s="88"/>
      <c r="K730" s="89"/>
      <c r="L730" s="88"/>
      <c r="M730" s="89"/>
      <c r="N730" s="80"/>
      <c r="O730" s="82"/>
      <c r="P730" s="94"/>
      <c r="Q730" s="95"/>
      <c r="S730" s="99"/>
      <c r="T730" s="99"/>
      <c r="U730" s="99"/>
      <c r="V730" s="99"/>
      <c r="W730" s="99"/>
      <c r="X730" s="99"/>
      <c r="Y730" s="99"/>
      <c r="Z730" s="99"/>
      <c r="AA730" s="99"/>
      <c r="AB730" s="99"/>
      <c r="AC730" s="98"/>
      <c r="AD730" s="98"/>
      <c r="AE730" s="98"/>
      <c r="AF730" s="98"/>
      <c r="AG730" s="98"/>
      <c r="AH730" s="98"/>
    </row>
    <row r="731" spans="2:34" x14ac:dyDescent="0.25">
      <c r="B731" s="75"/>
      <c r="C731" s="76"/>
      <c r="D731" s="83"/>
      <c r="E731" s="84"/>
      <c r="F731" s="84"/>
      <c r="G731" s="84"/>
      <c r="H731" s="84"/>
      <c r="I731" s="85"/>
      <c r="J731" s="90"/>
      <c r="K731" s="91"/>
      <c r="L731" s="90"/>
      <c r="M731" s="91"/>
      <c r="N731" s="83"/>
      <c r="O731" s="85"/>
      <c r="P731" s="96"/>
      <c r="Q731" s="97"/>
      <c r="S731" s="99"/>
      <c r="T731" s="99"/>
      <c r="U731" s="99"/>
      <c r="V731" s="99"/>
      <c r="W731" s="99"/>
      <c r="X731" s="99"/>
      <c r="Y731" s="99"/>
      <c r="Z731" s="99"/>
      <c r="AA731" s="99"/>
      <c r="AB731" s="99"/>
      <c r="AC731" s="98"/>
      <c r="AD731" s="98"/>
      <c r="AE731" s="98"/>
      <c r="AF731" s="98"/>
      <c r="AG731" s="98"/>
      <c r="AH731" s="98"/>
    </row>
    <row r="732" spans="2:34" x14ac:dyDescent="0.25">
      <c r="B732" s="71"/>
      <c r="C732" s="72"/>
      <c r="D732" s="77"/>
      <c r="E732" s="78"/>
      <c r="F732" s="78"/>
      <c r="G732" s="78"/>
      <c r="H732" s="78"/>
      <c r="I732" s="79"/>
      <c r="J732" s="86"/>
      <c r="K732" s="87"/>
      <c r="L732" s="86"/>
      <c r="M732" s="87"/>
      <c r="N732" s="77"/>
      <c r="O732" s="79"/>
      <c r="P732" s="92"/>
      <c r="Q732" s="93"/>
      <c r="S732" s="99"/>
      <c r="T732" s="99"/>
      <c r="U732" s="99"/>
      <c r="V732" s="99"/>
      <c r="W732" s="99"/>
      <c r="X732" s="99"/>
      <c r="Y732" s="99"/>
      <c r="Z732" s="99"/>
      <c r="AA732" s="99"/>
      <c r="AB732" s="99"/>
      <c r="AC732" s="98"/>
      <c r="AD732" s="98"/>
      <c r="AE732" s="98"/>
      <c r="AF732" s="98"/>
      <c r="AG732" s="98"/>
      <c r="AH732" s="98"/>
    </row>
    <row r="733" spans="2:34" x14ac:dyDescent="0.25">
      <c r="B733" s="73"/>
      <c r="C733" s="74"/>
      <c r="D733" s="80"/>
      <c r="E733" s="81"/>
      <c r="F733" s="81"/>
      <c r="G733" s="81"/>
      <c r="H733" s="81"/>
      <c r="I733" s="82"/>
      <c r="J733" s="88"/>
      <c r="K733" s="89"/>
      <c r="L733" s="88"/>
      <c r="M733" s="89"/>
      <c r="N733" s="80"/>
      <c r="O733" s="82"/>
      <c r="P733" s="94"/>
      <c r="Q733" s="95"/>
      <c r="S733" s="99"/>
      <c r="T733" s="99"/>
      <c r="U733" s="99"/>
      <c r="V733" s="99"/>
      <c r="W733" s="99"/>
      <c r="X733" s="99"/>
      <c r="Y733" s="99"/>
      <c r="Z733" s="99"/>
      <c r="AA733" s="99"/>
      <c r="AB733" s="99"/>
      <c r="AC733" s="98"/>
      <c r="AD733" s="98"/>
      <c r="AE733" s="98"/>
      <c r="AF733" s="98"/>
      <c r="AG733" s="98"/>
      <c r="AH733" s="98"/>
    </row>
    <row r="734" spans="2:34" x14ac:dyDescent="0.25">
      <c r="B734" s="75"/>
      <c r="C734" s="76"/>
      <c r="D734" s="83"/>
      <c r="E734" s="84"/>
      <c r="F734" s="84"/>
      <c r="G734" s="84"/>
      <c r="H734" s="84"/>
      <c r="I734" s="85"/>
      <c r="J734" s="90"/>
      <c r="K734" s="91"/>
      <c r="L734" s="90"/>
      <c r="M734" s="91"/>
      <c r="N734" s="83"/>
      <c r="O734" s="85"/>
      <c r="P734" s="96"/>
      <c r="Q734" s="97"/>
      <c r="S734" s="99"/>
      <c r="T734" s="99"/>
      <c r="U734" s="99"/>
      <c r="V734" s="99"/>
      <c r="W734" s="99"/>
      <c r="X734" s="99"/>
      <c r="Y734" s="99"/>
      <c r="Z734" s="99"/>
      <c r="AA734" s="99"/>
      <c r="AB734" s="99"/>
      <c r="AC734" s="98"/>
      <c r="AD734" s="98"/>
      <c r="AE734" s="98"/>
      <c r="AF734" s="98"/>
      <c r="AG734" s="98"/>
      <c r="AH734" s="98"/>
    </row>
    <row r="735" spans="2:34" x14ac:dyDescent="0.25">
      <c r="B735" s="71"/>
      <c r="C735" s="72"/>
      <c r="D735" s="77"/>
      <c r="E735" s="78"/>
      <c r="F735" s="78"/>
      <c r="G735" s="78"/>
      <c r="H735" s="78"/>
      <c r="I735" s="79"/>
      <c r="J735" s="86"/>
      <c r="K735" s="87"/>
      <c r="L735" s="86"/>
      <c r="M735" s="87"/>
      <c r="N735" s="77"/>
      <c r="O735" s="79"/>
      <c r="P735" s="92"/>
      <c r="Q735" s="93"/>
      <c r="S735" s="99"/>
      <c r="T735" s="99"/>
      <c r="U735" s="99"/>
      <c r="V735" s="99"/>
      <c r="W735" s="99"/>
      <c r="X735" s="99"/>
      <c r="Y735" s="99"/>
      <c r="Z735" s="99"/>
      <c r="AA735" s="99"/>
      <c r="AB735" s="99"/>
      <c r="AC735" s="98"/>
      <c r="AD735" s="98"/>
      <c r="AE735" s="98"/>
      <c r="AF735" s="98"/>
      <c r="AG735" s="98"/>
      <c r="AH735" s="98"/>
    </row>
    <row r="736" spans="2:34" x14ac:dyDescent="0.25">
      <c r="B736" s="73"/>
      <c r="C736" s="74"/>
      <c r="D736" s="80"/>
      <c r="E736" s="81"/>
      <c r="F736" s="81"/>
      <c r="G736" s="81"/>
      <c r="H736" s="81"/>
      <c r="I736" s="82"/>
      <c r="J736" s="88"/>
      <c r="K736" s="89"/>
      <c r="L736" s="88"/>
      <c r="M736" s="89"/>
      <c r="N736" s="80"/>
      <c r="O736" s="82"/>
      <c r="P736" s="94"/>
      <c r="Q736" s="95"/>
      <c r="S736" s="99"/>
      <c r="T736" s="99"/>
      <c r="U736" s="99"/>
      <c r="V736" s="99"/>
      <c r="W736" s="99"/>
      <c r="X736" s="99"/>
      <c r="Y736" s="99"/>
      <c r="Z736" s="99"/>
      <c r="AA736" s="99"/>
      <c r="AB736" s="99"/>
      <c r="AC736" s="98"/>
      <c r="AD736" s="98"/>
      <c r="AE736" s="98"/>
      <c r="AF736" s="98"/>
      <c r="AG736" s="98"/>
      <c r="AH736" s="98"/>
    </row>
    <row r="737" spans="2:34" x14ac:dyDescent="0.25">
      <c r="B737" s="75"/>
      <c r="C737" s="76"/>
      <c r="D737" s="83"/>
      <c r="E737" s="84"/>
      <c r="F737" s="84"/>
      <c r="G737" s="84"/>
      <c r="H737" s="84"/>
      <c r="I737" s="85"/>
      <c r="J737" s="90"/>
      <c r="K737" s="91"/>
      <c r="L737" s="90"/>
      <c r="M737" s="91"/>
      <c r="N737" s="83"/>
      <c r="O737" s="85"/>
      <c r="P737" s="96"/>
      <c r="Q737" s="97"/>
      <c r="S737" s="99"/>
      <c r="T737" s="99"/>
      <c r="U737" s="99"/>
      <c r="V737" s="99"/>
      <c r="W737" s="99"/>
      <c r="X737" s="99"/>
      <c r="Y737" s="99"/>
      <c r="Z737" s="99"/>
      <c r="AA737" s="99"/>
      <c r="AB737" s="99"/>
      <c r="AC737" s="98"/>
      <c r="AD737" s="98"/>
      <c r="AE737" s="98"/>
      <c r="AF737" s="98"/>
      <c r="AG737" s="98"/>
      <c r="AH737" s="98"/>
    </row>
    <row r="738" spans="2:34" x14ac:dyDescent="0.25">
      <c r="B738" s="71"/>
      <c r="C738" s="72"/>
      <c r="D738" s="77"/>
      <c r="E738" s="78"/>
      <c r="F738" s="78"/>
      <c r="G738" s="78"/>
      <c r="H738" s="78"/>
      <c r="I738" s="79"/>
      <c r="J738" s="86"/>
      <c r="K738" s="87"/>
      <c r="L738" s="86"/>
      <c r="M738" s="87"/>
      <c r="N738" s="77"/>
      <c r="O738" s="79"/>
      <c r="P738" s="92"/>
      <c r="Q738" s="93"/>
      <c r="S738" s="99"/>
      <c r="T738" s="99"/>
      <c r="U738" s="99"/>
      <c r="V738" s="99"/>
      <c r="W738" s="99"/>
      <c r="X738" s="99"/>
      <c r="Y738" s="99"/>
      <c r="Z738" s="99"/>
      <c r="AA738" s="99"/>
      <c r="AB738" s="99"/>
      <c r="AC738" s="98"/>
      <c r="AD738" s="98"/>
      <c r="AE738" s="98"/>
      <c r="AF738" s="98"/>
      <c r="AG738" s="98"/>
      <c r="AH738" s="98"/>
    </row>
    <row r="739" spans="2:34" x14ac:dyDescent="0.25">
      <c r="B739" s="73"/>
      <c r="C739" s="74"/>
      <c r="D739" s="80"/>
      <c r="E739" s="81"/>
      <c r="F739" s="81"/>
      <c r="G739" s="81"/>
      <c r="H739" s="81"/>
      <c r="I739" s="82"/>
      <c r="J739" s="88"/>
      <c r="K739" s="89"/>
      <c r="L739" s="88"/>
      <c r="M739" s="89"/>
      <c r="N739" s="80"/>
      <c r="O739" s="82"/>
      <c r="P739" s="94"/>
      <c r="Q739" s="95"/>
      <c r="S739" s="99"/>
      <c r="T739" s="99"/>
      <c r="U739" s="99"/>
      <c r="V739" s="99"/>
      <c r="W739" s="99"/>
      <c r="X739" s="99"/>
      <c r="Y739" s="99"/>
      <c r="Z739" s="99"/>
      <c r="AA739" s="99"/>
      <c r="AB739" s="99"/>
      <c r="AC739" s="98"/>
      <c r="AD739" s="98"/>
      <c r="AE739" s="98"/>
      <c r="AF739" s="98"/>
      <c r="AG739" s="98"/>
      <c r="AH739" s="98"/>
    </row>
    <row r="740" spans="2:34" x14ac:dyDescent="0.25">
      <c r="B740" s="75"/>
      <c r="C740" s="76"/>
      <c r="D740" s="83"/>
      <c r="E740" s="84"/>
      <c r="F740" s="84"/>
      <c r="G740" s="84"/>
      <c r="H740" s="84"/>
      <c r="I740" s="85"/>
      <c r="J740" s="90"/>
      <c r="K740" s="91"/>
      <c r="L740" s="90"/>
      <c r="M740" s="91"/>
      <c r="N740" s="83"/>
      <c r="O740" s="85"/>
      <c r="P740" s="96"/>
      <c r="Q740" s="97"/>
      <c r="S740" s="99"/>
      <c r="T740" s="99"/>
      <c r="U740" s="99"/>
      <c r="V740" s="99"/>
      <c r="W740" s="99"/>
      <c r="X740" s="99"/>
      <c r="Y740" s="99"/>
      <c r="Z740" s="99"/>
      <c r="AA740" s="99"/>
      <c r="AB740" s="99"/>
      <c r="AC740" s="98"/>
      <c r="AD740" s="98"/>
      <c r="AE740" s="98"/>
      <c r="AF740" s="98"/>
      <c r="AG740" s="98"/>
      <c r="AH740" s="98"/>
    </row>
    <row r="741" spans="2:34" x14ac:dyDescent="0.25">
      <c r="B741" s="71"/>
      <c r="C741" s="72"/>
      <c r="D741" s="77"/>
      <c r="E741" s="78"/>
      <c r="F741" s="78"/>
      <c r="G741" s="78"/>
      <c r="H741" s="78"/>
      <c r="I741" s="79"/>
      <c r="J741" s="86"/>
      <c r="K741" s="87"/>
      <c r="L741" s="86"/>
      <c r="M741" s="87"/>
      <c r="N741" s="77"/>
      <c r="O741" s="79"/>
      <c r="P741" s="92"/>
      <c r="Q741" s="93"/>
      <c r="S741" s="99"/>
      <c r="T741" s="99"/>
      <c r="U741" s="99"/>
      <c r="V741" s="99"/>
      <c r="W741" s="99"/>
      <c r="X741" s="99"/>
      <c r="Y741" s="99"/>
      <c r="Z741" s="99"/>
      <c r="AA741" s="99"/>
      <c r="AB741" s="99"/>
      <c r="AC741" s="98"/>
      <c r="AD741" s="98"/>
      <c r="AE741" s="98"/>
      <c r="AF741" s="98"/>
      <c r="AG741" s="98"/>
      <c r="AH741" s="98"/>
    </row>
    <row r="742" spans="2:34" x14ac:dyDescent="0.25">
      <c r="B742" s="73"/>
      <c r="C742" s="74"/>
      <c r="D742" s="80"/>
      <c r="E742" s="81"/>
      <c r="F742" s="81"/>
      <c r="G742" s="81"/>
      <c r="H742" s="81"/>
      <c r="I742" s="82"/>
      <c r="J742" s="88"/>
      <c r="K742" s="89"/>
      <c r="L742" s="88"/>
      <c r="M742" s="89"/>
      <c r="N742" s="80"/>
      <c r="O742" s="82"/>
      <c r="P742" s="94"/>
      <c r="Q742" s="95"/>
      <c r="S742" s="99"/>
      <c r="T742" s="99"/>
      <c r="U742" s="99"/>
      <c r="V742" s="99"/>
      <c r="W742" s="99"/>
      <c r="X742" s="99"/>
      <c r="Y742" s="99"/>
      <c r="Z742" s="99"/>
      <c r="AA742" s="99"/>
      <c r="AB742" s="99"/>
      <c r="AC742" s="98"/>
      <c r="AD742" s="98"/>
      <c r="AE742" s="98"/>
      <c r="AF742" s="98"/>
      <c r="AG742" s="98"/>
      <c r="AH742" s="98"/>
    </row>
    <row r="743" spans="2:34" x14ac:dyDescent="0.25">
      <c r="B743" s="75"/>
      <c r="C743" s="76"/>
      <c r="D743" s="83"/>
      <c r="E743" s="84"/>
      <c r="F743" s="84"/>
      <c r="G743" s="84"/>
      <c r="H743" s="84"/>
      <c r="I743" s="85"/>
      <c r="J743" s="90"/>
      <c r="K743" s="91"/>
      <c r="L743" s="90"/>
      <c r="M743" s="91"/>
      <c r="N743" s="83"/>
      <c r="O743" s="85"/>
      <c r="P743" s="96"/>
      <c r="Q743" s="97"/>
      <c r="S743" s="99"/>
      <c r="T743" s="99"/>
      <c r="U743" s="99"/>
      <c r="V743" s="99"/>
      <c r="W743" s="99"/>
      <c r="X743" s="99"/>
      <c r="Y743" s="99"/>
      <c r="Z743" s="99"/>
      <c r="AA743" s="99"/>
      <c r="AB743" s="99"/>
      <c r="AC743" s="98"/>
      <c r="AD743" s="98"/>
      <c r="AE743" s="98"/>
      <c r="AF743" s="98"/>
      <c r="AG743" s="98"/>
      <c r="AH743" s="98"/>
    </row>
    <row r="744" spans="2:34" x14ac:dyDescent="0.25">
      <c r="B744" s="71"/>
      <c r="C744" s="72"/>
      <c r="D744" s="77"/>
      <c r="E744" s="78"/>
      <c r="F744" s="78"/>
      <c r="G744" s="78"/>
      <c r="H744" s="78"/>
      <c r="I744" s="79"/>
      <c r="J744" s="86"/>
      <c r="K744" s="87"/>
      <c r="L744" s="86"/>
      <c r="M744" s="87"/>
      <c r="N744" s="77"/>
      <c r="O744" s="79"/>
      <c r="P744" s="92"/>
      <c r="Q744" s="93"/>
      <c r="S744" s="99"/>
      <c r="T744" s="99"/>
      <c r="U744" s="99"/>
      <c r="V744" s="99"/>
      <c r="W744" s="99"/>
      <c r="X744" s="99"/>
      <c r="Y744" s="99"/>
      <c r="Z744" s="99"/>
      <c r="AA744" s="99"/>
      <c r="AB744" s="99"/>
      <c r="AC744" s="98"/>
      <c r="AD744" s="98"/>
      <c r="AE744" s="98"/>
      <c r="AF744" s="98"/>
      <c r="AG744" s="98"/>
      <c r="AH744" s="98"/>
    </row>
    <row r="745" spans="2:34" x14ac:dyDescent="0.25">
      <c r="B745" s="73"/>
      <c r="C745" s="74"/>
      <c r="D745" s="80"/>
      <c r="E745" s="81"/>
      <c r="F745" s="81"/>
      <c r="G745" s="81"/>
      <c r="H745" s="81"/>
      <c r="I745" s="82"/>
      <c r="J745" s="88"/>
      <c r="K745" s="89"/>
      <c r="L745" s="88"/>
      <c r="M745" s="89"/>
      <c r="N745" s="80"/>
      <c r="O745" s="82"/>
      <c r="P745" s="94"/>
      <c r="Q745" s="95"/>
      <c r="S745" s="99"/>
      <c r="T745" s="99"/>
      <c r="U745" s="99"/>
      <c r="V745" s="99"/>
      <c r="W745" s="99"/>
      <c r="X745" s="99"/>
      <c r="Y745" s="99"/>
      <c r="Z745" s="99"/>
      <c r="AA745" s="99"/>
      <c r="AB745" s="99"/>
      <c r="AC745" s="98"/>
      <c r="AD745" s="98"/>
      <c r="AE745" s="98"/>
      <c r="AF745" s="98"/>
      <c r="AG745" s="98"/>
      <c r="AH745" s="98"/>
    </row>
    <row r="746" spans="2:34" x14ac:dyDescent="0.25">
      <c r="B746" s="75"/>
      <c r="C746" s="76"/>
      <c r="D746" s="83"/>
      <c r="E746" s="84"/>
      <c r="F746" s="84"/>
      <c r="G746" s="84"/>
      <c r="H746" s="84"/>
      <c r="I746" s="85"/>
      <c r="J746" s="90"/>
      <c r="K746" s="91"/>
      <c r="L746" s="90"/>
      <c r="M746" s="91"/>
      <c r="N746" s="83"/>
      <c r="O746" s="85"/>
      <c r="P746" s="96"/>
      <c r="Q746" s="97"/>
      <c r="S746" s="99"/>
      <c r="T746" s="99"/>
      <c r="U746" s="99"/>
      <c r="V746" s="99"/>
      <c r="W746" s="99"/>
      <c r="X746" s="99"/>
      <c r="Y746" s="99"/>
      <c r="Z746" s="99"/>
      <c r="AA746" s="99"/>
      <c r="AB746" s="99"/>
      <c r="AC746" s="98"/>
      <c r="AD746" s="98"/>
      <c r="AE746" s="98"/>
      <c r="AF746" s="98"/>
      <c r="AG746" s="98"/>
      <c r="AH746" s="98"/>
    </row>
    <row r="747" spans="2:34" x14ac:dyDescent="0.25">
      <c r="B747" s="71"/>
      <c r="C747" s="72"/>
      <c r="D747" s="77"/>
      <c r="E747" s="78"/>
      <c r="F747" s="78"/>
      <c r="G747" s="78"/>
      <c r="H747" s="78"/>
      <c r="I747" s="79"/>
      <c r="J747" s="86"/>
      <c r="K747" s="87"/>
      <c r="L747" s="86"/>
      <c r="M747" s="87"/>
      <c r="N747" s="77"/>
      <c r="O747" s="79"/>
      <c r="P747" s="92"/>
      <c r="Q747" s="93"/>
      <c r="S747" s="99"/>
      <c r="T747" s="99"/>
      <c r="U747" s="99"/>
      <c r="V747" s="99"/>
      <c r="W747" s="99"/>
      <c r="X747" s="99"/>
      <c r="Y747" s="99"/>
      <c r="Z747" s="99"/>
      <c r="AA747" s="99"/>
      <c r="AB747" s="99"/>
      <c r="AC747" s="98"/>
      <c r="AD747" s="98"/>
      <c r="AE747" s="98"/>
      <c r="AF747" s="98"/>
      <c r="AG747" s="98"/>
      <c r="AH747" s="98"/>
    </row>
    <row r="748" spans="2:34" x14ac:dyDescent="0.25">
      <c r="B748" s="73"/>
      <c r="C748" s="74"/>
      <c r="D748" s="80"/>
      <c r="E748" s="81"/>
      <c r="F748" s="81"/>
      <c r="G748" s="81"/>
      <c r="H748" s="81"/>
      <c r="I748" s="82"/>
      <c r="J748" s="88"/>
      <c r="K748" s="89"/>
      <c r="L748" s="88"/>
      <c r="M748" s="89"/>
      <c r="N748" s="80"/>
      <c r="O748" s="82"/>
      <c r="P748" s="94"/>
      <c r="Q748" s="95"/>
      <c r="S748" s="99"/>
      <c r="T748" s="99"/>
      <c r="U748" s="99"/>
      <c r="V748" s="99"/>
      <c r="W748" s="99"/>
      <c r="X748" s="99"/>
      <c r="Y748" s="99"/>
      <c r="Z748" s="99"/>
      <c r="AA748" s="99"/>
      <c r="AB748" s="99"/>
      <c r="AC748" s="98"/>
      <c r="AD748" s="98"/>
      <c r="AE748" s="98"/>
      <c r="AF748" s="98"/>
      <c r="AG748" s="98"/>
      <c r="AH748" s="98"/>
    </row>
    <row r="749" spans="2:34" x14ac:dyDescent="0.25">
      <c r="B749" s="75"/>
      <c r="C749" s="76"/>
      <c r="D749" s="83"/>
      <c r="E749" s="84"/>
      <c r="F749" s="84"/>
      <c r="G749" s="84"/>
      <c r="H749" s="84"/>
      <c r="I749" s="85"/>
      <c r="J749" s="90"/>
      <c r="K749" s="91"/>
      <c r="L749" s="90"/>
      <c r="M749" s="91"/>
      <c r="N749" s="83"/>
      <c r="O749" s="85"/>
      <c r="P749" s="96"/>
      <c r="Q749" s="97"/>
      <c r="S749" s="99"/>
      <c r="T749" s="99"/>
      <c r="U749" s="99"/>
      <c r="V749" s="99"/>
      <c r="W749" s="99"/>
      <c r="X749" s="99"/>
      <c r="Y749" s="99"/>
      <c r="Z749" s="99"/>
      <c r="AA749" s="99"/>
      <c r="AB749" s="99"/>
      <c r="AC749" s="98"/>
      <c r="AD749" s="98"/>
      <c r="AE749" s="98"/>
      <c r="AF749" s="98"/>
      <c r="AG749" s="98"/>
      <c r="AH749" s="98"/>
    </row>
    <row r="750" spans="2:34" x14ac:dyDescent="0.25">
      <c r="B750" s="71"/>
      <c r="C750" s="72"/>
      <c r="D750" s="77"/>
      <c r="E750" s="78"/>
      <c r="F750" s="78"/>
      <c r="G750" s="78"/>
      <c r="H750" s="78"/>
      <c r="I750" s="79"/>
      <c r="J750" s="86"/>
      <c r="K750" s="87"/>
      <c r="L750" s="86"/>
      <c r="M750" s="87"/>
      <c r="N750" s="77"/>
      <c r="O750" s="79"/>
      <c r="P750" s="92"/>
      <c r="Q750" s="93"/>
      <c r="S750" s="99"/>
      <c r="T750" s="99"/>
      <c r="U750" s="99"/>
      <c r="V750" s="99"/>
      <c r="W750" s="99"/>
      <c r="X750" s="99"/>
      <c r="Y750" s="99"/>
      <c r="Z750" s="99"/>
      <c r="AA750" s="99"/>
      <c r="AB750" s="99"/>
      <c r="AC750" s="98"/>
      <c r="AD750" s="98"/>
      <c r="AE750" s="98"/>
      <c r="AF750" s="98"/>
      <c r="AG750" s="98"/>
      <c r="AH750" s="98"/>
    </row>
    <row r="751" spans="2:34" x14ac:dyDescent="0.25">
      <c r="B751" s="73"/>
      <c r="C751" s="74"/>
      <c r="D751" s="80"/>
      <c r="E751" s="81"/>
      <c r="F751" s="81"/>
      <c r="G751" s="81"/>
      <c r="H751" s="81"/>
      <c r="I751" s="82"/>
      <c r="J751" s="88"/>
      <c r="K751" s="89"/>
      <c r="L751" s="88"/>
      <c r="M751" s="89"/>
      <c r="N751" s="80"/>
      <c r="O751" s="82"/>
      <c r="P751" s="94"/>
      <c r="Q751" s="95"/>
      <c r="S751" s="99"/>
      <c r="T751" s="99"/>
      <c r="U751" s="99"/>
      <c r="V751" s="99"/>
      <c r="W751" s="99"/>
      <c r="X751" s="99"/>
      <c r="Y751" s="99"/>
      <c r="Z751" s="99"/>
      <c r="AA751" s="99"/>
      <c r="AB751" s="99"/>
      <c r="AC751" s="98"/>
      <c r="AD751" s="98"/>
      <c r="AE751" s="98"/>
      <c r="AF751" s="98"/>
      <c r="AG751" s="98"/>
      <c r="AH751" s="98"/>
    </row>
    <row r="752" spans="2:34" x14ac:dyDescent="0.25">
      <c r="B752" s="75"/>
      <c r="C752" s="76"/>
      <c r="D752" s="83"/>
      <c r="E752" s="84"/>
      <c r="F752" s="84"/>
      <c r="G752" s="84"/>
      <c r="H752" s="84"/>
      <c r="I752" s="85"/>
      <c r="J752" s="90"/>
      <c r="K752" s="91"/>
      <c r="L752" s="90"/>
      <c r="M752" s="91"/>
      <c r="N752" s="83"/>
      <c r="O752" s="85"/>
      <c r="P752" s="96"/>
      <c r="Q752" s="97"/>
      <c r="S752" s="99"/>
      <c r="T752" s="99"/>
      <c r="U752" s="99"/>
      <c r="V752" s="99"/>
      <c r="W752" s="99"/>
      <c r="X752" s="99"/>
      <c r="Y752" s="99"/>
      <c r="Z752" s="99"/>
      <c r="AA752" s="99"/>
      <c r="AB752" s="99"/>
      <c r="AC752" s="98"/>
      <c r="AD752" s="98"/>
      <c r="AE752" s="98"/>
      <c r="AF752" s="98"/>
      <c r="AG752" s="98"/>
      <c r="AH752" s="98"/>
    </row>
    <row r="753" spans="2:34" x14ac:dyDescent="0.25">
      <c r="B753" s="71"/>
      <c r="C753" s="72"/>
      <c r="D753" s="77"/>
      <c r="E753" s="78"/>
      <c r="F753" s="78"/>
      <c r="G753" s="78"/>
      <c r="H753" s="78"/>
      <c r="I753" s="79"/>
      <c r="J753" s="86"/>
      <c r="K753" s="87"/>
      <c r="L753" s="86"/>
      <c r="M753" s="87"/>
      <c r="N753" s="77"/>
      <c r="O753" s="79"/>
      <c r="P753" s="92"/>
      <c r="Q753" s="93"/>
      <c r="S753" s="99"/>
      <c r="T753" s="99"/>
      <c r="U753" s="99"/>
      <c r="V753" s="99"/>
      <c r="W753" s="99"/>
      <c r="X753" s="99"/>
      <c r="Y753" s="99"/>
      <c r="Z753" s="99"/>
      <c r="AA753" s="99"/>
      <c r="AB753" s="99"/>
      <c r="AC753" s="98"/>
      <c r="AD753" s="98"/>
      <c r="AE753" s="98"/>
      <c r="AF753" s="98"/>
      <c r="AG753" s="98"/>
      <c r="AH753" s="98"/>
    </row>
    <row r="754" spans="2:34" x14ac:dyDescent="0.25">
      <c r="B754" s="73"/>
      <c r="C754" s="74"/>
      <c r="D754" s="80"/>
      <c r="E754" s="81"/>
      <c r="F754" s="81"/>
      <c r="G754" s="81"/>
      <c r="H754" s="81"/>
      <c r="I754" s="82"/>
      <c r="J754" s="88"/>
      <c r="K754" s="89"/>
      <c r="L754" s="88"/>
      <c r="M754" s="89"/>
      <c r="N754" s="80"/>
      <c r="O754" s="82"/>
      <c r="P754" s="94"/>
      <c r="Q754" s="95"/>
      <c r="S754" s="99"/>
      <c r="T754" s="99"/>
      <c r="U754" s="99"/>
      <c r="V754" s="99"/>
      <c r="W754" s="99"/>
      <c r="X754" s="99"/>
      <c r="Y754" s="99"/>
      <c r="Z754" s="99"/>
      <c r="AA754" s="99"/>
      <c r="AB754" s="99"/>
      <c r="AC754" s="98"/>
      <c r="AD754" s="98"/>
      <c r="AE754" s="98"/>
      <c r="AF754" s="98"/>
      <c r="AG754" s="98"/>
      <c r="AH754" s="98"/>
    </row>
    <row r="755" spans="2:34" x14ac:dyDescent="0.25">
      <c r="B755" s="75"/>
      <c r="C755" s="76"/>
      <c r="D755" s="83"/>
      <c r="E755" s="84"/>
      <c r="F755" s="84"/>
      <c r="G755" s="84"/>
      <c r="H755" s="84"/>
      <c r="I755" s="85"/>
      <c r="J755" s="90"/>
      <c r="K755" s="91"/>
      <c r="L755" s="90"/>
      <c r="M755" s="91"/>
      <c r="N755" s="83"/>
      <c r="O755" s="85"/>
      <c r="P755" s="96"/>
      <c r="Q755" s="97"/>
      <c r="S755" s="99"/>
      <c r="T755" s="99"/>
      <c r="U755" s="99"/>
      <c r="V755" s="99"/>
      <c r="W755" s="99"/>
      <c r="X755" s="99"/>
      <c r="Y755" s="99"/>
      <c r="Z755" s="99"/>
      <c r="AA755" s="99"/>
      <c r="AB755" s="99"/>
      <c r="AC755" s="98"/>
      <c r="AD755" s="98"/>
      <c r="AE755" s="98"/>
      <c r="AF755" s="98"/>
      <c r="AG755" s="98"/>
      <c r="AH755" s="98"/>
    </row>
    <row r="756" spans="2:34" x14ac:dyDescent="0.25">
      <c r="B756" s="71"/>
      <c r="C756" s="72"/>
      <c r="D756" s="77"/>
      <c r="E756" s="78"/>
      <c r="F756" s="78"/>
      <c r="G756" s="78"/>
      <c r="H756" s="78"/>
      <c r="I756" s="79"/>
      <c r="J756" s="86"/>
      <c r="K756" s="87"/>
      <c r="L756" s="86"/>
      <c r="M756" s="87"/>
      <c r="N756" s="77"/>
      <c r="O756" s="79"/>
      <c r="P756" s="92"/>
      <c r="Q756" s="93"/>
      <c r="S756" s="99"/>
      <c r="T756" s="99"/>
      <c r="U756" s="99"/>
      <c r="V756" s="99"/>
      <c r="W756" s="99"/>
      <c r="X756" s="99"/>
      <c r="Y756" s="99"/>
      <c r="Z756" s="99"/>
      <c r="AA756" s="99"/>
      <c r="AB756" s="99"/>
      <c r="AC756" s="98"/>
      <c r="AD756" s="98"/>
      <c r="AE756" s="98"/>
      <c r="AF756" s="98"/>
      <c r="AG756" s="98"/>
      <c r="AH756" s="98"/>
    </row>
    <row r="757" spans="2:34" x14ac:dyDescent="0.25">
      <c r="B757" s="73"/>
      <c r="C757" s="74"/>
      <c r="D757" s="80"/>
      <c r="E757" s="81"/>
      <c r="F757" s="81"/>
      <c r="G757" s="81"/>
      <c r="H757" s="81"/>
      <c r="I757" s="82"/>
      <c r="J757" s="88"/>
      <c r="K757" s="89"/>
      <c r="L757" s="88"/>
      <c r="M757" s="89"/>
      <c r="N757" s="80"/>
      <c r="O757" s="82"/>
      <c r="P757" s="94"/>
      <c r="Q757" s="95"/>
      <c r="S757" s="99"/>
      <c r="T757" s="99"/>
      <c r="U757" s="99"/>
      <c r="V757" s="99"/>
      <c r="W757" s="99"/>
      <c r="X757" s="99"/>
      <c r="Y757" s="99"/>
      <c r="Z757" s="99"/>
      <c r="AA757" s="99"/>
      <c r="AB757" s="99"/>
      <c r="AC757" s="98"/>
      <c r="AD757" s="98"/>
      <c r="AE757" s="98"/>
      <c r="AF757" s="98"/>
      <c r="AG757" s="98"/>
      <c r="AH757" s="98"/>
    </row>
    <row r="758" spans="2:34" x14ac:dyDescent="0.25">
      <c r="B758" s="75"/>
      <c r="C758" s="76"/>
      <c r="D758" s="83"/>
      <c r="E758" s="84"/>
      <c r="F758" s="84"/>
      <c r="G758" s="84"/>
      <c r="H758" s="84"/>
      <c r="I758" s="85"/>
      <c r="J758" s="90"/>
      <c r="K758" s="91"/>
      <c r="L758" s="90"/>
      <c r="M758" s="91"/>
      <c r="N758" s="83"/>
      <c r="O758" s="85"/>
      <c r="P758" s="96"/>
      <c r="Q758" s="97"/>
      <c r="S758" s="99"/>
      <c r="T758" s="99"/>
      <c r="U758" s="99"/>
      <c r="V758" s="99"/>
      <c r="W758" s="99"/>
      <c r="X758" s="99"/>
      <c r="Y758" s="99"/>
      <c r="Z758" s="99"/>
      <c r="AA758" s="99"/>
      <c r="AB758" s="99"/>
      <c r="AC758" s="98"/>
      <c r="AD758" s="98"/>
      <c r="AE758" s="98"/>
      <c r="AF758" s="98"/>
      <c r="AG758" s="98"/>
      <c r="AH758" s="98"/>
    </row>
    <row r="759" spans="2:34" x14ac:dyDescent="0.25">
      <c r="B759" s="71"/>
      <c r="C759" s="72"/>
      <c r="D759" s="77"/>
      <c r="E759" s="78"/>
      <c r="F759" s="78"/>
      <c r="G759" s="78"/>
      <c r="H759" s="78"/>
      <c r="I759" s="79"/>
      <c r="J759" s="86"/>
      <c r="K759" s="87"/>
      <c r="L759" s="86"/>
      <c r="M759" s="87"/>
      <c r="N759" s="77"/>
      <c r="O759" s="79"/>
      <c r="P759" s="92"/>
      <c r="Q759" s="93"/>
      <c r="S759" s="99"/>
      <c r="T759" s="99"/>
      <c r="U759" s="99"/>
      <c r="V759" s="99"/>
      <c r="W759" s="99"/>
      <c r="X759" s="99"/>
      <c r="Y759" s="99"/>
      <c r="Z759" s="99"/>
      <c r="AA759" s="99"/>
      <c r="AB759" s="99"/>
      <c r="AC759" s="98"/>
      <c r="AD759" s="98"/>
      <c r="AE759" s="98"/>
      <c r="AF759" s="98"/>
      <c r="AG759" s="98"/>
      <c r="AH759" s="98"/>
    </row>
    <row r="760" spans="2:34" x14ac:dyDescent="0.25">
      <c r="B760" s="73"/>
      <c r="C760" s="74"/>
      <c r="D760" s="80"/>
      <c r="E760" s="81"/>
      <c r="F760" s="81"/>
      <c r="G760" s="81"/>
      <c r="H760" s="81"/>
      <c r="I760" s="82"/>
      <c r="J760" s="88"/>
      <c r="K760" s="89"/>
      <c r="L760" s="88"/>
      <c r="M760" s="89"/>
      <c r="N760" s="80"/>
      <c r="O760" s="82"/>
      <c r="P760" s="94"/>
      <c r="Q760" s="95"/>
      <c r="S760" s="99"/>
      <c r="T760" s="99"/>
      <c r="U760" s="99"/>
      <c r="V760" s="99"/>
      <c r="W760" s="99"/>
      <c r="X760" s="99"/>
      <c r="Y760" s="99"/>
      <c r="Z760" s="99"/>
      <c r="AA760" s="99"/>
      <c r="AB760" s="99"/>
      <c r="AC760" s="98"/>
      <c r="AD760" s="98"/>
      <c r="AE760" s="98"/>
      <c r="AF760" s="98"/>
      <c r="AG760" s="98"/>
      <c r="AH760" s="98"/>
    </row>
    <row r="761" spans="2:34" x14ac:dyDescent="0.25">
      <c r="B761" s="75"/>
      <c r="C761" s="76"/>
      <c r="D761" s="83"/>
      <c r="E761" s="84"/>
      <c r="F761" s="84"/>
      <c r="G761" s="84"/>
      <c r="H761" s="84"/>
      <c r="I761" s="85"/>
      <c r="J761" s="90"/>
      <c r="K761" s="91"/>
      <c r="L761" s="90"/>
      <c r="M761" s="91"/>
      <c r="N761" s="83"/>
      <c r="O761" s="85"/>
      <c r="P761" s="96"/>
      <c r="Q761" s="97"/>
      <c r="S761" s="99"/>
      <c r="T761" s="99"/>
      <c r="U761" s="99"/>
      <c r="V761" s="99"/>
      <c r="W761" s="99"/>
      <c r="X761" s="99"/>
      <c r="Y761" s="99"/>
      <c r="Z761" s="99"/>
      <c r="AA761" s="99"/>
      <c r="AB761" s="99"/>
      <c r="AC761" s="98"/>
      <c r="AD761" s="98"/>
      <c r="AE761" s="98"/>
      <c r="AF761" s="98"/>
      <c r="AG761" s="98"/>
      <c r="AH761" s="98"/>
    </row>
    <row r="762" spans="2:34" x14ac:dyDescent="0.25">
      <c r="B762" s="71"/>
      <c r="C762" s="72"/>
      <c r="D762" s="77"/>
      <c r="E762" s="78"/>
      <c r="F762" s="78"/>
      <c r="G762" s="78"/>
      <c r="H762" s="78"/>
      <c r="I762" s="79"/>
      <c r="J762" s="86"/>
      <c r="K762" s="87"/>
      <c r="L762" s="86"/>
      <c r="M762" s="87"/>
      <c r="N762" s="77"/>
      <c r="O762" s="79"/>
      <c r="P762" s="92"/>
      <c r="Q762" s="93"/>
      <c r="S762" s="99"/>
      <c r="T762" s="99"/>
      <c r="U762" s="99"/>
      <c r="V762" s="99"/>
      <c r="W762" s="99"/>
      <c r="X762" s="99"/>
      <c r="Y762" s="99"/>
      <c r="Z762" s="99"/>
      <c r="AA762" s="99"/>
      <c r="AB762" s="99"/>
      <c r="AC762" s="98"/>
      <c r="AD762" s="98"/>
      <c r="AE762" s="98"/>
      <c r="AF762" s="98"/>
      <c r="AG762" s="98"/>
      <c r="AH762" s="98"/>
    </row>
    <row r="763" spans="2:34" x14ac:dyDescent="0.25">
      <c r="B763" s="73"/>
      <c r="C763" s="74"/>
      <c r="D763" s="80"/>
      <c r="E763" s="81"/>
      <c r="F763" s="81"/>
      <c r="G763" s="81"/>
      <c r="H763" s="81"/>
      <c r="I763" s="82"/>
      <c r="J763" s="88"/>
      <c r="K763" s="89"/>
      <c r="L763" s="88"/>
      <c r="M763" s="89"/>
      <c r="N763" s="80"/>
      <c r="O763" s="82"/>
      <c r="P763" s="94"/>
      <c r="Q763" s="95"/>
      <c r="S763" s="99"/>
      <c r="T763" s="99"/>
      <c r="U763" s="99"/>
      <c r="V763" s="99"/>
      <c r="W763" s="99"/>
      <c r="X763" s="99"/>
      <c r="Y763" s="99"/>
      <c r="Z763" s="99"/>
      <c r="AA763" s="99"/>
      <c r="AB763" s="99"/>
      <c r="AC763" s="98"/>
      <c r="AD763" s="98"/>
      <c r="AE763" s="98"/>
      <c r="AF763" s="98"/>
      <c r="AG763" s="98"/>
      <c r="AH763" s="98"/>
    </row>
    <row r="764" spans="2:34" x14ac:dyDescent="0.25">
      <c r="B764" s="75"/>
      <c r="C764" s="76"/>
      <c r="D764" s="83"/>
      <c r="E764" s="84"/>
      <c r="F764" s="84"/>
      <c r="G764" s="84"/>
      <c r="H764" s="84"/>
      <c r="I764" s="85"/>
      <c r="J764" s="90"/>
      <c r="K764" s="91"/>
      <c r="L764" s="90"/>
      <c r="M764" s="91"/>
      <c r="N764" s="83"/>
      <c r="O764" s="85"/>
      <c r="P764" s="96"/>
      <c r="Q764" s="97"/>
      <c r="S764" s="99"/>
      <c r="T764" s="99"/>
      <c r="U764" s="99"/>
      <c r="V764" s="99"/>
      <c r="W764" s="99"/>
      <c r="X764" s="99"/>
      <c r="Y764" s="99"/>
      <c r="Z764" s="99"/>
      <c r="AA764" s="99"/>
      <c r="AB764" s="99"/>
      <c r="AC764" s="98"/>
      <c r="AD764" s="98"/>
      <c r="AE764" s="98"/>
      <c r="AF764" s="98"/>
      <c r="AG764" s="98"/>
      <c r="AH764" s="98"/>
    </row>
    <row r="765" spans="2:34" x14ac:dyDescent="0.25">
      <c r="B765" s="71"/>
      <c r="C765" s="72"/>
      <c r="D765" s="77"/>
      <c r="E765" s="78"/>
      <c r="F765" s="78"/>
      <c r="G765" s="78"/>
      <c r="H765" s="78"/>
      <c r="I765" s="79"/>
      <c r="J765" s="86"/>
      <c r="K765" s="87"/>
      <c r="L765" s="86"/>
      <c r="M765" s="87"/>
      <c r="N765" s="77"/>
      <c r="O765" s="79"/>
      <c r="P765" s="92"/>
      <c r="Q765" s="93"/>
      <c r="S765" s="99"/>
      <c r="T765" s="99"/>
      <c r="U765" s="99"/>
      <c r="V765" s="99"/>
      <c r="W765" s="99"/>
      <c r="X765" s="99"/>
      <c r="Y765" s="99"/>
      <c r="Z765" s="99"/>
      <c r="AA765" s="99"/>
      <c r="AB765" s="99"/>
      <c r="AC765" s="98"/>
      <c r="AD765" s="98"/>
      <c r="AE765" s="98"/>
      <c r="AF765" s="98"/>
      <c r="AG765" s="98"/>
      <c r="AH765" s="98"/>
    </row>
    <row r="766" spans="2:34" x14ac:dyDescent="0.25">
      <c r="B766" s="73"/>
      <c r="C766" s="74"/>
      <c r="D766" s="80"/>
      <c r="E766" s="81"/>
      <c r="F766" s="81"/>
      <c r="G766" s="81"/>
      <c r="H766" s="81"/>
      <c r="I766" s="82"/>
      <c r="J766" s="88"/>
      <c r="K766" s="89"/>
      <c r="L766" s="88"/>
      <c r="M766" s="89"/>
      <c r="N766" s="80"/>
      <c r="O766" s="82"/>
      <c r="P766" s="94"/>
      <c r="Q766" s="95"/>
      <c r="S766" s="99"/>
      <c r="T766" s="99"/>
      <c r="U766" s="99"/>
      <c r="V766" s="99"/>
      <c r="W766" s="99"/>
      <c r="X766" s="99"/>
      <c r="Y766" s="99"/>
      <c r="Z766" s="99"/>
      <c r="AA766" s="99"/>
      <c r="AB766" s="99"/>
      <c r="AC766" s="98"/>
      <c r="AD766" s="98"/>
      <c r="AE766" s="98"/>
      <c r="AF766" s="98"/>
      <c r="AG766" s="98"/>
      <c r="AH766" s="98"/>
    </row>
    <row r="767" spans="2:34" x14ac:dyDescent="0.25">
      <c r="B767" s="75"/>
      <c r="C767" s="76"/>
      <c r="D767" s="83"/>
      <c r="E767" s="84"/>
      <c r="F767" s="84"/>
      <c r="G767" s="84"/>
      <c r="H767" s="84"/>
      <c r="I767" s="85"/>
      <c r="J767" s="90"/>
      <c r="K767" s="91"/>
      <c r="L767" s="90"/>
      <c r="M767" s="91"/>
      <c r="N767" s="83"/>
      <c r="O767" s="85"/>
      <c r="P767" s="96"/>
      <c r="Q767" s="97"/>
      <c r="S767" s="99"/>
      <c r="T767" s="99"/>
      <c r="U767" s="99"/>
      <c r="V767" s="99"/>
      <c r="W767" s="99"/>
      <c r="X767" s="99"/>
      <c r="Y767" s="99"/>
      <c r="Z767" s="99"/>
      <c r="AA767" s="99"/>
      <c r="AB767" s="99"/>
      <c r="AC767" s="98"/>
      <c r="AD767" s="98"/>
      <c r="AE767" s="98"/>
      <c r="AF767" s="98"/>
      <c r="AG767" s="98"/>
      <c r="AH767" s="98"/>
    </row>
    <row r="768" spans="2:34" x14ac:dyDescent="0.25">
      <c r="B768" s="71"/>
      <c r="C768" s="72"/>
      <c r="D768" s="77"/>
      <c r="E768" s="78"/>
      <c r="F768" s="78"/>
      <c r="G768" s="78"/>
      <c r="H768" s="78"/>
      <c r="I768" s="79"/>
      <c r="J768" s="86"/>
      <c r="K768" s="87"/>
      <c r="L768" s="86"/>
      <c r="M768" s="87"/>
      <c r="N768" s="77"/>
      <c r="O768" s="79"/>
      <c r="P768" s="92"/>
      <c r="Q768" s="93"/>
      <c r="S768" s="99"/>
      <c r="T768" s="99"/>
      <c r="U768" s="99"/>
      <c r="V768" s="99"/>
      <c r="W768" s="99"/>
      <c r="X768" s="99"/>
      <c r="Y768" s="99"/>
      <c r="Z768" s="99"/>
      <c r="AA768" s="99"/>
      <c r="AB768" s="99"/>
      <c r="AC768" s="98"/>
      <c r="AD768" s="98"/>
      <c r="AE768" s="98"/>
      <c r="AF768" s="98"/>
      <c r="AG768" s="98"/>
      <c r="AH768" s="98"/>
    </row>
    <row r="769" spans="2:34" x14ac:dyDescent="0.25">
      <c r="B769" s="73"/>
      <c r="C769" s="74"/>
      <c r="D769" s="80"/>
      <c r="E769" s="81"/>
      <c r="F769" s="81"/>
      <c r="G769" s="81"/>
      <c r="H769" s="81"/>
      <c r="I769" s="82"/>
      <c r="J769" s="88"/>
      <c r="K769" s="89"/>
      <c r="L769" s="88"/>
      <c r="M769" s="89"/>
      <c r="N769" s="80"/>
      <c r="O769" s="82"/>
      <c r="P769" s="94"/>
      <c r="Q769" s="95"/>
      <c r="S769" s="99"/>
      <c r="T769" s="99"/>
      <c r="U769" s="99"/>
      <c r="V769" s="99"/>
      <c r="W769" s="99"/>
      <c r="X769" s="99"/>
      <c r="Y769" s="99"/>
      <c r="Z769" s="99"/>
      <c r="AA769" s="99"/>
      <c r="AB769" s="99"/>
      <c r="AC769" s="98"/>
      <c r="AD769" s="98"/>
      <c r="AE769" s="98"/>
      <c r="AF769" s="98"/>
      <c r="AG769" s="98"/>
      <c r="AH769" s="98"/>
    </row>
    <row r="770" spans="2:34" x14ac:dyDescent="0.25">
      <c r="B770" s="75"/>
      <c r="C770" s="76"/>
      <c r="D770" s="83"/>
      <c r="E770" s="84"/>
      <c r="F770" s="84"/>
      <c r="G770" s="84"/>
      <c r="H770" s="84"/>
      <c r="I770" s="85"/>
      <c r="J770" s="90"/>
      <c r="K770" s="91"/>
      <c r="L770" s="90"/>
      <c r="M770" s="91"/>
      <c r="N770" s="83"/>
      <c r="O770" s="85"/>
      <c r="P770" s="96"/>
      <c r="Q770" s="97"/>
      <c r="S770" s="99"/>
      <c r="T770" s="99"/>
      <c r="U770" s="99"/>
      <c r="V770" s="99"/>
      <c r="W770" s="99"/>
      <c r="X770" s="99"/>
      <c r="Y770" s="99"/>
      <c r="Z770" s="99"/>
      <c r="AA770" s="99"/>
      <c r="AB770" s="99"/>
      <c r="AC770" s="98"/>
      <c r="AD770" s="98"/>
      <c r="AE770" s="98"/>
      <c r="AF770" s="98"/>
      <c r="AG770" s="98"/>
      <c r="AH770" s="98"/>
    </row>
    <row r="771" spans="2:34" x14ac:dyDescent="0.25">
      <c r="B771" s="71"/>
      <c r="C771" s="72"/>
      <c r="D771" s="77"/>
      <c r="E771" s="78"/>
      <c r="F771" s="78"/>
      <c r="G771" s="78"/>
      <c r="H771" s="78"/>
      <c r="I771" s="79"/>
      <c r="J771" s="86"/>
      <c r="K771" s="87"/>
      <c r="L771" s="86"/>
      <c r="M771" s="87"/>
      <c r="N771" s="77"/>
      <c r="O771" s="79"/>
      <c r="P771" s="92"/>
      <c r="Q771" s="93"/>
      <c r="S771" s="99"/>
      <c r="T771" s="99"/>
      <c r="U771" s="99"/>
      <c r="V771" s="99"/>
      <c r="W771" s="99"/>
      <c r="X771" s="99"/>
      <c r="Y771" s="99"/>
      <c r="Z771" s="99"/>
      <c r="AA771" s="99"/>
      <c r="AB771" s="99"/>
      <c r="AC771" s="98"/>
      <c r="AD771" s="98"/>
      <c r="AE771" s="98"/>
      <c r="AF771" s="98"/>
      <c r="AG771" s="98"/>
      <c r="AH771" s="98"/>
    </row>
    <row r="772" spans="2:34" x14ac:dyDescent="0.25">
      <c r="B772" s="73"/>
      <c r="C772" s="74"/>
      <c r="D772" s="80"/>
      <c r="E772" s="81"/>
      <c r="F772" s="81"/>
      <c r="G772" s="81"/>
      <c r="H772" s="81"/>
      <c r="I772" s="82"/>
      <c r="J772" s="88"/>
      <c r="K772" s="89"/>
      <c r="L772" s="88"/>
      <c r="M772" s="89"/>
      <c r="N772" s="80"/>
      <c r="O772" s="82"/>
      <c r="P772" s="94"/>
      <c r="Q772" s="95"/>
      <c r="S772" s="99"/>
      <c r="T772" s="99"/>
      <c r="U772" s="99"/>
      <c r="V772" s="99"/>
      <c r="W772" s="99"/>
      <c r="X772" s="99"/>
      <c r="Y772" s="99"/>
      <c r="Z772" s="99"/>
      <c r="AA772" s="99"/>
      <c r="AB772" s="99"/>
      <c r="AC772" s="98"/>
      <c r="AD772" s="98"/>
      <c r="AE772" s="98"/>
      <c r="AF772" s="98"/>
      <c r="AG772" s="98"/>
      <c r="AH772" s="98"/>
    </row>
    <row r="773" spans="2:34" x14ac:dyDescent="0.25">
      <c r="B773" s="75"/>
      <c r="C773" s="76"/>
      <c r="D773" s="83"/>
      <c r="E773" s="84"/>
      <c r="F773" s="84"/>
      <c r="G773" s="84"/>
      <c r="H773" s="84"/>
      <c r="I773" s="85"/>
      <c r="J773" s="90"/>
      <c r="K773" s="91"/>
      <c r="L773" s="90"/>
      <c r="M773" s="91"/>
      <c r="N773" s="83"/>
      <c r="O773" s="85"/>
      <c r="P773" s="96"/>
      <c r="Q773" s="97"/>
      <c r="S773" s="99"/>
      <c r="T773" s="99"/>
      <c r="U773" s="99"/>
      <c r="V773" s="99"/>
      <c r="W773" s="99"/>
      <c r="X773" s="99"/>
      <c r="Y773" s="99"/>
      <c r="Z773" s="99"/>
      <c r="AA773" s="99"/>
      <c r="AB773" s="99"/>
      <c r="AC773" s="98"/>
      <c r="AD773" s="98"/>
      <c r="AE773" s="98"/>
      <c r="AF773" s="98"/>
      <c r="AG773" s="98"/>
      <c r="AH773" s="98"/>
    </row>
    <row r="774" spans="2:34" x14ac:dyDescent="0.25">
      <c r="B774" s="71"/>
      <c r="C774" s="72"/>
      <c r="D774" s="77"/>
      <c r="E774" s="78"/>
      <c r="F774" s="78"/>
      <c r="G774" s="78"/>
      <c r="H774" s="78"/>
      <c r="I774" s="79"/>
      <c r="J774" s="86"/>
      <c r="K774" s="87"/>
      <c r="L774" s="86"/>
      <c r="M774" s="87"/>
      <c r="N774" s="77"/>
      <c r="O774" s="79"/>
      <c r="P774" s="92"/>
      <c r="Q774" s="93"/>
      <c r="S774" s="99"/>
      <c r="T774" s="99"/>
      <c r="U774" s="99"/>
      <c r="V774" s="99"/>
      <c r="W774" s="99"/>
      <c r="X774" s="99"/>
      <c r="Y774" s="99"/>
      <c r="Z774" s="99"/>
      <c r="AA774" s="99"/>
      <c r="AB774" s="99"/>
      <c r="AC774" s="98"/>
      <c r="AD774" s="98"/>
      <c r="AE774" s="98"/>
      <c r="AF774" s="98"/>
      <c r="AG774" s="98"/>
      <c r="AH774" s="98"/>
    </row>
    <row r="775" spans="2:34" x14ac:dyDescent="0.25">
      <c r="B775" s="73"/>
      <c r="C775" s="74"/>
      <c r="D775" s="80"/>
      <c r="E775" s="81"/>
      <c r="F775" s="81"/>
      <c r="G775" s="81"/>
      <c r="H775" s="81"/>
      <c r="I775" s="82"/>
      <c r="J775" s="88"/>
      <c r="K775" s="89"/>
      <c r="L775" s="88"/>
      <c r="M775" s="89"/>
      <c r="N775" s="80"/>
      <c r="O775" s="82"/>
      <c r="P775" s="94"/>
      <c r="Q775" s="95"/>
      <c r="S775" s="99"/>
      <c r="T775" s="99"/>
      <c r="U775" s="99"/>
      <c r="V775" s="99"/>
      <c r="W775" s="99"/>
      <c r="X775" s="99"/>
      <c r="Y775" s="99"/>
      <c r="Z775" s="99"/>
      <c r="AA775" s="99"/>
      <c r="AB775" s="99"/>
      <c r="AC775" s="98"/>
      <c r="AD775" s="98"/>
      <c r="AE775" s="98"/>
      <c r="AF775" s="98"/>
      <c r="AG775" s="98"/>
      <c r="AH775" s="98"/>
    </row>
    <row r="776" spans="2:34" x14ac:dyDescent="0.25">
      <c r="B776" s="75"/>
      <c r="C776" s="76"/>
      <c r="D776" s="83"/>
      <c r="E776" s="84"/>
      <c r="F776" s="84"/>
      <c r="G776" s="84"/>
      <c r="H776" s="84"/>
      <c r="I776" s="85"/>
      <c r="J776" s="90"/>
      <c r="K776" s="91"/>
      <c r="L776" s="90"/>
      <c r="M776" s="91"/>
      <c r="N776" s="83"/>
      <c r="O776" s="85"/>
      <c r="P776" s="96"/>
      <c r="Q776" s="97"/>
      <c r="S776" s="99"/>
      <c r="T776" s="99"/>
      <c r="U776" s="99"/>
      <c r="V776" s="99"/>
      <c r="W776" s="99"/>
      <c r="X776" s="99"/>
      <c r="Y776" s="99"/>
      <c r="Z776" s="99"/>
      <c r="AA776" s="99"/>
      <c r="AB776" s="99"/>
      <c r="AC776" s="98"/>
      <c r="AD776" s="98"/>
      <c r="AE776" s="98"/>
      <c r="AF776" s="98"/>
      <c r="AG776" s="98"/>
      <c r="AH776" s="98"/>
    </row>
    <row r="777" spans="2:34" x14ac:dyDescent="0.25">
      <c r="B777" s="71"/>
      <c r="C777" s="72"/>
      <c r="D777" s="77"/>
      <c r="E777" s="78"/>
      <c r="F777" s="78"/>
      <c r="G777" s="78"/>
      <c r="H777" s="78"/>
      <c r="I777" s="79"/>
      <c r="J777" s="86"/>
      <c r="K777" s="87"/>
      <c r="L777" s="86"/>
      <c r="M777" s="87"/>
      <c r="N777" s="77"/>
      <c r="O777" s="79"/>
      <c r="P777" s="92"/>
      <c r="Q777" s="93"/>
      <c r="S777" s="99"/>
      <c r="T777" s="99"/>
      <c r="U777" s="99"/>
      <c r="V777" s="99"/>
      <c r="W777" s="99"/>
      <c r="X777" s="99"/>
      <c r="Y777" s="99"/>
      <c r="Z777" s="99"/>
      <c r="AA777" s="99"/>
      <c r="AB777" s="99"/>
      <c r="AC777" s="98"/>
      <c r="AD777" s="98"/>
      <c r="AE777" s="98"/>
      <c r="AF777" s="98"/>
      <c r="AG777" s="98"/>
      <c r="AH777" s="98"/>
    </row>
    <row r="778" spans="2:34" x14ac:dyDescent="0.25">
      <c r="B778" s="73"/>
      <c r="C778" s="74"/>
      <c r="D778" s="80"/>
      <c r="E778" s="81"/>
      <c r="F778" s="81"/>
      <c r="G778" s="81"/>
      <c r="H778" s="81"/>
      <c r="I778" s="82"/>
      <c r="J778" s="88"/>
      <c r="K778" s="89"/>
      <c r="L778" s="88"/>
      <c r="M778" s="89"/>
      <c r="N778" s="80"/>
      <c r="O778" s="82"/>
      <c r="P778" s="94"/>
      <c r="Q778" s="95"/>
      <c r="S778" s="99"/>
      <c r="T778" s="99"/>
      <c r="U778" s="99"/>
      <c r="V778" s="99"/>
      <c r="W778" s="99"/>
      <c r="X778" s="99"/>
      <c r="Y778" s="99"/>
      <c r="Z778" s="99"/>
      <c r="AA778" s="99"/>
      <c r="AB778" s="99"/>
      <c r="AC778" s="98"/>
      <c r="AD778" s="98"/>
      <c r="AE778" s="98"/>
      <c r="AF778" s="98"/>
      <c r="AG778" s="98"/>
      <c r="AH778" s="98"/>
    </row>
    <row r="779" spans="2:34" x14ac:dyDescent="0.25">
      <c r="B779" s="75"/>
      <c r="C779" s="76"/>
      <c r="D779" s="83"/>
      <c r="E779" s="84"/>
      <c r="F779" s="84"/>
      <c r="G779" s="84"/>
      <c r="H779" s="84"/>
      <c r="I779" s="85"/>
      <c r="J779" s="90"/>
      <c r="K779" s="91"/>
      <c r="L779" s="90"/>
      <c r="M779" s="91"/>
      <c r="N779" s="83"/>
      <c r="O779" s="85"/>
      <c r="P779" s="96"/>
      <c r="Q779" s="97"/>
      <c r="S779" s="99"/>
      <c r="T779" s="99"/>
      <c r="U779" s="99"/>
      <c r="V779" s="99"/>
      <c r="W779" s="99"/>
      <c r="X779" s="99"/>
      <c r="Y779" s="99"/>
      <c r="Z779" s="99"/>
      <c r="AA779" s="99"/>
      <c r="AB779" s="99"/>
      <c r="AC779" s="98"/>
      <c r="AD779" s="98"/>
      <c r="AE779" s="98"/>
      <c r="AF779" s="98"/>
      <c r="AG779" s="98"/>
      <c r="AH779" s="98"/>
    </row>
    <row r="780" spans="2:34" x14ac:dyDescent="0.25">
      <c r="B780" s="71"/>
      <c r="C780" s="72"/>
      <c r="D780" s="77"/>
      <c r="E780" s="78"/>
      <c r="F780" s="78"/>
      <c r="G780" s="78"/>
      <c r="H780" s="78"/>
      <c r="I780" s="79"/>
      <c r="J780" s="86"/>
      <c r="K780" s="87"/>
      <c r="L780" s="86"/>
      <c r="M780" s="87"/>
      <c r="N780" s="77"/>
      <c r="O780" s="79"/>
      <c r="P780" s="92"/>
      <c r="Q780" s="93"/>
      <c r="S780" s="99"/>
      <c r="T780" s="99"/>
      <c r="U780" s="99"/>
      <c r="V780" s="99"/>
      <c r="W780" s="99"/>
      <c r="X780" s="99"/>
      <c r="Y780" s="99"/>
      <c r="Z780" s="99"/>
      <c r="AA780" s="99"/>
      <c r="AB780" s="99"/>
      <c r="AC780" s="98"/>
      <c r="AD780" s="98"/>
      <c r="AE780" s="98"/>
      <c r="AF780" s="98"/>
      <c r="AG780" s="98"/>
      <c r="AH780" s="98"/>
    </row>
    <row r="781" spans="2:34" x14ac:dyDescent="0.25">
      <c r="B781" s="73"/>
      <c r="C781" s="74"/>
      <c r="D781" s="80"/>
      <c r="E781" s="81"/>
      <c r="F781" s="81"/>
      <c r="G781" s="81"/>
      <c r="H781" s="81"/>
      <c r="I781" s="82"/>
      <c r="J781" s="88"/>
      <c r="K781" s="89"/>
      <c r="L781" s="88"/>
      <c r="M781" s="89"/>
      <c r="N781" s="80"/>
      <c r="O781" s="82"/>
      <c r="P781" s="94"/>
      <c r="Q781" s="95"/>
      <c r="S781" s="99"/>
      <c r="T781" s="99"/>
      <c r="U781" s="99"/>
      <c r="V781" s="99"/>
      <c r="W781" s="99"/>
      <c r="X781" s="99"/>
      <c r="Y781" s="99"/>
      <c r="Z781" s="99"/>
      <c r="AA781" s="99"/>
      <c r="AB781" s="99"/>
      <c r="AC781" s="98"/>
      <c r="AD781" s="98"/>
      <c r="AE781" s="98"/>
      <c r="AF781" s="98"/>
      <c r="AG781" s="98"/>
      <c r="AH781" s="98"/>
    </row>
    <row r="782" spans="2:34" x14ac:dyDescent="0.25">
      <c r="B782" s="75"/>
      <c r="C782" s="76"/>
      <c r="D782" s="83"/>
      <c r="E782" s="84"/>
      <c r="F782" s="84"/>
      <c r="G782" s="84"/>
      <c r="H782" s="84"/>
      <c r="I782" s="85"/>
      <c r="J782" s="90"/>
      <c r="K782" s="91"/>
      <c r="L782" s="90"/>
      <c r="M782" s="91"/>
      <c r="N782" s="83"/>
      <c r="O782" s="85"/>
      <c r="P782" s="96"/>
      <c r="Q782" s="97"/>
      <c r="S782" s="99"/>
      <c r="T782" s="99"/>
      <c r="U782" s="99"/>
      <c r="V782" s="99"/>
      <c r="W782" s="99"/>
      <c r="X782" s="99"/>
      <c r="Y782" s="99"/>
      <c r="Z782" s="99"/>
      <c r="AA782" s="99"/>
      <c r="AB782" s="99"/>
      <c r="AC782" s="98"/>
      <c r="AD782" s="98"/>
      <c r="AE782" s="98"/>
      <c r="AF782" s="98"/>
      <c r="AG782" s="98"/>
      <c r="AH782" s="98"/>
    </row>
    <row r="783" spans="2:34" x14ac:dyDescent="0.25">
      <c r="B783" s="71"/>
      <c r="C783" s="72"/>
      <c r="D783" s="77"/>
      <c r="E783" s="78"/>
      <c r="F783" s="78"/>
      <c r="G783" s="78"/>
      <c r="H783" s="78"/>
      <c r="I783" s="79"/>
      <c r="J783" s="86"/>
      <c r="K783" s="87"/>
      <c r="L783" s="86"/>
      <c r="M783" s="87"/>
      <c r="N783" s="77"/>
      <c r="O783" s="79"/>
      <c r="P783" s="92"/>
      <c r="Q783" s="93"/>
      <c r="S783" s="99"/>
      <c r="T783" s="99"/>
      <c r="U783" s="99"/>
      <c r="V783" s="99"/>
      <c r="W783" s="99"/>
      <c r="X783" s="99"/>
      <c r="Y783" s="99"/>
      <c r="Z783" s="99"/>
      <c r="AA783" s="99"/>
      <c r="AB783" s="99"/>
      <c r="AC783" s="98"/>
      <c r="AD783" s="98"/>
      <c r="AE783" s="98"/>
      <c r="AF783" s="98"/>
      <c r="AG783" s="98"/>
      <c r="AH783" s="98"/>
    </row>
    <row r="784" spans="2:34" x14ac:dyDescent="0.25">
      <c r="B784" s="73"/>
      <c r="C784" s="74"/>
      <c r="D784" s="80"/>
      <c r="E784" s="81"/>
      <c r="F784" s="81"/>
      <c r="G784" s="81"/>
      <c r="H784" s="81"/>
      <c r="I784" s="82"/>
      <c r="J784" s="88"/>
      <c r="K784" s="89"/>
      <c r="L784" s="88"/>
      <c r="M784" s="89"/>
      <c r="N784" s="80"/>
      <c r="O784" s="82"/>
      <c r="P784" s="94"/>
      <c r="Q784" s="95"/>
      <c r="S784" s="99"/>
      <c r="T784" s="99"/>
      <c r="U784" s="99"/>
      <c r="V784" s="99"/>
      <c r="W784" s="99"/>
      <c r="X784" s="99"/>
      <c r="Y784" s="99"/>
      <c r="Z784" s="99"/>
      <c r="AA784" s="99"/>
      <c r="AB784" s="99"/>
      <c r="AC784" s="98"/>
      <c r="AD784" s="98"/>
      <c r="AE784" s="98"/>
      <c r="AF784" s="98"/>
      <c r="AG784" s="98"/>
      <c r="AH784" s="98"/>
    </row>
    <row r="785" spans="2:34" x14ac:dyDescent="0.25">
      <c r="B785" s="75"/>
      <c r="C785" s="76"/>
      <c r="D785" s="83"/>
      <c r="E785" s="84"/>
      <c r="F785" s="84"/>
      <c r="G785" s="84"/>
      <c r="H785" s="84"/>
      <c r="I785" s="85"/>
      <c r="J785" s="90"/>
      <c r="K785" s="91"/>
      <c r="L785" s="90"/>
      <c r="M785" s="91"/>
      <c r="N785" s="83"/>
      <c r="O785" s="85"/>
      <c r="P785" s="96"/>
      <c r="Q785" s="97"/>
      <c r="S785" s="99"/>
      <c r="T785" s="99"/>
      <c r="U785" s="99"/>
      <c r="V785" s="99"/>
      <c r="W785" s="99"/>
      <c r="X785" s="99"/>
      <c r="Y785" s="99"/>
      <c r="Z785" s="99"/>
      <c r="AA785" s="99"/>
      <c r="AB785" s="99"/>
      <c r="AC785" s="98"/>
      <c r="AD785" s="98"/>
      <c r="AE785" s="98"/>
      <c r="AF785" s="98"/>
      <c r="AG785" s="98"/>
      <c r="AH785" s="98"/>
    </row>
    <row r="786" spans="2:34" x14ac:dyDescent="0.25">
      <c r="B786" s="71"/>
      <c r="C786" s="72"/>
      <c r="D786" s="77"/>
      <c r="E786" s="78"/>
      <c r="F786" s="78"/>
      <c r="G786" s="78"/>
      <c r="H786" s="78"/>
      <c r="I786" s="79"/>
      <c r="J786" s="86"/>
      <c r="K786" s="87"/>
      <c r="L786" s="86"/>
      <c r="M786" s="87"/>
      <c r="N786" s="77"/>
      <c r="O786" s="79"/>
      <c r="P786" s="92"/>
      <c r="Q786" s="93"/>
      <c r="S786" s="99"/>
      <c r="T786" s="99"/>
      <c r="U786" s="99"/>
      <c r="V786" s="99"/>
      <c r="W786" s="99"/>
      <c r="X786" s="99"/>
      <c r="Y786" s="99"/>
      <c r="Z786" s="99"/>
      <c r="AA786" s="99"/>
      <c r="AB786" s="99"/>
      <c r="AC786" s="98"/>
      <c r="AD786" s="98"/>
      <c r="AE786" s="98"/>
      <c r="AF786" s="98"/>
      <c r="AG786" s="98"/>
      <c r="AH786" s="98"/>
    </row>
    <row r="787" spans="2:34" x14ac:dyDescent="0.25">
      <c r="B787" s="73"/>
      <c r="C787" s="74"/>
      <c r="D787" s="80"/>
      <c r="E787" s="81"/>
      <c r="F787" s="81"/>
      <c r="G787" s="81"/>
      <c r="H787" s="81"/>
      <c r="I787" s="82"/>
      <c r="J787" s="88"/>
      <c r="K787" s="89"/>
      <c r="L787" s="88"/>
      <c r="M787" s="89"/>
      <c r="N787" s="80"/>
      <c r="O787" s="82"/>
      <c r="P787" s="94"/>
      <c r="Q787" s="95"/>
      <c r="S787" s="99"/>
      <c r="T787" s="99"/>
      <c r="U787" s="99"/>
      <c r="V787" s="99"/>
      <c r="W787" s="99"/>
      <c r="X787" s="99"/>
      <c r="Y787" s="99"/>
      <c r="Z787" s="99"/>
      <c r="AA787" s="99"/>
      <c r="AB787" s="99"/>
      <c r="AC787" s="98"/>
      <c r="AD787" s="98"/>
      <c r="AE787" s="98"/>
      <c r="AF787" s="98"/>
      <c r="AG787" s="98"/>
      <c r="AH787" s="98"/>
    </row>
    <row r="788" spans="2:34" x14ac:dyDescent="0.25">
      <c r="B788" s="75"/>
      <c r="C788" s="76"/>
      <c r="D788" s="83"/>
      <c r="E788" s="84"/>
      <c r="F788" s="84"/>
      <c r="G788" s="84"/>
      <c r="H788" s="84"/>
      <c r="I788" s="85"/>
      <c r="J788" s="90"/>
      <c r="K788" s="91"/>
      <c r="L788" s="90"/>
      <c r="M788" s="91"/>
      <c r="N788" s="83"/>
      <c r="O788" s="85"/>
      <c r="P788" s="96"/>
      <c r="Q788" s="97"/>
      <c r="S788" s="99"/>
      <c r="T788" s="99"/>
      <c r="U788" s="99"/>
      <c r="V788" s="99"/>
      <c r="W788" s="99"/>
      <c r="X788" s="99"/>
      <c r="Y788" s="99"/>
      <c r="Z788" s="99"/>
      <c r="AA788" s="99"/>
      <c r="AB788" s="99"/>
      <c r="AC788" s="98"/>
      <c r="AD788" s="98"/>
      <c r="AE788" s="98"/>
      <c r="AF788" s="98"/>
      <c r="AG788" s="98"/>
      <c r="AH788" s="98"/>
    </row>
    <row r="789" spans="2:34" x14ac:dyDescent="0.25">
      <c r="B789" s="71"/>
      <c r="C789" s="72"/>
      <c r="D789" s="77"/>
      <c r="E789" s="78"/>
      <c r="F789" s="78"/>
      <c r="G789" s="78"/>
      <c r="H789" s="78"/>
      <c r="I789" s="79"/>
      <c r="J789" s="86"/>
      <c r="K789" s="87"/>
      <c r="L789" s="86"/>
      <c r="M789" s="87"/>
      <c r="N789" s="77"/>
      <c r="O789" s="79"/>
      <c r="P789" s="92"/>
      <c r="Q789" s="93"/>
      <c r="S789" s="99"/>
      <c r="T789" s="99"/>
      <c r="U789" s="99"/>
      <c r="V789" s="99"/>
      <c r="W789" s="99"/>
      <c r="X789" s="99"/>
      <c r="Y789" s="99"/>
      <c r="Z789" s="99"/>
      <c r="AA789" s="99"/>
      <c r="AB789" s="99"/>
      <c r="AC789" s="98"/>
      <c r="AD789" s="98"/>
      <c r="AE789" s="98"/>
      <c r="AF789" s="98"/>
      <c r="AG789" s="98"/>
      <c r="AH789" s="98"/>
    </row>
    <row r="790" spans="2:34" x14ac:dyDescent="0.25">
      <c r="B790" s="73"/>
      <c r="C790" s="74"/>
      <c r="D790" s="80"/>
      <c r="E790" s="81"/>
      <c r="F790" s="81"/>
      <c r="G790" s="81"/>
      <c r="H790" s="81"/>
      <c r="I790" s="82"/>
      <c r="J790" s="88"/>
      <c r="K790" s="89"/>
      <c r="L790" s="88"/>
      <c r="M790" s="89"/>
      <c r="N790" s="80"/>
      <c r="O790" s="82"/>
      <c r="P790" s="94"/>
      <c r="Q790" s="95"/>
      <c r="S790" s="99"/>
      <c r="T790" s="99"/>
      <c r="U790" s="99"/>
      <c r="V790" s="99"/>
      <c r="W790" s="99"/>
      <c r="X790" s="99"/>
      <c r="Y790" s="99"/>
      <c r="Z790" s="99"/>
      <c r="AA790" s="99"/>
      <c r="AB790" s="99"/>
      <c r="AC790" s="98"/>
      <c r="AD790" s="98"/>
      <c r="AE790" s="98"/>
      <c r="AF790" s="98"/>
      <c r="AG790" s="98"/>
      <c r="AH790" s="98"/>
    </row>
    <row r="791" spans="2:34" x14ac:dyDescent="0.25">
      <c r="B791" s="75"/>
      <c r="C791" s="76"/>
      <c r="D791" s="83"/>
      <c r="E791" s="84"/>
      <c r="F791" s="84"/>
      <c r="G791" s="84"/>
      <c r="H791" s="84"/>
      <c r="I791" s="85"/>
      <c r="J791" s="90"/>
      <c r="K791" s="91"/>
      <c r="L791" s="90"/>
      <c r="M791" s="91"/>
      <c r="N791" s="83"/>
      <c r="O791" s="85"/>
      <c r="P791" s="96"/>
      <c r="Q791" s="97"/>
      <c r="S791" s="99"/>
      <c r="T791" s="99"/>
      <c r="U791" s="99"/>
      <c r="V791" s="99"/>
      <c r="W791" s="99"/>
      <c r="X791" s="99"/>
      <c r="Y791" s="99"/>
      <c r="Z791" s="99"/>
      <c r="AA791" s="99"/>
      <c r="AB791" s="99"/>
      <c r="AC791" s="98"/>
      <c r="AD791" s="98"/>
      <c r="AE791" s="98"/>
      <c r="AF791" s="98"/>
      <c r="AG791" s="98"/>
      <c r="AH791" s="98"/>
    </row>
    <row r="792" spans="2:34" x14ac:dyDescent="0.25">
      <c r="B792" s="71"/>
      <c r="C792" s="72"/>
      <c r="D792" s="77"/>
      <c r="E792" s="78"/>
      <c r="F792" s="78"/>
      <c r="G792" s="78"/>
      <c r="H792" s="78"/>
      <c r="I792" s="79"/>
      <c r="J792" s="86"/>
      <c r="K792" s="87"/>
      <c r="L792" s="86"/>
      <c r="M792" s="87"/>
      <c r="N792" s="77"/>
      <c r="O792" s="79"/>
      <c r="P792" s="92"/>
      <c r="Q792" s="93"/>
      <c r="S792" s="99"/>
      <c r="T792" s="99"/>
      <c r="U792" s="99"/>
      <c r="V792" s="99"/>
      <c r="W792" s="99"/>
      <c r="X792" s="99"/>
      <c r="Y792" s="99"/>
      <c r="Z792" s="99"/>
      <c r="AA792" s="99"/>
      <c r="AB792" s="99"/>
      <c r="AC792" s="98"/>
      <c r="AD792" s="98"/>
      <c r="AE792" s="98"/>
      <c r="AF792" s="98"/>
      <c r="AG792" s="98"/>
      <c r="AH792" s="98"/>
    </row>
    <row r="793" spans="2:34" x14ac:dyDescent="0.25">
      <c r="B793" s="73"/>
      <c r="C793" s="74"/>
      <c r="D793" s="80"/>
      <c r="E793" s="81"/>
      <c r="F793" s="81"/>
      <c r="G793" s="81"/>
      <c r="H793" s="81"/>
      <c r="I793" s="82"/>
      <c r="J793" s="88"/>
      <c r="K793" s="89"/>
      <c r="L793" s="88"/>
      <c r="M793" s="89"/>
      <c r="N793" s="80"/>
      <c r="O793" s="82"/>
      <c r="P793" s="94"/>
      <c r="Q793" s="95"/>
      <c r="S793" s="99"/>
      <c r="T793" s="99"/>
      <c r="U793" s="99"/>
      <c r="V793" s="99"/>
      <c r="W793" s="99"/>
      <c r="X793" s="99"/>
      <c r="Y793" s="99"/>
      <c r="Z793" s="99"/>
      <c r="AA793" s="99"/>
      <c r="AB793" s="99"/>
      <c r="AC793" s="98"/>
      <c r="AD793" s="98"/>
      <c r="AE793" s="98"/>
      <c r="AF793" s="98"/>
      <c r="AG793" s="98"/>
      <c r="AH793" s="98"/>
    </row>
    <row r="794" spans="2:34" x14ac:dyDescent="0.25">
      <c r="B794" s="75"/>
      <c r="C794" s="76"/>
      <c r="D794" s="83"/>
      <c r="E794" s="84"/>
      <c r="F794" s="84"/>
      <c r="G794" s="84"/>
      <c r="H794" s="84"/>
      <c r="I794" s="85"/>
      <c r="J794" s="90"/>
      <c r="K794" s="91"/>
      <c r="L794" s="90"/>
      <c r="M794" s="91"/>
      <c r="N794" s="83"/>
      <c r="O794" s="85"/>
      <c r="P794" s="96"/>
      <c r="Q794" s="97"/>
      <c r="S794" s="99"/>
      <c r="T794" s="99"/>
      <c r="U794" s="99"/>
      <c r="V794" s="99"/>
      <c r="W794" s="99"/>
      <c r="X794" s="99"/>
      <c r="Y794" s="99"/>
      <c r="Z794" s="99"/>
      <c r="AA794" s="99"/>
      <c r="AB794" s="99"/>
      <c r="AC794" s="98"/>
      <c r="AD794" s="98"/>
      <c r="AE794" s="98"/>
      <c r="AF794" s="98"/>
      <c r="AG794" s="98"/>
      <c r="AH794" s="98"/>
    </row>
    <row r="795" spans="2:34" x14ac:dyDescent="0.25">
      <c r="B795" s="71"/>
      <c r="C795" s="72"/>
      <c r="D795" s="77"/>
      <c r="E795" s="78"/>
      <c r="F795" s="78"/>
      <c r="G795" s="78"/>
      <c r="H795" s="78"/>
      <c r="I795" s="79"/>
      <c r="J795" s="86"/>
      <c r="K795" s="87"/>
      <c r="L795" s="86"/>
      <c r="M795" s="87"/>
      <c r="N795" s="77"/>
      <c r="O795" s="79"/>
      <c r="P795" s="92"/>
      <c r="Q795" s="93"/>
      <c r="S795" s="99"/>
      <c r="T795" s="99"/>
      <c r="U795" s="99"/>
      <c r="V795" s="99"/>
      <c r="W795" s="99"/>
      <c r="X795" s="99"/>
      <c r="Y795" s="99"/>
      <c r="Z795" s="99"/>
      <c r="AA795" s="99"/>
      <c r="AB795" s="99"/>
      <c r="AC795" s="98"/>
      <c r="AD795" s="98"/>
      <c r="AE795" s="98"/>
      <c r="AF795" s="98"/>
      <c r="AG795" s="98"/>
      <c r="AH795" s="98"/>
    </row>
    <row r="796" spans="2:34" x14ac:dyDescent="0.25">
      <c r="B796" s="73"/>
      <c r="C796" s="74"/>
      <c r="D796" s="80"/>
      <c r="E796" s="81"/>
      <c r="F796" s="81"/>
      <c r="G796" s="81"/>
      <c r="H796" s="81"/>
      <c r="I796" s="82"/>
      <c r="J796" s="88"/>
      <c r="K796" s="89"/>
      <c r="L796" s="88"/>
      <c r="M796" s="89"/>
      <c r="N796" s="80"/>
      <c r="O796" s="82"/>
      <c r="P796" s="94"/>
      <c r="Q796" s="95"/>
      <c r="S796" s="99"/>
      <c r="T796" s="99"/>
      <c r="U796" s="99"/>
      <c r="V796" s="99"/>
      <c r="W796" s="99"/>
      <c r="X796" s="99"/>
      <c r="Y796" s="99"/>
      <c r="Z796" s="99"/>
      <c r="AA796" s="99"/>
      <c r="AB796" s="99"/>
      <c r="AC796" s="98"/>
      <c r="AD796" s="98"/>
      <c r="AE796" s="98"/>
      <c r="AF796" s="98"/>
      <c r="AG796" s="98"/>
      <c r="AH796" s="98"/>
    </row>
    <row r="797" spans="2:34" x14ac:dyDescent="0.25">
      <c r="B797" s="75"/>
      <c r="C797" s="76"/>
      <c r="D797" s="83"/>
      <c r="E797" s="84"/>
      <c r="F797" s="84"/>
      <c r="G797" s="84"/>
      <c r="H797" s="84"/>
      <c r="I797" s="85"/>
      <c r="J797" s="90"/>
      <c r="K797" s="91"/>
      <c r="L797" s="90"/>
      <c r="M797" s="91"/>
      <c r="N797" s="83"/>
      <c r="O797" s="85"/>
      <c r="P797" s="96"/>
      <c r="Q797" s="97"/>
      <c r="S797" s="99"/>
      <c r="T797" s="99"/>
      <c r="U797" s="99"/>
      <c r="V797" s="99"/>
      <c r="W797" s="99"/>
      <c r="X797" s="99"/>
      <c r="Y797" s="99"/>
      <c r="Z797" s="99"/>
      <c r="AA797" s="99"/>
      <c r="AB797" s="99"/>
      <c r="AC797" s="98"/>
      <c r="AD797" s="98"/>
      <c r="AE797" s="98"/>
      <c r="AF797" s="98"/>
      <c r="AG797" s="98"/>
      <c r="AH797" s="98"/>
    </row>
    <row r="798" spans="2:34" x14ac:dyDescent="0.25">
      <c r="B798" s="71"/>
      <c r="C798" s="72"/>
      <c r="D798" s="77"/>
      <c r="E798" s="78"/>
      <c r="F798" s="78"/>
      <c r="G798" s="78"/>
      <c r="H798" s="78"/>
      <c r="I798" s="79"/>
      <c r="J798" s="86"/>
      <c r="K798" s="87"/>
      <c r="L798" s="86"/>
      <c r="M798" s="87"/>
      <c r="N798" s="77"/>
      <c r="O798" s="79"/>
      <c r="P798" s="92"/>
      <c r="Q798" s="93"/>
      <c r="S798" s="99"/>
      <c r="T798" s="99"/>
      <c r="U798" s="99"/>
      <c r="V798" s="99"/>
      <c r="W798" s="99"/>
      <c r="X798" s="99"/>
      <c r="Y798" s="99"/>
      <c r="Z798" s="99"/>
      <c r="AA798" s="99"/>
      <c r="AB798" s="99"/>
      <c r="AC798" s="98"/>
      <c r="AD798" s="98"/>
      <c r="AE798" s="98"/>
      <c r="AF798" s="98"/>
      <c r="AG798" s="98"/>
      <c r="AH798" s="98"/>
    </row>
    <row r="799" spans="2:34" x14ac:dyDescent="0.25">
      <c r="B799" s="73"/>
      <c r="C799" s="74"/>
      <c r="D799" s="80"/>
      <c r="E799" s="81"/>
      <c r="F799" s="81"/>
      <c r="G799" s="81"/>
      <c r="H799" s="81"/>
      <c r="I799" s="82"/>
      <c r="J799" s="88"/>
      <c r="K799" s="89"/>
      <c r="L799" s="88"/>
      <c r="M799" s="89"/>
      <c r="N799" s="80"/>
      <c r="O799" s="82"/>
      <c r="P799" s="94"/>
      <c r="Q799" s="95"/>
      <c r="S799" s="99"/>
      <c r="T799" s="99"/>
      <c r="U799" s="99"/>
      <c r="V799" s="99"/>
      <c r="W799" s="99"/>
      <c r="X799" s="99"/>
      <c r="Y799" s="99"/>
      <c r="Z799" s="99"/>
      <c r="AA799" s="99"/>
      <c r="AB799" s="99"/>
      <c r="AC799" s="98"/>
      <c r="AD799" s="98"/>
      <c r="AE799" s="98"/>
      <c r="AF799" s="98"/>
      <c r="AG799" s="98"/>
      <c r="AH799" s="98"/>
    </row>
    <row r="800" spans="2:34" x14ac:dyDescent="0.25">
      <c r="B800" s="75"/>
      <c r="C800" s="76"/>
      <c r="D800" s="83"/>
      <c r="E800" s="84"/>
      <c r="F800" s="84"/>
      <c r="G800" s="84"/>
      <c r="H800" s="84"/>
      <c r="I800" s="85"/>
      <c r="J800" s="90"/>
      <c r="K800" s="91"/>
      <c r="L800" s="90"/>
      <c r="M800" s="91"/>
      <c r="N800" s="83"/>
      <c r="O800" s="85"/>
      <c r="P800" s="96"/>
      <c r="Q800" s="97"/>
      <c r="S800" s="99"/>
      <c r="T800" s="99"/>
      <c r="U800" s="99"/>
      <c r="V800" s="99"/>
      <c r="W800" s="99"/>
      <c r="X800" s="99"/>
      <c r="Y800" s="99"/>
      <c r="Z800" s="99"/>
      <c r="AA800" s="99"/>
      <c r="AB800" s="99"/>
      <c r="AC800" s="98"/>
      <c r="AD800" s="98"/>
      <c r="AE800" s="98"/>
      <c r="AF800" s="98"/>
      <c r="AG800" s="98"/>
      <c r="AH800" s="98"/>
    </row>
    <row r="801" spans="2:34" x14ac:dyDescent="0.25">
      <c r="B801" s="71"/>
      <c r="C801" s="72"/>
      <c r="D801" s="77"/>
      <c r="E801" s="78"/>
      <c r="F801" s="78"/>
      <c r="G801" s="78"/>
      <c r="H801" s="78"/>
      <c r="I801" s="79"/>
      <c r="J801" s="86"/>
      <c r="K801" s="87"/>
      <c r="L801" s="86"/>
      <c r="M801" s="87"/>
      <c r="N801" s="77"/>
      <c r="O801" s="79"/>
      <c r="P801" s="92"/>
      <c r="Q801" s="93"/>
      <c r="S801" s="99"/>
      <c r="T801" s="99"/>
      <c r="U801" s="99"/>
      <c r="V801" s="99"/>
      <c r="W801" s="99"/>
      <c r="X801" s="99"/>
      <c r="Y801" s="99"/>
      <c r="Z801" s="99"/>
      <c r="AA801" s="99"/>
      <c r="AB801" s="99"/>
      <c r="AC801" s="98"/>
      <c r="AD801" s="98"/>
      <c r="AE801" s="98"/>
      <c r="AF801" s="98"/>
      <c r="AG801" s="98"/>
      <c r="AH801" s="98"/>
    </row>
    <row r="802" spans="2:34" x14ac:dyDescent="0.25">
      <c r="B802" s="73"/>
      <c r="C802" s="74"/>
      <c r="D802" s="80"/>
      <c r="E802" s="81"/>
      <c r="F802" s="81"/>
      <c r="G802" s="81"/>
      <c r="H802" s="81"/>
      <c r="I802" s="82"/>
      <c r="J802" s="88"/>
      <c r="K802" s="89"/>
      <c r="L802" s="88"/>
      <c r="M802" s="89"/>
      <c r="N802" s="80"/>
      <c r="O802" s="82"/>
      <c r="P802" s="94"/>
      <c r="Q802" s="95"/>
      <c r="S802" s="99"/>
      <c r="T802" s="99"/>
      <c r="U802" s="99"/>
      <c r="V802" s="99"/>
      <c r="W802" s="99"/>
      <c r="X802" s="99"/>
      <c r="Y802" s="99"/>
      <c r="Z802" s="99"/>
      <c r="AA802" s="99"/>
      <c r="AB802" s="99"/>
      <c r="AC802" s="98"/>
      <c r="AD802" s="98"/>
      <c r="AE802" s="98"/>
      <c r="AF802" s="98"/>
      <c r="AG802" s="98"/>
      <c r="AH802" s="98"/>
    </row>
    <row r="803" spans="2:34" x14ac:dyDescent="0.25">
      <c r="B803" s="75"/>
      <c r="C803" s="76"/>
      <c r="D803" s="83"/>
      <c r="E803" s="84"/>
      <c r="F803" s="84"/>
      <c r="G803" s="84"/>
      <c r="H803" s="84"/>
      <c r="I803" s="85"/>
      <c r="J803" s="90"/>
      <c r="K803" s="91"/>
      <c r="L803" s="90"/>
      <c r="M803" s="91"/>
      <c r="N803" s="83"/>
      <c r="O803" s="85"/>
      <c r="P803" s="96"/>
      <c r="Q803" s="97"/>
      <c r="S803" s="99"/>
      <c r="T803" s="99"/>
      <c r="U803" s="99"/>
      <c r="V803" s="99"/>
      <c r="W803" s="99"/>
      <c r="X803" s="99"/>
      <c r="Y803" s="99"/>
      <c r="Z803" s="99"/>
      <c r="AA803" s="99"/>
      <c r="AB803" s="99"/>
      <c r="AC803" s="98"/>
      <c r="AD803" s="98"/>
      <c r="AE803" s="98"/>
      <c r="AF803" s="98"/>
      <c r="AG803" s="98"/>
      <c r="AH803" s="98"/>
    </row>
    <row r="804" spans="2:34" x14ac:dyDescent="0.25">
      <c r="B804" s="71"/>
      <c r="C804" s="72"/>
      <c r="D804" s="77"/>
      <c r="E804" s="78"/>
      <c r="F804" s="78"/>
      <c r="G804" s="78"/>
      <c r="H804" s="78"/>
      <c r="I804" s="79"/>
      <c r="J804" s="86"/>
      <c r="K804" s="87"/>
      <c r="L804" s="86"/>
      <c r="M804" s="87"/>
      <c r="N804" s="77"/>
      <c r="O804" s="79"/>
      <c r="P804" s="92"/>
      <c r="Q804" s="93"/>
      <c r="S804" s="99"/>
      <c r="T804" s="99"/>
      <c r="U804" s="99"/>
      <c r="V804" s="99"/>
      <c r="W804" s="99"/>
      <c r="X804" s="99"/>
      <c r="Y804" s="99"/>
      <c r="Z804" s="99"/>
      <c r="AA804" s="99"/>
      <c r="AB804" s="99"/>
      <c r="AC804" s="98"/>
      <c r="AD804" s="98"/>
      <c r="AE804" s="98"/>
      <c r="AF804" s="98"/>
      <c r="AG804" s="98"/>
      <c r="AH804" s="98"/>
    </row>
    <row r="805" spans="2:34" x14ac:dyDescent="0.25">
      <c r="B805" s="73"/>
      <c r="C805" s="74"/>
      <c r="D805" s="80"/>
      <c r="E805" s="81"/>
      <c r="F805" s="81"/>
      <c r="G805" s="81"/>
      <c r="H805" s="81"/>
      <c r="I805" s="82"/>
      <c r="J805" s="88"/>
      <c r="K805" s="89"/>
      <c r="L805" s="88"/>
      <c r="M805" s="89"/>
      <c r="N805" s="80"/>
      <c r="O805" s="82"/>
      <c r="P805" s="94"/>
      <c r="Q805" s="95"/>
      <c r="S805" s="99"/>
      <c r="T805" s="99"/>
      <c r="U805" s="99"/>
      <c r="V805" s="99"/>
      <c r="W805" s="99"/>
      <c r="X805" s="99"/>
      <c r="Y805" s="99"/>
      <c r="Z805" s="99"/>
      <c r="AA805" s="99"/>
      <c r="AB805" s="99"/>
      <c r="AC805" s="98"/>
      <c r="AD805" s="98"/>
      <c r="AE805" s="98"/>
      <c r="AF805" s="98"/>
      <c r="AG805" s="98"/>
      <c r="AH805" s="98"/>
    </row>
    <row r="806" spans="2:34" x14ac:dyDescent="0.25">
      <c r="B806" s="75"/>
      <c r="C806" s="76"/>
      <c r="D806" s="83"/>
      <c r="E806" s="84"/>
      <c r="F806" s="84"/>
      <c r="G806" s="84"/>
      <c r="H806" s="84"/>
      <c r="I806" s="85"/>
      <c r="J806" s="90"/>
      <c r="K806" s="91"/>
      <c r="L806" s="90"/>
      <c r="M806" s="91"/>
      <c r="N806" s="83"/>
      <c r="O806" s="85"/>
      <c r="P806" s="96"/>
      <c r="Q806" s="97"/>
      <c r="S806" s="99"/>
      <c r="T806" s="99"/>
      <c r="U806" s="99"/>
      <c r="V806" s="99"/>
      <c r="W806" s="99"/>
      <c r="X806" s="99"/>
      <c r="Y806" s="99"/>
      <c r="Z806" s="99"/>
      <c r="AA806" s="99"/>
      <c r="AB806" s="99"/>
      <c r="AC806" s="98"/>
      <c r="AD806" s="98"/>
      <c r="AE806" s="98"/>
      <c r="AF806" s="98"/>
      <c r="AG806" s="98"/>
      <c r="AH806" s="98"/>
    </row>
    <row r="807" spans="2:34" x14ac:dyDescent="0.25">
      <c r="B807" s="71"/>
      <c r="C807" s="72"/>
      <c r="D807" s="77"/>
      <c r="E807" s="78"/>
      <c r="F807" s="78"/>
      <c r="G807" s="78"/>
      <c r="H807" s="78"/>
      <c r="I807" s="79"/>
      <c r="J807" s="86"/>
      <c r="K807" s="87"/>
      <c r="L807" s="86"/>
      <c r="M807" s="87"/>
      <c r="N807" s="77"/>
      <c r="O807" s="79"/>
      <c r="P807" s="92"/>
      <c r="Q807" s="93"/>
      <c r="S807" s="99"/>
      <c r="T807" s="99"/>
      <c r="U807" s="99"/>
      <c r="V807" s="99"/>
      <c r="W807" s="99"/>
      <c r="X807" s="99"/>
      <c r="Y807" s="99"/>
      <c r="Z807" s="99"/>
      <c r="AA807" s="99"/>
      <c r="AB807" s="99"/>
      <c r="AC807" s="98"/>
      <c r="AD807" s="98"/>
      <c r="AE807" s="98"/>
      <c r="AF807" s="98"/>
      <c r="AG807" s="98"/>
      <c r="AH807" s="98"/>
    </row>
    <row r="808" spans="2:34" x14ac:dyDescent="0.25">
      <c r="B808" s="73"/>
      <c r="C808" s="74"/>
      <c r="D808" s="80"/>
      <c r="E808" s="81"/>
      <c r="F808" s="81"/>
      <c r="G808" s="81"/>
      <c r="H808" s="81"/>
      <c r="I808" s="82"/>
      <c r="J808" s="88"/>
      <c r="K808" s="89"/>
      <c r="L808" s="88"/>
      <c r="M808" s="89"/>
      <c r="N808" s="80"/>
      <c r="O808" s="82"/>
      <c r="P808" s="94"/>
      <c r="Q808" s="95"/>
      <c r="S808" s="99"/>
      <c r="T808" s="99"/>
      <c r="U808" s="99"/>
      <c r="V808" s="99"/>
      <c r="W808" s="99"/>
      <c r="X808" s="99"/>
      <c r="Y808" s="99"/>
      <c r="Z808" s="99"/>
      <c r="AA808" s="99"/>
      <c r="AB808" s="99"/>
      <c r="AC808" s="98"/>
      <c r="AD808" s="98"/>
      <c r="AE808" s="98"/>
      <c r="AF808" s="98"/>
      <c r="AG808" s="98"/>
      <c r="AH808" s="98"/>
    </row>
    <row r="809" spans="2:34" x14ac:dyDescent="0.25">
      <c r="B809" s="75"/>
      <c r="C809" s="76"/>
      <c r="D809" s="83"/>
      <c r="E809" s="84"/>
      <c r="F809" s="84"/>
      <c r="G809" s="84"/>
      <c r="H809" s="84"/>
      <c r="I809" s="85"/>
      <c r="J809" s="90"/>
      <c r="K809" s="91"/>
      <c r="L809" s="90"/>
      <c r="M809" s="91"/>
      <c r="N809" s="83"/>
      <c r="O809" s="85"/>
      <c r="P809" s="96"/>
      <c r="Q809" s="97"/>
      <c r="S809" s="99"/>
      <c r="T809" s="99"/>
      <c r="U809" s="99"/>
      <c r="V809" s="99"/>
      <c r="W809" s="99"/>
      <c r="X809" s="99"/>
      <c r="Y809" s="99"/>
      <c r="Z809" s="99"/>
      <c r="AA809" s="99"/>
      <c r="AB809" s="99"/>
      <c r="AC809" s="98"/>
      <c r="AD809" s="98"/>
      <c r="AE809" s="98"/>
      <c r="AF809" s="98"/>
      <c r="AG809" s="98"/>
      <c r="AH809" s="98"/>
    </row>
    <row r="810" spans="2:34" x14ac:dyDescent="0.25">
      <c r="B810" s="71"/>
      <c r="C810" s="72"/>
      <c r="D810" s="77"/>
      <c r="E810" s="78"/>
      <c r="F810" s="78"/>
      <c r="G810" s="78"/>
      <c r="H810" s="78"/>
      <c r="I810" s="79"/>
      <c r="J810" s="86"/>
      <c r="K810" s="87"/>
      <c r="L810" s="86"/>
      <c r="M810" s="87"/>
      <c r="N810" s="77"/>
      <c r="O810" s="79"/>
      <c r="P810" s="92"/>
      <c r="Q810" s="93"/>
      <c r="S810" s="99"/>
      <c r="T810" s="99"/>
      <c r="U810" s="99"/>
      <c r="V810" s="99"/>
      <c r="W810" s="99"/>
      <c r="X810" s="99"/>
      <c r="Y810" s="99"/>
      <c r="Z810" s="99"/>
      <c r="AA810" s="99"/>
      <c r="AB810" s="99"/>
      <c r="AC810" s="98"/>
      <c r="AD810" s="98"/>
      <c r="AE810" s="98"/>
      <c r="AF810" s="98"/>
      <c r="AG810" s="98"/>
      <c r="AH810" s="98"/>
    </row>
    <row r="811" spans="2:34" x14ac:dyDescent="0.25">
      <c r="B811" s="73"/>
      <c r="C811" s="74"/>
      <c r="D811" s="80"/>
      <c r="E811" s="81"/>
      <c r="F811" s="81"/>
      <c r="G811" s="81"/>
      <c r="H811" s="81"/>
      <c r="I811" s="82"/>
      <c r="J811" s="88"/>
      <c r="K811" s="89"/>
      <c r="L811" s="88"/>
      <c r="M811" s="89"/>
      <c r="N811" s="80"/>
      <c r="O811" s="82"/>
      <c r="P811" s="94"/>
      <c r="Q811" s="95"/>
      <c r="S811" s="99"/>
      <c r="T811" s="99"/>
      <c r="U811" s="99"/>
      <c r="V811" s="99"/>
      <c r="W811" s="99"/>
      <c r="X811" s="99"/>
      <c r="Y811" s="99"/>
      <c r="Z811" s="99"/>
      <c r="AA811" s="99"/>
      <c r="AB811" s="99"/>
      <c r="AC811" s="98"/>
      <c r="AD811" s="98"/>
      <c r="AE811" s="98"/>
      <c r="AF811" s="98"/>
      <c r="AG811" s="98"/>
      <c r="AH811" s="98"/>
    </row>
    <row r="812" spans="2:34" x14ac:dyDescent="0.25">
      <c r="B812" s="75"/>
      <c r="C812" s="76"/>
      <c r="D812" s="83"/>
      <c r="E812" s="84"/>
      <c r="F812" s="84"/>
      <c r="G812" s="84"/>
      <c r="H812" s="84"/>
      <c r="I812" s="85"/>
      <c r="J812" s="90"/>
      <c r="K812" s="91"/>
      <c r="L812" s="90"/>
      <c r="M812" s="91"/>
      <c r="N812" s="83"/>
      <c r="O812" s="85"/>
      <c r="P812" s="96"/>
      <c r="Q812" s="97"/>
      <c r="S812" s="99"/>
      <c r="T812" s="99"/>
      <c r="U812" s="99"/>
      <c r="V812" s="99"/>
      <c r="W812" s="99"/>
      <c r="X812" s="99"/>
      <c r="Y812" s="99"/>
      <c r="Z812" s="99"/>
      <c r="AA812" s="99"/>
      <c r="AB812" s="99"/>
      <c r="AC812" s="98"/>
      <c r="AD812" s="98"/>
      <c r="AE812" s="98"/>
      <c r="AF812" s="98"/>
      <c r="AG812" s="98"/>
      <c r="AH812" s="98"/>
    </row>
    <row r="813" spans="2:34" x14ac:dyDescent="0.25">
      <c r="B813" s="71"/>
      <c r="C813" s="72"/>
      <c r="D813" s="77"/>
      <c r="E813" s="78"/>
      <c r="F813" s="78"/>
      <c r="G813" s="78"/>
      <c r="H813" s="78"/>
      <c r="I813" s="79"/>
      <c r="J813" s="86"/>
      <c r="K813" s="87"/>
      <c r="L813" s="86"/>
      <c r="M813" s="87"/>
      <c r="N813" s="77"/>
      <c r="O813" s="79"/>
      <c r="P813" s="92"/>
      <c r="Q813" s="93"/>
      <c r="S813" s="99"/>
      <c r="T813" s="99"/>
      <c r="U813" s="99"/>
      <c r="V813" s="99"/>
      <c r="W813" s="99"/>
      <c r="X813" s="99"/>
      <c r="Y813" s="99"/>
      <c r="Z813" s="99"/>
      <c r="AA813" s="99"/>
      <c r="AB813" s="99"/>
      <c r="AC813" s="98"/>
      <c r="AD813" s="98"/>
      <c r="AE813" s="98"/>
      <c r="AF813" s="98"/>
      <c r="AG813" s="98"/>
      <c r="AH813" s="98"/>
    </row>
    <row r="814" spans="2:34" x14ac:dyDescent="0.25">
      <c r="B814" s="73"/>
      <c r="C814" s="74"/>
      <c r="D814" s="80"/>
      <c r="E814" s="81"/>
      <c r="F814" s="81"/>
      <c r="G814" s="81"/>
      <c r="H814" s="81"/>
      <c r="I814" s="82"/>
      <c r="J814" s="88"/>
      <c r="K814" s="89"/>
      <c r="L814" s="88"/>
      <c r="M814" s="89"/>
      <c r="N814" s="80"/>
      <c r="O814" s="82"/>
      <c r="P814" s="94"/>
      <c r="Q814" s="95"/>
      <c r="S814" s="99"/>
      <c r="T814" s="99"/>
      <c r="U814" s="99"/>
      <c r="V814" s="99"/>
      <c r="W814" s="99"/>
      <c r="X814" s="99"/>
      <c r="Y814" s="99"/>
      <c r="Z814" s="99"/>
      <c r="AA814" s="99"/>
      <c r="AB814" s="99"/>
      <c r="AC814" s="98"/>
      <c r="AD814" s="98"/>
      <c r="AE814" s="98"/>
      <c r="AF814" s="98"/>
      <c r="AG814" s="98"/>
      <c r="AH814" s="98"/>
    </row>
    <row r="815" spans="2:34" x14ac:dyDescent="0.25">
      <c r="B815" s="75"/>
      <c r="C815" s="76"/>
      <c r="D815" s="83"/>
      <c r="E815" s="84"/>
      <c r="F815" s="84"/>
      <c r="G815" s="84"/>
      <c r="H815" s="84"/>
      <c r="I815" s="85"/>
      <c r="J815" s="90"/>
      <c r="K815" s="91"/>
      <c r="L815" s="90"/>
      <c r="M815" s="91"/>
      <c r="N815" s="83"/>
      <c r="O815" s="85"/>
      <c r="P815" s="96"/>
      <c r="Q815" s="97"/>
      <c r="S815" s="99"/>
      <c r="T815" s="99"/>
      <c r="U815" s="99"/>
      <c r="V815" s="99"/>
      <c r="W815" s="99"/>
      <c r="X815" s="99"/>
      <c r="Y815" s="99"/>
      <c r="Z815" s="99"/>
      <c r="AA815" s="99"/>
      <c r="AB815" s="99"/>
      <c r="AC815" s="98"/>
      <c r="AD815" s="98"/>
      <c r="AE815" s="98"/>
      <c r="AF815" s="98"/>
      <c r="AG815" s="98"/>
      <c r="AH815" s="98"/>
    </row>
    <row r="816" spans="2:34" x14ac:dyDescent="0.25">
      <c r="B816" s="71"/>
      <c r="C816" s="72"/>
      <c r="D816" s="77"/>
      <c r="E816" s="78"/>
      <c r="F816" s="78"/>
      <c r="G816" s="78"/>
      <c r="H816" s="78"/>
      <c r="I816" s="79"/>
      <c r="J816" s="86"/>
      <c r="K816" s="87"/>
      <c r="L816" s="86"/>
      <c r="M816" s="87"/>
      <c r="N816" s="77"/>
      <c r="O816" s="79"/>
      <c r="P816" s="92"/>
      <c r="Q816" s="93"/>
      <c r="S816" s="99"/>
      <c r="T816" s="99"/>
      <c r="U816" s="99"/>
      <c r="V816" s="99"/>
      <c r="W816" s="99"/>
      <c r="X816" s="99"/>
      <c r="Y816" s="99"/>
      <c r="Z816" s="99"/>
      <c r="AA816" s="99"/>
      <c r="AB816" s="99"/>
      <c r="AC816" s="98"/>
      <c r="AD816" s="98"/>
      <c r="AE816" s="98"/>
      <c r="AF816" s="98"/>
      <c r="AG816" s="98"/>
      <c r="AH816" s="98"/>
    </row>
    <row r="817" spans="2:34" x14ac:dyDescent="0.25">
      <c r="B817" s="73"/>
      <c r="C817" s="74"/>
      <c r="D817" s="80"/>
      <c r="E817" s="81"/>
      <c r="F817" s="81"/>
      <c r="G817" s="81"/>
      <c r="H817" s="81"/>
      <c r="I817" s="82"/>
      <c r="J817" s="88"/>
      <c r="K817" s="89"/>
      <c r="L817" s="88"/>
      <c r="M817" s="89"/>
      <c r="N817" s="80"/>
      <c r="O817" s="82"/>
      <c r="P817" s="94"/>
      <c r="Q817" s="95"/>
      <c r="S817" s="99"/>
      <c r="T817" s="99"/>
      <c r="U817" s="99"/>
      <c r="V817" s="99"/>
      <c r="W817" s="99"/>
      <c r="X817" s="99"/>
      <c r="Y817" s="99"/>
      <c r="Z817" s="99"/>
      <c r="AA817" s="99"/>
      <c r="AB817" s="99"/>
      <c r="AC817" s="98"/>
      <c r="AD817" s="98"/>
      <c r="AE817" s="98"/>
      <c r="AF817" s="98"/>
      <c r="AG817" s="98"/>
      <c r="AH817" s="98"/>
    </row>
    <row r="818" spans="2:34" x14ac:dyDescent="0.25">
      <c r="B818" s="75"/>
      <c r="C818" s="76"/>
      <c r="D818" s="83"/>
      <c r="E818" s="84"/>
      <c r="F818" s="84"/>
      <c r="G818" s="84"/>
      <c r="H818" s="84"/>
      <c r="I818" s="85"/>
      <c r="J818" s="90"/>
      <c r="K818" s="91"/>
      <c r="L818" s="90"/>
      <c r="M818" s="91"/>
      <c r="N818" s="83"/>
      <c r="O818" s="85"/>
      <c r="P818" s="96"/>
      <c r="Q818" s="97"/>
      <c r="S818" s="99"/>
      <c r="T818" s="99"/>
      <c r="U818" s="99"/>
      <c r="V818" s="99"/>
      <c r="W818" s="99"/>
      <c r="X818" s="99"/>
      <c r="Y818" s="99"/>
      <c r="Z818" s="99"/>
      <c r="AA818" s="99"/>
      <c r="AB818" s="99"/>
      <c r="AC818" s="98"/>
      <c r="AD818" s="98"/>
      <c r="AE818" s="98"/>
      <c r="AF818" s="98"/>
      <c r="AG818" s="98"/>
      <c r="AH818" s="98"/>
    </row>
    <row r="819" spans="2:34" x14ac:dyDescent="0.25">
      <c r="B819" s="71"/>
      <c r="C819" s="72"/>
      <c r="D819" s="77"/>
      <c r="E819" s="78"/>
      <c r="F819" s="78"/>
      <c r="G819" s="78"/>
      <c r="H819" s="78"/>
      <c r="I819" s="79"/>
      <c r="J819" s="86"/>
      <c r="K819" s="87"/>
      <c r="L819" s="86"/>
      <c r="M819" s="87"/>
      <c r="N819" s="77"/>
      <c r="O819" s="79"/>
      <c r="P819" s="92"/>
      <c r="Q819" s="93"/>
      <c r="S819" s="99"/>
      <c r="T819" s="99"/>
      <c r="U819" s="99"/>
      <c r="V819" s="99"/>
      <c r="W819" s="99"/>
      <c r="X819" s="99"/>
      <c r="Y819" s="99"/>
      <c r="Z819" s="99"/>
      <c r="AA819" s="99"/>
      <c r="AB819" s="99"/>
      <c r="AC819" s="98"/>
      <c r="AD819" s="98"/>
      <c r="AE819" s="98"/>
      <c r="AF819" s="98"/>
      <c r="AG819" s="98"/>
      <c r="AH819" s="98"/>
    </row>
    <row r="820" spans="2:34" x14ac:dyDescent="0.25">
      <c r="B820" s="73"/>
      <c r="C820" s="74"/>
      <c r="D820" s="80"/>
      <c r="E820" s="81"/>
      <c r="F820" s="81"/>
      <c r="G820" s="81"/>
      <c r="H820" s="81"/>
      <c r="I820" s="82"/>
      <c r="J820" s="88"/>
      <c r="K820" s="89"/>
      <c r="L820" s="88"/>
      <c r="M820" s="89"/>
      <c r="N820" s="80"/>
      <c r="O820" s="82"/>
      <c r="P820" s="94"/>
      <c r="Q820" s="95"/>
      <c r="S820" s="99"/>
      <c r="T820" s="99"/>
      <c r="U820" s="99"/>
      <c r="V820" s="99"/>
      <c r="W820" s="99"/>
      <c r="X820" s="99"/>
      <c r="Y820" s="99"/>
      <c r="Z820" s="99"/>
      <c r="AA820" s="99"/>
      <c r="AB820" s="99"/>
      <c r="AC820" s="98"/>
      <c r="AD820" s="98"/>
      <c r="AE820" s="98"/>
      <c r="AF820" s="98"/>
      <c r="AG820" s="98"/>
      <c r="AH820" s="98"/>
    </row>
    <row r="821" spans="2:34" x14ac:dyDescent="0.25">
      <c r="B821" s="75"/>
      <c r="C821" s="76"/>
      <c r="D821" s="83"/>
      <c r="E821" s="84"/>
      <c r="F821" s="84"/>
      <c r="G821" s="84"/>
      <c r="H821" s="84"/>
      <c r="I821" s="85"/>
      <c r="J821" s="90"/>
      <c r="K821" s="91"/>
      <c r="L821" s="90"/>
      <c r="M821" s="91"/>
      <c r="N821" s="83"/>
      <c r="O821" s="85"/>
      <c r="P821" s="96"/>
      <c r="Q821" s="97"/>
      <c r="S821" s="99"/>
      <c r="T821" s="99"/>
      <c r="U821" s="99"/>
      <c r="V821" s="99"/>
      <c r="W821" s="99"/>
      <c r="X821" s="99"/>
      <c r="Y821" s="99"/>
      <c r="Z821" s="99"/>
      <c r="AA821" s="99"/>
      <c r="AB821" s="99"/>
      <c r="AC821" s="98"/>
      <c r="AD821" s="98"/>
      <c r="AE821" s="98"/>
      <c r="AF821" s="98"/>
      <c r="AG821" s="98"/>
      <c r="AH821" s="98"/>
    </row>
    <row r="822" spans="2:34" x14ac:dyDescent="0.25">
      <c r="B822" s="71"/>
      <c r="C822" s="72"/>
      <c r="D822" s="77"/>
      <c r="E822" s="78"/>
      <c r="F822" s="78"/>
      <c r="G822" s="78"/>
      <c r="H822" s="78"/>
      <c r="I822" s="79"/>
      <c r="J822" s="86"/>
      <c r="K822" s="87"/>
      <c r="L822" s="86"/>
      <c r="M822" s="87"/>
      <c r="N822" s="77"/>
      <c r="O822" s="79"/>
      <c r="P822" s="92"/>
      <c r="Q822" s="93"/>
      <c r="S822" s="99"/>
      <c r="T822" s="99"/>
      <c r="U822" s="99"/>
      <c r="V822" s="99"/>
      <c r="W822" s="99"/>
      <c r="X822" s="99"/>
      <c r="Y822" s="99"/>
      <c r="Z822" s="99"/>
      <c r="AA822" s="99"/>
      <c r="AB822" s="99"/>
      <c r="AC822" s="98"/>
      <c r="AD822" s="98"/>
      <c r="AE822" s="98"/>
      <c r="AF822" s="98"/>
      <c r="AG822" s="98"/>
      <c r="AH822" s="98"/>
    </row>
    <row r="823" spans="2:34" x14ac:dyDescent="0.25">
      <c r="B823" s="73"/>
      <c r="C823" s="74"/>
      <c r="D823" s="80"/>
      <c r="E823" s="81"/>
      <c r="F823" s="81"/>
      <c r="G823" s="81"/>
      <c r="H823" s="81"/>
      <c r="I823" s="82"/>
      <c r="J823" s="88"/>
      <c r="K823" s="89"/>
      <c r="L823" s="88"/>
      <c r="M823" s="89"/>
      <c r="N823" s="80"/>
      <c r="O823" s="82"/>
      <c r="P823" s="94"/>
      <c r="Q823" s="95"/>
      <c r="S823" s="99"/>
      <c r="T823" s="99"/>
      <c r="U823" s="99"/>
      <c r="V823" s="99"/>
      <c r="W823" s="99"/>
      <c r="X823" s="99"/>
      <c r="Y823" s="99"/>
      <c r="Z823" s="99"/>
      <c r="AA823" s="99"/>
      <c r="AB823" s="99"/>
      <c r="AC823" s="98"/>
      <c r="AD823" s="98"/>
      <c r="AE823" s="98"/>
      <c r="AF823" s="98"/>
      <c r="AG823" s="98"/>
      <c r="AH823" s="98"/>
    </row>
    <row r="824" spans="2:34" x14ac:dyDescent="0.25">
      <c r="B824" s="75"/>
      <c r="C824" s="76"/>
      <c r="D824" s="83"/>
      <c r="E824" s="84"/>
      <c r="F824" s="84"/>
      <c r="G824" s="84"/>
      <c r="H824" s="84"/>
      <c r="I824" s="85"/>
      <c r="J824" s="90"/>
      <c r="K824" s="91"/>
      <c r="L824" s="90"/>
      <c r="M824" s="91"/>
      <c r="N824" s="83"/>
      <c r="O824" s="85"/>
      <c r="P824" s="96"/>
      <c r="Q824" s="97"/>
      <c r="S824" s="99"/>
      <c r="T824" s="99"/>
      <c r="U824" s="99"/>
      <c r="V824" s="99"/>
      <c r="W824" s="99"/>
      <c r="X824" s="99"/>
      <c r="Y824" s="99"/>
      <c r="Z824" s="99"/>
      <c r="AA824" s="99"/>
      <c r="AB824" s="99"/>
      <c r="AC824" s="98"/>
      <c r="AD824" s="98"/>
      <c r="AE824" s="98"/>
      <c r="AF824" s="98"/>
      <c r="AG824" s="98"/>
      <c r="AH824" s="98"/>
    </row>
    <row r="825" spans="2:34" x14ac:dyDescent="0.25">
      <c r="B825" s="71"/>
      <c r="C825" s="72"/>
      <c r="D825" s="77"/>
      <c r="E825" s="78"/>
      <c r="F825" s="78"/>
      <c r="G825" s="78"/>
      <c r="H825" s="78"/>
      <c r="I825" s="79"/>
      <c r="J825" s="86"/>
      <c r="K825" s="87"/>
      <c r="L825" s="86"/>
      <c r="M825" s="87"/>
      <c r="N825" s="77"/>
      <c r="O825" s="79"/>
      <c r="P825" s="92"/>
      <c r="Q825" s="93"/>
      <c r="S825" s="99"/>
      <c r="T825" s="99"/>
      <c r="U825" s="99"/>
      <c r="V825" s="99"/>
      <c r="W825" s="99"/>
      <c r="X825" s="99"/>
      <c r="Y825" s="99"/>
      <c r="Z825" s="99"/>
      <c r="AA825" s="99"/>
      <c r="AB825" s="99"/>
      <c r="AC825" s="98"/>
      <c r="AD825" s="98"/>
      <c r="AE825" s="98"/>
      <c r="AF825" s="98"/>
      <c r="AG825" s="98"/>
      <c r="AH825" s="98"/>
    </row>
    <row r="826" spans="2:34" x14ac:dyDescent="0.25">
      <c r="B826" s="73"/>
      <c r="C826" s="74"/>
      <c r="D826" s="80"/>
      <c r="E826" s="81"/>
      <c r="F826" s="81"/>
      <c r="G826" s="81"/>
      <c r="H826" s="81"/>
      <c r="I826" s="82"/>
      <c r="J826" s="88"/>
      <c r="K826" s="89"/>
      <c r="L826" s="88"/>
      <c r="M826" s="89"/>
      <c r="N826" s="80"/>
      <c r="O826" s="82"/>
      <c r="P826" s="94"/>
      <c r="Q826" s="95"/>
      <c r="S826" s="99"/>
      <c r="T826" s="99"/>
      <c r="U826" s="99"/>
      <c r="V826" s="99"/>
      <c r="W826" s="99"/>
      <c r="X826" s="99"/>
      <c r="Y826" s="99"/>
      <c r="Z826" s="99"/>
      <c r="AA826" s="99"/>
      <c r="AB826" s="99"/>
      <c r="AC826" s="98"/>
      <c r="AD826" s="98"/>
      <c r="AE826" s="98"/>
      <c r="AF826" s="98"/>
      <c r="AG826" s="98"/>
      <c r="AH826" s="98"/>
    </row>
    <row r="827" spans="2:34" x14ac:dyDescent="0.25">
      <c r="B827" s="75"/>
      <c r="C827" s="76"/>
      <c r="D827" s="83"/>
      <c r="E827" s="84"/>
      <c r="F827" s="84"/>
      <c r="G827" s="84"/>
      <c r="H827" s="84"/>
      <c r="I827" s="85"/>
      <c r="J827" s="90"/>
      <c r="K827" s="91"/>
      <c r="L827" s="90"/>
      <c r="M827" s="91"/>
      <c r="N827" s="83"/>
      <c r="O827" s="85"/>
      <c r="P827" s="96"/>
      <c r="Q827" s="97"/>
      <c r="S827" s="99"/>
      <c r="T827" s="99"/>
      <c r="U827" s="99"/>
      <c r="V827" s="99"/>
      <c r="W827" s="99"/>
      <c r="X827" s="99"/>
      <c r="Y827" s="99"/>
      <c r="Z827" s="99"/>
      <c r="AA827" s="99"/>
      <c r="AB827" s="99"/>
      <c r="AC827" s="98"/>
      <c r="AD827" s="98"/>
      <c r="AE827" s="98"/>
      <c r="AF827" s="98"/>
      <c r="AG827" s="98"/>
      <c r="AH827" s="98"/>
    </row>
    <row r="828" spans="2:34" x14ac:dyDescent="0.25">
      <c r="B828" s="71"/>
      <c r="C828" s="72"/>
      <c r="D828" s="77"/>
      <c r="E828" s="78"/>
      <c r="F828" s="78"/>
      <c r="G828" s="78"/>
      <c r="H828" s="78"/>
      <c r="I828" s="79"/>
      <c r="J828" s="86"/>
      <c r="K828" s="87"/>
      <c r="L828" s="86"/>
      <c r="M828" s="87"/>
      <c r="N828" s="77"/>
      <c r="O828" s="79"/>
      <c r="P828" s="92"/>
      <c r="Q828" s="93"/>
      <c r="S828" s="99"/>
      <c r="T828" s="99"/>
      <c r="U828" s="99"/>
      <c r="V828" s="99"/>
      <c r="W828" s="99"/>
      <c r="X828" s="99"/>
      <c r="Y828" s="99"/>
      <c r="Z828" s="99"/>
      <c r="AA828" s="99"/>
      <c r="AB828" s="99"/>
      <c r="AC828" s="98"/>
      <c r="AD828" s="98"/>
      <c r="AE828" s="98"/>
      <c r="AF828" s="98"/>
      <c r="AG828" s="98"/>
      <c r="AH828" s="98"/>
    </row>
    <row r="829" spans="2:34" x14ac:dyDescent="0.25">
      <c r="B829" s="73"/>
      <c r="C829" s="74"/>
      <c r="D829" s="80"/>
      <c r="E829" s="81"/>
      <c r="F829" s="81"/>
      <c r="G829" s="81"/>
      <c r="H829" s="81"/>
      <c r="I829" s="82"/>
      <c r="J829" s="88"/>
      <c r="K829" s="89"/>
      <c r="L829" s="88"/>
      <c r="M829" s="89"/>
      <c r="N829" s="80"/>
      <c r="O829" s="82"/>
      <c r="P829" s="94"/>
      <c r="Q829" s="95"/>
      <c r="S829" s="99"/>
      <c r="T829" s="99"/>
      <c r="U829" s="99"/>
      <c r="V829" s="99"/>
      <c r="W829" s="99"/>
      <c r="X829" s="99"/>
      <c r="Y829" s="99"/>
      <c r="Z829" s="99"/>
      <c r="AA829" s="99"/>
      <c r="AB829" s="99"/>
      <c r="AC829" s="98"/>
      <c r="AD829" s="98"/>
      <c r="AE829" s="98"/>
      <c r="AF829" s="98"/>
      <c r="AG829" s="98"/>
      <c r="AH829" s="98"/>
    </row>
    <row r="830" spans="2:34" x14ac:dyDescent="0.25">
      <c r="B830" s="75"/>
      <c r="C830" s="76"/>
      <c r="D830" s="83"/>
      <c r="E830" s="84"/>
      <c r="F830" s="84"/>
      <c r="G830" s="84"/>
      <c r="H830" s="84"/>
      <c r="I830" s="85"/>
      <c r="J830" s="90"/>
      <c r="K830" s="91"/>
      <c r="L830" s="90"/>
      <c r="M830" s="91"/>
      <c r="N830" s="83"/>
      <c r="O830" s="85"/>
      <c r="P830" s="96"/>
      <c r="Q830" s="97"/>
      <c r="S830" s="99"/>
      <c r="T830" s="99"/>
      <c r="U830" s="99"/>
      <c r="V830" s="99"/>
      <c r="W830" s="99"/>
      <c r="X830" s="99"/>
      <c r="Y830" s="99"/>
      <c r="Z830" s="99"/>
      <c r="AA830" s="99"/>
      <c r="AB830" s="99"/>
      <c r="AC830" s="98"/>
      <c r="AD830" s="98"/>
      <c r="AE830" s="98"/>
      <c r="AF830" s="98"/>
      <c r="AG830" s="98"/>
      <c r="AH830" s="98"/>
    </row>
    <row r="831" spans="2:34" x14ac:dyDescent="0.25">
      <c r="B831" s="71"/>
      <c r="C831" s="72"/>
      <c r="D831" s="77"/>
      <c r="E831" s="78"/>
      <c r="F831" s="78"/>
      <c r="G831" s="78"/>
      <c r="H831" s="78"/>
      <c r="I831" s="79"/>
      <c r="J831" s="86"/>
      <c r="K831" s="87"/>
      <c r="L831" s="86"/>
      <c r="M831" s="87"/>
      <c r="N831" s="77"/>
      <c r="O831" s="79"/>
      <c r="P831" s="92"/>
      <c r="Q831" s="93"/>
      <c r="S831" s="99"/>
      <c r="T831" s="99"/>
      <c r="U831" s="99"/>
      <c r="V831" s="99"/>
      <c r="W831" s="99"/>
      <c r="X831" s="99"/>
      <c r="Y831" s="99"/>
      <c r="Z831" s="99"/>
      <c r="AA831" s="99"/>
      <c r="AB831" s="99"/>
      <c r="AC831" s="98"/>
      <c r="AD831" s="98"/>
      <c r="AE831" s="98"/>
      <c r="AF831" s="98"/>
      <c r="AG831" s="98"/>
      <c r="AH831" s="98"/>
    </row>
    <row r="832" spans="2:34" x14ac:dyDescent="0.25">
      <c r="B832" s="73"/>
      <c r="C832" s="74"/>
      <c r="D832" s="80"/>
      <c r="E832" s="81"/>
      <c r="F832" s="81"/>
      <c r="G832" s="81"/>
      <c r="H832" s="81"/>
      <c r="I832" s="82"/>
      <c r="J832" s="88"/>
      <c r="K832" s="89"/>
      <c r="L832" s="88"/>
      <c r="M832" s="89"/>
      <c r="N832" s="80"/>
      <c r="O832" s="82"/>
      <c r="P832" s="94"/>
      <c r="Q832" s="95"/>
      <c r="S832" s="99"/>
      <c r="T832" s="99"/>
      <c r="U832" s="99"/>
      <c r="V832" s="99"/>
      <c r="W832" s="99"/>
      <c r="X832" s="99"/>
      <c r="Y832" s="99"/>
      <c r="Z832" s="99"/>
      <c r="AA832" s="99"/>
      <c r="AB832" s="99"/>
      <c r="AC832" s="98"/>
      <c r="AD832" s="98"/>
      <c r="AE832" s="98"/>
      <c r="AF832" s="98"/>
      <c r="AG832" s="98"/>
      <c r="AH832" s="98"/>
    </row>
    <row r="833" spans="2:34" x14ac:dyDescent="0.25">
      <c r="B833" s="75"/>
      <c r="C833" s="76"/>
      <c r="D833" s="83"/>
      <c r="E833" s="84"/>
      <c r="F833" s="84"/>
      <c r="G833" s="84"/>
      <c r="H833" s="84"/>
      <c r="I833" s="85"/>
      <c r="J833" s="90"/>
      <c r="K833" s="91"/>
      <c r="L833" s="90"/>
      <c r="M833" s="91"/>
      <c r="N833" s="83"/>
      <c r="O833" s="85"/>
      <c r="P833" s="96"/>
      <c r="Q833" s="97"/>
      <c r="S833" s="99"/>
      <c r="T833" s="99"/>
      <c r="U833" s="99"/>
      <c r="V833" s="99"/>
      <c r="W833" s="99"/>
      <c r="X833" s="99"/>
      <c r="Y833" s="99"/>
      <c r="Z833" s="99"/>
      <c r="AA833" s="99"/>
      <c r="AB833" s="99"/>
      <c r="AC833" s="98"/>
      <c r="AD833" s="98"/>
      <c r="AE833" s="98"/>
      <c r="AF833" s="98"/>
      <c r="AG833" s="98"/>
      <c r="AH833" s="98"/>
    </row>
    <row r="834" spans="2:34" x14ac:dyDescent="0.25">
      <c r="B834" s="71"/>
      <c r="C834" s="72"/>
      <c r="D834" s="77"/>
      <c r="E834" s="78"/>
      <c r="F834" s="78"/>
      <c r="G834" s="78"/>
      <c r="H834" s="78"/>
      <c r="I834" s="79"/>
      <c r="J834" s="86"/>
      <c r="K834" s="87"/>
      <c r="L834" s="86"/>
      <c r="M834" s="87"/>
      <c r="N834" s="77"/>
      <c r="O834" s="79"/>
      <c r="P834" s="92"/>
      <c r="Q834" s="93"/>
      <c r="S834" s="99"/>
      <c r="T834" s="99"/>
      <c r="U834" s="99"/>
      <c r="V834" s="99"/>
      <c r="W834" s="99"/>
      <c r="X834" s="99"/>
      <c r="Y834" s="99"/>
      <c r="Z834" s="99"/>
      <c r="AA834" s="99"/>
      <c r="AB834" s="99"/>
      <c r="AC834" s="98"/>
      <c r="AD834" s="98"/>
      <c r="AE834" s="98"/>
      <c r="AF834" s="98"/>
      <c r="AG834" s="98"/>
      <c r="AH834" s="98"/>
    </row>
    <row r="835" spans="2:34" x14ac:dyDescent="0.25">
      <c r="B835" s="73"/>
      <c r="C835" s="74"/>
      <c r="D835" s="80"/>
      <c r="E835" s="81"/>
      <c r="F835" s="81"/>
      <c r="G835" s="81"/>
      <c r="H835" s="81"/>
      <c r="I835" s="82"/>
      <c r="J835" s="88"/>
      <c r="K835" s="89"/>
      <c r="L835" s="88"/>
      <c r="M835" s="89"/>
      <c r="N835" s="80"/>
      <c r="O835" s="82"/>
      <c r="P835" s="94"/>
      <c r="Q835" s="95"/>
      <c r="S835" s="99"/>
      <c r="T835" s="99"/>
      <c r="U835" s="99"/>
      <c r="V835" s="99"/>
      <c r="W835" s="99"/>
      <c r="X835" s="99"/>
      <c r="Y835" s="99"/>
      <c r="Z835" s="99"/>
      <c r="AA835" s="99"/>
      <c r="AB835" s="99"/>
      <c r="AC835" s="98"/>
      <c r="AD835" s="98"/>
      <c r="AE835" s="98"/>
      <c r="AF835" s="98"/>
      <c r="AG835" s="98"/>
      <c r="AH835" s="98"/>
    </row>
    <row r="836" spans="2:34" x14ac:dyDescent="0.25">
      <c r="B836" s="75"/>
      <c r="C836" s="76"/>
      <c r="D836" s="83"/>
      <c r="E836" s="84"/>
      <c r="F836" s="84"/>
      <c r="G836" s="84"/>
      <c r="H836" s="84"/>
      <c r="I836" s="85"/>
      <c r="J836" s="90"/>
      <c r="K836" s="91"/>
      <c r="L836" s="90"/>
      <c r="M836" s="91"/>
      <c r="N836" s="83"/>
      <c r="O836" s="85"/>
      <c r="P836" s="96"/>
      <c r="Q836" s="97"/>
      <c r="S836" s="99"/>
      <c r="T836" s="99"/>
      <c r="U836" s="99"/>
      <c r="V836" s="99"/>
      <c r="W836" s="99"/>
      <c r="X836" s="99"/>
      <c r="Y836" s="99"/>
      <c r="Z836" s="99"/>
      <c r="AA836" s="99"/>
      <c r="AB836" s="99"/>
      <c r="AC836" s="98"/>
      <c r="AD836" s="98"/>
      <c r="AE836" s="98"/>
      <c r="AF836" s="98"/>
      <c r="AG836" s="98"/>
      <c r="AH836" s="98"/>
    </row>
    <row r="837" spans="2:34" x14ac:dyDescent="0.25">
      <c r="B837" s="71"/>
      <c r="C837" s="72"/>
      <c r="D837" s="77"/>
      <c r="E837" s="78"/>
      <c r="F837" s="78"/>
      <c r="G837" s="78"/>
      <c r="H837" s="78"/>
      <c r="I837" s="79"/>
      <c r="J837" s="86"/>
      <c r="K837" s="87"/>
      <c r="L837" s="86"/>
      <c r="M837" s="87"/>
      <c r="N837" s="77"/>
      <c r="O837" s="79"/>
      <c r="P837" s="92"/>
      <c r="Q837" s="93"/>
      <c r="S837" s="99"/>
      <c r="T837" s="99"/>
      <c r="U837" s="99"/>
      <c r="V837" s="99"/>
      <c r="W837" s="99"/>
      <c r="X837" s="99"/>
      <c r="Y837" s="99"/>
      <c r="Z837" s="99"/>
      <c r="AA837" s="99"/>
      <c r="AB837" s="99"/>
      <c r="AC837" s="98"/>
      <c r="AD837" s="98"/>
      <c r="AE837" s="98"/>
      <c r="AF837" s="98"/>
      <c r="AG837" s="98"/>
      <c r="AH837" s="98"/>
    </row>
    <row r="838" spans="2:34" x14ac:dyDescent="0.25">
      <c r="B838" s="73"/>
      <c r="C838" s="74"/>
      <c r="D838" s="80"/>
      <c r="E838" s="81"/>
      <c r="F838" s="81"/>
      <c r="G838" s="81"/>
      <c r="H838" s="81"/>
      <c r="I838" s="82"/>
      <c r="J838" s="88"/>
      <c r="K838" s="89"/>
      <c r="L838" s="88"/>
      <c r="M838" s="89"/>
      <c r="N838" s="80"/>
      <c r="O838" s="82"/>
      <c r="P838" s="94"/>
      <c r="Q838" s="95"/>
      <c r="S838" s="99"/>
      <c r="T838" s="99"/>
      <c r="U838" s="99"/>
      <c r="V838" s="99"/>
      <c r="W838" s="99"/>
      <c r="X838" s="99"/>
      <c r="Y838" s="99"/>
      <c r="Z838" s="99"/>
      <c r="AA838" s="99"/>
      <c r="AB838" s="99"/>
      <c r="AC838" s="98"/>
      <c r="AD838" s="98"/>
      <c r="AE838" s="98"/>
      <c r="AF838" s="98"/>
      <c r="AG838" s="98"/>
      <c r="AH838" s="98"/>
    </row>
    <row r="839" spans="2:34" x14ac:dyDescent="0.25">
      <c r="B839" s="75"/>
      <c r="C839" s="76"/>
      <c r="D839" s="83"/>
      <c r="E839" s="84"/>
      <c r="F839" s="84"/>
      <c r="G839" s="84"/>
      <c r="H839" s="84"/>
      <c r="I839" s="85"/>
      <c r="J839" s="90"/>
      <c r="K839" s="91"/>
      <c r="L839" s="90"/>
      <c r="M839" s="91"/>
      <c r="N839" s="83"/>
      <c r="O839" s="85"/>
      <c r="P839" s="96"/>
      <c r="Q839" s="97"/>
      <c r="S839" s="99"/>
      <c r="T839" s="99"/>
      <c r="U839" s="99"/>
      <c r="V839" s="99"/>
      <c r="W839" s="99"/>
      <c r="X839" s="99"/>
      <c r="Y839" s="99"/>
      <c r="Z839" s="99"/>
      <c r="AA839" s="99"/>
      <c r="AB839" s="99"/>
      <c r="AC839" s="98"/>
      <c r="AD839" s="98"/>
      <c r="AE839" s="98"/>
      <c r="AF839" s="98"/>
      <c r="AG839" s="98"/>
      <c r="AH839" s="98"/>
    </row>
    <row r="840" spans="2:34" x14ac:dyDescent="0.25">
      <c r="B840" s="71"/>
      <c r="C840" s="72"/>
      <c r="D840" s="77"/>
      <c r="E840" s="78"/>
      <c r="F840" s="78"/>
      <c r="G840" s="78"/>
      <c r="H840" s="78"/>
      <c r="I840" s="79"/>
      <c r="J840" s="86"/>
      <c r="K840" s="87"/>
      <c r="L840" s="86"/>
      <c r="M840" s="87"/>
      <c r="N840" s="77"/>
      <c r="O840" s="79"/>
      <c r="P840" s="92"/>
      <c r="Q840" s="93"/>
      <c r="S840" s="99"/>
      <c r="T840" s="99"/>
      <c r="U840" s="99"/>
      <c r="V840" s="99"/>
      <c r="W840" s="99"/>
      <c r="X840" s="99"/>
      <c r="Y840" s="99"/>
      <c r="Z840" s="99"/>
      <c r="AA840" s="99"/>
      <c r="AB840" s="99"/>
      <c r="AC840" s="98"/>
      <c r="AD840" s="98"/>
      <c r="AE840" s="98"/>
      <c r="AF840" s="98"/>
      <c r="AG840" s="98"/>
      <c r="AH840" s="98"/>
    </row>
    <row r="841" spans="2:34" x14ac:dyDescent="0.25">
      <c r="B841" s="73"/>
      <c r="C841" s="74"/>
      <c r="D841" s="80"/>
      <c r="E841" s="81"/>
      <c r="F841" s="81"/>
      <c r="G841" s="81"/>
      <c r="H841" s="81"/>
      <c r="I841" s="82"/>
      <c r="J841" s="88"/>
      <c r="K841" s="89"/>
      <c r="L841" s="88"/>
      <c r="M841" s="89"/>
      <c r="N841" s="80"/>
      <c r="O841" s="82"/>
      <c r="P841" s="94"/>
      <c r="Q841" s="95"/>
      <c r="S841" s="99"/>
      <c r="T841" s="99"/>
      <c r="U841" s="99"/>
      <c r="V841" s="99"/>
      <c r="W841" s="99"/>
      <c r="X841" s="99"/>
      <c r="Y841" s="99"/>
      <c r="Z841" s="99"/>
      <c r="AA841" s="99"/>
      <c r="AB841" s="99"/>
      <c r="AC841" s="98"/>
      <c r="AD841" s="98"/>
      <c r="AE841" s="98"/>
      <c r="AF841" s="98"/>
      <c r="AG841" s="98"/>
      <c r="AH841" s="98"/>
    </row>
    <row r="842" spans="2:34" x14ac:dyDescent="0.25">
      <c r="B842" s="75"/>
      <c r="C842" s="76"/>
      <c r="D842" s="83"/>
      <c r="E842" s="84"/>
      <c r="F842" s="84"/>
      <c r="G842" s="84"/>
      <c r="H842" s="84"/>
      <c r="I842" s="85"/>
      <c r="J842" s="90"/>
      <c r="K842" s="91"/>
      <c r="L842" s="90"/>
      <c r="M842" s="91"/>
      <c r="N842" s="83"/>
      <c r="O842" s="85"/>
      <c r="P842" s="96"/>
      <c r="Q842" s="97"/>
      <c r="S842" s="99"/>
      <c r="T842" s="99"/>
      <c r="U842" s="99"/>
      <c r="V842" s="99"/>
      <c r="W842" s="99"/>
      <c r="X842" s="99"/>
      <c r="Y842" s="99"/>
      <c r="Z842" s="99"/>
      <c r="AA842" s="99"/>
      <c r="AB842" s="99"/>
      <c r="AC842" s="98"/>
      <c r="AD842" s="98"/>
      <c r="AE842" s="98"/>
      <c r="AF842" s="98"/>
      <c r="AG842" s="98"/>
      <c r="AH842" s="98"/>
    </row>
    <row r="843" spans="2:34" x14ac:dyDescent="0.25">
      <c r="B843" s="71"/>
      <c r="C843" s="72"/>
      <c r="D843" s="77"/>
      <c r="E843" s="78"/>
      <c r="F843" s="78"/>
      <c r="G843" s="78"/>
      <c r="H843" s="78"/>
      <c r="I843" s="79"/>
      <c r="J843" s="86"/>
      <c r="K843" s="87"/>
      <c r="L843" s="86"/>
      <c r="M843" s="87"/>
      <c r="N843" s="77"/>
      <c r="O843" s="79"/>
      <c r="P843" s="92"/>
      <c r="Q843" s="93"/>
      <c r="S843" s="99"/>
      <c r="T843" s="99"/>
      <c r="U843" s="99"/>
      <c r="V843" s="99"/>
      <c r="W843" s="99"/>
      <c r="X843" s="99"/>
      <c r="Y843" s="99"/>
      <c r="Z843" s="99"/>
      <c r="AA843" s="99"/>
      <c r="AB843" s="99"/>
      <c r="AC843" s="98"/>
      <c r="AD843" s="98"/>
      <c r="AE843" s="98"/>
      <c r="AF843" s="98"/>
      <c r="AG843" s="98"/>
      <c r="AH843" s="98"/>
    </row>
    <row r="844" spans="2:34" x14ac:dyDescent="0.25">
      <c r="B844" s="73"/>
      <c r="C844" s="74"/>
      <c r="D844" s="80"/>
      <c r="E844" s="81"/>
      <c r="F844" s="81"/>
      <c r="G844" s="81"/>
      <c r="H844" s="81"/>
      <c r="I844" s="82"/>
      <c r="J844" s="88"/>
      <c r="K844" s="89"/>
      <c r="L844" s="88"/>
      <c r="M844" s="89"/>
      <c r="N844" s="80"/>
      <c r="O844" s="82"/>
      <c r="P844" s="94"/>
      <c r="Q844" s="95"/>
      <c r="S844" s="99"/>
      <c r="T844" s="99"/>
      <c r="U844" s="99"/>
      <c r="V844" s="99"/>
      <c r="W844" s="99"/>
      <c r="X844" s="99"/>
      <c r="Y844" s="99"/>
      <c r="Z844" s="99"/>
      <c r="AA844" s="99"/>
      <c r="AB844" s="99"/>
      <c r="AC844" s="98"/>
      <c r="AD844" s="98"/>
      <c r="AE844" s="98"/>
      <c r="AF844" s="98"/>
      <c r="AG844" s="98"/>
      <c r="AH844" s="98"/>
    </row>
    <row r="845" spans="2:34" x14ac:dyDescent="0.25">
      <c r="B845" s="75"/>
      <c r="C845" s="76"/>
      <c r="D845" s="83"/>
      <c r="E845" s="84"/>
      <c r="F845" s="84"/>
      <c r="G845" s="84"/>
      <c r="H845" s="84"/>
      <c r="I845" s="85"/>
      <c r="J845" s="90"/>
      <c r="K845" s="91"/>
      <c r="L845" s="90"/>
      <c r="M845" s="91"/>
      <c r="N845" s="83"/>
      <c r="O845" s="85"/>
      <c r="P845" s="96"/>
      <c r="Q845" s="97"/>
      <c r="S845" s="99"/>
      <c r="T845" s="99"/>
      <c r="U845" s="99"/>
      <c r="V845" s="99"/>
      <c r="W845" s="99"/>
      <c r="X845" s="99"/>
      <c r="Y845" s="99"/>
      <c r="Z845" s="99"/>
      <c r="AA845" s="99"/>
      <c r="AB845" s="99"/>
      <c r="AC845" s="98"/>
      <c r="AD845" s="98"/>
      <c r="AE845" s="98"/>
      <c r="AF845" s="98"/>
      <c r="AG845" s="98"/>
      <c r="AH845" s="98"/>
    </row>
    <row r="846" spans="2:34" x14ac:dyDescent="0.25">
      <c r="B846" s="71"/>
      <c r="C846" s="72"/>
      <c r="D846" s="77"/>
      <c r="E846" s="78"/>
      <c r="F846" s="78"/>
      <c r="G846" s="78"/>
      <c r="H846" s="78"/>
      <c r="I846" s="79"/>
      <c r="J846" s="86"/>
      <c r="K846" s="87"/>
      <c r="L846" s="86"/>
      <c r="M846" s="87"/>
      <c r="N846" s="77"/>
      <c r="O846" s="79"/>
      <c r="P846" s="92"/>
      <c r="Q846" s="93"/>
      <c r="S846" s="99"/>
      <c r="T846" s="99"/>
      <c r="U846" s="99"/>
      <c r="V846" s="99"/>
      <c r="W846" s="99"/>
      <c r="X846" s="99"/>
      <c r="Y846" s="99"/>
      <c r="Z846" s="99"/>
      <c r="AA846" s="99"/>
      <c r="AB846" s="99"/>
      <c r="AC846" s="98"/>
      <c r="AD846" s="98"/>
      <c r="AE846" s="98"/>
      <c r="AF846" s="98"/>
      <c r="AG846" s="98"/>
      <c r="AH846" s="98"/>
    </row>
    <row r="847" spans="2:34" x14ac:dyDescent="0.25">
      <c r="B847" s="73"/>
      <c r="C847" s="74"/>
      <c r="D847" s="80"/>
      <c r="E847" s="81"/>
      <c r="F847" s="81"/>
      <c r="G847" s="81"/>
      <c r="H847" s="81"/>
      <c r="I847" s="82"/>
      <c r="J847" s="88"/>
      <c r="K847" s="89"/>
      <c r="L847" s="88"/>
      <c r="M847" s="89"/>
      <c r="N847" s="80"/>
      <c r="O847" s="82"/>
      <c r="P847" s="94"/>
      <c r="Q847" s="95"/>
      <c r="S847" s="99"/>
      <c r="T847" s="99"/>
      <c r="U847" s="99"/>
      <c r="V847" s="99"/>
      <c r="W847" s="99"/>
      <c r="X847" s="99"/>
      <c r="Y847" s="99"/>
      <c r="Z847" s="99"/>
      <c r="AA847" s="99"/>
      <c r="AB847" s="99"/>
      <c r="AC847" s="98"/>
      <c r="AD847" s="98"/>
      <c r="AE847" s="98"/>
      <c r="AF847" s="98"/>
      <c r="AG847" s="98"/>
      <c r="AH847" s="98"/>
    </row>
    <row r="848" spans="2:34" x14ac:dyDescent="0.25">
      <c r="B848" s="75"/>
      <c r="C848" s="76"/>
      <c r="D848" s="83"/>
      <c r="E848" s="84"/>
      <c r="F848" s="84"/>
      <c r="G848" s="84"/>
      <c r="H848" s="84"/>
      <c r="I848" s="85"/>
      <c r="J848" s="90"/>
      <c r="K848" s="91"/>
      <c r="L848" s="90"/>
      <c r="M848" s="91"/>
      <c r="N848" s="83"/>
      <c r="O848" s="85"/>
      <c r="P848" s="96"/>
      <c r="Q848" s="97"/>
      <c r="S848" s="99"/>
      <c r="T848" s="99"/>
      <c r="U848" s="99"/>
      <c r="V848" s="99"/>
      <c r="W848" s="99"/>
      <c r="X848" s="99"/>
      <c r="Y848" s="99"/>
      <c r="Z848" s="99"/>
      <c r="AA848" s="99"/>
      <c r="AB848" s="99"/>
      <c r="AC848" s="98"/>
      <c r="AD848" s="98"/>
      <c r="AE848" s="98"/>
      <c r="AF848" s="98"/>
      <c r="AG848" s="98"/>
      <c r="AH848" s="98"/>
    </row>
    <row r="849" spans="2:34" x14ac:dyDescent="0.25">
      <c r="B849" s="71"/>
      <c r="C849" s="72"/>
      <c r="D849" s="77"/>
      <c r="E849" s="78"/>
      <c r="F849" s="78"/>
      <c r="G849" s="78"/>
      <c r="H849" s="78"/>
      <c r="I849" s="79"/>
      <c r="J849" s="86"/>
      <c r="K849" s="87"/>
      <c r="L849" s="86"/>
      <c r="M849" s="87"/>
      <c r="N849" s="77"/>
      <c r="O849" s="79"/>
      <c r="P849" s="92"/>
      <c r="Q849" s="93"/>
      <c r="S849" s="99"/>
      <c r="T849" s="99"/>
      <c r="U849" s="99"/>
      <c r="V849" s="99"/>
      <c r="W849" s="99"/>
      <c r="X849" s="99"/>
      <c r="Y849" s="99"/>
      <c r="Z849" s="99"/>
      <c r="AA849" s="99"/>
      <c r="AB849" s="99"/>
      <c r="AC849" s="98"/>
      <c r="AD849" s="98"/>
      <c r="AE849" s="98"/>
      <c r="AF849" s="98"/>
      <c r="AG849" s="98"/>
      <c r="AH849" s="98"/>
    </row>
    <row r="850" spans="2:34" x14ac:dyDescent="0.25">
      <c r="B850" s="73"/>
      <c r="C850" s="74"/>
      <c r="D850" s="80"/>
      <c r="E850" s="81"/>
      <c r="F850" s="81"/>
      <c r="G850" s="81"/>
      <c r="H850" s="81"/>
      <c r="I850" s="82"/>
      <c r="J850" s="88"/>
      <c r="K850" s="89"/>
      <c r="L850" s="88"/>
      <c r="M850" s="89"/>
      <c r="N850" s="80"/>
      <c r="O850" s="82"/>
      <c r="P850" s="94"/>
      <c r="Q850" s="95"/>
      <c r="S850" s="99"/>
      <c r="T850" s="99"/>
      <c r="U850" s="99"/>
      <c r="V850" s="99"/>
      <c r="W850" s="99"/>
      <c r="X850" s="99"/>
      <c r="Y850" s="99"/>
      <c r="Z850" s="99"/>
      <c r="AA850" s="99"/>
      <c r="AB850" s="99"/>
      <c r="AC850" s="98"/>
      <c r="AD850" s="98"/>
      <c r="AE850" s="98"/>
      <c r="AF850" s="98"/>
      <c r="AG850" s="98"/>
      <c r="AH850" s="98"/>
    </row>
    <row r="851" spans="2:34" x14ac:dyDescent="0.25">
      <c r="B851" s="75"/>
      <c r="C851" s="76"/>
      <c r="D851" s="83"/>
      <c r="E851" s="84"/>
      <c r="F851" s="84"/>
      <c r="G851" s="84"/>
      <c r="H851" s="84"/>
      <c r="I851" s="85"/>
      <c r="J851" s="90"/>
      <c r="K851" s="91"/>
      <c r="L851" s="90"/>
      <c r="M851" s="91"/>
      <c r="N851" s="83"/>
      <c r="O851" s="85"/>
      <c r="P851" s="96"/>
      <c r="Q851" s="97"/>
      <c r="S851" s="99"/>
      <c r="T851" s="99"/>
      <c r="U851" s="99"/>
      <c r="V851" s="99"/>
      <c r="W851" s="99"/>
      <c r="X851" s="99"/>
      <c r="Y851" s="99"/>
      <c r="Z851" s="99"/>
      <c r="AA851" s="99"/>
      <c r="AB851" s="99"/>
      <c r="AC851" s="98"/>
      <c r="AD851" s="98"/>
      <c r="AE851" s="98"/>
      <c r="AF851" s="98"/>
      <c r="AG851" s="98"/>
      <c r="AH851" s="98"/>
    </row>
    <row r="852" spans="2:34" x14ac:dyDescent="0.25">
      <c r="B852" s="71"/>
      <c r="C852" s="72"/>
      <c r="D852" s="77"/>
      <c r="E852" s="78"/>
      <c r="F852" s="78"/>
      <c r="G852" s="78"/>
      <c r="H852" s="78"/>
      <c r="I852" s="79"/>
      <c r="J852" s="86"/>
      <c r="K852" s="87"/>
      <c r="L852" s="86"/>
      <c r="M852" s="87"/>
      <c r="N852" s="77"/>
      <c r="O852" s="79"/>
      <c r="P852" s="92"/>
      <c r="Q852" s="93"/>
      <c r="S852" s="99"/>
      <c r="T852" s="99"/>
      <c r="U852" s="99"/>
      <c r="V852" s="99"/>
      <c r="W852" s="99"/>
      <c r="X852" s="99"/>
      <c r="Y852" s="99"/>
      <c r="Z852" s="99"/>
      <c r="AA852" s="99"/>
      <c r="AB852" s="99"/>
      <c r="AC852" s="98"/>
      <c r="AD852" s="98"/>
      <c r="AE852" s="98"/>
      <c r="AF852" s="98"/>
      <c r="AG852" s="98"/>
      <c r="AH852" s="98"/>
    </row>
    <row r="853" spans="2:34" x14ac:dyDescent="0.25">
      <c r="B853" s="73"/>
      <c r="C853" s="74"/>
      <c r="D853" s="80"/>
      <c r="E853" s="81"/>
      <c r="F853" s="81"/>
      <c r="G853" s="81"/>
      <c r="H853" s="81"/>
      <c r="I853" s="82"/>
      <c r="J853" s="88"/>
      <c r="K853" s="89"/>
      <c r="L853" s="88"/>
      <c r="M853" s="89"/>
      <c r="N853" s="80"/>
      <c r="O853" s="82"/>
      <c r="P853" s="94"/>
      <c r="Q853" s="95"/>
      <c r="S853" s="99"/>
      <c r="T853" s="99"/>
      <c r="U853" s="99"/>
      <c r="V853" s="99"/>
      <c r="W853" s="99"/>
      <c r="X853" s="99"/>
      <c r="Y853" s="99"/>
      <c r="Z853" s="99"/>
      <c r="AA853" s="99"/>
      <c r="AB853" s="99"/>
      <c r="AC853" s="98"/>
      <c r="AD853" s="98"/>
      <c r="AE853" s="98"/>
      <c r="AF853" s="98"/>
      <c r="AG853" s="98"/>
      <c r="AH853" s="98"/>
    </row>
    <row r="854" spans="2:34" x14ac:dyDescent="0.25">
      <c r="B854" s="75"/>
      <c r="C854" s="76"/>
      <c r="D854" s="83"/>
      <c r="E854" s="84"/>
      <c r="F854" s="84"/>
      <c r="G854" s="84"/>
      <c r="H854" s="84"/>
      <c r="I854" s="85"/>
      <c r="J854" s="90"/>
      <c r="K854" s="91"/>
      <c r="L854" s="90"/>
      <c r="M854" s="91"/>
      <c r="N854" s="83"/>
      <c r="O854" s="85"/>
      <c r="P854" s="96"/>
      <c r="Q854" s="97"/>
      <c r="S854" s="99"/>
      <c r="T854" s="99"/>
      <c r="U854" s="99"/>
      <c r="V854" s="99"/>
      <c r="W854" s="99"/>
      <c r="X854" s="99"/>
      <c r="Y854" s="99"/>
      <c r="Z854" s="99"/>
      <c r="AA854" s="99"/>
      <c r="AB854" s="99"/>
      <c r="AC854" s="98"/>
      <c r="AD854" s="98"/>
      <c r="AE854" s="98"/>
      <c r="AF854" s="98"/>
      <c r="AG854" s="98"/>
      <c r="AH854" s="98"/>
    </row>
    <row r="855" spans="2:34" x14ac:dyDescent="0.25">
      <c r="B855" s="71"/>
      <c r="C855" s="72"/>
      <c r="D855" s="77"/>
      <c r="E855" s="78"/>
      <c r="F855" s="78"/>
      <c r="G855" s="78"/>
      <c r="H855" s="78"/>
      <c r="I855" s="79"/>
      <c r="J855" s="86"/>
      <c r="K855" s="87"/>
      <c r="L855" s="86"/>
      <c r="M855" s="87"/>
      <c r="N855" s="77"/>
      <c r="O855" s="79"/>
      <c r="P855" s="92"/>
      <c r="Q855" s="93"/>
      <c r="S855" s="99"/>
      <c r="T855" s="99"/>
      <c r="U855" s="99"/>
      <c r="V855" s="99"/>
      <c r="W855" s="99"/>
      <c r="X855" s="99"/>
      <c r="Y855" s="99"/>
      <c r="Z855" s="99"/>
      <c r="AA855" s="99"/>
      <c r="AB855" s="99"/>
      <c r="AC855" s="98"/>
      <c r="AD855" s="98"/>
      <c r="AE855" s="98"/>
      <c r="AF855" s="98"/>
      <c r="AG855" s="98"/>
      <c r="AH855" s="98"/>
    </row>
    <row r="856" spans="2:34" x14ac:dyDescent="0.25">
      <c r="B856" s="73"/>
      <c r="C856" s="74"/>
      <c r="D856" s="80"/>
      <c r="E856" s="81"/>
      <c r="F856" s="81"/>
      <c r="G856" s="81"/>
      <c r="H856" s="81"/>
      <c r="I856" s="82"/>
      <c r="J856" s="88"/>
      <c r="K856" s="89"/>
      <c r="L856" s="88"/>
      <c r="M856" s="89"/>
      <c r="N856" s="80"/>
      <c r="O856" s="82"/>
      <c r="P856" s="94"/>
      <c r="Q856" s="95"/>
      <c r="S856" s="99"/>
      <c r="T856" s="99"/>
      <c r="U856" s="99"/>
      <c r="V856" s="99"/>
      <c r="W856" s="99"/>
      <c r="X856" s="99"/>
      <c r="Y856" s="99"/>
      <c r="Z856" s="99"/>
      <c r="AA856" s="99"/>
      <c r="AB856" s="99"/>
      <c r="AC856" s="98"/>
      <c r="AD856" s="98"/>
      <c r="AE856" s="98"/>
      <c r="AF856" s="98"/>
      <c r="AG856" s="98"/>
      <c r="AH856" s="98"/>
    </row>
    <row r="857" spans="2:34" x14ac:dyDescent="0.25">
      <c r="B857" s="75"/>
      <c r="C857" s="76"/>
      <c r="D857" s="83"/>
      <c r="E857" s="84"/>
      <c r="F857" s="84"/>
      <c r="G857" s="84"/>
      <c r="H857" s="84"/>
      <c r="I857" s="85"/>
      <c r="J857" s="90"/>
      <c r="K857" s="91"/>
      <c r="L857" s="90"/>
      <c r="M857" s="91"/>
      <c r="N857" s="83"/>
      <c r="O857" s="85"/>
      <c r="P857" s="96"/>
      <c r="Q857" s="97"/>
      <c r="S857" s="99"/>
      <c r="T857" s="99"/>
      <c r="U857" s="99"/>
      <c r="V857" s="99"/>
      <c r="W857" s="99"/>
      <c r="X857" s="99"/>
      <c r="Y857" s="99"/>
      <c r="Z857" s="99"/>
      <c r="AA857" s="99"/>
      <c r="AB857" s="99"/>
      <c r="AC857" s="98"/>
      <c r="AD857" s="98"/>
      <c r="AE857" s="98"/>
      <c r="AF857" s="98"/>
      <c r="AG857" s="98"/>
      <c r="AH857" s="98"/>
    </row>
    <row r="858" spans="2:34" x14ac:dyDescent="0.25">
      <c r="B858" s="71"/>
      <c r="C858" s="72"/>
      <c r="D858" s="77"/>
      <c r="E858" s="78"/>
      <c r="F858" s="78"/>
      <c r="G858" s="78"/>
      <c r="H858" s="78"/>
      <c r="I858" s="79"/>
      <c r="J858" s="86"/>
      <c r="K858" s="87"/>
      <c r="L858" s="86"/>
      <c r="M858" s="87"/>
      <c r="N858" s="77"/>
      <c r="O858" s="79"/>
      <c r="P858" s="92"/>
      <c r="Q858" s="93"/>
      <c r="S858" s="99"/>
      <c r="T858" s="99"/>
      <c r="U858" s="99"/>
      <c r="V858" s="99"/>
      <c r="W858" s="99"/>
      <c r="X858" s="99"/>
      <c r="Y858" s="99"/>
      <c r="Z858" s="99"/>
      <c r="AA858" s="99"/>
      <c r="AB858" s="99"/>
      <c r="AC858" s="98"/>
      <c r="AD858" s="98"/>
      <c r="AE858" s="98"/>
      <c r="AF858" s="98"/>
      <c r="AG858" s="98"/>
      <c r="AH858" s="98"/>
    </row>
    <row r="859" spans="2:34" x14ac:dyDescent="0.25">
      <c r="B859" s="73"/>
      <c r="C859" s="74"/>
      <c r="D859" s="80"/>
      <c r="E859" s="81"/>
      <c r="F859" s="81"/>
      <c r="G859" s="81"/>
      <c r="H859" s="81"/>
      <c r="I859" s="82"/>
      <c r="J859" s="88"/>
      <c r="K859" s="89"/>
      <c r="L859" s="88"/>
      <c r="M859" s="89"/>
      <c r="N859" s="80"/>
      <c r="O859" s="82"/>
      <c r="P859" s="94"/>
      <c r="Q859" s="95"/>
      <c r="S859" s="99"/>
      <c r="T859" s="99"/>
      <c r="U859" s="99"/>
      <c r="V859" s="99"/>
      <c r="W859" s="99"/>
      <c r="X859" s="99"/>
      <c r="Y859" s="99"/>
      <c r="Z859" s="99"/>
      <c r="AA859" s="99"/>
      <c r="AB859" s="99"/>
      <c r="AC859" s="98"/>
      <c r="AD859" s="98"/>
      <c r="AE859" s="98"/>
      <c r="AF859" s="98"/>
      <c r="AG859" s="98"/>
      <c r="AH859" s="98"/>
    </row>
    <row r="860" spans="2:34" x14ac:dyDescent="0.25">
      <c r="B860" s="75"/>
      <c r="C860" s="76"/>
      <c r="D860" s="83"/>
      <c r="E860" s="84"/>
      <c r="F860" s="84"/>
      <c r="G860" s="84"/>
      <c r="H860" s="84"/>
      <c r="I860" s="85"/>
      <c r="J860" s="90"/>
      <c r="K860" s="91"/>
      <c r="L860" s="90"/>
      <c r="M860" s="91"/>
      <c r="N860" s="83"/>
      <c r="O860" s="85"/>
      <c r="P860" s="96"/>
      <c r="Q860" s="97"/>
      <c r="S860" s="99"/>
      <c r="T860" s="99"/>
      <c r="U860" s="99"/>
      <c r="V860" s="99"/>
      <c r="W860" s="99"/>
      <c r="X860" s="99"/>
      <c r="Y860" s="99"/>
      <c r="Z860" s="99"/>
      <c r="AA860" s="99"/>
      <c r="AB860" s="99"/>
      <c r="AC860" s="98"/>
      <c r="AD860" s="98"/>
      <c r="AE860" s="98"/>
      <c r="AF860" s="98"/>
      <c r="AG860" s="98"/>
      <c r="AH860" s="98"/>
    </row>
    <row r="861" spans="2:34" x14ac:dyDescent="0.25">
      <c r="B861" s="71"/>
      <c r="C861" s="72"/>
      <c r="D861" s="77"/>
      <c r="E861" s="78"/>
      <c r="F861" s="78"/>
      <c r="G861" s="78"/>
      <c r="H861" s="78"/>
      <c r="I861" s="79"/>
      <c r="J861" s="86"/>
      <c r="K861" s="87"/>
      <c r="L861" s="86"/>
      <c r="M861" s="87"/>
      <c r="N861" s="77"/>
      <c r="O861" s="79"/>
      <c r="P861" s="92"/>
      <c r="Q861" s="93"/>
      <c r="S861" s="99"/>
      <c r="T861" s="99"/>
      <c r="U861" s="99"/>
      <c r="V861" s="99"/>
      <c r="W861" s="99"/>
      <c r="X861" s="99"/>
      <c r="Y861" s="99"/>
      <c r="Z861" s="99"/>
      <c r="AA861" s="99"/>
      <c r="AB861" s="99"/>
      <c r="AC861" s="98"/>
      <c r="AD861" s="98"/>
      <c r="AE861" s="98"/>
      <c r="AF861" s="98"/>
      <c r="AG861" s="98"/>
      <c r="AH861" s="98"/>
    </row>
    <row r="862" spans="2:34" x14ac:dyDescent="0.25">
      <c r="B862" s="73"/>
      <c r="C862" s="74"/>
      <c r="D862" s="80"/>
      <c r="E862" s="81"/>
      <c r="F862" s="81"/>
      <c r="G862" s="81"/>
      <c r="H862" s="81"/>
      <c r="I862" s="82"/>
      <c r="J862" s="88"/>
      <c r="K862" s="89"/>
      <c r="L862" s="88"/>
      <c r="M862" s="89"/>
      <c r="N862" s="80"/>
      <c r="O862" s="82"/>
      <c r="P862" s="94"/>
      <c r="Q862" s="95"/>
      <c r="S862" s="99"/>
      <c r="T862" s="99"/>
      <c r="U862" s="99"/>
      <c r="V862" s="99"/>
      <c r="W862" s="99"/>
      <c r="X862" s="99"/>
      <c r="Y862" s="99"/>
      <c r="Z862" s="99"/>
      <c r="AA862" s="99"/>
      <c r="AB862" s="99"/>
      <c r="AC862" s="98"/>
      <c r="AD862" s="98"/>
      <c r="AE862" s="98"/>
      <c r="AF862" s="98"/>
      <c r="AG862" s="98"/>
      <c r="AH862" s="98"/>
    </row>
    <row r="863" spans="2:34" x14ac:dyDescent="0.25">
      <c r="B863" s="75"/>
      <c r="C863" s="76"/>
      <c r="D863" s="83"/>
      <c r="E863" s="84"/>
      <c r="F863" s="84"/>
      <c r="G863" s="84"/>
      <c r="H863" s="84"/>
      <c r="I863" s="85"/>
      <c r="J863" s="90"/>
      <c r="K863" s="91"/>
      <c r="L863" s="90"/>
      <c r="M863" s="91"/>
      <c r="N863" s="83"/>
      <c r="O863" s="85"/>
      <c r="P863" s="96"/>
      <c r="Q863" s="97"/>
      <c r="S863" s="99"/>
      <c r="T863" s="99"/>
      <c r="U863" s="99"/>
      <c r="V863" s="99"/>
      <c r="W863" s="99"/>
      <c r="X863" s="99"/>
      <c r="Y863" s="99"/>
      <c r="Z863" s="99"/>
      <c r="AA863" s="99"/>
      <c r="AB863" s="99"/>
      <c r="AC863" s="98"/>
      <c r="AD863" s="98"/>
      <c r="AE863" s="98"/>
      <c r="AF863" s="98"/>
      <c r="AG863" s="98"/>
      <c r="AH863" s="98"/>
    </row>
    <row r="864" spans="2:34" x14ac:dyDescent="0.25">
      <c r="B864" s="71"/>
      <c r="C864" s="72"/>
      <c r="D864" s="77"/>
      <c r="E864" s="78"/>
      <c r="F864" s="78"/>
      <c r="G864" s="78"/>
      <c r="H864" s="78"/>
      <c r="I864" s="79"/>
      <c r="J864" s="86"/>
      <c r="K864" s="87"/>
      <c r="L864" s="86"/>
      <c r="M864" s="87"/>
      <c r="N864" s="77"/>
      <c r="O864" s="79"/>
      <c r="P864" s="92"/>
      <c r="Q864" s="93"/>
      <c r="S864" s="99"/>
      <c r="T864" s="99"/>
      <c r="U864" s="99"/>
      <c r="V864" s="99"/>
      <c r="W864" s="99"/>
      <c r="X864" s="99"/>
      <c r="Y864" s="99"/>
      <c r="Z864" s="99"/>
      <c r="AA864" s="99"/>
      <c r="AB864" s="99"/>
      <c r="AC864" s="98"/>
      <c r="AD864" s="98"/>
      <c r="AE864" s="98"/>
      <c r="AF864" s="98"/>
      <c r="AG864" s="98"/>
      <c r="AH864" s="98"/>
    </row>
    <row r="865" spans="2:34" x14ac:dyDescent="0.25">
      <c r="B865" s="73"/>
      <c r="C865" s="74"/>
      <c r="D865" s="80"/>
      <c r="E865" s="81"/>
      <c r="F865" s="81"/>
      <c r="G865" s="81"/>
      <c r="H865" s="81"/>
      <c r="I865" s="82"/>
      <c r="J865" s="88"/>
      <c r="K865" s="89"/>
      <c r="L865" s="88"/>
      <c r="M865" s="89"/>
      <c r="N865" s="80"/>
      <c r="O865" s="82"/>
      <c r="P865" s="94"/>
      <c r="Q865" s="95"/>
      <c r="S865" s="99"/>
      <c r="T865" s="99"/>
      <c r="U865" s="99"/>
      <c r="V865" s="99"/>
      <c r="W865" s="99"/>
      <c r="X865" s="99"/>
      <c r="Y865" s="99"/>
      <c r="Z865" s="99"/>
      <c r="AA865" s="99"/>
      <c r="AB865" s="99"/>
      <c r="AC865" s="98"/>
      <c r="AD865" s="98"/>
      <c r="AE865" s="98"/>
      <c r="AF865" s="98"/>
      <c r="AG865" s="98"/>
      <c r="AH865" s="98"/>
    </row>
    <row r="866" spans="2:34" x14ac:dyDescent="0.25">
      <c r="B866" s="75"/>
      <c r="C866" s="76"/>
      <c r="D866" s="83"/>
      <c r="E866" s="84"/>
      <c r="F866" s="84"/>
      <c r="G866" s="84"/>
      <c r="H866" s="84"/>
      <c r="I866" s="85"/>
      <c r="J866" s="90"/>
      <c r="K866" s="91"/>
      <c r="L866" s="90"/>
      <c r="M866" s="91"/>
      <c r="N866" s="83"/>
      <c r="O866" s="85"/>
      <c r="P866" s="96"/>
      <c r="Q866" s="97"/>
      <c r="S866" s="99"/>
      <c r="T866" s="99"/>
      <c r="U866" s="99"/>
      <c r="V866" s="99"/>
      <c r="W866" s="99"/>
      <c r="X866" s="99"/>
      <c r="Y866" s="99"/>
      <c r="Z866" s="99"/>
      <c r="AA866" s="99"/>
      <c r="AB866" s="99"/>
      <c r="AC866" s="98"/>
      <c r="AD866" s="98"/>
      <c r="AE866" s="98"/>
      <c r="AF866" s="98"/>
      <c r="AG866" s="98"/>
      <c r="AH866" s="98"/>
    </row>
    <row r="867" spans="2:34" x14ac:dyDescent="0.25">
      <c r="B867" s="71"/>
      <c r="C867" s="72"/>
      <c r="D867" s="77"/>
      <c r="E867" s="78"/>
      <c r="F867" s="78"/>
      <c r="G867" s="78"/>
      <c r="H867" s="78"/>
      <c r="I867" s="79"/>
      <c r="J867" s="86"/>
      <c r="K867" s="87"/>
      <c r="L867" s="86"/>
      <c r="M867" s="87"/>
      <c r="N867" s="77"/>
      <c r="O867" s="79"/>
      <c r="P867" s="92"/>
      <c r="Q867" s="93"/>
      <c r="S867" s="99"/>
      <c r="T867" s="99"/>
      <c r="U867" s="99"/>
      <c r="V867" s="99"/>
      <c r="W867" s="99"/>
      <c r="X867" s="99"/>
      <c r="Y867" s="99"/>
      <c r="Z867" s="99"/>
      <c r="AA867" s="99"/>
      <c r="AB867" s="99"/>
      <c r="AC867" s="98"/>
      <c r="AD867" s="98"/>
      <c r="AE867" s="98"/>
      <c r="AF867" s="98"/>
      <c r="AG867" s="98"/>
      <c r="AH867" s="98"/>
    </row>
    <row r="868" spans="2:34" x14ac:dyDescent="0.25">
      <c r="B868" s="73"/>
      <c r="C868" s="74"/>
      <c r="D868" s="80"/>
      <c r="E868" s="81"/>
      <c r="F868" s="81"/>
      <c r="G868" s="81"/>
      <c r="H868" s="81"/>
      <c r="I868" s="82"/>
      <c r="J868" s="88"/>
      <c r="K868" s="89"/>
      <c r="L868" s="88"/>
      <c r="M868" s="89"/>
      <c r="N868" s="80"/>
      <c r="O868" s="82"/>
      <c r="P868" s="94"/>
      <c r="Q868" s="95"/>
      <c r="S868" s="99"/>
      <c r="T868" s="99"/>
      <c r="U868" s="99"/>
      <c r="V868" s="99"/>
      <c r="W868" s="99"/>
      <c r="X868" s="99"/>
      <c r="Y868" s="99"/>
      <c r="Z868" s="99"/>
      <c r="AA868" s="99"/>
      <c r="AB868" s="99"/>
      <c r="AC868" s="98"/>
      <c r="AD868" s="98"/>
      <c r="AE868" s="98"/>
      <c r="AF868" s="98"/>
      <c r="AG868" s="98"/>
      <c r="AH868" s="98"/>
    </row>
    <row r="869" spans="2:34" x14ac:dyDescent="0.25">
      <c r="B869" s="75"/>
      <c r="C869" s="76"/>
      <c r="D869" s="83"/>
      <c r="E869" s="84"/>
      <c r="F869" s="84"/>
      <c r="G869" s="84"/>
      <c r="H869" s="84"/>
      <c r="I869" s="85"/>
      <c r="J869" s="90"/>
      <c r="K869" s="91"/>
      <c r="L869" s="90"/>
      <c r="M869" s="91"/>
      <c r="N869" s="83"/>
      <c r="O869" s="85"/>
      <c r="P869" s="96"/>
      <c r="Q869" s="97"/>
      <c r="S869" s="99"/>
      <c r="T869" s="99"/>
      <c r="U869" s="99"/>
      <c r="V869" s="99"/>
      <c r="W869" s="99"/>
      <c r="X869" s="99"/>
      <c r="Y869" s="99"/>
      <c r="Z869" s="99"/>
      <c r="AA869" s="99"/>
      <c r="AB869" s="99"/>
      <c r="AC869" s="98"/>
      <c r="AD869" s="98"/>
      <c r="AE869" s="98"/>
      <c r="AF869" s="98"/>
      <c r="AG869" s="98"/>
      <c r="AH869" s="98"/>
    </row>
    <row r="870" spans="2:34" x14ac:dyDescent="0.25">
      <c r="B870" s="71"/>
      <c r="C870" s="72"/>
      <c r="D870" s="77"/>
      <c r="E870" s="78"/>
      <c r="F870" s="78"/>
      <c r="G870" s="78"/>
      <c r="H870" s="78"/>
      <c r="I870" s="79"/>
      <c r="J870" s="86"/>
      <c r="K870" s="87"/>
      <c r="L870" s="86"/>
      <c r="M870" s="87"/>
      <c r="N870" s="77"/>
      <c r="O870" s="79"/>
      <c r="P870" s="92"/>
      <c r="Q870" s="93"/>
      <c r="S870" s="99"/>
      <c r="T870" s="99"/>
      <c r="U870" s="99"/>
      <c r="V870" s="99"/>
      <c r="W870" s="99"/>
      <c r="X870" s="99"/>
      <c r="Y870" s="99"/>
      <c r="Z870" s="99"/>
      <c r="AA870" s="99"/>
      <c r="AB870" s="99"/>
      <c r="AC870" s="98"/>
      <c r="AD870" s="98"/>
      <c r="AE870" s="98"/>
      <c r="AF870" s="98"/>
      <c r="AG870" s="98"/>
      <c r="AH870" s="98"/>
    </row>
    <row r="871" spans="2:34" x14ac:dyDescent="0.25">
      <c r="B871" s="73"/>
      <c r="C871" s="74"/>
      <c r="D871" s="80"/>
      <c r="E871" s="81"/>
      <c r="F871" s="81"/>
      <c r="G871" s="81"/>
      <c r="H871" s="81"/>
      <c r="I871" s="82"/>
      <c r="J871" s="88"/>
      <c r="K871" s="89"/>
      <c r="L871" s="88"/>
      <c r="M871" s="89"/>
      <c r="N871" s="80"/>
      <c r="O871" s="82"/>
      <c r="P871" s="94"/>
      <c r="Q871" s="95"/>
      <c r="S871" s="99"/>
      <c r="T871" s="99"/>
      <c r="U871" s="99"/>
      <c r="V871" s="99"/>
      <c r="W871" s="99"/>
      <c r="X871" s="99"/>
      <c r="Y871" s="99"/>
      <c r="Z871" s="99"/>
      <c r="AA871" s="99"/>
      <c r="AB871" s="99"/>
      <c r="AC871" s="98"/>
      <c r="AD871" s="98"/>
      <c r="AE871" s="98"/>
      <c r="AF871" s="98"/>
      <c r="AG871" s="98"/>
      <c r="AH871" s="98"/>
    </row>
    <row r="872" spans="2:34" x14ac:dyDescent="0.25">
      <c r="B872" s="75"/>
      <c r="C872" s="76"/>
      <c r="D872" s="83"/>
      <c r="E872" s="84"/>
      <c r="F872" s="84"/>
      <c r="G872" s="84"/>
      <c r="H872" s="84"/>
      <c r="I872" s="85"/>
      <c r="J872" s="90"/>
      <c r="K872" s="91"/>
      <c r="L872" s="90"/>
      <c r="M872" s="91"/>
      <c r="N872" s="83"/>
      <c r="O872" s="85"/>
      <c r="P872" s="96"/>
      <c r="Q872" s="97"/>
      <c r="S872" s="99"/>
      <c r="T872" s="99"/>
      <c r="U872" s="99"/>
      <c r="V872" s="99"/>
      <c r="W872" s="99"/>
      <c r="X872" s="99"/>
      <c r="Y872" s="99"/>
      <c r="Z872" s="99"/>
      <c r="AA872" s="99"/>
      <c r="AB872" s="99"/>
      <c r="AC872" s="98"/>
      <c r="AD872" s="98"/>
      <c r="AE872" s="98"/>
      <c r="AF872" s="98"/>
      <c r="AG872" s="98"/>
      <c r="AH872" s="98"/>
    </row>
  </sheetData>
  <mergeCells count="3480">
    <mergeCell ref="S870:T872"/>
    <mergeCell ref="U870:Z872"/>
    <mergeCell ref="AA870:AB872"/>
    <mergeCell ref="AC870:AD872"/>
    <mergeCell ref="AE870:AF872"/>
    <mergeCell ref="AG870:AH872"/>
    <mergeCell ref="B870:C872"/>
    <mergeCell ref="D870:I872"/>
    <mergeCell ref="J870:K872"/>
    <mergeCell ref="L870:M872"/>
    <mergeCell ref="N870:O872"/>
    <mergeCell ref="P870:Q872"/>
    <mergeCell ref="S867:T869"/>
    <mergeCell ref="U867:Z869"/>
    <mergeCell ref="AA867:AB869"/>
    <mergeCell ref="AC867:AD869"/>
    <mergeCell ref="AE867:AF869"/>
    <mergeCell ref="AG867:AH869"/>
    <mergeCell ref="B867:C869"/>
    <mergeCell ref="D867:I869"/>
    <mergeCell ref="J867:K869"/>
    <mergeCell ref="L867:M869"/>
    <mergeCell ref="N867:O869"/>
    <mergeCell ref="P867:Q869"/>
    <mergeCell ref="S864:T866"/>
    <mergeCell ref="U864:Z866"/>
    <mergeCell ref="AA864:AB866"/>
    <mergeCell ref="AC864:AD866"/>
    <mergeCell ref="AE864:AF866"/>
    <mergeCell ref="AG864:AH866"/>
    <mergeCell ref="B864:C866"/>
    <mergeCell ref="D864:I866"/>
    <mergeCell ref="J864:K866"/>
    <mergeCell ref="L864:M866"/>
    <mergeCell ref="N864:O866"/>
    <mergeCell ref="P864:Q866"/>
    <mergeCell ref="S861:T863"/>
    <mergeCell ref="U861:Z863"/>
    <mergeCell ref="AA861:AB863"/>
    <mergeCell ref="AC861:AD863"/>
    <mergeCell ref="AE861:AF863"/>
    <mergeCell ref="AG861:AH863"/>
    <mergeCell ref="B861:C863"/>
    <mergeCell ref="D861:I863"/>
    <mergeCell ref="J861:K863"/>
    <mergeCell ref="L861:M863"/>
    <mergeCell ref="N861:O863"/>
    <mergeCell ref="P861:Q863"/>
    <mergeCell ref="S858:T860"/>
    <mergeCell ref="U858:Z860"/>
    <mergeCell ref="AA858:AB860"/>
    <mergeCell ref="AC858:AD860"/>
    <mergeCell ref="AE858:AF860"/>
    <mergeCell ref="AG858:AH860"/>
    <mergeCell ref="B858:C860"/>
    <mergeCell ref="D858:I860"/>
    <mergeCell ref="J858:K860"/>
    <mergeCell ref="L858:M860"/>
    <mergeCell ref="N858:O860"/>
    <mergeCell ref="P858:Q860"/>
    <mergeCell ref="S855:T857"/>
    <mergeCell ref="U855:Z857"/>
    <mergeCell ref="AA855:AB857"/>
    <mergeCell ref="AC855:AD857"/>
    <mergeCell ref="AE855:AF857"/>
    <mergeCell ref="AG855:AH857"/>
    <mergeCell ref="B855:C857"/>
    <mergeCell ref="D855:I857"/>
    <mergeCell ref="J855:K857"/>
    <mergeCell ref="L855:M857"/>
    <mergeCell ref="N855:O857"/>
    <mergeCell ref="P855:Q857"/>
    <mergeCell ref="S852:T854"/>
    <mergeCell ref="U852:Z854"/>
    <mergeCell ref="AA852:AB854"/>
    <mergeCell ref="AC852:AD854"/>
    <mergeCell ref="AE852:AF854"/>
    <mergeCell ref="AG852:AH854"/>
    <mergeCell ref="B852:C854"/>
    <mergeCell ref="D852:I854"/>
    <mergeCell ref="J852:K854"/>
    <mergeCell ref="L852:M854"/>
    <mergeCell ref="N852:O854"/>
    <mergeCell ref="P852:Q854"/>
    <mergeCell ref="S849:T851"/>
    <mergeCell ref="U849:Z851"/>
    <mergeCell ref="AA849:AB851"/>
    <mergeCell ref="AC849:AD851"/>
    <mergeCell ref="AE849:AF851"/>
    <mergeCell ref="AG849:AH851"/>
    <mergeCell ref="B849:C851"/>
    <mergeCell ref="D849:I851"/>
    <mergeCell ref="J849:K851"/>
    <mergeCell ref="L849:M851"/>
    <mergeCell ref="N849:O851"/>
    <mergeCell ref="P849:Q851"/>
    <mergeCell ref="S846:T848"/>
    <mergeCell ref="U846:Z848"/>
    <mergeCell ref="AA846:AB848"/>
    <mergeCell ref="AC846:AD848"/>
    <mergeCell ref="AE846:AF848"/>
    <mergeCell ref="AG846:AH848"/>
    <mergeCell ref="B846:C848"/>
    <mergeCell ref="D846:I848"/>
    <mergeCell ref="J846:K848"/>
    <mergeCell ref="L846:M848"/>
    <mergeCell ref="N846:O848"/>
    <mergeCell ref="P846:Q848"/>
    <mergeCell ref="S843:T845"/>
    <mergeCell ref="U843:Z845"/>
    <mergeCell ref="AA843:AB845"/>
    <mergeCell ref="AC843:AD845"/>
    <mergeCell ref="AE843:AF845"/>
    <mergeCell ref="AG843:AH845"/>
    <mergeCell ref="B843:C845"/>
    <mergeCell ref="D843:I845"/>
    <mergeCell ref="J843:K845"/>
    <mergeCell ref="L843:M845"/>
    <mergeCell ref="N843:O845"/>
    <mergeCell ref="P843:Q845"/>
    <mergeCell ref="S840:T842"/>
    <mergeCell ref="U840:Z842"/>
    <mergeCell ref="AA840:AB842"/>
    <mergeCell ref="AC840:AD842"/>
    <mergeCell ref="AE840:AF842"/>
    <mergeCell ref="AG840:AH842"/>
    <mergeCell ref="B840:C842"/>
    <mergeCell ref="D840:I842"/>
    <mergeCell ref="J840:K842"/>
    <mergeCell ref="L840:M842"/>
    <mergeCell ref="N840:O842"/>
    <mergeCell ref="P840:Q842"/>
    <mergeCell ref="S837:T839"/>
    <mergeCell ref="U837:Z839"/>
    <mergeCell ref="AA837:AB839"/>
    <mergeCell ref="AC837:AD839"/>
    <mergeCell ref="AE837:AF839"/>
    <mergeCell ref="AG837:AH839"/>
    <mergeCell ref="B837:C839"/>
    <mergeCell ref="D837:I839"/>
    <mergeCell ref="J837:K839"/>
    <mergeCell ref="L837:M839"/>
    <mergeCell ref="N837:O839"/>
    <mergeCell ref="P837:Q839"/>
    <mergeCell ref="S834:T836"/>
    <mergeCell ref="U834:Z836"/>
    <mergeCell ref="AA834:AB836"/>
    <mergeCell ref="AC834:AD836"/>
    <mergeCell ref="AE834:AF836"/>
    <mergeCell ref="AG834:AH836"/>
    <mergeCell ref="B834:C836"/>
    <mergeCell ref="D834:I836"/>
    <mergeCell ref="J834:K836"/>
    <mergeCell ref="L834:M836"/>
    <mergeCell ref="N834:O836"/>
    <mergeCell ref="P834:Q836"/>
    <mergeCell ref="S831:T833"/>
    <mergeCell ref="U831:Z833"/>
    <mergeCell ref="AA831:AB833"/>
    <mergeCell ref="AC831:AD833"/>
    <mergeCell ref="AE831:AF833"/>
    <mergeCell ref="AG831:AH833"/>
    <mergeCell ref="B831:C833"/>
    <mergeCell ref="D831:I833"/>
    <mergeCell ref="J831:K833"/>
    <mergeCell ref="L831:M833"/>
    <mergeCell ref="N831:O833"/>
    <mergeCell ref="P831:Q833"/>
    <mergeCell ref="S828:T830"/>
    <mergeCell ref="U828:Z830"/>
    <mergeCell ref="AA828:AB830"/>
    <mergeCell ref="AC828:AD830"/>
    <mergeCell ref="AE828:AF830"/>
    <mergeCell ref="AG828:AH830"/>
    <mergeCell ref="B828:C830"/>
    <mergeCell ref="D828:I830"/>
    <mergeCell ref="J828:K830"/>
    <mergeCell ref="L828:M830"/>
    <mergeCell ref="N828:O830"/>
    <mergeCell ref="P828:Q830"/>
    <mergeCell ref="S825:T827"/>
    <mergeCell ref="U825:Z827"/>
    <mergeCell ref="AA825:AB827"/>
    <mergeCell ref="AC825:AD827"/>
    <mergeCell ref="AE825:AF827"/>
    <mergeCell ref="AG825:AH827"/>
    <mergeCell ref="B825:C827"/>
    <mergeCell ref="D825:I827"/>
    <mergeCell ref="J825:K827"/>
    <mergeCell ref="L825:M827"/>
    <mergeCell ref="N825:O827"/>
    <mergeCell ref="P825:Q827"/>
    <mergeCell ref="S822:T824"/>
    <mergeCell ref="U822:Z824"/>
    <mergeCell ref="AA822:AB824"/>
    <mergeCell ref="AC822:AD824"/>
    <mergeCell ref="AE822:AF824"/>
    <mergeCell ref="AG822:AH824"/>
    <mergeCell ref="B822:C824"/>
    <mergeCell ref="D822:I824"/>
    <mergeCell ref="J822:K824"/>
    <mergeCell ref="L822:M824"/>
    <mergeCell ref="N822:O824"/>
    <mergeCell ref="P822:Q824"/>
    <mergeCell ref="S819:T821"/>
    <mergeCell ref="U819:Z821"/>
    <mergeCell ref="AA819:AB821"/>
    <mergeCell ref="AC819:AD821"/>
    <mergeCell ref="AE819:AF821"/>
    <mergeCell ref="AG819:AH821"/>
    <mergeCell ref="B819:C821"/>
    <mergeCell ref="D819:I821"/>
    <mergeCell ref="J819:K821"/>
    <mergeCell ref="L819:M821"/>
    <mergeCell ref="N819:O821"/>
    <mergeCell ref="P819:Q821"/>
    <mergeCell ref="S816:T818"/>
    <mergeCell ref="U816:Z818"/>
    <mergeCell ref="AA816:AB818"/>
    <mergeCell ref="AC816:AD818"/>
    <mergeCell ref="AE816:AF818"/>
    <mergeCell ref="AG816:AH818"/>
    <mergeCell ref="B816:C818"/>
    <mergeCell ref="D816:I818"/>
    <mergeCell ref="J816:K818"/>
    <mergeCell ref="L816:M818"/>
    <mergeCell ref="N816:O818"/>
    <mergeCell ref="P816:Q818"/>
    <mergeCell ref="S813:T815"/>
    <mergeCell ref="U813:Z815"/>
    <mergeCell ref="AA813:AB815"/>
    <mergeCell ref="AC813:AD815"/>
    <mergeCell ref="AE813:AF815"/>
    <mergeCell ref="AG813:AH815"/>
    <mergeCell ref="B813:C815"/>
    <mergeCell ref="D813:I815"/>
    <mergeCell ref="J813:K815"/>
    <mergeCell ref="L813:M815"/>
    <mergeCell ref="N813:O815"/>
    <mergeCell ref="P813:Q815"/>
    <mergeCell ref="S810:T812"/>
    <mergeCell ref="U810:Z812"/>
    <mergeCell ref="AA810:AB812"/>
    <mergeCell ref="AC810:AD812"/>
    <mergeCell ref="AE810:AF812"/>
    <mergeCell ref="AG810:AH812"/>
    <mergeCell ref="B810:C812"/>
    <mergeCell ref="D810:I812"/>
    <mergeCell ref="J810:K812"/>
    <mergeCell ref="L810:M812"/>
    <mergeCell ref="N810:O812"/>
    <mergeCell ref="P810:Q812"/>
    <mergeCell ref="S807:T809"/>
    <mergeCell ref="U807:Z809"/>
    <mergeCell ref="AA807:AB809"/>
    <mergeCell ref="AC807:AD809"/>
    <mergeCell ref="AE807:AF809"/>
    <mergeCell ref="AG807:AH809"/>
    <mergeCell ref="B807:C809"/>
    <mergeCell ref="D807:I809"/>
    <mergeCell ref="J807:K809"/>
    <mergeCell ref="L807:M809"/>
    <mergeCell ref="N807:O809"/>
    <mergeCell ref="P807:Q809"/>
    <mergeCell ref="S804:T806"/>
    <mergeCell ref="U804:Z806"/>
    <mergeCell ref="AA804:AB806"/>
    <mergeCell ref="AC804:AD806"/>
    <mergeCell ref="AE804:AF806"/>
    <mergeCell ref="AG804:AH806"/>
    <mergeCell ref="B804:C806"/>
    <mergeCell ref="D804:I806"/>
    <mergeCell ref="J804:K806"/>
    <mergeCell ref="L804:M806"/>
    <mergeCell ref="N804:O806"/>
    <mergeCell ref="P804:Q806"/>
    <mergeCell ref="S801:T803"/>
    <mergeCell ref="U801:Z803"/>
    <mergeCell ref="AA801:AB803"/>
    <mergeCell ref="AC801:AD803"/>
    <mergeCell ref="AE801:AF803"/>
    <mergeCell ref="AG801:AH803"/>
    <mergeCell ref="B801:C803"/>
    <mergeCell ref="D801:I803"/>
    <mergeCell ref="J801:K803"/>
    <mergeCell ref="L801:M803"/>
    <mergeCell ref="N801:O803"/>
    <mergeCell ref="P801:Q803"/>
    <mergeCell ref="S798:T800"/>
    <mergeCell ref="U798:Z800"/>
    <mergeCell ref="AA798:AB800"/>
    <mergeCell ref="AC798:AD800"/>
    <mergeCell ref="AE798:AF800"/>
    <mergeCell ref="AG798:AH800"/>
    <mergeCell ref="B798:C800"/>
    <mergeCell ref="D798:I800"/>
    <mergeCell ref="J798:K800"/>
    <mergeCell ref="L798:M800"/>
    <mergeCell ref="N798:O800"/>
    <mergeCell ref="P798:Q800"/>
    <mergeCell ref="S795:T797"/>
    <mergeCell ref="U795:Z797"/>
    <mergeCell ref="AA795:AB797"/>
    <mergeCell ref="AC795:AD797"/>
    <mergeCell ref="AE795:AF797"/>
    <mergeCell ref="AG795:AH797"/>
    <mergeCell ref="B795:C797"/>
    <mergeCell ref="D795:I797"/>
    <mergeCell ref="J795:K797"/>
    <mergeCell ref="L795:M797"/>
    <mergeCell ref="N795:O797"/>
    <mergeCell ref="P795:Q797"/>
    <mergeCell ref="S792:T794"/>
    <mergeCell ref="U792:Z794"/>
    <mergeCell ref="AA792:AB794"/>
    <mergeCell ref="AC792:AD794"/>
    <mergeCell ref="AE792:AF794"/>
    <mergeCell ref="AG792:AH794"/>
    <mergeCell ref="B792:C794"/>
    <mergeCell ref="D792:I794"/>
    <mergeCell ref="J792:K794"/>
    <mergeCell ref="L792:M794"/>
    <mergeCell ref="N792:O794"/>
    <mergeCell ref="P792:Q794"/>
    <mergeCell ref="S789:T791"/>
    <mergeCell ref="U789:Z791"/>
    <mergeCell ref="AA789:AB791"/>
    <mergeCell ref="AC789:AD791"/>
    <mergeCell ref="AE789:AF791"/>
    <mergeCell ref="AG789:AH791"/>
    <mergeCell ref="B789:C791"/>
    <mergeCell ref="D789:I791"/>
    <mergeCell ref="J789:K791"/>
    <mergeCell ref="L789:M791"/>
    <mergeCell ref="N789:O791"/>
    <mergeCell ref="P789:Q791"/>
    <mergeCell ref="S786:T788"/>
    <mergeCell ref="U786:Z788"/>
    <mergeCell ref="AA786:AB788"/>
    <mergeCell ref="AC786:AD788"/>
    <mergeCell ref="AE786:AF788"/>
    <mergeCell ref="AG786:AH788"/>
    <mergeCell ref="B786:C788"/>
    <mergeCell ref="D786:I788"/>
    <mergeCell ref="J786:K788"/>
    <mergeCell ref="L786:M788"/>
    <mergeCell ref="N786:O788"/>
    <mergeCell ref="P786:Q788"/>
    <mergeCell ref="S783:T785"/>
    <mergeCell ref="U783:Z785"/>
    <mergeCell ref="AA783:AB785"/>
    <mergeCell ref="AC783:AD785"/>
    <mergeCell ref="AE783:AF785"/>
    <mergeCell ref="AG783:AH785"/>
    <mergeCell ref="B783:C785"/>
    <mergeCell ref="D783:I785"/>
    <mergeCell ref="J783:K785"/>
    <mergeCell ref="L783:M785"/>
    <mergeCell ref="N783:O785"/>
    <mergeCell ref="P783:Q785"/>
    <mergeCell ref="S780:T782"/>
    <mergeCell ref="U780:Z782"/>
    <mergeCell ref="AA780:AB782"/>
    <mergeCell ref="AC780:AD782"/>
    <mergeCell ref="AE780:AF782"/>
    <mergeCell ref="AG780:AH782"/>
    <mergeCell ref="B780:C782"/>
    <mergeCell ref="D780:I782"/>
    <mergeCell ref="J780:K782"/>
    <mergeCell ref="L780:M782"/>
    <mergeCell ref="N780:O782"/>
    <mergeCell ref="P780:Q782"/>
    <mergeCell ref="S777:T779"/>
    <mergeCell ref="U777:Z779"/>
    <mergeCell ref="AA777:AB779"/>
    <mergeCell ref="AC777:AD779"/>
    <mergeCell ref="AE777:AF779"/>
    <mergeCell ref="AG777:AH779"/>
    <mergeCell ref="B777:C779"/>
    <mergeCell ref="D777:I779"/>
    <mergeCell ref="J777:K779"/>
    <mergeCell ref="L777:M779"/>
    <mergeCell ref="N777:O779"/>
    <mergeCell ref="P777:Q779"/>
    <mergeCell ref="S774:T776"/>
    <mergeCell ref="U774:Z776"/>
    <mergeCell ref="AA774:AB776"/>
    <mergeCell ref="AC774:AD776"/>
    <mergeCell ref="AE774:AF776"/>
    <mergeCell ref="AG774:AH776"/>
    <mergeCell ref="B774:C776"/>
    <mergeCell ref="D774:I776"/>
    <mergeCell ref="J774:K776"/>
    <mergeCell ref="L774:M776"/>
    <mergeCell ref="N774:O776"/>
    <mergeCell ref="P774:Q776"/>
    <mergeCell ref="S771:T773"/>
    <mergeCell ref="U771:Z773"/>
    <mergeCell ref="AA771:AB773"/>
    <mergeCell ref="AC771:AD773"/>
    <mergeCell ref="AE771:AF773"/>
    <mergeCell ref="AG771:AH773"/>
    <mergeCell ref="B771:C773"/>
    <mergeCell ref="D771:I773"/>
    <mergeCell ref="J771:K773"/>
    <mergeCell ref="L771:M773"/>
    <mergeCell ref="N771:O773"/>
    <mergeCell ref="P771:Q773"/>
    <mergeCell ref="S768:T770"/>
    <mergeCell ref="U768:Z770"/>
    <mergeCell ref="AA768:AB770"/>
    <mergeCell ref="AC768:AD770"/>
    <mergeCell ref="AE768:AF770"/>
    <mergeCell ref="AG768:AH770"/>
    <mergeCell ref="B768:C770"/>
    <mergeCell ref="D768:I770"/>
    <mergeCell ref="J768:K770"/>
    <mergeCell ref="L768:M770"/>
    <mergeCell ref="N768:O770"/>
    <mergeCell ref="P768:Q770"/>
    <mergeCell ref="S765:T767"/>
    <mergeCell ref="U765:Z767"/>
    <mergeCell ref="AA765:AB767"/>
    <mergeCell ref="AC765:AD767"/>
    <mergeCell ref="AE765:AF767"/>
    <mergeCell ref="AG765:AH767"/>
    <mergeCell ref="B765:C767"/>
    <mergeCell ref="D765:I767"/>
    <mergeCell ref="J765:K767"/>
    <mergeCell ref="L765:M767"/>
    <mergeCell ref="N765:O767"/>
    <mergeCell ref="P765:Q767"/>
    <mergeCell ref="S762:T764"/>
    <mergeCell ref="U762:Z764"/>
    <mergeCell ref="AA762:AB764"/>
    <mergeCell ref="AC762:AD764"/>
    <mergeCell ref="AE762:AF764"/>
    <mergeCell ref="AG762:AH764"/>
    <mergeCell ref="B762:C764"/>
    <mergeCell ref="D762:I764"/>
    <mergeCell ref="J762:K764"/>
    <mergeCell ref="L762:M764"/>
    <mergeCell ref="N762:O764"/>
    <mergeCell ref="P762:Q764"/>
    <mergeCell ref="S759:T761"/>
    <mergeCell ref="U759:Z761"/>
    <mergeCell ref="AA759:AB761"/>
    <mergeCell ref="AC759:AD761"/>
    <mergeCell ref="AE759:AF761"/>
    <mergeCell ref="AG759:AH761"/>
    <mergeCell ref="B759:C761"/>
    <mergeCell ref="D759:I761"/>
    <mergeCell ref="J759:K761"/>
    <mergeCell ref="L759:M761"/>
    <mergeCell ref="N759:O761"/>
    <mergeCell ref="P759:Q761"/>
    <mergeCell ref="S756:T758"/>
    <mergeCell ref="U756:Z758"/>
    <mergeCell ref="AA756:AB758"/>
    <mergeCell ref="AC756:AD758"/>
    <mergeCell ref="AE756:AF758"/>
    <mergeCell ref="AG756:AH758"/>
    <mergeCell ref="B756:C758"/>
    <mergeCell ref="D756:I758"/>
    <mergeCell ref="J756:K758"/>
    <mergeCell ref="L756:M758"/>
    <mergeCell ref="N756:O758"/>
    <mergeCell ref="P756:Q758"/>
    <mergeCell ref="S753:T755"/>
    <mergeCell ref="U753:Z755"/>
    <mergeCell ref="AA753:AB755"/>
    <mergeCell ref="AC753:AD755"/>
    <mergeCell ref="AE753:AF755"/>
    <mergeCell ref="AG753:AH755"/>
    <mergeCell ref="B753:C755"/>
    <mergeCell ref="D753:I755"/>
    <mergeCell ref="J753:K755"/>
    <mergeCell ref="L753:M755"/>
    <mergeCell ref="N753:O755"/>
    <mergeCell ref="P753:Q755"/>
    <mergeCell ref="S750:T752"/>
    <mergeCell ref="U750:Z752"/>
    <mergeCell ref="AA750:AB752"/>
    <mergeCell ref="AC750:AD752"/>
    <mergeCell ref="AE750:AF752"/>
    <mergeCell ref="AG750:AH752"/>
    <mergeCell ref="B750:C752"/>
    <mergeCell ref="D750:I752"/>
    <mergeCell ref="J750:K752"/>
    <mergeCell ref="L750:M752"/>
    <mergeCell ref="N750:O752"/>
    <mergeCell ref="P750:Q752"/>
    <mergeCell ref="S747:T749"/>
    <mergeCell ref="U747:Z749"/>
    <mergeCell ref="AA747:AB749"/>
    <mergeCell ref="AC747:AD749"/>
    <mergeCell ref="AE747:AF749"/>
    <mergeCell ref="AG747:AH749"/>
    <mergeCell ref="B747:C749"/>
    <mergeCell ref="D747:I749"/>
    <mergeCell ref="J747:K749"/>
    <mergeCell ref="L747:M749"/>
    <mergeCell ref="N747:O749"/>
    <mergeCell ref="P747:Q749"/>
    <mergeCell ref="S744:T746"/>
    <mergeCell ref="U744:Z746"/>
    <mergeCell ref="AA744:AB746"/>
    <mergeCell ref="AC744:AD746"/>
    <mergeCell ref="AE744:AF746"/>
    <mergeCell ref="AG744:AH746"/>
    <mergeCell ref="B744:C746"/>
    <mergeCell ref="D744:I746"/>
    <mergeCell ref="J744:K746"/>
    <mergeCell ref="L744:M746"/>
    <mergeCell ref="N744:O746"/>
    <mergeCell ref="P744:Q746"/>
    <mergeCell ref="S741:T743"/>
    <mergeCell ref="U741:Z743"/>
    <mergeCell ref="AA741:AB743"/>
    <mergeCell ref="AC741:AD743"/>
    <mergeCell ref="AE741:AF743"/>
    <mergeCell ref="AG741:AH743"/>
    <mergeCell ref="B741:C743"/>
    <mergeCell ref="D741:I743"/>
    <mergeCell ref="J741:K743"/>
    <mergeCell ref="L741:M743"/>
    <mergeCell ref="N741:O743"/>
    <mergeCell ref="P741:Q743"/>
    <mergeCell ref="S738:T740"/>
    <mergeCell ref="U738:Z740"/>
    <mergeCell ref="AA738:AB740"/>
    <mergeCell ref="AC738:AD740"/>
    <mergeCell ref="AE738:AF740"/>
    <mergeCell ref="AG738:AH740"/>
    <mergeCell ref="B738:C740"/>
    <mergeCell ref="D738:I740"/>
    <mergeCell ref="J738:K740"/>
    <mergeCell ref="L738:M740"/>
    <mergeCell ref="N738:O740"/>
    <mergeCell ref="P738:Q740"/>
    <mergeCell ref="S735:T737"/>
    <mergeCell ref="U735:Z737"/>
    <mergeCell ref="AA735:AB737"/>
    <mergeCell ref="AC735:AD737"/>
    <mergeCell ref="AE735:AF737"/>
    <mergeCell ref="AG735:AH737"/>
    <mergeCell ref="B735:C737"/>
    <mergeCell ref="D735:I737"/>
    <mergeCell ref="J735:K737"/>
    <mergeCell ref="L735:M737"/>
    <mergeCell ref="N735:O737"/>
    <mergeCell ref="P735:Q737"/>
    <mergeCell ref="S732:T734"/>
    <mergeCell ref="U732:Z734"/>
    <mergeCell ref="AA732:AB734"/>
    <mergeCell ref="AC732:AD734"/>
    <mergeCell ref="AE732:AF734"/>
    <mergeCell ref="AG732:AH734"/>
    <mergeCell ref="B732:C734"/>
    <mergeCell ref="D732:I734"/>
    <mergeCell ref="J732:K734"/>
    <mergeCell ref="L732:M734"/>
    <mergeCell ref="N732:O734"/>
    <mergeCell ref="P732:Q734"/>
    <mergeCell ref="S729:T731"/>
    <mergeCell ref="U729:Z731"/>
    <mergeCell ref="AA729:AB731"/>
    <mergeCell ref="AC729:AD731"/>
    <mergeCell ref="AE729:AF731"/>
    <mergeCell ref="AG729:AH731"/>
    <mergeCell ref="B729:C731"/>
    <mergeCell ref="D729:I731"/>
    <mergeCell ref="J729:K731"/>
    <mergeCell ref="L729:M731"/>
    <mergeCell ref="N729:O731"/>
    <mergeCell ref="P729:Q731"/>
    <mergeCell ref="S726:T728"/>
    <mergeCell ref="U726:Z728"/>
    <mergeCell ref="AA726:AB728"/>
    <mergeCell ref="AC726:AD728"/>
    <mergeCell ref="AE726:AF728"/>
    <mergeCell ref="AG726:AH728"/>
    <mergeCell ref="B726:C728"/>
    <mergeCell ref="D726:I728"/>
    <mergeCell ref="J726:K728"/>
    <mergeCell ref="L726:M728"/>
    <mergeCell ref="N726:O728"/>
    <mergeCell ref="P726:Q728"/>
    <mergeCell ref="S723:T725"/>
    <mergeCell ref="U723:Z725"/>
    <mergeCell ref="AA723:AB725"/>
    <mergeCell ref="AC723:AD725"/>
    <mergeCell ref="AE723:AF725"/>
    <mergeCell ref="AG723:AH725"/>
    <mergeCell ref="B723:C725"/>
    <mergeCell ref="D723:I725"/>
    <mergeCell ref="J723:K725"/>
    <mergeCell ref="L723:M725"/>
    <mergeCell ref="N723:O725"/>
    <mergeCell ref="P723:Q725"/>
    <mergeCell ref="S720:T722"/>
    <mergeCell ref="U720:Z722"/>
    <mergeCell ref="AA720:AB722"/>
    <mergeCell ref="AC720:AD722"/>
    <mergeCell ref="AE720:AF722"/>
    <mergeCell ref="AG720:AH722"/>
    <mergeCell ref="B720:C722"/>
    <mergeCell ref="D720:I722"/>
    <mergeCell ref="J720:K722"/>
    <mergeCell ref="L720:M722"/>
    <mergeCell ref="N720:O722"/>
    <mergeCell ref="P720:Q722"/>
    <mergeCell ref="S717:T719"/>
    <mergeCell ref="U717:Z719"/>
    <mergeCell ref="AA717:AB719"/>
    <mergeCell ref="AC717:AD719"/>
    <mergeCell ref="AE717:AF719"/>
    <mergeCell ref="AG717:AH719"/>
    <mergeCell ref="B717:C719"/>
    <mergeCell ref="D717:I719"/>
    <mergeCell ref="J717:K719"/>
    <mergeCell ref="L717:M719"/>
    <mergeCell ref="N717:O719"/>
    <mergeCell ref="P717:Q719"/>
    <mergeCell ref="S714:T716"/>
    <mergeCell ref="U714:Z716"/>
    <mergeCell ref="AA714:AB716"/>
    <mergeCell ref="AC714:AD716"/>
    <mergeCell ref="AE714:AF716"/>
    <mergeCell ref="AG714:AH716"/>
    <mergeCell ref="B714:C716"/>
    <mergeCell ref="D714:I716"/>
    <mergeCell ref="J714:K716"/>
    <mergeCell ref="L714:M716"/>
    <mergeCell ref="N714:O716"/>
    <mergeCell ref="P714:Q716"/>
    <mergeCell ref="S711:T713"/>
    <mergeCell ref="U711:Z713"/>
    <mergeCell ref="AA711:AB713"/>
    <mergeCell ref="AC711:AD713"/>
    <mergeCell ref="AE711:AF713"/>
    <mergeCell ref="AG711:AH713"/>
    <mergeCell ref="B711:C713"/>
    <mergeCell ref="D711:I713"/>
    <mergeCell ref="J711:K713"/>
    <mergeCell ref="L711:M713"/>
    <mergeCell ref="N711:O713"/>
    <mergeCell ref="P711:Q713"/>
    <mergeCell ref="S708:T710"/>
    <mergeCell ref="U708:Z710"/>
    <mergeCell ref="AA708:AB710"/>
    <mergeCell ref="AC708:AD710"/>
    <mergeCell ref="AE708:AF710"/>
    <mergeCell ref="AG708:AH710"/>
    <mergeCell ref="B708:C710"/>
    <mergeCell ref="D708:I710"/>
    <mergeCell ref="J708:K710"/>
    <mergeCell ref="L708:M710"/>
    <mergeCell ref="N708:O710"/>
    <mergeCell ref="P708:Q710"/>
    <mergeCell ref="S705:T707"/>
    <mergeCell ref="U705:Z707"/>
    <mergeCell ref="AA705:AB707"/>
    <mergeCell ref="AC705:AD707"/>
    <mergeCell ref="AE705:AF707"/>
    <mergeCell ref="AG705:AH707"/>
    <mergeCell ref="B705:C707"/>
    <mergeCell ref="D705:I707"/>
    <mergeCell ref="J705:K707"/>
    <mergeCell ref="L705:M707"/>
    <mergeCell ref="N705:O707"/>
    <mergeCell ref="P705:Q707"/>
    <mergeCell ref="S702:T704"/>
    <mergeCell ref="U702:Z704"/>
    <mergeCell ref="AA702:AB704"/>
    <mergeCell ref="AC702:AD704"/>
    <mergeCell ref="AE702:AF704"/>
    <mergeCell ref="AG702:AH704"/>
    <mergeCell ref="B702:C704"/>
    <mergeCell ref="D702:I704"/>
    <mergeCell ref="J702:K704"/>
    <mergeCell ref="L702:M704"/>
    <mergeCell ref="N702:O704"/>
    <mergeCell ref="P702:Q704"/>
    <mergeCell ref="S699:T701"/>
    <mergeCell ref="U699:Z701"/>
    <mergeCell ref="AA699:AB701"/>
    <mergeCell ref="AC699:AD701"/>
    <mergeCell ref="AE699:AF701"/>
    <mergeCell ref="AG699:AH701"/>
    <mergeCell ref="B699:C701"/>
    <mergeCell ref="D699:I701"/>
    <mergeCell ref="J699:K701"/>
    <mergeCell ref="L699:M701"/>
    <mergeCell ref="N699:O701"/>
    <mergeCell ref="P699:Q701"/>
    <mergeCell ref="S696:T698"/>
    <mergeCell ref="U696:Z698"/>
    <mergeCell ref="AA696:AB698"/>
    <mergeCell ref="AC696:AD698"/>
    <mergeCell ref="AE696:AF698"/>
    <mergeCell ref="AG696:AH698"/>
    <mergeCell ref="B696:C698"/>
    <mergeCell ref="D696:I698"/>
    <mergeCell ref="J696:K698"/>
    <mergeCell ref="L696:M698"/>
    <mergeCell ref="N696:O698"/>
    <mergeCell ref="P696:Q698"/>
    <mergeCell ref="S693:T695"/>
    <mergeCell ref="U693:Z695"/>
    <mergeCell ref="AA693:AB695"/>
    <mergeCell ref="AC693:AD695"/>
    <mergeCell ref="AE693:AF695"/>
    <mergeCell ref="AG693:AH695"/>
    <mergeCell ref="B693:C695"/>
    <mergeCell ref="D693:I695"/>
    <mergeCell ref="J693:K695"/>
    <mergeCell ref="L693:M695"/>
    <mergeCell ref="N693:O695"/>
    <mergeCell ref="P693:Q695"/>
    <mergeCell ref="S690:T692"/>
    <mergeCell ref="U690:Z692"/>
    <mergeCell ref="AA690:AB692"/>
    <mergeCell ref="AC690:AD692"/>
    <mergeCell ref="AE690:AF692"/>
    <mergeCell ref="AG690:AH692"/>
    <mergeCell ref="B690:C692"/>
    <mergeCell ref="D690:I692"/>
    <mergeCell ref="J690:K692"/>
    <mergeCell ref="L690:M692"/>
    <mergeCell ref="N690:O692"/>
    <mergeCell ref="P690:Q692"/>
    <mergeCell ref="S687:T689"/>
    <mergeCell ref="U687:Z689"/>
    <mergeCell ref="AA687:AB689"/>
    <mergeCell ref="AC687:AD689"/>
    <mergeCell ref="AE687:AF689"/>
    <mergeCell ref="AG687:AH689"/>
    <mergeCell ref="B687:C689"/>
    <mergeCell ref="D687:I689"/>
    <mergeCell ref="J687:K689"/>
    <mergeCell ref="L687:M689"/>
    <mergeCell ref="N687:O689"/>
    <mergeCell ref="P687:Q689"/>
    <mergeCell ref="S684:T686"/>
    <mergeCell ref="U684:Z686"/>
    <mergeCell ref="AA684:AB686"/>
    <mergeCell ref="AC684:AD686"/>
    <mergeCell ref="AE684:AF686"/>
    <mergeCell ref="AG684:AH686"/>
    <mergeCell ref="B684:C686"/>
    <mergeCell ref="D684:I686"/>
    <mergeCell ref="J684:K686"/>
    <mergeCell ref="L684:M686"/>
    <mergeCell ref="N684:O686"/>
    <mergeCell ref="P684:Q686"/>
    <mergeCell ref="S681:T683"/>
    <mergeCell ref="U681:Z683"/>
    <mergeCell ref="AA681:AB683"/>
    <mergeCell ref="AC681:AD683"/>
    <mergeCell ref="AE681:AF683"/>
    <mergeCell ref="AG681:AH683"/>
    <mergeCell ref="B681:C683"/>
    <mergeCell ref="D681:I683"/>
    <mergeCell ref="J681:K683"/>
    <mergeCell ref="L681:M683"/>
    <mergeCell ref="N681:O683"/>
    <mergeCell ref="P681:Q683"/>
    <mergeCell ref="S678:T680"/>
    <mergeCell ref="U678:Z680"/>
    <mergeCell ref="AA678:AB680"/>
    <mergeCell ref="AC678:AD680"/>
    <mergeCell ref="AE678:AF680"/>
    <mergeCell ref="AG678:AH680"/>
    <mergeCell ref="B678:C680"/>
    <mergeCell ref="D678:I680"/>
    <mergeCell ref="J678:K680"/>
    <mergeCell ref="L678:M680"/>
    <mergeCell ref="N678:O680"/>
    <mergeCell ref="P678:Q680"/>
    <mergeCell ref="S675:T677"/>
    <mergeCell ref="U675:Z677"/>
    <mergeCell ref="AA675:AB677"/>
    <mergeCell ref="AC675:AD677"/>
    <mergeCell ref="AE675:AF677"/>
    <mergeCell ref="AG675:AH677"/>
    <mergeCell ref="B675:C677"/>
    <mergeCell ref="D675:I677"/>
    <mergeCell ref="J675:K677"/>
    <mergeCell ref="L675:M677"/>
    <mergeCell ref="N675:O677"/>
    <mergeCell ref="P675:Q677"/>
    <mergeCell ref="S672:T674"/>
    <mergeCell ref="U672:Z674"/>
    <mergeCell ref="AA672:AB674"/>
    <mergeCell ref="AC672:AD674"/>
    <mergeCell ref="AE672:AF674"/>
    <mergeCell ref="AG672:AH674"/>
    <mergeCell ref="B672:C674"/>
    <mergeCell ref="D672:I674"/>
    <mergeCell ref="J672:K674"/>
    <mergeCell ref="L672:M674"/>
    <mergeCell ref="N672:O674"/>
    <mergeCell ref="P672:Q674"/>
    <mergeCell ref="S669:T671"/>
    <mergeCell ref="U669:Z671"/>
    <mergeCell ref="AA669:AB671"/>
    <mergeCell ref="AC669:AD671"/>
    <mergeCell ref="AE669:AF671"/>
    <mergeCell ref="AG669:AH671"/>
    <mergeCell ref="B669:C671"/>
    <mergeCell ref="D669:I671"/>
    <mergeCell ref="J669:K671"/>
    <mergeCell ref="L669:M671"/>
    <mergeCell ref="N669:O671"/>
    <mergeCell ref="P669:Q671"/>
    <mergeCell ref="S666:T668"/>
    <mergeCell ref="U666:Z668"/>
    <mergeCell ref="AA666:AB668"/>
    <mergeCell ref="AC666:AD668"/>
    <mergeCell ref="AE666:AF668"/>
    <mergeCell ref="AG666:AH668"/>
    <mergeCell ref="B666:C668"/>
    <mergeCell ref="D666:I668"/>
    <mergeCell ref="J666:K668"/>
    <mergeCell ref="L666:M668"/>
    <mergeCell ref="N666:O668"/>
    <mergeCell ref="P666:Q668"/>
    <mergeCell ref="S663:T665"/>
    <mergeCell ref="U663:Z665"/>
    <mergeCell ref="AA663:AB665"/>
    <mergeCell ref="AC663:AD665"/>
    <mergeCell ref="AE663:AF665"/>
    <mergeCell ref="AG663:AH665"/>
    <mergeCell ref="B663:C665"/>
    <mergeCell ref="D663:I665"/>
    <mergeCell ref="J663:K665"/>
    <mergeCell ref="L663:M665"/>
    <mergeCell ref="N663:O665"/>
    <mergeCell ref="P663:Q665"/>
    <mergeCell ref="S660:T662"/>
    <mergeCell ref="U660:Z662"/>
    <mergeCell ref="AA660:AB662"/>
    <mergeCell ref="AC660:AD662"/>
    <mergeCell ref="AE660:AF662"/>
    <mergeCell ref="AG660:AH662"/>
    <mergeCell ref="B660:C662"/>
    <mergeCell ref="D660:I662"/>
    <mergeCell ref="J660:K662"/>
    <mergeCell ref="L660:M662"/>
    <mergeCell ref="N660:O662"/>
    <mergeCell ref="P660:Q662"/>
    <mergeCell ref="S657:T659"/>
    <mergeCell ref="U657:Z659"/>
    <mergeCell ref="AA657:AB659"/>
    <mergeCell ref="AC657:AD659"/>
    <mergeCell ref="AE657:AF659"/>
    <mergeCell ref="AG657:AH659"/>
    <mergeCell ref="B657:C659"/>
    <mergeCell ref="D657:I659"/>
    <mergeCell ref="J657:K659"/>
    <mergeCell ref="L657:M659"/>
    <mergeCell ref="N657:O659"/>
    <mergeCell ref="P657:Q659"/>
    <mergeCell ref="S654:T656"/>
    <mergeCell ref="U654:Z656"/>
    <mergeCell ref="AA654:AB656"/>
    <mergeCell ref="AC654:AD656"/>
    <mergeCell ref="AE654:AF656"/>
    <mergeCell ref="AG654:AH656"/>
    <mergeCell ref="B654:C656"/>
    <mergeCell ref="D654:I656"/>
    <mergeCell ref="J654:K656"/>
    <mergeCell ref="L654:M656"/>
    <mergeCell ref="N654:O656"/>
    <mergeCell ref="P654:Q656"/>
    <mergeCell ref="S651:T653"/>
    <mergeCell ref="U651:Z653"/>
    <mergeCell ref="AA651:AB653"/>
    <mergeCell ref="AC651:AD653"/>
    <mergeCell ref="AE651:AF653"/>
    <mergeCell ref="AG651:AH653"/>
    <mergeCell ref="B651:C653"/>
    <mergeCell ref="D651:I653"/>
    <mergeCell ref="J651:K653"/>
    <mergeCell ref="L651:M653"/>
    <mergeCell ref="N651:O653"/>
    <mergeCell ref="P651:Q653"/>
    <mergeCell ref="S648:T650"/>
    <mergeCell ref="U648:Z650"/>
    <mergeCell ref="AA648:AB650"/>
    <mergeCell ref="AC648:AD650"/>
    <mergeCell ref="AE648:AF650"/>
    <mergeCell ref="AG648:AH650"/>
    <mergeCell ref="B648:C650"/>
    <mergeCell ref="D648:I650"/>
    <mergeCell ref="J648:K650"/>
    <mergeCell ref="L648:M650"/>
    <mergeCell ref="N648:O650"/>
    <mergeCell ref="P648:Q650"/>
    <mergeCell ref="S645:T647"/>
    <mergeCell ref="U645:Z647"/>
    <mergeCell ref="AA645:AB647"/>
    <mergeCell ref="AC645:AD647"/>
    <mergeCell ref="AE645:AF647"/>
    <mergeCell ref="AG645:AH647"/>
    <mergeCell ref="B645:C647"/>
    <mergeCell ref="D645:I647"/>
    <mergeCell ref="J645:K647"/>
    <mergeCell ref="L645:M647"/>
    <mergeCell ref="N645:O647"/>
    <mergeCell ref="P645:Q647"/>
    <mergeCell ref="S642:T644"/>
    <mergeCell ref="U642:Z644"/>
    <mergeCell ref="AA642:AB644"/>
    <mergeCell ref="AC642:AD644"/>
    <mergeCell ref="AE642:AF644"/>
    <mergeCell ref="AG642:AH644"/>
    <mergeCell ref="B642:C644"/>
    <mergeCell ref="D642:I644"/>
    <mergeCell ref="J642:K644"/>
    <mergeCell ref="L642:M644"/>
    <mergeCell ref="N642:O644"/>
    <mergeCell ref="P642:Q644"/>
    <mergeCell ref="S639:T641"/>
    <mergeCell ref="U639:Z641"/>
    <mergeCell ref="AA639:AB641"/>
    <mergeCell ref="AC639:AD641"/>
    <mergeCell ref="AE639:AF641"/>
    <mergeCell ref="AG639:AH641"/>
    <mergeCell ref="B639:C641"/>
    <mergeCell ref="D639:I641"/>
    <mergeCell ref="J639:K641"/>
    <mergeCell ref="L639:M641"/>
    <mergeCell ref="N639:O641"/>
    <mergeCell ref="P639:Q641"/>
    <mergeCell ref="S636:T638"/>
    <mergeCell ref="U636:Z638"/>
    <mergeCell ref="AA636:AB638"/>
    <mergeCell ref="AC636:AD638"/>
    <mergeCell ref="AE636:AF638"/>
    <mergeCell ref="AG636:AH638"/>
    <mergeCell ref="B636:C638"/>
    <mergeCell ref="D636:I638"/>
    <mergeCell ref="J636:K638"/>
    <mergeCell ref="L636:M638"/>
    <mergeCell ref="N636:O638"/>
    <mergeCell ref="P636:Q638"/>
    <mergeCell ref="S633:T635"/>
    <mergeCell ref="U633:Z635"/>
    <mergeCell ref="AA633:AB635"/>
    <mergeCell ref="AC633:AD635"/>
    <mergeCell ref="AE633:AF635"/>
    <mergeCell ref="AG633:AH635"/>
    <mergeCell ref="B633:C635"/>
    <mergeCell ref="D633:I635"/>
    <mergeCell ref="J633:K635"/>
    <mergeCell ref="L633:M635"/>
    <mergeCell ref="N633:O635"/>
    <mergeCell ref="P633:Q635"/>
    <mergeCell ref="S630:T632"/>
    <mergeCell ref="U630:Z632"/>
    <mergeCell ref="AA630:AB632"/>
    <mergeCell ref="AC630:AD632"/>
    <mergeCell ref="AE630:AF632"/>
    <mergeCell ref="AG630:AH632"/>
    <mergeCell ref="B630:C632"/>
    <mergeCell ref="D630:I632"/>
    <mergeCell ref="J630:K632"/>
    <mergeCell ref="L630:M632"/>
    <mergeCell ref="N630:O632"/>
    <mergeCell ref="P630:Q632"/>
    <mergeCell ref="S627:T629"/>
    <mergeCell ref="U627:Z629"/>
    <mergeCell ref="AA627:AB629"/>
    <mergeCell ref="AC627:AD629"/>
    <mergeCell ref="AE627:AF629"/>
    <mergeCell ref="AG627:AH629"/>
    <mergeCell ref="B627:C629"/>
    <mergeCell ref="D627:I629"/>
    <mergeCell ref="J627:K629"/>
    <mergeCell ref="L627:M629"/>
    <mergeCell ref="N627:O629"/>
    <mergeCell ref="P627:Q629"/>
    <mergeCell ref="S624:T626"/>
    <mergeCell ref="U624:Z626"/>
    <mergeCell ref="AA624:AB626"/>
    <mergeCell ref="AC624:AD626"/>
    <mergeCell ref="AE624:AF626"/>
    <mergeCell ref="AG624:AH626"/>
    <mergeCell ref="B624:C626"/>
    <mergeCell ref="D624:I626"/>
    <mergeCell ref="J624:K626"/>
    <mergeCell ref="L624:M626"/>
    <mergeCell ref="N624:O626"/>
    <mergeCell ref="P624:Q626"/>
    <mergeCell ref="S621:T623"/>
    <mergeCell ref="U621:Z623"/>
    <mergeCell ref="AA621:AB623"/>
    <mergeCell ref="AC621:AD623"/>
    <mergeCell ref="AE621:AF623"/>
    <mergeCell ref="AG621:AH623"/>
    <mergeCell ref="B621:C623"/>
    <mergeCell ref="D621:I623"/>
    <mergeCell ref="J621:K623"/>
    <mergeCell ref="L621:M623"/>
    <mergeCell ref="N621:O623"/>
    <mergeCell ref="P621:Q623"/>
    <mergeCell ref="S618:T620"/>
    <mergeCell ref="U618:Z620"/>
    <mergeCell ref="AA618:AB620"/>
    <mergeCell ref="AC618:AD620"/>
    <mergeCell ref="AE618:AF620"/>
    <mergeCell ref="AG618:AH620"/>
    <mergeCell ref="B618:C620"/>
    <mergeCell ref="D618:I620"/>
    <mergeCell ref="J618:K620"/>
    <mergeCell ref="L618:M620"/>
    <mergeCell ref="N618:O620"/>
    <mergeCell ref="P618:Q620"/>
    <mergeCell ref="S615:T617"/>
    <mergeCell ref="U615:Z617"/>
    <mergeCell ref="AA615:AB617"/>
    <mergeCell ref="AC615:AD617"/>
    <mergeCell ref="AE615:AF617"/>
    <mergeCell ref="AG615:AH617"/>
    <mergeCell ref="B615:C617"/>
    <mergeCell ref="D615:I617"/>
    <mergeCell ref="J615:K617"/>
    <mergeCell ref="L615:M617"/>
    <mergeCell ref="N615:O617"/>
    <mergeCell ref="P615:Q617"/>
    <mergeCell ref="S612:T614"/>
    <mergeCell ref="U612:Z614"/>
    <mergeCell ref="AA612:AB614"/>
    <mergeCell ref="AC612:AD614"/>
    <mergeCell ref="AE612:AF614"/>
    <mergeCell ref="AG612:AH614"/>
    <mergeCell ref="B612:C614"/>
    <mergeCell ref="D612:I614"/>
    <mergeCell ref="J612:K614"/>
    <mergeCell ref="L612:M614"/>
    <mergeCell ref="N612:O614"/>
    <mergeCell ref="P612:Q614"/>
    <mergeCell ref="S609:T611"/>
    <mergeCell ref="U609:Z611"/>
    <mergeCell ref="AA609:AB611"/>
    <mergeCell ref="AC609:AD611"/>
    <mergeCell ref="AE609:AF611"/>
    <mergeCell ref="AG609:AH611"/>
    <mergeCell ref="B609:C611"/>
    <mergeCell ref="D609:I611"/>
    <mergeCell ref="J609:K611"/>
    <mergeCell ref="L609:M611"/>
    <mergeCell ref="N609:O611"/>
    <mergeCell ref="P609:Q611"/>
    <mergeCell ref="S606:T608"/>
    <mergeCell ref="U606:Z608"/>
    <mergeCell ref="AA606:AB608"/>
    <mergeCell ref="AC606:AD608"/>
    <mergeCell ref="AE606:AF608"/>
    <mergeCell ref="AG606:AH608"/>
    <mergeCell ref="B606:C608"/>
    <mergeCell ref="D606:I608"/>
    <mergeCell ref="J606:K608"/>
    <mergeCell ref="L606:M608"/>
    <mergeCell ref="N606:O608"/>
    <mergeCell ref="P606:Q608"/>
    <mergeCell ref="S603:T605"/>
    <mergeCell ref="U603:Z605"/>
    <mergeCell ref="AA603:AB605"/>
    <mergeCell ref="AC603:AD605"/>
    <mergeCell ref="AE603:AF605"/>
    <mergeCell ref="AG603:AH605"/>
    <mergeCell ref="B603:C605"/>
    <mergeCell ref="D603:I605"/>
    <mergeCell ref="J603:K605"/>
    <mergeCell ref="L603:M605"/>
    <mergeCell ref="N603:O605"/>
    <mergeCell ref="P603:Q605"/>
    <mergeCell ref="S600:T602"/>
    <mergeCell ref="U600:Z602"/>
    <mergeCell ref="AA600:AB602"/>
    <mergeCell ref="AC600:AD602"/>
    <mergeCell ref="AE600:AF602"/>
    <mergeCell ref="AG600:AH602"/>
    <mergeCell ref="B600:C602"/>
    <mergeCell ref="D600:I602"/>
    <mergeCell ref="J600:K602"/>
    <mergeCell ref="L600:M602"/>
    <mergeCell ref="N600:O602"/>
    <mergeCell ref="P600:Q602"/>
    <mergeCell ref="S597:T599"/>
    <mergeCell ref="U597:Z599"/>
    <mergeCell ref="AA597:AB599"/>
    <mergeCell ref="AC597:AD599"/>
    <mergeCell ref="AE597:AF599"/>
    <mergeCell ref="AG597:AH599"/>
    <mergeCell ref="B597:C599"/>
    <mergeCell ref="D597:I599"/>
    <mergeCell ref="J597:K599"/>
    <mergeCell ref="L597:M599"/>
    <mergeCell ref="N597:O599"/>
    <mergeCell ref="P597:Q599"/>
    <mergeCell ref="S594:T596"/>
    <mergeCell ref="U594:Z596"/>
    <mergeCell ref="AA594:AB596"/>
    <mergeCell ref="AC594:AD596"/>
    <mergeCell ref="AE594:AF596"/>
    <mergeCell ref="AG594:AH596"/>
    <mergeCell ref="B594:C596"/>
    <mergeCell ref="D594:I596"/>
    <mergeCell ref="J594:K596"/>
    <mergeCell ref="L594:M596"/>
    <mergeCell ref="N594:O596"/>
    <mergeCell ref="P594:Q596"/>
    <mergeCell ref="S591:T593"/>
    <mergeCell ref="U591:Z593"/>
    <mergeCell ref="AA591:AB593"/>
    <mergeCell ref="AC591:AD593"/>
    <mergeCell ref="AE591:AF593"/>
    <mergeCell ref="AG591:AH593"/>
    <mergeCell ref="B591:C593"/>
    <mergeCell ref="D591:I593"/>
    <mergeCell ref="J591:K593"/>
    <mergeCell ref="L591:M593"/>
    <mergeCell ref="N591:O593"/>
    <mergeCell ref="P591:Q593"/>
    <mergeCell ref="S588:T590"/>
    <mergeCell ref="U588:Z590"/>
    <mergeCell ref="AA588:AB590"/>
    <mergeCell ref="AC588:AD590"/>
    <mergeCell ref="AE588:AF590"/>
    <mergeCell ref="AG588:AH590"/>
    <mergeCell ref="B588:C590"/>
    <mergeCell ref="D588:I590"/>
    <mergeCell ref="J588:K590"/>
    <mergeCell ref="L588:M590"/>
    <mergeCell ref="N588:O590"/>
    <mergeCell ref="P588:Q590"/>
    <mergeCell ref="S585:T587"/>
    <mergeCell ref="U585:Z587"/>
    <mergeCell ref="AA585:AB587"/>
    <mergeCell ref="AC585:AD587"/>
    <mergeCell ref="AE585:AF587"/>
    <mergeCell ref="AG585:AH587"/>
    <mergeCell ref="B585:C587"/>
    <mergeCell ref="D585:I587"/>
    <mergeCell ref="J585:K587"/>
    <mergeCell ref="L585:M587"/>
    <mergeCell ref="N585:O587"/>
    <mergeCell ref="P585:Q587"/>
    <mergeCell ref="S582:T584"/>
    <mergeCell ref="U582:Z584"/>
    <mergeCell ref="AA582:AB584"/>
    <mergeCell ref="AC582:AD584"/>
    <mergeCell ref="AE582:AF584"/>
    <mergeCell ref="AG582:AH584"/>
    <mergeCell ref="B582:C584"/>
    <mergeCell ref="D582:I584"/>
    <mergeCell ref="J582:K584"/>
    <mergeCell ref="L582:M584"/>
    <mergeCell ref="N582:O584"/>
    <mergeCell ref="P582:Q584"/>
    <mergeCell ref="S579:T581"/>
    <mergeCell ref="U579:Z581"/>
    <mergeCell ref="AA579:AB581"/>
    <mergeCell ref="AC579:AD581"/>
    <mergeCell ref="AE579:AF581"/>
    <mergeCell ref="AG579:AH581"/>
    <mergeCell ref="B579:C581"/>
    <mergeCell ref="D579:I581"/>
    <mergeCell ref="J579:K581"/>
    <mergeCell ref="L579:M581"/>
    <mergeCell ref="N579:O581"/>
    <mergeCell ref="P579:Q581"/>
    <mergeCell ref="S576:T578"/>
    <mergeCell ref="U576:Z578"/>
    <mergeCell ref="AA576:AB578"/>
    <mergeCell ref="AC576:AD578"/>
    <mergeCell ref="AE576:AF578"/>
    <mergeCell ref="AG576:AH578"/>
    <mergeCell ref="B576:C578"/>
    <mergeCell ref="D576:I578"/>
    <mergeCell ref="J576:K578"/>
    <mergeCell ref="L576:M578"/>
    <mergeCell ref="N576:O578"/>
    <mergeCell ref="P576:Q578"/>
    <mergeCell ref="S573:T575"/>
    <mergeCell ref="U573:Z575"/>
    <mergeCell ref="AA573:AB575"/>
    <mergeCell ref="AC573:AD575"/>
    <mergeCell ref="AE573:AF575"/>
    <mergeCell ref="AG573:AH575"/>
    <mergeCell ref="B573:C575"/>
    <mergeCell ref="D573:I575"/>
    <mergeCell ref="J573:K575"/>
    <mergeCell ref="L573:M575"/>
    <mergeCell ref="N573:O575"/>
    <mergeCell ref="P573:Q575"/>
    <mergeCell ref="S570:T572"/>
    <mergeCell ref="U570:Z572"/>
    <mergeCell ref="AA570:AB572"/>
    <mergeCell ref="AC570:AD572"/>
    <mergeCell ref="AE570:AF572"/>
    <mergeCell ref="AG570:AH572"/>
    <mergeCell ref="B570:C572"/>
    <mergeCell ref="D570:I572"/>
    <mergeCell ref="J570:K572"/>
    <mergeCell ref="L570:M572"/>
    <mergeCell ref="N570:O572"/>
    <mergeCell ref="P570:Q572"/>
    <mergeCell ref="S567:T569"/>
    <mergeCell ref="U567:Z569"/>
    <mergeCell ref="AA567:AB569"/>
    <mergeCell ref="AC567:AD569"/>
    <mergeCell ref="AE567:AF569"/>
    <mergeCell ref="AG567:AH569"/>
    <mergeCell ref="B567:C569"/>
    <mergeCell ref="D567:I569"/>
    <mergeCell ref="J567:K569"/>
    <mergeCell ref="L567:M569"/>
    <mergeCell ref="N567:O569"/>
    <mergeCell ref="P567:Q569"/>
    <mergeCell ref="S564:T566"/>
    <mergeCell ref="U564:Z566"/>
    <mergeCell ref="AA564:AB566"/>
    <mergeCell ref="AC564:AD566"/>
    <mergeCell ref="AE564:AF566"/>
    <mergeCell ref="AG564:AH566"/>
    <mergeCell ref="B564:C566"/>
    <mergeCell ref="D564:I566"/>
    <mergeCell ref="J564:K566"/>
    <mergeCell ref="L564:M566"/>
    <mergeCell ref="N564:O566"/>
    <mergeCell ref="P564:Q566"/>
    <mergeCell ref="S561:T563"/>
    <mergeCell ref="U561:Z563"/>
    <mergeCell ref="AA561:AB563"/>
    <mergeCell ref="AC561:AD563"/>
    <mergeCell ref="AE561:AF563"/>
    <mergeCell ref="AG561:AH563"/>
    <mergeCell ref="B561:C563"/>
    <mergeCell ref="D561:I563"/>
    <mergeCell ref="J561:K563"/>
    <mergeCell ref="L561:M563"/>
    <mergeCell ref="N561:O563"/>
    <mergeCell ref="P561:Q563"/>
    <mergeCell ref="S558:T560"/>
    <mergeCell ref="U558:Z560"/>
    <mergeCell ref="AA558:AB560"/>
    <mergeCell ref="AC558:AD560"/>
    <mergeCell ref="AE558:AF560"/>
    <mergeCell ref="AG558:AH560"/>
    <mergeCell ref="B558:C560"/>
    <mergeCell ref="D558:I560"/>
    <mergeCell ref="J558:K560"/>
    <mergeCell ref="L558:M560"/>
    <mergeCell ref="N558:O560"/>
    <mergeCell ref="P558:Q560"/>
    <mergeCell ref="S555:T557"/>
    <mergeCell ref="U555:Z557"/>
    <mergeCell ref="AA555:AB557"/>
    <mergeCell ref="AC555:AD557"/>
    <mergeCell ref="AE555:AF557"/>
    <mergeCell ref="AG555:AH557"/>
    <mergeCell ref="B555:C557"/>
    <mergeCell ref="D555:I557"/>
    <mergeCell ref="J555:K557"/>
    <mergeCell ref="L555:M557"/>
    <mergeCell ref="N555:O557"/>
    <mergeCell ref="P555:Q557"/>
    <mergeCell ref="S552:T554"/>
    <mergeCell ref="U552:Z554"/>
    <mergeCell ref="AA552:AB554"/>
    <mergeCell ref="AC552:AD554"/>
    <mergeCell ref="AE552:AF554"/>
    <mergeCell ref="AG552:AH554"/>
    <mergeCell ref="B552:C554"/>
    <mergeCell ref="D552:I554"/>
    <mergeCell ref="J552:K554"/>
    <mergeCell ref="L552:M554"/>
    <mergeCell ref="N552:O554"/>
    <mergeCell ref="P552:Q554"/>
    <mergeCell ref="S549:T551"/>
    <mergeCell ref="U549:Z551"/>
    <mergeCell ref="AA549:AB551"/>
    <mergeCell ref="AC549:AD551"/>
    <mergeCell ref="AE549:AF551"/>
    <mergeCell ref="AG549:AH551"/>
    <mergeCell ref="B549:C551"/>
    <mergeCell ref="D549:I551"/>
    <mergeCell ref="J549:K551"/>
    <mergeCell ref="L549:M551"/>
    <mergeCell ref="N549:O551"/>
    <mergeCell ref="P549:Q551"/>
    <mergeCell ref="S546:T548"/>
    <mergeCell ref="U546:Z548"/>
    <mergeCell ref="AA546:AB548"/>
    <mergeCell ref="AC546:AD548"/>
    <mergeCell ref="AE546:AF548"/>
    <mergeCell ref="AG546:AH548"/>
    <mergeCell ref="B546:C548"/>
    <mergeCell ref="D546:I548"/>
    <mergeCell ref="J546:K548"/>
    <mergeCell ref="L546:M548"/>
    <mergeCell ref="N546:O548"/>
    <mergeCell ref="P546:Q548"/>
    <mergeCell ref="S543:T545"/>
    <mergeCell ref="U543:Z545"/>
    <mergeCell ref="AA543:AB545"/>
    <mergeCell ref="AC543:AD545"/>
    <mergeCell ref="AE543:AF545"/>
    <mergeCell ref="AG543:AH545"/>
    <mergeCell ref="B543:C545"/>
    <mergeCell ref="D543:I545"/>
    <mergeCell ref="J543:K545"/>
    <mergeCell ref="L543:M545"/>
    <mergeCell ref="N543:O545"/>
    <mergeCell ref="P543:Q545"/>
    <mergeCell ref="S540:T542"/>
    <mergeCell ref="U540:Z542"/>
    <mergeCell ref="AA540:AB542"/>
    <mergeCell ref="AC540:AD542"/>
    <mergeCell ref="AE540:AF542"/>
    <mergeCell ref="AG540:AH542"/>
    <mergeCell ref="B540:C542"/>
    <mergeCell ref="D540:I542"/>
    <mergeCell ref="J540:K542"/>
    <mergeCell ref="L540:M542"/>
    <mergeCell ref="N540:O542"/>
    <mergeCell ref="P540:Q542"/>
    <mergeCell ref="S537:T539"/>
    <mergeCell ref="U537:Z539"/>
    <mergeCell ref="AA537:AB539"/>
    <mergeCell ref="AC537:AD539"/>
    <mergeCell ref="AE537:AF539"/>
    <mergeCell ref="AG537:AH539"/>
    <mergeCell ref="B537:C539"/>
    <mergeCell ref="D537:I539"/>
    <mergeCell ref="J537:K539"/>
    <mergeCell ref="L537:M539"/>
    <mergeCell ref="N537:O539"/>
    <mergeCell ref="P537:Q539"/>
    <mergeCell ref="S534:T536"/>
    <mergeCell ref="U534:Z536"/>
    <mergeCell ref="AA534:AB536"/>
    <mergeCell ref="AC534:AD536"/>
    <mergeCell ref="AE534:AF536"/>
    <mergeCell ref="AG534:AH536"/>
    <mergeCell ref="B534:C536"/>
    <mergeCell ref="D534:I536"/>
    <mergeCell ref="J534:K536"/>
    <mergeCell ref="L534:M536"/>
    <mergeCell ref="N534:O536"/>
    <mergeCell ref="P534:Q536"/>
    <mergeCell ref="S531:T533"/>
    <mergeCell ref="U531:Z533"/>
    <mergeCell ref="AA531:AB533"/>
    <mergeCell ref="AC531:AD533"/>
    <mergeCell ref="AE531:AF533"/>
    <mergeCell ref="AG531:AH533"/>
    <mergeCell ref="B531:C533"/>
    <mergeCell ref="D531:I533"/>
    <mergeCell ref="J531:K533"/>
    <mergeCell ref="L531:M533"/>
    <mergeCell ref="N531:O533"/>
    <mergeCell ref="P531:Q533"/>
    <mergeCell ref="S528:T530"/>
    <mergeCell ref="U528:Z530"/>
    <mergeCell ref="AA528:AB530"/>
    <mergeCell ref="AC528:AD530"/>
    <mergeCell ref="AE528:AF530"/>
    <mergeCell ref="AG528:AH530"/>
    <mergeCell ref="B528:C530"/>
    <mergeCell ref="D528:I530"/>
    <mergeCell ref="J528:K530"/>
    <mergeCell ref="L528:M530"/>
    <mergeCell ref="N528:O530"/>
    <mergeCell ref="P528:Q530"/>
    <mergeCell ref="S525:T527"/>
    <mergeCell ref="U525:Z527"/>
    <mergeCell ref="AA525:AB527"/>
    <mergeCell ref="AC525:AD527"/>
    <mergeCell ref="AE525:AF527"/>
    <mergeCell ref="AG525:AH527"/>
    <mergeCell ref="B525:C527"/>
    <mergeCell ref="D525:I527"/>
    <mergeCell ref="J525:K527"/>
    <mergeCell ref="L525:M527"/>
    <mergeCell ref="N525:O527"/>
    <mergeCell ref="P525:Q527"/>
    <mergeCell ref="S522:T524"/>
    <mergeCell ref="U522:Z524"/>
    <mergeCell ref="AA522:AB524"/>
    <mergeCell ref="AC522:AD524"/>
    <mergeCell ref="AE522:AF524"/>
    <mergeCell ref="AG522:AH524"/>
    <mergeCell ref="B522:C524"/>
    <mergeCell ref="D522:I524"/>
    <mergeCell ref="J522:K524"/>
    <mergeCell ref="L522:M524"/>
    <mergeCell ref="N522:O524"/>
    <mergeCell ref="P522:Q524"/>
    <mergeCell ref="S519:T521"/>
    <mergeCell ref="U519:Z521"/>
    <mergeCell ref="AA519:AB521"/>
    <mergeCell ref="AC519:AD521"/>
    <mergeCell ref="AE519:AF521"/>
    <mergeCell ref="AG519:AH521"/>
    <mergeCell ref="B519:C521"/>
    <mergeCell ref="D519:I521"/>
    <mergeCell ref="J519:K521"/>
    <mergeCell ref="L519:M521"/>
    <mergeCell ref="N519:O521"/>
    <mergeCell ref="P519:Q521"/>
    <mergeCell ref="S516:T518"/>
    <mergeCell ref="U516:Z518"/>
    <mergeCell ref="AA516:AB518"/>
    <mergeCell ref="AC516:AD518"/>
    <mergeCell ref="AE516:AF518"/>
    <mergeCell ref="AG516:AH518"/>
    <mergeCell ref="B516:C518"/>
    <mergeCell ref="D516:I518"/>
    <mergeCell ref="J516:K518"/>
    <mergeCell ref="L516:M518"/>
    <mergeCell ref="N516:O518"/>
    <mergeCell ref="P516:Q518"/>
    <mergeCell ref="S513:T515"/>
    <mergeCell ref="U513:Z515"/>
    <mergeCell ref="AA513:AB515"/>
    <mergeCell ref="AC513:AD515"/>
    <mergeCell ref="AE513:AF515"/>
    <mergeCell ref="AG513:AH515"/>
    <mergeCell ref="B513:C515"/>
    <mergeCell ref="D513:I515"/>
    <mergeCell ref="J513:K515"/>
    <mergeCell ref="L513:M515"/>
    <mergeCell ref="N513:O515"/>
    <mergeCell ref="P513:Q515"/>
    <mergeCell ref="S510:T512"/>
    <mergeCell ref="U510:Z512"/>
    <mergeCell ref="AA510:AB512"/>
    <mergeCell ref="AC510:AD512"/>
    <mergeCell ref="AE510:AF512"/>
    <mergeCell ref="AG510:AH512"/>
    <mergeCell ref="B510:C512"/>
    <mergeCell ref="D510:I512"/>
    <mergeCell ref="J510:K512"/>
    <mergeCell ref="L510:M512"/>
    <mergeCell ref="N510:O512"/>
    <mergeCell ref="P510:Q512"/>
    <mergeCell ref="S507:T509"/>
    <mergeCell ref="U507:Z509"/>
    <mergeCell ref="AA507:AB509"/>
    <mergeCell ref="AC507:AD509"/>
    <mergeCell ref="AE507:AF509"/>
    <mergeCell ref="AG507:AH509"/>
    <mergeCell ref="B507:C509"/>
    <mergeCell ref="D507:I509"/>
    <mergeCell ref="J507:K509"/>
    <mergeCell ref="L507:M509"/>
    <mergeCell ref="N507:O509"/>
    <mergeCell ref="P507:Q509"/>
    <mergeCell ref="S504:T506"/>
    <mergeCell ref="U504:Z506"/>
    <mergeCell ref="AA504:AB506"/>
    <mergeCell ref="AC504:AD506"/>
    <mergeCell ref="AE504:AF506"/>
    <mergeCell ref="AG504:AH506"/>
    <mergeCell ref="B504:C506"/>
    <mergeCell ref="D504:I506"/>
    <mergeCell ref="J504:K506"/>
    <mergeCell ref="L504:M506"/>
    <mergeCell ref="N504:O506"/>
    <mergeCell ref="P504:Q506"/>
    <mergeCell ref="S501:T503"/>
    <mergeCell ref="U501:Z503"/>
    <mergeCell ref="AA501:AB503"/>
    <mergeCell ref="AC501:AD503"/>
    <mergeCell ref="AE501:AF503"/>
    <mergeCell ref="AG501:AH503"/>
    <mergeCell ref="B501:C503"/>
    <mergeCell ref="D501:I503"/>
    <mergeCell ref="J501:K503"/>
    <mergeCell ref="L501:M503"/>
    <mergeCell ref="N501:O503"/>
    <mergeCell ref="P501:Q503"/>
    <mergeCell ref="S498:T500"/>
    <mergeCell ref="U498:Z500"/>
    <mergeCell ref="AA498:AB500"/>
    <mergeCell ref="AC498:AD500"/>
    <mergeCell ref="AE498:AF500"/>
    <mergeCell ref="AG498:AH500"/>
    <mergeCell ref="B498:C500"/>
    <mergeCell ref="D498:I500"/>
    <mergeCell ref="J498:K500"/>
    <mergeCell ref="L498:M500"/>
    <mergeCell ref="N498:O500"/>
    <mergeCell ref="P498:Q500"/>
    <mergeCell ref="S495:T497"/>
    <mergeCell ref="U495:Z497"/>
    <mergeCell ref="AA495:AB497"/>
    <mergeCell ref="AC495:AD497"/>
    <mergeCell ref="AE495:AF497"/>
    <mergeCell ref="AG495:AH497"/>
    <mergeCell ref="B495:C497"/>
    <mergeCell ref="D495:I497"/>
    <mergeCell ref="J495:K497"/>
    <mergeCell ref="L495:M497"/>
    <mergeCell ref="N495:O497"/>
    <mergeCell ref="P495:Q497"/>
    <mergeCell ref="S492:T494"/>
    <mergeCell ref="U492:Z494"/>
    <mergeCell ref="AA492:AB494"/>
    <mergeCell ref="AC492:AD494"/>
    <mergeCell ref="AE492:AF494"/>
    <mergeCell ref="AG492:AH494"/>
    <mergeCell ref="B492:C494"/>
    <mergeCell ref="D492:I494"/>
    <mergeCell ref="J492:K494"/>
    <mergeCell ref="L492:M494"/>
    <mergeCell ref="N492:O494"/>
    <mergeCell ref="P492:Q494"/>
    <mergeCell ref="S489:T491"/>
    <mergeCell ref="U489:Z491"/>
    <mergeCell ref="AA489:AB491"/>
    <mergeCell ref="AC489:AD491"/>
    <mergeCell ref="AE489:AF491"/>
    <mergeCell ref="AG489:AH491"/>
    <mergeCell ref="B489:C491"/>
    <mergeCell ref="D489:I491"/>
    <mergeCell ref="J489:K491"/>
    <mergeCell ref="L489:M491"/>
    <mergeCell ref="N489:O491"/>
    <mergeCell ref="P489:Q491"/>
    <mergeCell ref="S486:T488"/>
    <mergeCell ref="U486:Z488"/>
    <mergeCell ref="AA486:AB488"/>
    <mergeCell ref="AC486:AD488"/>
    <mergeCell ref="AE486:AF488"/>
    <mergeCell ref="AG486:AH488"/>
    <mergeCell ref="B486:C488"/>
    <mergeCell ref="D486:I488"/>
    <mergeCell ref="J486:K488"/>
    <mergeCell ref="L486:M488"/>
    <mergeCell ref="N486:O488"/>
    <mergeCell ref="P486:Q488"/>
    <mergeCell ref="S483:T485"/>
    <mergeCell ref="U483:Z485"/>
    <mergeCell ref="AA483:AB485"/>
    <mergeCell ref="AC483:AD485"/>
    <mergeCell ref="AE483:AF485"/>
    <mergeCell ref="AG483:AH485"/>
    <mergeCell ref="B483:C485"/>
    <mergeCell ref="D483:I485"/>
    <mergeCell ref="J483:K485"/>
    <mergeCell ref="L483:M485"/>
    <mergeCell ref="N483:O485"/>
    <mergeCell ref="P483:Q485"/>
    <mergeCell ref="S480:T482"/>
    <mergeCell ref="U480:Z482"/>
    <mergeCell ref="AA480:AB482"/>
    <mergeCell ref="AC480:AD482"/>
    <mergeCell ref="AE480:AF482"/>
    <mergeCell ref="AG480:AH482"/>
    <mergeCell ref="B480:C482"/>
    <mergeCell ref="D480:I482"/>
    <mergeCell ref="J480:K482"/>
    <mergeCell ref="L480:M482"/>
    <mergeCell ref="N480:O482"/>
    <mergeCell ref="P480:Q482"/>
    <mergeCell ref="S477:T479"/>
    <mergeCell ref="U477:Z479"/>
    <mergeCell ref="AA477:AB479"/>
    <mergeCell ref="AC477:AD479"/>
    <mergeCell ref="AE477:AF479"/>
    <mergeCell ref="AG477:AH479"/>
    <mergeCell ref="B477:C479"/>
    <mergeCell ref="D477:I479"/>
    <mergeCell ref="J477:K479"/>
    <mergeCell ref="L477:M479"/>
    <mergeCell ref="N477:O479"/>
    <mergeCell ref="P477:Q479"/>
    <mergeCell ref="S474:T476"/>
    <mergeCell ref="U474:Z476"/>
    <mergeCell ref="AA474:AB476"/>
    <mergeCell ref="AC474:AD476"/>
    <mergeCell ref="AE474:AF476"/>
    <mergeCell ref="AG474:AH476"/>
    <mergeCell ref="B474:C476"/>
    <mergeCell ref="D474:I476"/>
    <mergeCell ref="J474:K476"/>
    <mergeCell ref="L474:M476"/>
    <mergeCell ref="N474:O476"/>
    <mergeCell ref="P474:Q476"/>
    <mergeCell ref="S471:T473"/>
    <mergeCell ref="U471:Z473"/>
    <mergeCell ref="AA471:AB473"/>
    <mergeCell ref="AC471:AD473"/>
    <mergeCell ref="AE471:AF473"/>
    <mergeCell ref="AG471:AH473"/>
    <mergeCell ref="B471:C473"/>
    <mergeCell ref="D471:I473"/>
    <mergeCell ref="J471:K473"/>
    <mergeCell ref="L471:M473"/>
    <mergeCell ref="N471:O473"/>
    <mergeCell ref="P471:Q473"/>
    <mergeCell ref="S468:T470"/>
    <mergeCell ref="U468:Z470"/>
    <mergeCell ref="AA468:AB470"/>
    <mergeCell ref="AC468:AD470"/>
    <mergeCell ref="AE468:AF470"/>
    <mergeCell ref="AG468:AH470"/>
    <mergeCell ref="B468:C470"/>
    <mergeCell ref="D468:I470"/>
    <mergeCell ref="J468:K470"/>
    <mergeCell ref="L468:M470"/>
    <mergeCell ref="N468:O470"/>
    <mergeCell ref="P468:Q470"/>
    <mergeCell ref="S465:T467"/>
    <mergeCell ref="U465:Z467"/>
    <mergeCell ref="AA465:AB467"/>
    <mergeCell ref="AC465:AD467"/>
    <mergeCell ref="AE465:AF467"/>
    <mergeCell ref="AG465:AH467"/>
    <mergeCell ref="B465:C467"/>
    <mergeCell ref="D465:I467"/>
    <mergeCell ref="J465:K467"/>
    <mergeCell ref="L465:M467"/>
    <mergeCell ref="N465:O467"/>
    <mergeCell ref="P465:Q467"/>
    <mergeCell ref="S462:T464"/>
    <mergeCell ref="U462:Z464"/>
    <mergeCell ref="AA462:AB464"/>
    <mergeCell ref="AC462:AD464"/>
    <mergeCell ref="AE462:AF464"/>
    <mergeCell ref="AG462:AH464"/>
    <mergeCell ref="B462:C464"/>
    <mergeCell ref="D462:I464"/>
    <mergeCell ref="J462:K464"/>
    <mergeCell ref="L462:M464"/>
    <mergeCell ref="N462:O464"/>
    <mergeCell ref="P462:Q464"/>
    <mergeCell ref="S459:T461"/>
    <mergeCell ref="U459:Z461"/>
    <mergeCell ref="AA459:AB461"/>
    <mergeCell ref="AC459:AD461"/>
    <mergeCell ref="AE459:AF461"/>
    <mergeCell ref="AG459:AH461"/>
    <mergeCell ref="B459:C461"/>
    <mergeCell ref="D459:I461"/>
    <mergeCell ref="J459:K461"/>
    <mergeCell ref="L459:M461"/>
    <mergeCell ref="N459:O461"/>
    <mergeCell ref="P459:Q461"/>
    <mergeCell ref="S456:T458"/>
    <mergeCell ref="U456:Z458"/>
    <mergeCell ref="AA456:AB458"/>
    <mergeCell ref="AC456:AD458"/>
    <mergeCell ref="AE456:AF458"/>
    <mergeCell ref="AG456:AH458"/>
    <mergeCell ref="B456:C458"/>
    <mergeCell ref="D456:I458"/>
    <mergeCell ref="J456:K458"/>
    <mergeCell ref="L456:M458"/>
    <mergeCell ref="N456:O458"/>
    <mergeCell ref="P456:Q458"/>
    <mergeCell ref="S453:T455"/>
    <mergeCell ref="U453:Z455"/>
    <mergeCell ref="AA453:AB455"/>
    <mergeCell ref="AC453:AD455"/>
    <mergeCell ref="AE453:AF455"/>
    <mergeCell ref="AG453:AH455"/>
    <mergeCell ref="B453:C455"/>
    <mergeCell ref="D453:I455"/>
    <mergeCell ref="J453:K455"/>
    <mergeCell ref="L453:M455"/>
    <mergeCell ref="N453:O455"/>
    <mergeCell ref="P453:Q455"/>
    <mergeCell ref="S450:T452"/>
    <mergeCell ref="U450:Z452"/>
    <mergeCell ref="AA450:AB452"/>
    <mergeCell ref="AC450:AD452"/>
    <mergeCell ref="AE450:AF452"/>
    <mergeCell ref="AG450:AH452"/>
    <mergeCell ref="B450:C452"/>
    <mergeCell ref="D450:I452"/>
    <mergeCell ref="J450:K452"/>
    <mergeCell ref="L450:M452"/>
    <mergeCell ref="N450:O452"/>
    <mergeCell ref="P450:Q452"/>
    <mergeCell ref="S447:T449"/>
    <mergeCell ref="U447:Z449"/>
    <mergeCell ref="AA447:AB449"/>
    <mergeCell ref="AC447:AD449"/>
    <mergeCell ref="AE447:AF449"/>
    <mergeCell ref="AG447:AH449"/>
    <mergeCell ref="B447:C449"/>
    <mergeCell ref="D447:I449"/>
    <mergeCell ref="J447:K449"/>
    <mergeCell ref="L447:M449"/>
    <mergeCell ref="N447:O449"/>
    <mergeCell ref="P447:Q449"/>
    <mergeCell ref="S444:T446"/>
    <mergeCell ref="U444:Z446"/>
    <mergeCell ref="AA444:AB446"/>
    <mergeCell ref="AC444:AD446"/>
    <mergeCell ref="AE444:AF446"/>
    <mergeCell ref="AG444:AH446"/>
    <mergeCell ref="B444:C446"/>
    <mergeCell ref="D444:I446"/>
    <mergeCell ref="J444:K446"/>
    <mergeCell ref="L444:M446"/>
    <mergeCell ref="N444:O446"/>
    <mergeCell ref="P444:Q446"/>
    <mergeCell ref="S441:T443"/>
    <mergeCell ref="U441:Z443"/>
    <mergeCell ref="AA441:AB443"/>
    <mergeCell ref="AC441:AD443"/>
    <mergeCell ref="AE441:AF443"/>
    <mergeCell ref="AG441:AH443"/>
    <mergeCell ref="B441:C443"/>
    <mergeCell ref="D441:I443"/>
    <mergeCell ref="J441:K443"/>
    <mergeCell ref="L441:M443"/>
    <mergeCell ref="N441:O443"/>
    <mergeCell ref="P441:Q443"/>
    <mergeCell ref="S438:T440"/>
    <mergeCell ref="U438:Z440"/>
    <mergeCell ref="AA438:AB440"/>
    <mergeCell ref="AC438:AD440"/>
    <mergeCell ref="AE438:AF440"/>
    <mergeCell ref="AG438:AH440"/>
    <mergeCell ref="B438:C440"/>
    <mergeCell ref="D438:I440"/>
    <mergeCell ref="J438:K440"/>
    <mergeCell ref="L438:M440"/>
    <mergeCell ref="N438:O440"/>
    <mergeCell ref="P438:Q440"/>
    <mergeCell ref="S435:T437"/>
    <mergeCell ref="U435:Z437"/>
    <mergeCell ref="AA435:AB437"/>
    <mergeCell ref="AC435:AD437"/>
    <mergeCell ref="AE435:AF437"/>
    <mergeCell ref="AG435:AH437"/>
    <mergeCell ref="B435:C437"/>
    <mergeCell ref="D435:I437"/>
    <mergeCell ref="J435:K437"/>
    <mergeCell ref="L435:M437"/>
    <mergeCell ref="N435:O437"/>
    <mergeCell ref="P435:Q437"/>
    <mergeCell ref="S432:T434"/>
    <mergeCell ref="U432:Z434"/>
    <mergeCell ref="AA432:AB434"/>
    <mergeCell ref="AC432:AD434"/>
    <mergeCell ref="AE432:AF434"/>
    <mergeCell ref="AG432:AH434"/>
    <mergeCell ref="B432:C434"/>
    <mergeCell ref="D432:I434"/>
    <mergeCell ref="J432:K434"/>
    <mergeCell ref="L432:M434"/>
    <mergeCell ref="N432:O434"/>
    <mergeCell ref="P432:Q434"/>
    <mergeCell ref="S429:T431"/>
    <mergeCell ref="U429:Z431"/>
    <mergeCell ref="AA429:AB431"/>
    <mergeCell ref="AC429:AD431"/>
    <mergeCell ref="AE429:AF431"/>
    <mergeCell ref="AG429:AH431"/>
    <mergeCell ref="B429:C431"/>
    <mergeCell ref="D429:I431"/>
    <mergeCell ref="J429:K431"/>
    <mergeCell ref="L429:M431"/>
    <mergeCell ref="N429:O431"/>
    <mergeCell ref="P429:Q431"/>
    <mergeCell ref="S426:T428"/>
    <mergeCell ref="U426:Z428"/>
    <mergeCell ref="AA426:AB428"/>
    <mergeCell ref="AC426:AD428"/>
    <mergeCell ref="AE426:AF428"/>
    <mergeCell ref="AG426:AH428"/>
    <mergeCell ref="B426:C428"/>
    <mergeCell ref="D426:I428"/>
    <mergeCell ref="J426:K428"/>
    <mergeCell ref="L426:M428"/>
    <mergeCell ref="N426:O428"/>
    <mergeCell ref="P426:Q428"/>
    <mergeCell ref="S423:T425"/>
    <mergeCell ref="U423:Z425"/>
    <mergeCell ref="AA423:AB425"/>
    <mergeCell ref="AC423:AD425"/>
    <mergeCell ref="AE423:AF425"/>
    <mergeCell ref="AG423:AH425"/>
    <mergeCell ref="B423:C425"/>
    <mergeCell ref="D423:I425"/>
    <mergeCell ref="J423:K425"/>
    <mergeCell ref="L423:M425"/>
    <mergeCell ref="N423:O425"/>
    <mergeCell ref="P423:Q425"/>
    <mergeCell ref="S420:T422"/>
    <mergeCell ref="U420:Z422"/>
    <mergeCell ref="AA420:AB422"/>
    <mergeCell ref="AC420:AD422"/>
    <mergeCell ref="AE420:AF422"/>
    <mergeCell ref="AG420:AH422"/>
    <mergeCell ref="B420:C422"/>
    <mergeCell ref="D420:I422"/>
    <mergeCell ref="J420:K422"/>
    <mergeCell ref="L420:M422"/>
    <mergeCell ref="N420:O422"/>
    <mergeCell ref="P420:Q422"/>
    <mergeCell ref="S417:T419"/>
    <mergeCell ref="U417:Z419"/>
    <mergeCell ref="AA417:AB419"/>
    <mergeCell ref="AC417:AD419"/>
    <mergeCell ref="AE417:AF419"/>
    <mergeCell ref="AG417:AH419"/>
    <mergeCell ref="B417:C419"/>
    <mergeCell ref="D417:I419"/>
    <mergeCell ref="J417:K419"/>
    <mergeCell ref="L417:M419"/>
    <mergeCell ref="N417:O419"/>
    <mergeCell ref="P417:Q419"/>
    <mergeCell ref="S414:T416"/>
    <mergeCell ref="U414:Z416"/>
    <mergeCell ref="AA414:AB416"/>
    <mergeCell ref="AC414:AD416"/>
    <mergeCell ref="AE414:AF416"/>
    <mergeCell ref="AG414:AH416"/>
    <mergeCell ref="B414:C416"/>
    <mergeCell ref="D414:I416"/>
    <mergeCell ref="J414:K416"/>
    <mergeCell ref="L414:M416"/>
    <mergeCell ref="N414:O416"/>
    <mergeCell ref="P414:Q416"/>
    <mergeCell ref="S411:T413"/>
    <mergeCell ref="U411:Z413"/>
    <mergeCell ref="AA411:AB413"/>
    <mergeCell ref="AC411:AD413"/>
    <mergeCell ref="AE411:AF413"/>
    <mergeCell ref="AG411:AH413"/>
    <mergeCell ref="B411:C413"/>
    <mergeCell ref="D411:I413"/>
    <mergeCell ref="J411:K413"/>
    <mergeCell ref="L411:M413"/>
    <mergeCell ref="N411:O413"/>
    <mergeCell ref="P411:Q413"/>
    <mergeCell ref="S408:T410"/>
    <mergeCell ref="U408:Z410"/>
    <mergeCell ref="AA408:AB410"/>
    <mergeCell ref="AC408:AD410"/>
    <mergeCell ref="AE408:AF410"/>
    <mergeCell ref="AG408:AH410"/>
    <mergeCell ref="B408:C410"/>
    <mergeCell ref="D408:I410"/>
    <mergeCell ref="J408:K410"/>
    <mergeCell ref="L408:M410"/>
    <mergeCell ref="N408:O410"/>
    <mergeCell ref="P408:Q410"/>
    <mergeCell ref="S405:T407"/>
    <mergeCell ref="U405:Z407"/>
    <mergeCell ref="AA405:AB407"/>
    <mergeCell ref="AC405:AD407"/>
    <mergeCell ref="AE405:AF407"/>
    <mergeCell ref="AG405:AH407"/>
    <mergeCell ref="B405:C407"/>
    <mergeCell ref="D405:I407"/>
    <mergeCell ref="J405:K407"/>
    <mergeCell ref="L405:M407"/>
    <mergeCell ref="N405:O407"/>
    <mergeCell ref="P405:Q407"/>
    <mergeCell ref="S402:T404"/>
    <mergeCell ref="U402:Z404"/>
    <mergeCell ref="AA402:AB404"/>
    <mergeCell ref="AC402:AD404"/>
    <mergeCell ref="AE402:AF404"/>
    <mergeCell ref="AG402:AH404"/>
    <mergeCell ref="B402:C404"/>
    <mergeCell ref="D402:I404"/>
    <mergeCell ref="J402:K404"/>
    <mergeCell ref="L402:M404"/>
    <mergeCell ref="N402:O404"/>
    <mergeCell ref="P402:Q404"/>
    <mergeCell ref="S399:T401"/>
    <mergeCell ref="U399:Z401"/>
    <mergeCell ref="AA399:AB401"/>
    <mergeCell ref="AC399:AD401"/>
    <mergeCell ref="AE399:AF401"/>
    <mergeCell ref="AG399:AH401"/>
    <mergeCell ref="B399:C401"/>
    <mergeCell ref="D399:I401"/>
    <mergeCell ref="J399:K401"/>
    <mergeCell ref="L399:M401"/>
    <mergeCell ref="N399:O401"/>
    <mergeCell ref="P399:Q401"/>
    <mergeCell ref="S396:T398"/>
    <mergeCell ref="U396:Z398"/>
    <mergeCell ref="AA396:AB398"/>
    <mergeCell ref="AC396:AD398"/>
    <mergeCell ref="AE396:AF398"/>
    <mergeCell ref="AG396:AH398"/>
    <mergeCell ref="B396:C398"/>
    <mergeCell ref="D396:I398"/>
    <mergeCell ref="J396:K398"/>
    <mergeCell ref="L396:M398"/>
    <mergeCell ref="N396:O398"/>
    <mergeCell ref="P396:Q398"/>
    <mergeCell ref="S393:T395"/>
    <mergeCell ref="U393:Z395"/>
    <mergeCell ref="AA393:AB395"/>
    <mergeCell ref="AC393:AD395"/>
    <mergeCell ref="AE393:AF395"/>
    <mergeCell ref="AG393:AH395"/>
    <mergeCell ref="B393:C395"/>
    <mergeCell ref="D393:I395"/>
    <mergeCell ref="J393:K395"/>
    <mergeCell ref="L393:M395"/>
    <mergeCell ref="N393:O395"/>
    <mergeCell ref="P393:Q395"/>
    <mergeCell ref="S390:T392"/>
    <mergeCell ref="U390:Z392"/>
    <mergeCell ref="AA390:AB392"/>
    <mergeCell ref="AC390:AD392"/>
    <mergeCell ref="AE390:AF392"/>
    <mergeCell ref="AG390:AH392"/>
    <mergeCell ref="B390:C392"/>
    <mergeCell ref="D390:I392"/>
    <mergeCell ref="J390:K392"/>
    <mergeCell ref="L390:M392"/>
    <mergeCell ref="N390:O392"/>
    <mergeCell ref="P390:Q392"/>
    <mergeCell ref="S387:T389"/>
    <mergeCell ref="U387:Z389"/>
    <mergeCell ref="AA387:AB389"/>
    <mergeCell ref="AC387:AD389"/>
    <mergeCell ref="AE387:AF389"/>
    <mergeCell ref="AG387:AH389"/>
    <mergeCell ref="B387:C389"/>
    <mergeCell ref="D387:I389"/>
    <mergeCell ref="J387:K389"/>
    <mergeCell ref="L387:M389"/>
    <mergeCell ref="N387:O389"/>
    <mergeCell ref="P387:Q389"/>
    <mergeCell ref="S384:T386"/>
    <mergeCell ref="U384:Z386"/>
    <mergeCell ref="AA384:AB386"/>
    <mergeCell ref="AC384:AD386"/>
    <mergeCell ref="AE384:AF386"/>
    <mergeCell ref="AG384:AH386"/>
    <mergeCell ref="B384:C386"/>
    <mergeCell ref="D384:I386"/>
    <mergeCell ref="J384:K386"/>
    <mergeCell ref="L384:M386"/>
    <mergeCell ref="N384:O386"/>
    <mergeCell ref="P384:Q386"/>
    <mergeCell ref="S381:T383"/>
    <mergeCell ref="U381:Z383"/>
    <mergeCell ref="AA381:AB383"/>
    <mergeCell ref="AC381:AD383"/>
    <mergeCell ref="AE381:AF383"/>
    <mergeCell ref="AG381:AH383"/>
    <mergeCell ref="B381:C383"/>
    <mergeCell ref="D381:I383"/>
    <mergeCell ref="J381:K383"/>
    <mergeCell ref="L381:M383"/>
    <mergeCell ref="N381:O383"/>
    <mergeCell ref="P381:Q383"/>
    <mergeCell ref="S378:T380"/>
    <mergeCell ref="U378:Z380"/>
    <mergeCell ref="AA378:AB380"/>
    <mergeCell ref="AC378:AD380"/>
    <mergeCell ref="AE378:AF380"/>
    <mergeCell ref="AG378:AH380"/>
    <mergeCell ref="B378:C380"/>
    <mergeCell ref="D378:I380"/>
    <mergeCell ref="J378:K380"/>
    <mergeCell ref="L378:M380"/>
    <mergeCell ref="N378:O380"/>
    <mergeCell ref="P378:Q380"/>
    <mergeCell ref="S375:T377"/>
    <mergeCell ref="U375:Z377"/>
    <mergeCell ref="AA375:AB377"/>
    <mergeCell ref="AC375:AD377"/>
    <mergeCell ref="AE375:AF377"/>
    <mergeCell ref="AG375:AH377"/>
    <mergeCell ref="B375:C377"/>
    <mergeCell ref="D375:I377"/>
    <mergeCell ref="J375:K377"/>
    <mergeCell ref="L375:M377"/>
    <mergeCell ref="N375:O377"/>
    <mergeCell ref="P375:Q377"/>
    <mergeCell ref="S372:T374"/>
    <mergeCell ref="U372:Z374"/>
    <mergeCell ref="AA372:AB374"/>
    <mergeCell ref="AC372:AD374"/>
    <mergeCell ref="AE372:AF374"/>
    <mergeCell ref="AG372:AH374"/>
    <mergeCell ref="B372:C374"/>
    <mergeCell ref="D372:I374"/>
    <mergeCell ref="J372:K374"/>
    <mergeCell ref="L372:M374"/>
    <mergeCell ref="N372:O374"/>
    <mergeCell ref="P372:Q374"/>
    <mergeCell ref="S369:T371"/>
    <mergeCell ref="U369:Z371"/>
    <mergeCell ref="AA369:AB371"/>
    <mergeCell ref="AC369:AD371"/>
    <mergeCell ref="AE369:AF371"/>
    <mergeCell ref="AG369:AH371"/>
    <mergeCell ref="B369:C371"/>
    <mergeCell ref="D369:I371"/>
    <mergeCell ref="J369:K371"/>
    <mergeCell ref="L369:M371"/>
    <mergeCell ref="N369:O371"/>
    <mergeCell ref="P369:Q371"/>
    <mergeCell ref="S366:T368"/>
    <mergeCell ref="U366:Z368"/>
    <mergeCell ref="AA366:AB368"/>
    <mergeCell ref="AC366:AD368"/>
    <mergeCell ref="AE366:AF368"/>
    <mergeCell ref="AG366:AH368"/>
    <mergeCell ref="B366:C368"/>
    <mergeCell ref="D366:I368"/>
    <mergeCell ref="J366:K368"/>
    <mergeCell ref="L366:M368"/>
    <mergeCell ref="N366:O368"/>
    <mergeCell ref="P366:Q368"/>
    <mergeCell ref="S363:T365"/>
    <mergeCell ref="U363:Z365"/>
    <mergeCell ref="AA363:AB365"/>
    <mergeCell ref="AC363:AD365"/>
    <mergeCell ref="AE363:AF365"/>
    <mergeCell ref="AG363:AH365"/>
    <mergeCell ref="B363:C365"/>
    <mergeCell ref="D363:I365"/>
    <mergeCell ref="J363:K365"/>
    <mergeCell ref="L363:M365"/>
    <mergeCell ref="N363:O365"/>
    <mergeCell ref="P363:Q365"/>
    <mergeCell ref="S360:T362"/>
    <mergeCell ref="U360:Z362"/>
    <mergeCell ref="AA360:AB362"/>
    <mergeCell ref="AC360:AD362"/>
    <mergeCell ref="AE360:AF362"/>
    <mergeCell ref="AG360:AH362"/>
    <mergeCell ref="B360:C362"/>
    <mergeCell ref="D360:I362"/>
    <mergeCell ref="J360:K362"/>
    <mergeCell ref="L360:M362"/>
    <mergeCell ref="N360:O362"/>
    <mergeCell ref="P360:Q362"/>
    <mergeCell ref="S357:T359"/>
    <mergeCell ref="U357:Z359"/>
    <mergeCell ref="AA357:AB359"/>
    <mergeCell ref="AC357:AD359"/>
    <mergeCell ref="AE357:AF359"/>
    <mergeCell ref="AG357:AH359"/>
    <mergeCell ref="B357:C359"/>
    <mergeCell ref="D357:I359"/>
    <mergeCell ref="J357:K359"/>
    <mergeCell ref="L357:M359"/>
    <mergeCell ref="N357:O359"/>
    <mergeCell ref="P357:Q359"/>
    <mergeCell ref="S354:T356"/>
    <mergeCell ref="U354:Z356"/>
    <mergeCell ref="AA354:AB356"/>
    <mergeCell ref="AC354:AD356"/>
    <mergeCell ref="AE354:AF356"/>
    <mergeCell ref="AG354:AH356"/>
    <mergeCell ref="B354:C356"/>
    <mergeCell ref="D354:I356"/>
    <mergeCell ref="J354:K356"/>
    <mergeCell ref="L354:M356"/>
    <mergeCell ref="N354:O356"/>
    <mergeCell ref="P354:Q356"/>
    <mergeCell ref="S351:T353"/>
    <mergeCell ref="U351:Z353"/>
    <mergeCell ref="AA351:AB353"/>
    <mergeCell ref="AC351:AD353"/>
    <mergeCell ref="AE351:AF353"/>
    <mergeCell ref="AG351:AH353"/>
    <mergeCell ref="B351:C353"/>
    <mergeCell ref="D351:I353"/>
    <mergeCell ref="J351:K353"/>
    <mergeCell ref="L351:M353"/>
    <mergeCell ref="N351:O353"/>
    <mergeCell ref="P351:Q353"/>
    <mergeCell ref="S348:T350"/>
    <mergeCell ref="U348:Z350"/>
    <mergeCell ref="AA348:AB350"/>
    <mergeCell ref="AC348:AD350"/>
    <mergeCell ref="AE348:AF350"/>
    <mergeCell ref="AG348:AH350"/>
    <mergeCell ref="B348:C350"/>
    <mergeCell ref="D348:I350"/>
    <mergeCell ref="J348:K350"/>
    <mergeCell ref="L348:M350"/>
    <mergeCell ref="N348:O350"/>
    <mergeCell ref="P348:Q350"/>
    <mergeCell ref="S345:T347"/>
    <mergeCell ref="U345:Z347"/>
    <mergeCell ref="AA345:AB347"/>
    <mergeCell ref="AC345:AD347"/>
    <mergeCell ref="AE345:AF347"/>
    <mergeCell ref="AG345:AH347"/>
    <mergeCell ref="B345:C347"/>
    <mergeCell ref="D345:I347"/>
    <mergeCell ref="J345:K347"/>
    <mergeCell ref="L345:M347"/>
    <mergeCell ref="N345:O347"/>
    <mergeCell ref="P345:Q347"/>
    <mergeCell ref="S342:T344"/>
    <mergeCell ref="U342:Z344"/>
    <mergeCell ref="AA342:AB344"/>
    <mergeCell ref="AC342:AD344"/>
    <mergeCell ref="AE342:AF344"/>
    <mergeCell ref="AG342:AH344"/>
    <mergeCell ref="B342:C344"/>
    <mergeCell ref="D342:I344"/>
    <mergeCell ref="J342:K344"/>
    <mergeCell ref="L342:M344"/>
    <mergeCell ref="N342:O344"/>
    <mergeCell ref="P342:Q344"/>
    <mergeCell ref="S339:T341"/>
    <mergeCell ref="U339:Z341"/>
    <mergeCell ref="AA339:AB341"/>
    <mergeCell ref="AC339:AD341"/>
    <mergeCell ref="AE339:AF341"/>
    <mergeCell ref="AG339:AH341"/>
    <mergeCell ref="B339:C341"/>
    <mergeCell ref="D339:I341"/>
    <mergeCell ref="J339:K341"/>
    <mergeCell ref="L339:M341"/>
    <mergeCell ref="N339:O341"/>
    <mergeCell ref="P339:Q341"/>
    <mergeCell ref="S336:T338"/>
    <mergeCell ref="U336:Z338"/>
    <mergeCell ref="AA336:AB338"/>
    <mergeCell ref="AC336:AD338"/>
    <mergeCell ref="AE336:AF338"/>
    <mergeCell ref="AG336:AH338"/>
    <mergeCell ref="B336:C338"/>
    <mergeCell ref="D336:I338"/>
    <mergeCell ref="J336:K338"/>
    <mergeCell ref="L336:M338"/>
    <mergeCell ref="N336:O338"/>
    <mergeCell ref="P336:Q338"/>
    <mergeCell ref="S333:T335"/>
    <mergeCell ref="U333:Z335"/>
    <mergeCell ref="AA333:AB335"/>
    <mergeCell ref="AC333:AD335"/>
    <mergeCell ref="AE333:AF335"/>
    <mergeCell ref="AG333:AH335"/>
    <mergeCell ref="B333:C335"/>
    <mergeCell ref="D333:I335"/>
    <mergeCell ref="J333:K335"/>
    <mergeCell ref="L333:M335"/>
    <mergeCell ref="N333:O335"/>
    <mergeCell ref="P333:Q335"/>
    <mergeCell ref="S330:T332"/>
    <mergeCell ref="U330:Z332"/>
    <mergeCell ref="AA330:AB332"/>
    <mergeCell ref="AC330:AD332"/>
    <mergeCell ref="AE330:AF332"/>
    <mergeCell ref="AG330:AH332"/>
    <mergeCell ref="B330:C332"/>
    <mergeCell ref="D330:I332"/>
    <mergeCell ref="J330:K332"/>
    <mergeCell ref="L330:M332"/>
    <mergeCell ref="N330:O332"/>
    <mergeCell ref="P330:Q332"/>
    <mergeCell ref="S327:T329"/>
    <mergeCell ref="U327:Z329"/>
    <mergeCell ref="AA327:AB329"/>
    <mergeCell ref="AC327:AD329"/>
    <mergeCell ref="AE327:AF329"/>
    <mergeCell ref="AG327:AH329"/>
    <mergeCell ref="B327:C329"/>
    <mergeCell ref="D327:I329"/>
    <mergeCell ref="J327:K329"/>
    <mergeCell ref="L327:M329"/>
    <mergeCell ref="N327:O329"/>
    <mergeCell ref="P327:Q329"/>
    <mergeCell ref="S324:T326"/>
    <mergeCell ref="U324:Z326"/>
    <mergeCell ref="AA324:AB326"/>
    <mergeCell ref="AC324:AD326"/>
    <mergeCell ref="AE324:AF326"/>
    <mergeCell ref="AG324:AH326"/>
    <mergeCell ref="B324:C326"/>
    <mergeCell ref="D324:I326"/>
    <mergeCell ref="J324:K326"/>
    <mergeCell ref="L324:M326"/>
    <mergeCell ref="N324:O326"/>
    <mergeCell ref="P324:Q326"/>
    <mergeCell ref="S321:T323"/>
    <mergeCell ref="U321:Z323"/>
    <mergeCell ref="AA321:AB323"/>
    <mergeCell ref="AC321:AD323"/>
    <mergeCell ref="AE321:AF323"/>
    <mergeCell ref="AG321:AH323"/>
    <mergeCell ref="B321:C323"/>
    <mergeCell ref="D321:I323"/>
    <mergeCell ref="J321:K323"/>
    <mergeCell ref="L321:M323"/>
    <mergeCell ref="N321:O323"/>
    <mergeCell ref="P321:Q323"/>
    <mergeCell ref="S318:T320"/>
    <mergeCell ref="U318:Z320"/>
    <mergeCell ref="AA318:AB320"/>
    <mergeCell ref="AC318:AD320"/>
    <mergeCell ref="AE318:AF320"/>
    <mergeCell ref="AG318:AH320"/>
    <mergeCell ref="B318:C320"/>
    <mergeCell ref="D318:I320"/>
    <mergeCell ref="J318:K320"/>
    <mergeCell ref="L318:M320"/>
    <mergeCell ref="N318:O320"/>
    <mergeCell ref="P318:Q320"/>
    <mergeCell ref="S315:T317"/>
    <mergeCell ref="U315:Z317"/>
    <mergeCell ref="AA315:AB317"/>
    <mergeCell ref="AC315:AD317"/>
    <mergeCell ref="AE315:AF317"/>
    <mergeCell ref="AG315:AH317"/>
    <mergeCell ref="B315:C317"/>
    <mergeCell ref="D315:I317"/>
    <mergeCell ref="J315:K317"/>
    <mergeCell ref="L315:M317"/>
    <mergeCell ref="N315:O317"/>
    <mergeCell ref="P315:Q317"/>
    <mergeCell ref="S312:T314"/>
    <mergeCell ref="U312:Z314"/>
    <mergeCell ref="AA312:AB314"/>
    <mergeCell ref="AC312:AD314"/>
    <mergeCell ref="AE312:AF314"/>
    <mergeCell ref="AG312:AH314"/>
    <mergeCell ref="B312:C314"/>
    <mergeCell ref="D312:I314"/>
    <mergeCell ref="J312:K314"/>
    <mergeCell ref="L312:M314"/>
    <mergeCell ref="N312:O314"/>
    <mergeCell ref="P312:Q314"/>
    <mergeCell ref="S309:T311"/>
    <mergeCell ref="U309:Z311"/>
    <mergeCell ref="AA309:AB311"/>
    <mergeCell ref="AC309:AD311"/>
    <mergeCell ref="AE309:AF311"/>
    <mergeCell ref="AG309:AH311"/>
    <mergeCell ref="B309:C311"/>
    <mergeCell ref="D309:I311"/>
    <mergeCell ref="J309:K311"/>
    <mergeCell ref="L309:M311"/>
    <mergeCell ref="N309:O311"/>
    <mergeCell ref="P309:Q311"/>
    <mergeCell ref="S306:T308"/>
    <mergeCell ref="U306:Z308"/>
    <mergeCell ref="AA306:AB308"/>
    <mergeCell ref="AC306:AD308"/>
    <mergeCell ref="AE306:AF308"/>
    <mergeCell ref="AG306:AH308"/>
    <mergeCell ref="B306:C308"/>
    <mergeCell ref="D306:I308"/>
    <mergeCell ref="J306:K308"/>
    <mergeCell ref="L306:M308"/>
    <mergeCell ref="N306:O308"/>
    <mergeCell ref="P306:Q308"/>
    <mergeCell ref="S303:T305"/>
    <mergeCell ref="U303:Z305"/>
    <mergeCell ref="AA303:AB305"/>
    <mergeCell ref="AC303:AD305"/>
    <mergeCell ref="AE303:AF305"/>
    <mergeCell ref="AG303:AH305"/>
    <mergeCell ref="B303:C305"/>
    <mergeCell ref="D303:I305"/>
    <mergeCell ref="J303:K305"/>
    <mergeCell ref="L303:M305"/>
    <mergeCell ref="N303:O305"/>
    <mergeCell ref="P303:Q305"/>
    <mergeCell ref="S300:T302"/>
    <mergeCell ref="U300:Z302"/>
    <mergeCell ref="AA300:AB302"/>
    <mergeCell ref="AC300:AD302"/>
    <mergeCell ref="AE300:AF302"/>
    <mergeCell ref="AG300:AH302"/>
    <mergeCell ref="B300:C302"/>
    <mergeCell ref="D300:I302"/>
    <mergeCell ref="J300:K302"/>
    <mergeCell ref="L300:M302"/>
    <mergeCell ref="N300:O302"/>
    <mergeCell ref="P300:Q302"/>
    <mergeCell ref="S297:T299"/>
    <mergeCell ref="U297:Z299"/>
    <mergeCell ref="AA297:AB299"/>
    <mergeCell ref="AC297:AD299"/>
    <mergeCell ref="AE297:AF299"/>
    <mergeCell ref="AG297:AH299"/>
    <mergeCell ref="B297:C299"/>
    <mergeCell ref="D297:I299"/>
    <mergeCell ref="J297:K299"/>
    <mergeCell ref="L297:M299"/>
    <mergeCell ref="N297:O299"/>
    <mergeCell ref="P297:Q299"/>
    <mergeCell ref="S294:T296"/>
    <mergeCell ref="U294:Z296"/>
    <mergeCell ref="AA294:AB296"/>
    <mergeCell ref="AC294:AD296"/>
    <mergeCell ref="AE294:AF296"/>
    <mergeCell ref="AG294:AH296"/>
    <mergeCell ref="B294:C296"/>
    <mergeCell ref="D294:I296"/>
    <mergeCell ref="J294:K296"/>
    <mergeCell ref="L294:M296"/>
    <mergeCell ref="N294:O296"/>
    <mergeCell ref="P294:Q296"/>
    <mergeCell ref="S291:T293"/>
    <mergeCell ref="U291:Z293"/>
    <mergeCell ref="AA291:AB293"/>
    <mergeCell ref="AC291:AD293"/>
    <mergeCell ref="AE291:AF293"/>
    <mergeCell ref="AG291:AH293"/>
    <mergeCell ref="B291:C293"/>
    <mergeCell ref="D291:I293"/>
    <mergeCell ref="J291:K293"/>
    <mergeCell ref="L291:M293"/>
    <mergeCell ref="N291:O293"/>
    <mergeCell ref="P291:Q293"/>
    <mergeCell ref="S288:T290"/>
    <mergeCell ref="U288:Z290"/>
    <mergeCell ref="AA288:AB290"/>
    <mergeCell ref="AC288:AD290"/>
    <mergeCell ref="AE288:AF290"/>
    <mergeCell ref="AG288:AH290"/>
    <mergeCell ref="B288:C290"/>
    <mergeCell ref="D288:I290"/>
    <mergeCell ref="J288:K290"/>
    <mergeCell ref="L288:M290"/>
    <mergeCell ref="N288:O290"/>
    <mergeCell ref="P288:Q290"/>
    <mergeCell ref="S285:T287"/>
    <mergeCell ref="U285:Z287"/>
    <mergeCell ref="AA285:AB287"/>
    <mergeCell ref="AC285:AD287"/>
    <mergeCell ref="AE285:AF287"/>
    <mergeCell ref="AG285:AH287"/>
    <mergeCell ref="B285:C287"/>
    <mergeCell ref="D285:I287"/>
    <mergeCell ref="J285:K287"/>
    <mergeCell ref="L285:M287"/>
    <mergeCell ref="N285:O287"/>
    <mergeCell ref="P285:Q287"/>
    <mergeCell ref="S282:T284"/>
    <mergeCell ref="U282:Z284"/>
    <mergeCell ref="AA282:AB284"/>
    <mergeCell ref="AC282:AD284"/>
    <mergeCell ref="AE282:AF284"/>
    <mergeCell ref="AG282:AH284"/>
    <mergeCell ref="B282:C284"/>
    <mergeCell ref="D282:I284"/>
    <mergeCell ref="J282:K284"/>
    <mergeCell ref="L282:M284"/>
    <mergeCell ref="N282:O284"/>
    <mergeCell ref="P282:Q284"/>
    <mergeCell ref="S279:T281"/>
    <mergeCell ref="U279:Z281"/>
    <mergeCell ref="AA279:AB281"/>
    <mergeCell ref="AC279:AD281"/>
    <mergeCell ref="AE279:AF281"/>
    <mergeCell ref="AG279:AH281"/>
    <mergeCell ref="B279:C281"/>
    <mergeCell ref="D279:I281"/>
    <mergeCell ref="J279:K281"/>
    <mergeCell ref="L279:M281"/>
    <mergeCell ref="N279:O281"/>
    <mergeCell ref="P279:Q281"/>
    <mergeCell ref="S276:T278"/>
    <mergeCell ref="U276:Z278"/>
    <mergeCell ref="AA276:AB278"/>
    <mergeCell ref="AC276:AD278"/>
    <mergeCell ref="AE276:AF278"/>
    <mergeCell ref="AG276:AH278"/>
    <mergeCell ref="B276:C278"/>
    <mergeCell ref="D276:I278"/>
    <mergeCell ref="J276:K278"/>
    <mergeCell ref="L276:M278"/>
    <mergeCell ref="N276:O278"/>
    <mergeCell ref="P276:Q278"/>
    <mergeCell ref="S273:T275"/>
    <mergeCell ref="U273:Z275"/>
    <mergeCell ref="AA273:AB275"/>
    <mergeCell ref="AC273:AD275"/>
    <mergeCell ref="AE273:AF275"/>
    <mergeCell ref="AG273:AH275"/>
    <mergeCell ref="B273:C275"/>
    <mergeCell ref="D273:I275"/>
    <mergeCell ref="J273:K275"/>
    <mergeCell ref="L273:M275"/>
    <mergeCell ref="N273:O275"/>
    <mergeCell ref="P273:Q275"/>
    <mergeCell ref="S270:T272"/>
    <mergeCell ref="U270:Z272"/>
    <mergeCell ref="AA270:AB272"/>
    <mergeCell ref="AC270:AD272"/>
    <mergeCell ref="AE270:AF272"/>
    <mergeCell ref="AG270:AH272"/>
    <mergeCell ref="B270:C272"/>
    <mergeCell ref="D270:I272"/>
    <mergeCell ref="J270:K272"/>
    <mergeCell ref="L270:M272"/>
    <mergeCell ref="N270:O272"/>
    <mergeCell ref="P270:Q272"/>
    <mergeCell ref="S267:T269"/>
    <mergeCell ref="U267:Z269"/>
    <mergeCell ref="AA267:AB269"/>
    <mergeCell ref="AC267:AD269"/>
    <mergeCell ref="AE267:AF269"/>
    <mergeCell ref="AG267:AH269"/>
    <mergeCell ref="B267:C269"/>
    <mergeCell ref="D267:I269"/>
    <mergeCell ref="J267:K269"/>
    <mergeCell ref="L267:M269"/>
    <mergeCell ref="N267:O269"/>
    <mergeCell ref="P267:Q269"/>
    <mergeCell ref="S264:T266"/>
    <mergeCell ref="U264:Z266"/>
    <mergeCell ref="AA264:AB266"/>
    <mergeCell ref="AC264:AD266"/>
    <mergeCell ref="AE264:AF266"/>
    <mergeCell ref="AG264:AH266"/>
    <mergeCell ref="B264:C266"/>
    <mergeCell ref="D264:I266"/>
    <mergeCell ref="J264:K266"/>
    <mergeCell ref="L264:M266"/>
    <mergeCell ref="N264:O266"/>
    <mergeCell ref="P264:Q266"/>
    <mergeCell ref="S261:T263"/>
    <mergeCell ref="U261:Z263"/>
    <mergeCell ref="AA261:AB263"/>
    <mergeCell ref="AC261:AD263"/>
    <mergeCell ref="AE261:AF263"/>
    <mergeCell ref="AG261:AH263"/>
    <mergeCell ref="B261:C263"/>
    <mergeCell ref="D261:I263"/>
    <mergeCell ref="J261:K263"/>
    <mergeCell ref="L261:M263"/>
    <mergeCell ref="N261:O263"/>
    <mergeCell ref="P261:Q263"/>
    <mergeCell ref="S258:T260"/>
    <mergeCell ref="U258:Z260"/>
    <mergeCell ref="AA258:AB260"/>
    <mergeCell ref="AC258:AD260"/>
    <mergeCell ref="AE258:AF260"/>
    <mergeCell ref="AG258:AH260"/>
    <mergeCell ref="B258:C260"/>
    <mergeCell ref="D258:I260"/>
    <mergeCell ref="J258:K260"/>
    <mergeCell ref="L258:M260"/>
    <mergeCell ref="N258:O260"/>
    <mergeCell ref="P258:Q260"/>
    <mergeCell ref="S255:T257"/>
    <mergeCell ref="U255:Z257"/>
    <mergeCell ref="AA255:AB257"/>
    <mergeCell ref="AC255:AD257"/>
    <mergeCell ref="AE255:AF257"/>
    <mergeCell ref="AG255:AH257"/>
    <mergeCell ref="B255:C257"/>
    <mergeCell ref="D255:I257"/>
    <mergeCell ref="J255:K257"/>
    <mergeCell ref="L255:M257"/>
    <mergeCell ref="N255:O257"/>
    <mergeCell ref="P255:Q257"/>
    <mergeCell ref="S252:T254"/>
    <mergeCell ref="U252:Z254"/>
    <mergeCell ref="AA252:AB254"/>
    <mergeCell ref="AC252:AD254"/>
    <mergeCell ref="AE252:AF254"/>
    <mergeCell ref="AG252:AH254"/>
    <mergeCell ref="B252:C254"/>
    <mergeCell ref="D252:I254"/>
    <mergeCell ref="J252:K254"/>
    <mergeCell ref="L252:M254"/>
    <mergeCell ref="N252:O254"/>
    <mergeCell ref="P252:Q254"/>
    <mergeCell ref="S249:T251"/>
    <mergeCell ref="U249:Z251"/>
    <mergeCell ref="AA249:AB251"/>
    <mergeCell ref="AC249:AD251"/>
    <mergeCell ref="AE249:AF251"/>
    <mergeCell ref="AG249:AH251"/>
    <mergeCell ref="B249:C251"/>
    <mergeCell ref="D249:I251"/>
    <mergeCell ref="J249:K251"/>
    <mergeCell ref="L249:M251"/>
    <mergeCell ref="N249:O251"/>
    <mergeCell ref="P249:Q251"/>
    <mergeCell ref="S246:T248"/>
    <mergeCell ref="U246:Z248"/>
    <mergeCell ref="AA246:AB248"/>
    <mergeCell ref="AC246:AD248"/>
    <mergeCell ref="AE246:AF248"/>
    <mergeCell ref="AG246:AH248"/>
    <mergeCell ref="B246:C248"/>
    <mergeCell ref="D246:I248"/>
    <mergeCell ref="J246:K248"/>
    <mergeCell ref="L246:M248"/>
    <mergeCell ref="N246:O248"/>
    <mergeCell ref="P246:Q248"/>
    <mergeCell ref="S243:T245"/>
    <mergeCell ref="U243:Z245"/>
    <mergeCell ref="AA243:AB245"/>
    <mergeCell ref="AC243:AD245"/>
    <mergeCell ref="AE243:AF245"/>
    <mergeCell ref="AG243:AH245"/>
    <mergeCell ref="B243:C245"/>
    <mergeCell ref="D243:I245"/>
    <mergeCell ref="J243:K245"/>
    <mergeCell ref="L243:M245"/>
    <mergeCell ref="N243:O245"/>
    <mergeCell ref="P243:Q245"/>
    <mergeCell ref="S240:T242"/>
    <mergeCell ref="U240:Z242"/>
    <mergeCell ref="AA240:AB242"/>
    <mergeCell ref="AC240:AD242"/>
    <mergeCell ref="AE240:AF242"/>
    <mergeCell ref="AG240:AH242"/>
    <mergeCell ref="B240:C242"/>
    <mergeCell ref="D240:I242"/>
    <mergeCell ref="J240:K242"/>
    <mergeCell ref="L240:M242"/>
    <mergeCell ref="N240:O242"/>
    <mergeCell ref="P240:Q242"/>
    <mergeCell ref="S237:T239"/>
    <mergeCell ref="U237:Z239"/>
    <mergeCell ref="AA237:AB239"/>
    <mergeCell ref="AC237:AD239"/>
    <mergeCell ref="AE237:AF239"/>
    <mergeCell ref="AG237:AH239"/>
    <mergeCell ref="B237:C239"/>
    <mergeCell ref="D237:I239"/>
    <mergeCell ref="J237:K239"/>
    <mergeCell ref="L237:M239"/>
    <mergeCell ref="N237:O239"/>
    <mergeCell ref="P237:Q239"/>
    <mergeCell ref="S234:T236"/>
    <mergeCell ref="U234:Z236"/>
    <mergeCell ref="AA234:AB236"/>
    <mergeCell ref="AC234:AD236"/>
    <mergeCell ref="AE234:AF236"/>
    <mergeCell ref="AG234:AH236"/>
    <mergeCell ref="B234:C236"/>
    <mergeCell ref="D234:I236"/>
    <mergeCell ref="J234:K236"/>
    <mergeCell ref="L234:M236"/>
    <mergeCell ref="N234:O236"/>
    <mergeCell ref="P234:Q236"/>
    <mergeCell ref="S231:T233"/>
    <mergeCell ref="U231:Z233"/>
    <mergeCell ref="AA231:AB233"/>
    <mergeCell ref="AC231:AD233"/>
    <mergeCell ref="AE231:AF233"/>
    <mergeCell ref="AG231:AH233"/>
    <mergeCell ref="B231:C233"/>
    <mergeCell ref="D231:I233"/>
    <mergeCell ref="J231:K233"/>
    <mergeCell ref="L231:M233"/>
    <mergeCell ref="N231:O233"/>
    <mergeCell ref="P231:Q233"/>
    <mergeCell ref="S228:T230"/>
    <mergeCell ref="U228:Z230"/>
    <mergeCell ref="AA228:AB230"/>
    <mergeCell ref="AC228:AD230"/>
    <mergeCell ref="AE228:AF230"/>
    <mergeCell ref="AG228:AH230"/>
    <mergeCell ref="B228:C230"/>
    <mergeCell ref="D228:I230"/>
    <mergeCell ref="J228:K230"/>
    <mergeCell ref="L228:M230"/>
    <mergeCell ref="N228:O230"/>
    <mergeCell ref="P228:Q230"/>
    <mergeCell ref="S225:T227"/>
    <mergeCell ref="U225:Z227"/>
    <mergeCell ref="AA225:AB227"/>
    <mergeCell ref="AC225:AD227"/>
    <mergeCell ref="AE225:AF227"/>
    <mergeCell ref="AG225:AH227"/>
    <mergeCell ref="B225:C227"/>
    <mergeCell ref="D225:I227"/>
    <mergeCell ref="J225:K227"/>
    <mergeCell ref="L225:M227"/>
    <mergeCell ref="N225:O227"/>
    <mergeCell ref="P225:Q227"/>
    <mergeCell ref="S222:T224"/>
    <mergeCell ref="U222:Z224"/>
    <mergeCell ref="AA222:AB224"/>
    <mergeCell ref="AC222:AD224"/>
    <mergeCell ref="AE222:AF224"/>
    <mergeCell ref="AG222:AH224"/>
    <mergeCell ref="B222:C224"/>
    <mergeCell ref="D222:I224"/>
    <mergeCell ref="J222:K224"/>
    <mergeCell ref="L222:M224"/>
    <mergeCell ref="N222:O224"/>
    <mergeCell ref="P222:Q224"/>
    <mergeCell ref="S219:T221"/>
    <mergeCell ref="U219:Z221"/>
    <mergeCell ref="AA219:AB221"/>
    <mergeCell ref="AC219:AD221"/>
    <mergeCell ref="AE219:AF221"/>
    <mergeCell ref="AG219:AH221"/>
    <mergeCell ref="B219:C221"/>
    <mergeCell ref="D219:I221"/>
    <mergeCell ref="J219:K221"/>
    <mergeCell ref="L219:M221"/>
    <mergeCell ref="N219:O221"/>
    <mergeCell ref="P219:Q221"/>
    <mergeCell ref="S216:T218"/>
    <mergeCell ref="U216:Z218"/>
    <mergeCell ref="AA216:AB218"/>
    <mergeCell ref="AC216:AD218"/>
    <mergeCell ref="AE216:AF218"/>
    <mergeCell ref="AG216:AH218"/>
    <mergeCell ref="B216:C218"/>
    <mergeCell ref="D216:I218"/>
    <mergeCell ref="J216:K218"/>
    <mergeCell ref="L216:M218"/>
    <mergeCell ref="N216:O218"/>
    <mergeCell ref="P216:Q218"/>
    <mergeCell ref="S213:T215"/>
    <mergeCell ref="U213:Z215"/>
    <mergeCell ref="AA213:AB215"/>
    <mergeCell ref="AC213:AD215"/>
    <mergeCell ref="AE213:AF215"/>
    <mergeCell ref="AG213:AH215"/>
    <mergeCell ref="B213:C215"/>
    <mergeCell ref="D213:I215"/>
    <mergeCell ref="J213:K215"/>
    <mergeCell ref="L213:M215"/>
    <mergeCell ref="N213:O215"/>
    <mergeCell ref="P213:Q215"/>
    <mergeCell ref="S210:T212"/>
    <mergeCell ref="U210:Z212"/>
    <mergeCell ref="AA210:AB212"/>
    <mergeCell ref="AC210:AD212"/>
    <mergeCell ref="AE210:AF212"/>
    <mergeCell ref="AG210:AH212"/>
    <mergeCell ref="B210:C212"/>
    <mergeCell ref="D210:I212"/>
    <mergeCell ref="J210:K212"/>
    <mergeCell ref="L210:M212"/>
    <mergeCell ref="N210:O212"/>
    <mergeCell ref="P210:Q212"/>
    <mergeCell ref="S207:T209"/>
    <mergeCell ref="U207:Z209"/>
    <mergeCell ref="AA207:AB209"/>
    <mergeCell ref="AC207:AD209"/>
    <mergeCell ref="AE207:AF209"/>
    <mergeCell ref="AG207:AH209"/>
    <mergeCell ref="B207:C209"/>
    <mergeCell ref="D207:I209"/>
    <mergeCell ref="J207:K209"/>
    <mergeCell ref="L207:M209"/>
    <mergeCell ref="N207:O209"/>
    <mergeCell ref="P207:Q209"/>
    <mergeCell ref="S204:T206"/>
    <mergeCell ref="U204:Z206"/>
    <mergeCell ref="AA204:AB206"/>
    <mergeCell ref="AC204:AD206"/>
    <mergeCell ref="AE204:AF206"/>
    <mergeCell ref="AG204:AH206"/>
    <mergeCell ref="B204:C206"/>
    <mergeCell ref="D204:I206"/>
    <mergeCell ref="J204:K206"/>
    <mergeCell ref="L204:M206"/>
    <mergeCell ref="N204:O206"/>
    <mergeCell ref="P204:Q206"/>
    <mergeCell ref="S201:T203"/>
    <mergeCell ref="U201:Z203"/>
    <mergeCell ref="AA201:AB203"/>
    <mergeCell ref="AC201:AD203"/>
    <mergeCell ref="AE201:AF203"/>
    <mergeCell ref="AG201:AH203"/>
    <mergeCell ref="B201:C203"/>
    <mergeCell ref="D201:I203"/>
    <mergeCell ref="J201:K203"/>
    <mergeCell ref="L201:M203"/>
    <mergeCell ref="N201:O203"/>
    <mergeCell ref="P201:Q203"/>
    <mergeCell ref="S198:T200"/>
    <mergeCell ref="U198:Z200"/>
    <mergeCell ref="AA198:AB200"/>
    <mergeCell ref="AC198:AD200"/>
    <mergeCell ref="AE198:AF200"/>
    <mergeCell ref="AG198:AH200"/>
    <mergeCell ref="B198:C200"/>
    <mergeCell ref="D198:I200"/>
    <mergeCell ref="J198:K200"/>
    <mergeCell ref="L198:M200"/>
    <mergeCell ref="N198:O200"/>
    <mergeCell ref="P198:Q200"/>
    <mergeCell ref="S195:T197"/>
    <mergeCell ref="U195:Z197"/>
    <mergeCell ref="AA195:AB197"/>
    <mergeCell ref="AC195:AD197"/>
    <mergeCell ref="AE195:AF197"/>
    <mergeCell ref="AG195:AH197"/>
    <mergeCell ref="B195:C197"/>
    <mergeCell ref="D195:I197"/>
    <mergeCell ref="J195:K197"/>
    <mergeCell ref="L195:M197"/>
    <mergeCell ref="N195:O197"/>
    <mergeCell ref="P195:Q197"/>
    <mergeCell ref="S192:T194"/>
    <mergeCell ref="U192:Z194"/>
    <mergeCell ref="AA192:AB194"/>
    <mergeCell ref="AC192:AD194"/>
    <mergeCell ref="AE192:AF194"/>
    <mergeCell ref="AG192:AH194"/>
    <mergeCell ref="B192:C194"/>
    <mergeCell ref="D192:I194"/>
    <mergeCell ref="J192:K194"/>
    <mergeCell ref="L192:M194"/>
    <mergeCell ref="N192:O194"/>
    <mergeCell ref="P192:Q194"/>
    <mergeCell ref="S189:T191"/>
    <mergeCell ref="U189:Z191"/>
    <mergeCell ref="AA189:AB191"/>
    <mergeCell ref="AC189:AD191"/>
    <mergeCell ref="AE189:AF191"/>
    <mergeCell ref="AG189:AH191"/>
    <mergeCell ref="B189:C191"/>
    <mergeCell ref="D189:I191"/>
    <mergeCell ref="J189:K191"/>
    <mergeCell ref="L189:M191"/>
    <mergeCell ref="N189:O191"/>
    <mergeCell ref="P189:Q191"/>
    <mergeCell ref="S186:T188"/>
    <mergeCell ref="U186:Z188"/>
    <mergeCell ref="AA186:AB188"/>
    <mergeCell ref="AC186:AD188"/>
    <mergeCell ref="AE186:AF188"/>
    <mergeCell ref="AG186:AH188"/>
    <mergeCell ref="B186:C188"/>
    <mergeCell ref="D186:I188"/>
    <mergeCell ref="J186:K188"/>
    <mergeCell ref="L186:M188"/>
    <mergeCell ref="N186:O188"/>
    <mergeCell ref="P186:Q188"/>
    <mergeCell ref="S183:T185"/>
    <mergeCell ref="U183:Z185"/>
    <mergeCell ref="AA183:AB185"/>
    <mergeCell ref="AC183:AD185"/>
    <mergeCell ref="AE183:AF185"/>
    <mergeCell ref="AG183:AH185"/>
    <mergeCell ref="B183:C185"/>
    <mergeCell ref="D183:I185"/>
    <mergeCell ref="J183:K185"/>
    <mergeCell ref="L183:M185"/>
    <mergeCell ref="N183:O185"/>
    <mergeCell ref="P183:Q185"/>
    <mergeCell ref="S180:T182"/>
    <mergeCell ref="U180:Z182"/>
    <mergeCell ref="AA180:AB182"/>
    <mergeCell ref="AC180:AD182"/>
    <mergeCell ref="AE180:AF182"/>
    <mergeCell ref="AG180:AH182"/>
    <mergeCell ref="B180:C182"/>
    <mergeCell ref="D180:I182"/>
    <mergeCell ref="J180:K182"/>
    <mergeCell ref="L180:M182"/>
    <mergeCell ref="N180:O182"/>
    <mergeCell ref="P180:Q182"/>
    <mergeCell ref="S177:T179"/>
    <mergeCell ref="U177:Z179"/>
    <mergeCell ref="AA177:AB179"/>
    <mergeCell ref="AC177:AD179"/>
    <mergeCell ref="AE177:AF179"/>
    <mergeCell ref="AG177:AH179"/>
    <mergeCell ref="B177:C179"/>
    <mergeCell ref="D177:I179"/>
    <mergeCell ref="J177:K179"/>
    <mergeCell ref="L177:M179"/>
    <mergeCell ref="N177:O179"/>
    <mergeCell ref="P177:Q179"/>
    <mergeCell ref="S174:T176"/>
    <mergeCell ref="U174:Z176"/>
    <mergeCell ref="AA174:AB176"/>
    <mergeCell ref="AC174:AD176"/>
    <mergeCell ref="AE174:AF176"/>
    <mergeCell ref="AG174:AH176"/>
    <mergeCell ref="B174:C176"/>
    <mergeCell ref="D174:I176"/>
    <mergeCell ref="J174:K176"/>
    <mergeCell ref="L174:M176"/>
    <mergeCell ref="N174:O176"/>
    <mergeCell ref="P174:Q176"/>
    <mergeCell ref="S171:T173"/>
    <mergeCell ref="U171:Z173"/>
    <mergeCell ref="AA171:AB173"/>
    <mergeCell ref="AC171:AD173"/>
    <mergeCell ref="AE171:AF173"/>
    <mergeCell ref="AG171:AH173"/>
    <mergeCell ref="B171:C173"/>
    <mergeCell ref="D171:I173"/>
    <mergeCell ref="J171:K173"/>
    <mergeCell ref="L171:M173"/>
    <mergeCell ref="N171:O173"/>
    <mergeCell ref="P171:Q173"/>
    <mergeCell ref="S168:T170"/>
    <mergeCell ref="U168:Z170"/>
    <mergeCell ref="AA168:AB170"/>
    <mergeCell ref="AC168:AD170"/>
    <mergeCell ref="AE168:AF170"/>
    <mergeCell ref="AG168:AH170"/>
    <mergeCell ref="B168:C170"/>
    <mergeCell ref="D168:I170"/>
    <mergeCell ref="J168:K170"/>
    <mergeCell ref="L168:M170"/>
    <mergeCell ref="N168:O170"/>
    <mergeCell ref="P168:Q170"/>
    <mergeCell ref="S165:T167"/>
    <mergeCell ref="U165:Z167"/>
    <mergeCell ref="AA165:AB167"/>
    <mergeCell ref="AC165:AD167"/>
    <mergeCell ref="AE165:AF167"/>
    <mergeCell ref="AG165:AH167"/>
    <mergeCell ref="B165:C167"/>
    <mergeCell ref="D165:I167"/>
    <mergeCell ref="J165:K167"/>
    <mergeCell ref="L165:M167"/>
    <mergeCell ref="N165:O167"/>
    <mergeCell ref="P165:Q167"/>
    <mergeCell ref="S162:T164"/>
    <mergeCell ref="U162:Z164"/>
    <mergeCell ref="AA162:AB164"/>
    <mergeCell ref="AC162:AD164"/>
    <mergeCell ref="AE162:AF164"/>
    <mergeCell ref="AG162:AH164"/>
    <mergeCell ref="B162:C164"/>
    <mergeCell ref="D162:I164"/>
    <mergeCell ref="J162:K164"/>
    <mergeCell ref="L162:M164"/>
    <mergeCell ref="N162:O164"/>
    <mergeCell ref="P162:Q164"/>
    <mergeCell ref="S159:T161"/>
    <mergeCell ref="U159:Z161"/>
    <mergeCell ref="AA159:AB161"/>
    <mergeCell ref="AC159:AD161"/>
    <mergeCell ref="AE159:AF161"/>
    <mergeCell ref="AG159:AH161"/>
    <mergeCell ref="B159:C161"/>
    <mergeCell ref="D159:I161"/>
    <mergeCell ref="J159:K161"/>
    <mergeCell ref="L159:M161"/>
    <mergeCell ref="N159:O161"/>
    <mergeCell ref="P159:Q161"/>
    <mergeCell ref="S156:T158"/>
    <mergeCell ref="U156:Z158"/>
    <mergeCell ref="AA156:AB158"/>
    <mergeCell ref="AC156:AD158"/>
    <mergeCell ref="AE156:AF158"/>
    <mergeCell ref="AG156:AH158"/>
    <mergeCell ref="B156:C158"/>
    <mergeCell ref="D156:I158"/>
    <mergeCell ref="J156:K158"/>
    <mergeCell ref="L156:M158"/>
    <mergeCell ref="N156:O158"/>
    <mergeCell ref="P156:Q158"/>
    <mergeCell ref="S153:T155"/>
    <mergeCell ref="U153:Z155"/>
    <mergeCell ref="AA153:AB155"/>
    <mergeCell ref="AC153:AD155"/>
    <mergeCell ref="AE153:AF155"/>
    <mergeCell ref="AG153:AH155"/>
    <mergeCell ref="B153:C155"/>
    <mergeCell ref="D153:I155"/>
    <mergeCell ref="J153:K155"/>
    <mergeCell ref="L153:M155"/>
    <mergeCell ref="N153:O155"/>
    <mergeCell ref="P153:Q155"/>
    <mergeCell ref="S150:T152"/>
    <mergeCell ref="U150:Z152"/>
    <mergeCell ref="AA150:AB152"/>
    <mergeCell ref="AC150:AD152"/>
    <mergeCell ref="AE150:AF152"/>
    <mergeCell ref="AG150:AH152"/>
    <mergeCell ref="B150:C152"/>
    <mergeCell ref="D150:I152"/>
    <mergeCell ref="J150:K152"/>
    <mergeCell ref="L150:M152"/>
    <mergeCell ref="N150:O152"/>
    <mergeCell ref="P150:Q152"/>
    <mergeCell ref="S147:T149"/>
    <mergeCell ref="U147:Z149"/>
    <mergeCell ref="AA147:AB149"/>
    <mergeCell ref="AC147:AD149"/>
    <mergeCell ref="AE147:AF149"/>
    <mergeCell ref="AG147:AH149"/>
    <mergeCell ref="B147:C149"/>
    <mergeCell ref="D147:I149"/>
    <mergeCell ref="J147:K149"/>
    <mergeCell ref="L147:M149"/>
    <mergeCell ref="N147:O149"/>
    <mergeCell ref="P147:Q149"/>
    <mergeCell ref="S144:T146"/>
    <mergeCell ref="U144:Z146"/>
    <mergeCell ref="AA144:AB146"/>
    <mergeCell ref="AC144:AD146"/>
    <mergeCell ref="AE144:AF146"/>
    <mergeCell ref="AG144:AH146"/>
    <mergeCell ref="B144:C146"/>
    <mergeCell ref="D144:I146"/>
    <mergeCell ref="J144:K146"/>
    <mergeCell ref="L144:M146"/>
    <mergeCell ref="N144:O146"/>
    <mergeCell ref="P144:Q146"/>
    <mergeCell ref="S141:T143"/>
    <mergeCell ref="U141:Z143"/>
    <mergeCell ref="AA141:AB143"/>
    <mergeCell ref="AC141:AD143"/>
    <mergeCell ref="AE141:AF143"/>
    <mergeCell ref="AG141:AH143"/>
    <mergeCell ref="B141:C143"/>
    <mergeCell ref="D141:I143"/>
    <mergeCell ref="J141:K143"/>
    <mergeCell ref="L141:M143"/>
    <mergeCell ref="N141:O143"/>
    <mergeCell ref="P141:Q143"/>
    <mergeCell ref="S138:T140"/>
    <mergeCell ref="U138:Z140"/>
    <mergeCell ref="AA138:AB140"/>
    <mergeCell ref="AC138:AD140"/>
    <mergeCell ref="AE138:AF140"/>
    <mergeCell ref="AG138:AH140"/>
    <mergeCell ref="B138:C140"/>
    <mergeCell ref="D138:I140"/>
    <mergeCell ref="J138:K140"/>
    <mergeCell ref="L138:M140"/>
    <mergeCell ref="N138:O140"/>
    <mergeCell ref="P138:Q140"/>
    <mergeCell ref="S135:T137"/>
    <mergeCell ref="U135:Z137"/>
    <mergeCell ref="AA135:AB137"/>
    <mergeCell ref="AC135:AD137"/>
    <mergeCell ref="AE135:AF137"/>
    <mergeCell ref="AG135:AH137"/>
    <mergeCell ref="B135:C137"/>
    <mergeCell ref="D135:I137"/>
    <mergeCell ref="J135:K137"/>
    <mergeCell ref="L135:M137"/>
    <mergeCell ref="N135:O137"/>
    <mergeCell ref="P135:Q137"/>
    <mergeCell ref="S132:T134"/>
    <mergeCell ref="U132:Z134"/>
    <mergeCell ref="AA132:AB134"/>
    <mergeCell ref="AC132:AD134"/>
    <mergeCell ref="AE132:AF134"/>
    <mergeCell ref="AG132:AH134"/>
    <mergeCell ref="B132:C134"/>
    <mergeCell ref="D132:I134"/>
    <mergeCell ref="J132:K134"/>
    <mergeCell ref="L132:M134"/>
    <mergeCell ref="N132:O134"/>
    <mergeCell ref="P132:Q134"/>
    <mergeCell ref="S129:T131"/>
    <mergeCell ref="U129:Z131"/>
    <mergeCell ref="AA129:AB131"/>
    <mergeCell ref="AC129:AD131"/>
    <mergeCell ref="AE129:AF131"/>
    <mergeCell ref="AG129:AH131"/>
    <mergeCell ref="B129:C131"/>
    <mergeCell ref="D129:I131"/>
    <mergeCell ref="J129:K131"/>
    <mergeCell ref="L129:M131"/>
    <mergeCell ref="N129:O131"/>
    <mergeCell ref="P129:Q131"/>
    <mergeCell ref="S126:T128"/>
    <mergeCell ref="U126:Z128"/>
    <mergeCell ref="AA126:AB128"/>
    <mergeCell ref="AC126:AD128"/>
    <mergeCell ref="AE126:AF128"/>
    <mergeCell ref="AG126:AH128"/>
    <mergeCell ref="B126:C128"/>
    <mergeCell ref="D126:I128"/>
    <mergeCell ref="J126:K128"/>
    <mergeCell ref="L126:M128"/>
    <mergeCell ref="N126:O128"/>
    <mergeCell ref="P126:Q128"/>
    <mergeCell ref="S123:T125"/>
    <mergeCell ref="U123:Z125"/>
    <mergeCell ref="AA123:AB125"/>
    <mergeCell ref="AC123:AD125"/>
    <mergeCell ref="AE123:AF125"/>
    <mergeCell ref="AG123:AH125"/>
    <mergeCell ref="B123:C125"/>
    <mergeCell ref="D123:I125"/>
    <mergeCell ref="J123:K125"/>
    <mergeCell ref="L123:M125"/>
    <mergeCell ref="N123:O125"/>
    <mergeCell ref="P123:Q125"/>
    <mergeCell ref="S120:T122"/>
    <mergeCell ref="U120:Z122"/>
    <mergeCell ref="AA120:AB122"/>
    <mergeCell ref="AC120:AD122"/>
    <mergeCell ref="AE120:AF122"/>
    <mergeCell ref="AG120:AH122"/>
    <mergeCell ref="B120:C122"/>
    <mergeCell ref="D120:I122"/>
    <mergeCell ref="J120:K122"/>
    <mergeCell ref="L120:M122"/>
    <mergeCell ref="N120:O122"/>
    <mergeCell ref="P120:Q122"/>
    <mergeCell ref="S117:T119"/>
    <mergeCell ref="U117:Z119"/>
    <mergeCell ref="AA117:AB119"/>
    <mergeCell ref="AC117:AD119"/>
    <mergeCell ref="AE117:AF119"/>
    <mergeCell ref="AG117:AH119"/>
    <mergeCell ref="B117:C119"/>
    <mergeCell ref="D117:I119"/>
    <mergeCell ref="J117:K119"/>
    <mergeCell ref="L117:M119"/>
    <mergeCell ref="N117:O119"/>
    <mergeCell ref="P117:Q119"/>
    <mergeCell ref="S114:T116"/>
    <mergeCell ref="U114:Z116"/>
    <mergeCell ref="AA114:AB116"/>
    <mergeCell ref="AC114:AD116"/>
    <mergeCell ref="AE114:AF116"/>
    <mergeCell ref="AG114:AH116"/>
    <mergeCell ref="B114:C116"/>
    <mergeCell ref="D114:I116"/>
    <mergeCell ref="J114:K116"/>
    <mergeCell ref="L114:M116"/>
    <mergeCell ref="N114:O116"/>
    <mergeCell ref="P114:Q116"/>
    <mergeCell ref="S111:T113"/>
    <mergeCell ref="U111:Z113"/>
    <mergeCell ref="AA111:AB113"/>
    <mergeCell ref="AC111:AD113"/>
    <mergeCell ref="AE111:AF113"/>
    <mergeCell ref="AG111:AH113"/>
    <mergeCell ref="B111:C113"/>
    <mergeCell ref="D111:I113"/>
    <mergeCell ref="J111:K113"/>
    <mergeCell ref="L111:M113"/>
    <mergeCell ref="N111:O113"/>
    <mergeCell ref="P111:Q113"/>
    <mergeCell ref="S108:T110"/>
    <mergeCell ref="U108:Z110"/>
    <mergeCell ref="AA108:AB110"/>
    <mergeCell ref="AC108:AD110"/>
    <mergeCell ref="AE108:AF110"/>
    <mergeCell ref="AG108:AH110"/>
    <mergeCell ref="B108:C110"/>
    <mergeCell ref="D108:I110"/>
    <mergeCell ref="J108:K110"/>
    <mergeCell ref="L108:M110"/>
    <mergeCell ref="N108:O110"/>
    <mergeCell ref="P108:Q110"/>
    <mergeCell ref="S105:T107"/>
    <mergeCell ref="U105:Z107"/>
    <mergeCell ref="AA105:AB107"/>
    <mergeCell ref="AC105:AD107"/>
    <mergeCell ref="AE105:AF107"/>
    <mergeCell ref="AG105:AH107"/>
    <mergeCell ref="B105:C107"/>
    <mergeCell ref="D105:I107"/>
    <mergeCell ref="J105:K107"/>
    <mergeCell ref="L105:M107"/>
    <mergeCell ref="N105:O107"/>
    <mergeCell ref="P105:Q107"/>
    <mergeCell ref="S102:T104"/>
    <mergeCell ref="U102:Z104"/>
    <mergeCell ref="AA102:AB104"/>
    <mergeCell ref="AC102:AD104"/>
    <mergeCell ref="AE102:AF104"/>
    <mergeCell ref="AG102:AH104"/>
    <mergeCell ref="B102:C104"/>
    <mergeCell ref="D102:I104"/>
    <mergeCell ref="J102:K104"/>
    <mergeCell ref="L102:M104"/>
    <mergeCell ref="N102:O104"/>
    <mergeCell ref="P102:Q104"/>
    <mergeCell ref="S99:T101"/>
    <mergeCell ref="U99:Z101"/>
    <mergeCell ref="AA99:AB101"/>
    <mergeCell ref="AC99:AD101"/>
    <mergeCell ref="AE99:AF101"/>
    <mergeCell ref="AG99:AH101"/>
    <mergeCell ref="B99:C101"/>
    <mergeCell ref="D99:I101"/>
    <mergeCell ref="J99:K101"/>
    <mergeCell ref="L99:M101"/>
    <mergeCell ref="N99:O101"/>
    <mergeCell ref="P99:Q101"/>
    <mergeCell ref="S96:T98"/>
    <mergeCell ref="U96:Z98"/>
    <mergeCell ref="AA96:AB98"/>
    <mergeCell ref="AC96:AD98"/>
    <mergeCell ref="AE96:AF98"/>
    <mergeCell ref="AG96:AH98"/>
    <mergeCell ref="B96:C98"/>
    <mergeCell ref="D96:I98"/>
    <mergeCell ref="J96:K98"/>
    <mergeCell ref="L96:M98"/>
    <mergeCell ref="N96:O98"/>
    <mergeCell ref="P96:Q98"/>
    <mergeCell ref="S93:T95"/>
    <mergeCell ref="U93:Z95"/>
    <mergeCell ref="AA93:AB95"/>
    <mergeCell ref="AC93:AD95"/>
    <mergeCell ref="AE93:AF95"/>
    <mergeCell ref="AG93:AH95"/>
    <mergeCell ref="B93:C95"/>
    <mergeCell ref="D93:I95"/>
    <mergeCell ref="J93:K95"/>
    <mergeCell ref="L93:M95"/>
    <mergeCell ref="N93:O95"/>
    <mergeCell ref="P93:Q95"/>
    <mergeCell ref="S90:T92"/>
    <mergeCell ref="U90:Z92"/>
    <mergeCell ref="AA90:AB92"/>
    <mergeCell ref="AC90:AD92"/>
    <mergeCell ref="AE90:AF92"/>
    <mergeCell ref="AG90:AH92"/>
    <mergeCell ref="B90:C92"/>
    <mergeCell ref="D90:I92"/>
    <mergeCell ref="J90:K92"/>
    <mergeCell ref="L90:M92"/>
    <mergeCell ref="N90:O92"/>
    <mergeCell ref="P90:Q92"/>
    <mergeCell ref="S87:T89"/>
    <mergeCell ref="U87:Z89"/>
    <mergeCell ref="AA87:AB89"/>
    <mergeCell ref="AC87:AD89"/>
    <mergeCell ref="AE87:AF89"/>
    <mergeCell ref="AG87:AH89"/>
    <mergeCell ref="B87:C89"/>
    <mergeCell ref="D87:I89"/>
    <mergeCell ref="J87:K89"/>
    <mergeCell ref="L87:M89"/>
    <mergeCell ref="N87:O89"/>
    <mergeCell ref="P87:Q89"/>
    <mergeCell ref="S84:T86"/>
    <mergeCell ref="U84:Z86"/>
    <mergeCell ref="AA84:AB86"/>
    <mergeCell ref="AC84:AD86"/>
    <mergeCell ref="AE84:AF86"/>
    <mergeCell ref="AG84:AH86"/>
    <mergeCell ref="B84:C86"/>
    <mergeCell ref="D84:I86"/>
    <mergeCell ref="J84:K86"/>
    <mergeCell ref="L84:M86"/>
    <mergeCell ref="N84:O86"/>
    <mergeCell ref="P84:Q86"/>
    <mergeCell ref="S81:T83"/>
    <mergeCell ref="U81:Z83"/>
    <mergeCell ref="AA81:AB83"/>
    <mergeCell ref="AC81:AD83"/>
    <mergeCell ref="AE81:AF83"/>
    <mergeCell ref="AG81:AH83"/>
    <mergeCell ref="B81:C83"/>
    <mergeCell ref="D81:I83"/>
    <mergeCell ref="J81:K83"/>
    <mergeCell ref="L81:M83"/>
    <mergeCell ref="N81:O83"/>
    <mergeCell ref="P81:Q83"/>
    <mergeCell ref="S78:T80"/>
    <mergeCell ref="U78:Z80"/>
    <mergeCell ref="AA78:AB80"/>
    <mergeCell ref="AC78:AD80"/>
    <mergeCell ref="AE78:AF80"/>
    <mergeCell ref="AG78:AH80"/>
    <mergeCell ref="B78:C80"/>
    <mergeCell ref="D78:I80"/>
    <mergeCell ref="J78:K80"/>
    <mergeCell ref="L78:M80"/>
    <mergeCell ref="N78:O80"/>
    <mergeCell ref="P78:Q80"/>
    <mergeCell ref="S75:T77"/>
    <mergeCell ref="U75:Z77"/>
    <mergeCell ref="AA75:AB77"/>
    <mergeCell ref="AC75:AD77"/>
    <mergeCell ref="AE75:AF77"/>
    <mergeCell ref="AG75:AH77"/>
    <mergeCell ref="B75:C77"/>
    <mergeCell ref="D75:I77"/>
    <mergeCell ref="J75:K77"/>
    <mergeCell ref="L75:M77"/>
    <mergeCell ref="N75:O77"/>
    <mergeCell ref="P75:Q77"/>
    <mergeCell ref="S72:T74"/>
    <mergeCell ref="U72:Z74"/>
    <mergeCell ref="AA72:AB74"/>
    <mergeCell ref="AC72:AD74"/>
    <mergeCell ref="AE72:AF74"/>
    <mergeCell ref="AG72:AH74"/>
    <mergeCell ref="B72:C74"/>
    <mergeCell ref="D72:I74"/>
    <mergeCell ref="J72:K74"/>
    <mergeCell ref="L72:M74"/>
    <mergeCell ref="N72:O74"/>
    <mergeCell ref="P72:Q74"/>
    <mergeCell ref="S69:T71"/>
    <mergeCell ref="U69:Z71"/>
    <mergeCell ref="AA69:AB71"/>
    <mergeCell ref="AC69:AD71"/>
    <mergeCell ref="AE69:AF71"/>
    <mergeCell ref="AG69:AH71"/>
    <mergeCell ref="B69:C71"/>
    <mergeCell ref="D69:I71"/>
    <mergeCell ref="J69:K71"/>
    <mergeCell ref="L69:M71"/>
    <mergeCell ref="N69:O71"/>
    <mergeCell ref="P69:Q71"/>
    <mergeCell ref="S66:T68"/>
    <mergeCell ref="U66:Z68"/>
    <mergeCell ref="AA66:AB68"/>
    <mergeCell ref="AC66:AD68"/>
    <mergeCell ref="AE66:AF68"/>
    <mergeCell ref="AG66:AH68"/>
    <mergeCell ref="B66:C68"/>
    <mergeCell ref="D66:I68"/>
    <mergeCell ref="J66:K68"/>
    <mergeCell ref="L66:M68"/>
    <mergeCell ref="N66:O68"/>
    <mergeCell ref="P66:Q68"/>
    <mergeCell ref="S63:T65"/>
    <mergeCell ref="U63:Z65"/>
    <mergeCell ref="AA63:AB65"/>
    <mergeCell ref="AC63:AD65"/>
    <mergeCell ref="AE63:AF65"/>
    <mergeCell ref="AG63:AH65"/>
    <mergeCell ref="B63:C65"/>
    <mergeCell ref="D63:I65"/>
    <mergeCell ref="J63:K65"/>
    <mergeCell ref="L63:M65"/>
    <mergeCell ref="N63:O65"/>
    <mergeCell ref="P63:Q65"/>
    <mergeCell ref="S60:T62"/>
    <mergeCell ref="U60:Z62"/>
    <mergeCell ref="AA60:AB62"/>
    <mergeCell ref="AC60:AD62"/>
    <mergeCell ref="AE60:AF62"/>
    <mergeCell ref="AG60:AH62"/>
    <mergeCell ref="B60:C62"/>
    <mergeCell ref="D60:I62"/>
    <mergeCell ref="J60:K62"/>
    <mergeCell ref="L60:M62"/>
    <mergeCell ref="N60:O62"/>
    <mergeCell ref="P60:Q62"/>
    <mergeCell ref="S57:T59"/>
    <mergeCell ref="U57:Z59"/>
    <mergeCell ref="AA57:AB59"/>
    <mergeCell ref="AC57:AD59"/>
    <mergeCell ref="AE57:AF59"/>
    <mergeCell ref="AG57:AH59"/>
    <mergeCell ref="B57:C59"/>
    <mergeCell ref="D57:I59"/>
    <mergeCell ref="J57:K59"/>
    <mergeCell ref="L57:M59"/>
    <mergeCell ref="N57:O59"/>
    <mergeCell ref="P57:Q59"/>
    <mergeCell ref="S54:T56"/>
    <mergeCell ref="U54:Z56"/>
    <mergeCell ref="AA54:AB56"/>
    <mergeCell ref="AC54:AD56"/>
    <mergeCell ref="AE54:AF56"/>
    <mergeCell ref="AG54:AH56"/>
    <mergeCell ref="B54:C56"/>
    <mergeCell ref="D54:I56"/>
    <mergeCell ref="J54:K56"/>
    <mergeCell ref="L54:M56"/>
    <mergeCell ref="N54:O56"/>
    <mergeCell ref="P54:Q56"/>
    <mergeCell ref="S51:T53"/>
    <mergeCell ref="U51:Z53"/>
    <mergeCell ref="AA51:AB53"/>
    <mergeCell ref="AC51:AD53"/>
    <mergeCell ref="AE51:AF53"/>
    <mergeCell ref="AG51:AH53"/>
    <mergeCell ref="B51:C53"/>
    <mergeCell ref="D51:I53"/>
    <mergeCell ref="J51:K53"/>
    <mergeCell ref="L51:M53"/>
    <mergeCell ref="N51:O53"/>
    <mergeCell ref="P51:Q53"/>
    <mergeCell ref="S48:T50"/>
    <mergeCell ref="U48:Z50"/>
    <mergeCell ref="AA48:AB50"/>
    <mergeCell ref="AC48:AD50"/>
    <mergeCell ref="AE48:AF50"/>
    <mergeCell ref="AG48:AH50"/>
    <mergeCell ref="B48:C50"/>
    <mergeCell ref="D48:I50"/>
    <mergeCell ref="J48:K50"/>
    <mergeCell ref="L48:M50"/>
    <mergeCell ref="N48:O50"/>
    <mergeCell ref="P48:Q50"/>
    <mergeCell ref="S45:T47"/>
    <mergeCell ref="U45:Z47"/>
    <mergeCell ref="AA45:AB47"/>
    <mergeCell ref="AC45:AD47"/>
    <mergeCell ref="AE45:AF47"/>
    <mergeCell ref="AG45:AH47"/>
    <mergeCell ref="B45:C47"/>
    <mergeCell ref="D45:I47"/>
    <mergeCell ref="J45:K47"/>
    <mergeCell ref="L45:M47"/>
    <mergeCell ref="N45:O47"/>
    <mergeCell ref="P45:Q47"/>
    <mergeCell ref="S42:T44"/>
    <mergeCell ref="U42:Z44"/>
    <mergeCell ref="AA42:AB44"/>
    <mergeCell ref="AC42:AD44"/>
    <mergeCell ref="AE42:AF44"/>
    <mergeCell ref="AG42:AH44"/>
    <mergeCell ref="B42:C44"/>
    <mergeCell ref="D42:I44"/>
    <mergeCell ref="J42:K44"/>
    <mergeCell ref="L42:M44"/>
    <mergeCell ref="N42:O44"/>
    <mergeCell ref="P42:Q44"/>
    <mergeCell ref="S39:T41"/>
    <mergeCell ref="U39:Z41"/>
    <mergeCell ref="AA39:AB41"/>
    <mergeCell ref="AC39:AD41"/>
    <mergeCell ref="AE39:AF41"/>
    <mergeCell ref="AG39:AH41"/>
    <mergeCell ref="B39:C41"/>
    <mergeCell ref="D39:I41"/>
    <mergeCell ref="J39:K41"/>
    <mergeCell ref="L39:M41"/>
    <mergeCell ref="N39:O41"/>
    <mergeCell ref="P39:Q41"/>
    <mergeCell ref="S36:T38"/>
    <mergeCell ref="U36:Z38"/>
    <mergeCell ref="AA36:AB38"/>
    <mergeCell ref="AC36:AD38"/>
    <mergeCell ref="AE36:AF38"/>
    <mergeCell ref="AG36:AH38"/>
    <mergeCell ref="B36:C38"/>
    <mergeCell ref="D36:I38"/>
    <mergeCell ref="J36:K38"/>
    <mergeCell ref="L36:M38"/>
    <mergeCell ref="N36:O38"/>
    <mergeCell ref="P36:Q38"/>
    <mergeCell ref="S33:T35"/>
    <mergeCell ref="U33:Z35"/>
    <mergeCell ref="AA33:AB35"/>
    <mergeCell ref="AC33:AD35"/>
    <mergeCell ref="AE33:AF35"/>
    <mergeCell ref="AG33:AH35"/>
    <mergeCell ref="B33:C35"/>
    <mergeCell ref="D33:I35"/>
    <mergeCell ref="J33:K35"/>
    <mergeCell ref="L33:M35"/>
    <mergeCell ref="N33:O35"/>
    <mergeCell ref="P33:Q35"/>
    <mergeCell ref="S30:T32"/>
    <mergeCell ref="U30:Z32"/>
    <mergeCell ref="AA30:AB32"/>
    <mergeCell ref="AC30:AD32"/>
    <mergeCell ref="AE30:AF32"/>
    <mergeCell ref="AG30:AH32"/>
    <mergeCell ref="B30:C32"/>
    <mergeCell ref="D30:I32"/>
    <mergeCell ref="J30:K32"/>
    <mergeCell ref="L30:M32"/>
    <mergeCell ref="N30:O32"/>
    <mergeCell ref="P30:Q32"/>
    <mergeCell ref="S27:T29"/>
    <mergeCell ref="U27:Z29"/>
    <mergeCell ref="AA27:AB29"/>
    <mergeCell ref="AC27:AD29"/>
    <mergeCell ref="AE27:AF29"/>
    <mergeCell ref="AG27:AH29"/>
    <mergeCell ref="B27:C29"/>
    <mergeCell ref="D27:I29"/>
    <mergeCell ref="J27:K29"/>
    <mergeCell ref="L27:M29"/>
    <mergeCell ref="N27:O29"/>
    <mergeCell ref="P27:Q29"/>
    <mergeCell ref="S24:T26"/>
    <mergeCell ref="U24:Z26"/>
    <mergeCell ref="AA24:AB26"/>
    <mergeCell ref="AC24:AD26"/>
    <mergeCell ref="AE24:AF26"/>
    <mergeCell ref="AG24:AH26"/>
    <mergeCell ref="B24:C26"/>
    <mergeCell ref="D24:I26"/>
    <mergeCell ref="J24:K26"/>
    <mergeCell ref="L24:M26"/>
    <mergeCell ref="N24:O26"/>
    <mergeCell ref="P24:Q26"/>
    <mergeCell ref="S21:T23"/>
    <mergeCell ref="U21:Z23"/>
    <mergeCell ref="AA21:AB23"/>
    <mergeCell ref="AC21:AD23"/>
    <mergeCell ref="AE21:AF23"/>
    <mergeCell ref="AG21:AH23"/>
    <mergeCell ref="B21:C23"/>
    <mergeCell ref="D21:I23"/>
    <mergeCell ref="J21:K23"/>
    <mergeCell ref="L21:M23"/>
    <mergeCell ref="N21:O23"/>
    <mergeCell ref="P21:Q23"/>
    <mergeCell ref="S18:T20"/>
    <mergeCell ref="U18:Z20"/>
    <mergeCell ref="AA18:AB20"/>
    <mergeCell ref="AC18:AD20"/>
    <mergeCell ref="AE18:AF20"/>
    <mergeCell ref="AG18:AH20"/>
    <mergeCell ref="B18:C20"/>
    <mergeCell ref="D18:I20"/>
    <mergeCell ref="J18:K20"/>
    <mergeCell ref="L18:M20"/>
    <mergeCell ref="N18:O20"/>
    <mergeCell ref="P18:Q20"/>
    <mergeCell ref="S15:T17"/>
    <mergeCell ref="U15:Z17"/>
    <mergeCell ref="AA15:AB17"/>
    <mergeCell ref="AC15:AD17"/>
    <mergeCell ref="AE15:AF17"/>
    <mergeCell ref="AG15:AH17"/>
    <mergeCell ref="B15:C17"/>
    <mergeCell ref="D15:I17"/>
    <mergeCell ref="J15:K17"/>
    <mergeCell ref="L15:M17"/>
    <mergeCell ref="N15:O17"/>
    <mergeCell ref="P15:Q17"/>
    <mergeCell ref="S12:T14"/>
    <mergeCell ref="U12:Z14"/>
    <mergeCell ref="AA12:AB14"/>
    <mergeCell ref="AC12:AD14"/>
    <mergeCell ref="AE12:AF14"/>
    <mergeCell ref="AG12:AH14"/>
    <mergeCell ref="B12:C14"/>
    <mergeCell ref="D12:I14"/>
    <mergeCell ref="J12:K14"/>
    <mergeCell ref="L12:M14"/>
    <mergeCell ref="N12:O14"/>
    <mergeCell ref="P12:Q14"/>
    <mergeCell ref="S9:T11"/>
    <mergeCell ref="U9:Z11"/>
    <mergeCell ref="AA9:AB11"/>
    <mergeCell ref="AC9:AD11"/>
    <mergeCell ref="AE9:AF11"/>
    <mergeCell ref="AG9:AH11"/>
    <mergeCell ref="B9:C11"/>
    <mergeCell ref="D9:I11"/>
    <mergeCell ref="J9:K11"/>
    <mergeCell ref="L9:M11"/>
    <mergeCell ref="N9:O11"/>
    <mergeCell ref="P9:Q11"/>
    <mergeCell ref="S6:T8"/>
    <mergeCell ref="U6:Z8"/>
    <mergeCell ref="AA6:AB8"/>
    <mergeCell ref="AC6:AD8"/>
    <mergeCell ref="AE6:AF8"/>
    <mergeCell ref="AG6:AH8"/>
    <mergeCell ref="B6:C8"/>
    <mergeCell ref="D6:I8"/>
    <mergeCell ref="J6:K8"/>
    <mergeCell ref="L6:M8"/>
    <mergeCell ref="N6:O8"/>
    <mergeCell ref="P6:Q8"/>
    <mergeCell ref="S3:T5"/>
    <mergeCell ref="U3:Z5"/>
    <mergeCell ref="AA3:AB5"/>
    <mergeCell ref="AC3:AD5"/>
    <mergeCell ref="AE3:AF5"/>
    <mergeCell ref="AG3:AH5"/>
    <mergeCell ref="B3:C5"/>
    <mergeCell ref="D3:I5"/>
    <mergeCell ref="J3:K5"/>
    <mergeCell ref="L3:M5"/>
    <mergeCell ref="N3:O5"/>
    <mergeCell ref="P3:Q5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60A3623-29E3-4DCE-A7E1-CE048BB3EFC9}">
          <x14:formula1>
            <xm:f>DataBase!$F$3:$F$5</xm:f>
          </x14:formula1>
          <xm:sqref>AG6:AH23 P6:Q872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07548-023E-488D-857A-50806886D59E}">
  <sheetPr codeName="Planilha3"/>
  <dimension ref="A1:X298"/>
  <sheetViews>
    <sheetView showGridLines="0" workbookViewId="0">
      <pane ySplit="5" topLeftCell="A6" activePane="bottomLeft" state="frozen"/>
      <selection pane="bottomLeft" activeCell="R11" sqref="R11:S13"/>
    </sheetView>
  </sheetViews>
  <sheetFormatPr defaultRowHeight="15" x14ac:dyDescent="0.25"/>
  <sheetData>
    <row r="1" spans="1:24" ht="15" customHeight="1" x14ac:dyDescent="0.25">
      <c r="A1" s="32"/>
      <c r="B1" s="32"/>
      <c r="C1" s="32"/>
      <c r="D1" s="5"/>
      <c r="E1" s="35"/>
      <c r="F1" s="35"/>
      <c r="G1" s="116" t="s">
        <v>3</v>
      </c>
      <c r="H1" s="4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2"/>
      <c r="B2" s="32"/>
      <c r="C2" s="32"/>
      <c r="D2" s="5"/>
      <c r="E2" s="35"/>
      <c r="F2" s="35"/>
      <c r="G2" s="46"/>
      <c r="H2" s="4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3"/>
      <c r="B3" s="33"/>
      <c r="C3" s="33"/>
      <c r="D3" s="4"/>
      <c r="E3" s="36"/>
      <c r="F3" s="36"/>
      <c r="G3" s="46"/>
      <c r="H3" s="46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29" t="s">
        <v>4</v>
      </c>
      <c r="F5" s="129"/>
      <c r="G5" s="81"/>
      <c r="H5" s="81"/>
      <c r="I5" s="115"/>
      <c r="J5" s="115"/>
      <c r="K5" s="115"/>
      <c r="L5" s="115"/>
      <c r="M5" s="115"/>
      <c r="N5" s="115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B7" s="8"/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x14ac:dyDescent="0.25">
      <c r="B8" s="119" t="s">
        <v>9</v>
      </c>
      <c r="C8" s="119"/>
      <c r="D8" s="118" t="s">
        <v>10</v>
      </c>
      <c r="E8" s="118"/>
      <c r="F8" s="118"/>
      <c r="G8" s="118"/>
      <c r="H8" s="118"/>
      <c r="I8" s="118"/>
      <c r="J8" s="119" t="s">
        <v>11</v>
      </c>
      <c r="K8" s="119"/>
      <c r="L8" s="119" t="s">
        <v>12</v>
      </c>
      <c r="M8" s="119"/>
      <c r="N8" s="119" t="s">
        <v>13</v>
      </c>
      <c r="O8" s="119"/>
      <c r="P8" s="119" t="s">
        <v>14</v>
      </c>
      <c r="Q8" s="119"/>
      <c r="R8" s="8"/>
    </row>
    <row r="9" spans="1:24" x14ac:dyDescent="0.25">
      <c r="B9" s="119"/>
      <c r="C9" s="119"/>
      <c r="D9" s="118"/>
      <c r="E9" s="118"/>
      <c r="F9" s="118"/>
      <c r="G9" s="118"/>
      <c r="H9" s="118"/>
      <c r="I9" s="118"/>
      <c r="J9" s="119"/>
      <c r="K9" s="119"/>
      <c r="L9" s="119"/>
      <c r="M9" s="119"/>
      <c r="N9" s="119"/>
      <c r="O9" s="119"/>
      <c r="P9" s="119"/>
      <c r="Q9" s="119"/>
      <c r="R9" s="8"/>
    </row>
    <row r="10" spans="1:24" x14ac:dyDescent="0.25">
      <c r="B10" s="119"/>
      <c r="C10" s="119"/>
      <c r="D10" s="118"/>
      <c r="E10" s="118"/>
      <c r="F10" s="118"/>
      <c r="G10" s="118"/>
      <c r="H10" s="118"/>
      <c r="I10" s="118"/>
      <c r="J10" s="119"/>
      <c r="K10" s="119"/>
      <c r="L10" s="119"/>
      <c r="M10" s="119"/>
      <c r="N10" s="119"/>
      <c r="O10" s="119"/>
      <c r="P10" s="119"/>
      <c r="Q10" s="119"/>
      <c r="R10" s="8"/>
    </row>
    <row r="11" spans="1:24" x14ac:dyDescent="0.25">
      <c r="B11" s="77" t="s">
        <v>60</v>
      </c>
      <c r="C11" s="79"/>
      <c r="D11" s="77"/>
      <c r="E11" s="78"/>
      <c r="F11" s="78"/>
      <c r="G11" s="78"/>
      <c r="H11" s="78"/>
      <c r="I11" s="79"/>
      <c r="J11" s="86"/>
      <c r="K11" s="87"/>
      <c r="L11" s="86">
        <v>43577</v>
      </c>
      <c r="M11" s="87"/>
      <c r="N11" s="77"/>
      <c r="O11" s="79"/>
      <c r="P11" s="92"/>
      <c r="Q11" s="93"/>
      <c r="R11" s="80" t="str">
        <f ca="1">IF(L11=""," ",IF(P11="Concluída"," ",IF(TODAY()&gt;L11,"EM ATRASO",IF(TODAY()=L11,"HOJE"," "))))</f>
        <v>EM ATRASO</v>
      </c>
      <c r="S11" s="81"/>
    </row>
    <row r="12" spans="1:24" x14ac:dyDescent="0.25">
      <c r="B12" s="80"/>
      <c r="C12" s="82"/>
      <c r="D12" s="80"/>
      <c r="E12" s="81"/>
      <c r="F12" s="81"/>
      <c r="G12" s="81"/>
      <c r="H12" s="81"/>
      <c r="I12" s="82"/>
      <c r="J12" s="88"/>
      <c r="K12" s="89"/>
      <c r="L12" s="88"/>
      <c r="M12" s="89"/>
      <c r="N12" s="80"/>
      <c r="O12" s="82"/>
      <c r="P12" s="94"/>
      <c r="Q12" s="95"/>
      <c r="R12" s="80"/>
      <c r="S12" s="81"/>
    </row>
    <row r="13" spans="1:24" x14ac:dyDescent="0.25">
      <c r="B13" s="83"/>
      <c r="C13" s="85"/>
      <c r="D13" s="83"/>
      <c r="E13" s="84"/>
      <c r="F13" s="84"/>
      <c r="G13" s="84"/>
      <c r="H13" s="84"/>
      <c r="I13" s="85"/>
      <c r="J13" s="90"/>
      <c r="K13" s="91"/>
      <c r="L13" s="90"/>
      <c r="M13" s="91"/>
      <c r="N13" s="83"/>
      <c r="O13" s="85"/>
      <c r="P13" s="96"/>
      <c r="Q13" s="97"/>
      <c r="R13" s="80"/>
      <c r="S13" s="81"/>
    </row>
    <row r="14" spans="1:24" x14ac:dyDescent="0.25">
      <c r="B14" s="80"/>
      <c r="C14" s="82"/>
      <c r="D14" s="77"/>
      <c r="E14" s="78"/>
      <c r="F14" s="78"/>
      <c r="G14" s="78"/>
      <c r="H14" s="78"/>
      <c r="I14" s="79"/>
      <c r="J14" s="86"/>
      <c r="K14" s="79"/>
      <c r="L14" s="86"/>
      <c r="M14" s="79"/>
      <c r="N14" s="77"/>
      <c r="O14" s="79"/>
      <c r="P14" s="92"/>
      <c r="Q14" s="93"/>
      <c r="R14" s="80" t="str">
        <f t="shared" ref="R14" ca="1" si="0">IF(L14=""," ",IF(P14="Concluída"," ",IF(TODAY()&gt;L14,"EM ATRASO",IF(TODAY()=L14,"HOJE"," "))))</f>
        <v xml:space="preserve"> </v>
      </c>
      <c r="S14" s="81"/>
    </row>
    <row r="15" spans="1:24" x14ac:dyDescent="0.25">
      <c r="B15" s="80"/>
      <c r="C15" s="82"/>
      <c r="D15" s="80"/>
      <c r="E15" s="81"/>
      <c r="F15" s="81"/>
      <c r="G15" s="81"/>
      <c r="H15" s="81"/>
      <c r="I15" s="82"/>
      <c r="J15" s="80"/>
      <c r="K15" s="82"/>
      <c r="L15" s="80"/>
      <c r="M15" s="82"/>
      <c r="N15" s="80"/>
      <c r="O15" s="82"/>
      <c r="P15" s="94"/>
      <c r="Q15" s="95"/>
      <c r="R15" s="80"/>
      <c r="S15" s="81"/>
    </row>
    <row r="16" spans="1:24" x14ac:dyDescent="0.25">
      <c r="B16" s="83"/>
      <c r="C16" s="85"/>
      <c r="D16" s="83"/>
      <c r="E16" s="84"/>
      <c r="F16" s="84"/>
      <c r="G16" s="84"/>
      <c r="H16" s="84"/>
      <c r="I16" s="85"/>
      <c r="J16" s="83"/>
      <c r="K16" s="85"/>
      <c r="L16" s="83"/>
      <c r="M16" s="85"/>
      <c r="N16" s="83"/>
      <c r="O16" s="85"/>
      <c r="P16" s="96"/>
      <c r="Q16" s="97"/>
      <c r="R16" s="80"/>
      <c r="S16" s="81"/>
    </row>
    <row r="17" spans="2:19" x14ac:dyDescent="0.25">
      <c r="B17" s="71"/>
      <c r="C17" s="72"/>
      <c r="D17" s="77"/>
      <c r="E17" s="78"/>
      <c r="F17" s="78"/>
      <c r="G17" s="78"/>
      <c r="H17" s="78"/>
      <c r="I17" s="79"/>
      <c r="J17" s="86"/>
      <c r="K17" s="79"/>
      <c r="L17" s="86"/>
      <c r="M17" s="79"/>
      <c r="N17" s="77"/>
      <c r="O17" s="79"/>
      <c r="P17" s="92"/>
      <c r="Q17" s="93"/>
      <c r="R17" s="80" t="str">
        <f t="shared" ref="R17" ca="1" si="1">IF(L17=""," ",IF(P17="Concluída"," ",IF(TODAY()&gt;L17,"EM ATRASO",IF(TODAY()=L17,"HOJE"," "))))</f>
        <v xml:space="preserve"> </v>
      </c>
      <c r="S17" s="81"/>
    </row>
    <row r="18" spans="2:19" x14ac:dyDescent="0.25">
      <c r="B18" s="73"/>
      <c r="C18" s="74"/>
      <c r="D18" s="80"/>
      <c r="E18" s="81"/>
      <c r="F18" s="81"/>
      <c r="G18" s="81"/>
      <c r="H18" s="81"/>
      <c r="I18" s="82"/>
      <c r="J18" s="80"/>
      <c r="K18" s="82"/>
      <c r="L18" s="80"/>
      <c r="M18" s="82"/>
      <c r="N18" s="80"/>
      <c r="O18" s="82"/>
      <c r="P18" s="94"/>
      <c r="Q18" s="95"/>
      <c r="R18" s="80"/>
      <c r="S18" s="81"/>
    </row>
    <row r="19" spans="2:19" x14ac:dyDescent="0.25">
      <c r="B19" s="75"/>
      <c r="C19" s="76"/>
      <c r="D19" s="83"/>
      <c r="E19" s="84"/>
      <c r="F19" s="84"/>
      <c r="G19" s="84"/>
      <c r="H19" s="84"/>
      <c r="I19" s="85"/>
      <c r="J19" s="83"/>
      <c r="K19" s="85"/>
      <c r="L19" s="83"/>
      <c r="M19" s="85"/>
      <c r="N19" s="83"/>
      <c r="O19" s="85"/>
      <c r="P19" s="96"/>
      <c r="Q19" s="97"/>
      <c r="R19" s="80"/>
      <c r="S19" s="81"/>
    </row>
    <row r="20" spans="2:19" x14ac:dyDescent="0.25">
      <c r="B20" s="71"/>
      <c r="C20" s="72"/>
      <c r="D20" s="77"/>
      <c r="E20" s="78"/>
      <c r="F20" s="78"/>
      <c r="G20" s="78"/>
      <c r="H20" s="78"/>
      <c r="I20" s="79"/>
      <c r="J20" s="77"/>
      <c r="K20" s="79"/>
      <c r="L20" s="77"/>
      <c r="M20" s="79"/>
      <c r="N20" s="77"/>
      <c r="O20" s="79"/>
      <c r="P20" s="92"/>
      <c r="Q20" s="93"/>
      <c r="R20" s="80" t="str">
        <f t="shared" ref="R20" ca="1" si="2">IF(L20=""," ",IF(P20="Concluída"," ",IF(TODAY()&gt;L20,"EM ATRASO",IF(TODAY()=L20,"HOJE"," "))))</f>
        <v xml:space="preserve"> </v>
      </c>
      <c r="S20" s="81"/>
    </row>
    <row r="21" spans="2:19" x14ac:dyDescent="0.25">
      <c r="B21" s="73"/>
      <c r="C21" s="74"/>
      <c r="D21" s="80"/>
      <c r="E21" s="81"/>
      <c r="F21" s="81"/>
      <c r="G21" s="81"/>
      <c r="H21" s="81"/>
      <c r="I21" s="82"/>
      <c r="J21" s="80"/>
      <c r="K21" s="82"/>
      <c r="L21" s="80"/>
      <c r="M21" s="82"/>
      <c r="N21" s="80"/>
      <c r="O21" s="82"/>
      <c r="P21" s="94"/>
      <c r="Q21" s="95"/>
      <c r="R21" s="80"/>
      <c r="S21" s="81"/>
    </row>
    <row r="22" spans="2:19" ht="15" customHeight="1" x14ac:dyDescent="0.25">
      <c r="B22" s="75"/>
      <c r="C22" s="76"/>
      <c r="D22" s="83"/>
      <c r="E22" s="84"/>
      <c r="F22" s="84"/>
      <c r="G22" s="84"/>
      <c r="H22" s="84"/>
      <c r="I22" s="85"/>
      <c r="J22" s="83"/>
      <c r="K22" s="85"/>
      <c r="L22" s="83"/>
      <c r="M22" s="85"/>
      <c r="N22" s="83"/>
      <c r="O22" s="85"/>
      <c r="P22" s="96"/>
      <c r="Q22" s="97"/>
      <c r="R22" s="80"/>
      <c r="S22" s="81"/>
    </row>
    <row r="23" spans="2:19" ht="15" customHeight="1" x14ac:dyDescent="0.25">
      <c r="B23" s="71"/>
      <c r="C23" s="72"/>
      <c r="D23" s="77"/>
      <c r="E23" s="78"/>
      <c r="F23" s="78"/>
      <c r="G23" s="78"/>
      <c r="H23" s="78"/>
      <c r="I23" s="79"/>
      <c r="J23" s="77"/>
      <c r="K23" s="79"/>
      <c r="L23" s="77"/>
      <c r="M23" s="79"/>
      <c r="N23" s="77"/>
      <c r="O23" s="79"/>
      <c r="P23" s="92"/>
      <c r="Q23" s="93"/>
      <c r="R23" s="80" t="str">
        <f t="shared" ref="R23" ca="1" si="3">IF(L23=""," ",IF(P23="Concluída"," ",IF(TODAY()&gt;L23,"EM ATRASO",IF(TODAY()=L23,"HOJE"," "))))</f>
        <v xml:space="preserve"> </v>
      </c>
      <c r="S23" s="81"/>
    </row>
    <row r="24" spans="2:19" x14ac:dyDescent="0.25">
      <c r="B24" s="73"/>
      <c r="C24" s="74"/>
      <c r="D24" s="80"/>
      <c r="E24" s="81"/>
      <c r="F24" s="81"/>
      <c r="G24" s="81"/>
      <c r="H24" s="81"/>
      <c r="I24" s="82"/>
      <c r="J24" s="80"/>
      <c r="K24" s="82"/>
      <c r="L24" s="80"/>
      <c r="M24" s="82"/>
      <c r="N24" s="80"/>
      <c r="O24" s="82"/>
      <c r="P24" s="94"/>
      <c r="Q24" s="95"/>
      <c r="R24" s="80"/>
      <c r="S24" s="81"/>
    </row>
    <row r="25" spans="2:19" x14ac:dyDescent="0.25">
      <c r="B25" s="75"/>
      <c r="C25" s="76"/>
      <c r="D25" s="83"/>
      <c r="E25" s="84"/>
      <c r="F25" s="84"/>
      <c r="G25" s="84"/>
      <c r="H25" s="84"/>
      <c r="I25" s="85"/>
      <c r="J25" s="83"/>
      <c r="K25" s="85"/>
      <c r="L25" s="83"/>
      <c r="M25" s="85"/>
      <c r="N25" s="83"/>
      <c r="O25" s="85"/>
      <c r="P25" s="96"/>
      <c r="Q25" s="97"/>
      <c r="R25" s="80"/>
      <c r="S25" s="81"/>
    </row>
    <row r="26" spans="2:19" x14ac:dyDescent="0.25">
      <c r="B26" s="71"/>
      <c r="C26" s="72"/>
      <c r="D26" s="77"/>
      <c r="E26" s="78"/>
      <c r="F26" s="78"/>
      <c r="G26" s="78"/>
      <c r="H26" s="78"/>
      <c r="I26" s="79"/>
      <c r="J26" s="77"/>
      <c r="K26" s="79"/>
      <c r="L26" s="77"/>
      <c r="M26" s="79"/>
      <c r="N26" s="77"/>
      <c r="O26" s="79"/>
      <c r="P26" s="92"/>
      <c r="Q26" s="93"/>
      <c r="R26" s="80" t="str">
        <f t="shared" ref="R26" ca="1" si="4">IF(L26=""," ",IF(P26="Concluída"," ",IF(TODAY()&gt;L26,"EM ATRASO",IF(TODAY()=L26,"HOJE"," "))))</f>
        <v xml:space="preserve"> </v>
      </c>
      <c r="S26" s="81"/>
    </row>
    <row r="27" spans="2:19" x14ac:dyDescent="0.25">
      <c r="B27" s="73"/>
      <c r="C27" s="74"/>
      <c r="D27" s="80"/>
      <c r="E27" s="81"/>
      <c r="F27" s="81"/>
      <c r="G27" s="81"/>
      <c r="H27" s="81"/>
      <c r="I27" s="82"/>
      <c r="J27" s="80"/>
      <c r="K27" s="82"/>
      <c r="L27" s="80"/>
      <c r="M27" s="82"/>
      <c r="N27" s="80"/>
      <c r="O27" s="82"/>
      <c r="P27" s="94"/>
      <c r="Q27" s="95"/>
      <c r="R27" s="80"/>
      <c r="S27" s="81"/>
    </row>
    <row r="28" spans="2:19" x14ac:dyDescent="0.25">
      <c r="B28" s="75"/>
      <c r="C28" s="76"/>
      <c r="D28" s="83"/>
      <c r="E28" s="84"/>
      <c r="F28" s="84"/>
      <c r="G28" s="84"/>
      <c r="H28" s="84"/>
      <c r="I28" s="85"/>
      <c r="J28" s="83"/>
      <c r="K28" s="85"/>
      <c r="L28" s="83"/>
      <c r="M28" s="85"/>
      <c r="N28" s="83"/>
      <c r="O28" s="85"/>
      <c r="P28" s="96"/>
      <c r="Q28" s="97"/>
      <c r="R28" s="80"/>
      <c r="S28" s="81"/>
    </row>
    <row r="29" spans="2:19" x14ac:dyDescent="0.25">
      <c r="B29" s="71"/>
      <c r="C29" s="72"/>
      <c r="D29" s="77"/>
      <c r="E29" s="78"/>
      <c r="F29" s="78"/>
      <c r="G29" s="78"/>
      <c r="H29" s="78"/>
      <c r="I29" s="79"/>
      <c r="J29" s="77"/>
      <c r="K29" s="79"/>
      <c r="L29" s="77"/>
      <c r="M29" s="79"/>
      <c r="N29" s="77"/>
      <c r="O29" s="79"/>
      <c r="P29" s="92"/>
      <c r="Q29" s="93"/>
      <c r="R29" s="80" t="str">
        <f t="shared" ref="R29" ca="1" si="5">IF(L29=""," ",IF(P29="Concluída"," ",IF(TODAY()&gt;L29,"EM ATRASO",IF(TODAY()=L29,"HOJE"," "))))</f>
        <v xml:space="preserve"> </v>
      </c>
      <c r="S29" s="81"/>
    </row>
    <row r="30" spans="2:19" x14ac:dyDescent="0.25">
      <c r="B30" s="73"/>
      <c r="C30" s="74"/>
      <c r="D30" s="80"/>
      <c r="E30" s="81"/>
      <c r="F30" s="81"/>
      <c r="G30" s="81"/>
      <c r="H30" s="81"/>
      <c r="I30" s="82"/>
      <c r="J30" s="80"/>
      <c r="K30" s="82"/>
      <c r="L30" s="80"/>
      <c r="M30" s="82"/>
      <c r="N30" s="80"/>
      <c r="O30" s="82"/>
      <c r="P30" s="94"/>
      <c r="Q30" s="95"/>
      <c r="R30" s="80"/>
      <c r="S30" s="81"/>
    </row>
    <row r="31" spans="2:19" x14ac:dyDescent="0.25">
      <c r="B31" s="75"/>
      <c r="C31" s="76"/>
      <c r="D31" s="83"/>
      <c r="E31" s="84"/>
      <c r="F31" s="84"/>
      <c r="G31" s="84"/>
      <c r="H31" s="84"/>
      <c r="I31" s="85"/>
      <c r="J31" s="83"/>
      <c r="K31" s="85"/>
      <c r="L31" s="83"/>
      <c r="M31" s="85"/>
      <c r="N31" s="83"/>
      <c r="O31" s="85"/>
      <c r="P31" s="96"/>
      <c r="Q31" s="97"/>
      <c r="R31" s="80"/>
      <c r="S31" s="81"/>
    </row>
    <row r="32" spans="2:19" x14ac:dyDescent="0.25">
      <c r="B32" s="71"/>
      <c r="C32" s="72"/>
      <c r="D32" s="77"/>
      <c r="E32" s="78"/>
      <c r="F32" s="78"/>
      <c r="G32" s="78"/>
      <c r="H32" s="78"/>
      <c r="I32" s="79"/>
      <c r="J32" s="77"/>
      <c r="K32" s="79"/>
      <c r="L32" s="77"/>
      <c r="M32" s="79"/>
      <c r="N32" s="77"/>
      <c r="O32" s="79"/>
      <c r="P32" s="92"/>
      <c r="Q32" s="93"/>
      <c r="R32" s="80" t="str">
        <f t="shared" ref="R32" ca="1" si="6">IF(L32=""," ",IF(P32="Concluída"," ",IF(TODAY()&gt;L32,"EM ATRASO",IF(TODAY()=L32,"HOJE"," "))))</f>
        <v xml:space="preserve"> </v>
      </c>
      <c r="S32" s="81"/>
    </row>
    <row r="33" spans="2:19" x14ac:dyDescent="0.25">
      <c r="B33" s="73"/>
      <c r="C33" s="74"/>
      <c r="D33" s="80"/>
      <c r="E33" s="81"/>
      <c r="F33" s="81"/>
      <c r="G33" s="81"/>
      <c r="H33" s="81"/>
      <c r="I33" s="82"/>
      <c r="J33" s="80"/>
      <c r="K33" s="82"/>
      <c r="L33" s="80"/>
      <c r="M33" s="82"/>
      <c r="N33" s="80"/>
      <c r="O33" s="82"/>
      <c r="P33" s="94"/>
      <c r="Q33" s="95"/>
      <c r="R33" s="80"/>
      <c r="S33" s="81"/>
    </row>
    <row r="34" spans="2:19" x14ac:dyDescent="0.25">
      <c r="B34" s="75"/>
      <c r="C34" s="76"/>
      <c r="D34" s="83"/>
      <c r="E34" s="84"/>
      <c r="F34" s="84"/>
      <c r="G34" s="84"/>
      <c r="H34" s="84"/>
      <c r="I34" s="85"/>
      <c r="J34" s="83"/>
      <c r="K34" s="85"/>
      <c r="L34" s="83"/>
      <c r="M34" s="85"/>
      <c r="N34" s="83"/>
      <c r="O34" s="85"/>
      <c r="P34" s="96"/>
      <c r="Q34" s="97"/>
      <c r="R34" s="80"/>
      <c r="S34" s="81"/>
    </row>
    <row r="35" spans="2:19" x14ac:dyDescent="0.25">
      <c r="B35" s="71"/>
      <c r="C35" s="72"/>
      <c r="D35" s="77"/>
      <c r="E35" s="78"/>
      <c r="F35" s="78"/>
      <c r="G35" s="78"/>
      <c r="H35" s="78"/>
      <c r="I35" s="79"/>
      <c r="J35" s="77"/>
      <c r="K35" s="79"/>
      <c r="L35" s="77"/>
      <c r="M35" s="79"/>
      <c r="N35" s="77"/>
      <c r="O35" s="79"/>
      <c r="P35" s="92"/>
      <c r="Q35" s="93"/>
      <c r="R35" s="80" t="str">
        <f t="shared" ref="R35" ca="1" si="7">IF(L35=""," ",IF(P35="Concluída"," ",IF(TODAY()&gt;L35,"EM ATRASO",IF(TODAY()=L35,"HOJE"," "))))</f>
        <v xml:space="preserve"> </v>
      </c>
      <c r="S35" s="81"/>
    </row>
    <row r="36" spans="2:19" x14ac:dyDescent="0.25">
      <c r="B36" s="73"/>
      <c r="C36" s="74"/>
      <c r="D36" s="80"/>
      <c r="E36" s="81"/>
      <c r="F36" s="81"/>
      <c r="G36" s="81"/>
      <c r="H36" s="81"/>
      <c r="I36" s="82"/>
      <c r="J36" s="80"/>
      <c r="K36" s="82"/>
      <c r="L36" s="80"/>
      <c r="M36" s="82"/>
      <c r="N36" s="80"/>
      <c r="O36" s="82"/>
      <c r="P36" s="94"/>
      <c r="Q36" s="95"/>
      <c r="R36" s="80"/>
      <c r="S36" s="81"/>
    </row>
    <row r="37" spans="2:19" x14ac:dyDescent="0.25">
      <c r="B37" s="75"/>
      <c r="C37" s="76"/>
      <c r="D37" s="83"/>
      <c r="E37" s="84"/>
      <c r="F37" s="84"/>
      <c r="G37" s="84"/>
      <c r="H37" s="84"/>
      <c r="I37" s="85"/>
      <c r="J37" s="83"/>
      <c r="K37" s="85"/>
      <c r="L37" s="83"/>
      <c r="M37" s="85"/>
      <c r="N37" s="83"/>
      <c r="O37" s="85"/>
      <c r="P37" s="96"/>
      <c r="Q37" s="97"/>
      <c r="R37" s="80"/>
      <c r="S37" s="81"/>
    </row>
    <row r="38" spans="2:19" x14ac:dyDescent="0.25">
      <c r="B38" s="71"/>
      <c r="C38" s="72"/>
      <c r="D38" s="77"/>
      <c r="E38" s="78"/>
      <c r="F38" s="78"/>
      <c r="G38" s="78"/>
      <c r="H38" s="78"/>
      <c r="I38" s="79"/>
      <c r="J38" s="77"/>
      <c r="K38" s="79"/>
      <c r="L38" s="77"/>
      <c r="M38" s="79"/>
      <c r="N38" s="77"/>
      <c r="O38" s="79"/>
      <c r="P38" s="92"/>
      <c r="Q38" s="93"/>
      <c r="R38" s="80" t="str">
        <f t="shared" ref="R38" ca="1" si="8">IF(L38=""," ",IF(P38="Concluída"," ",IF(TODAY()&gt;L38,"EM ATRASO",IF(TODAY()=L38,"HOJE"," "))))</f>
        <v xml:space="preserve"> </v>
      </c>
      <c r="S38" s="81"/>
    </row>
    <row r="39" spans="2:19" x14ac:dyDescent="0.25">
      <c r="B39" s="73"/>
      <c r="C39" s="74"/>
      <c r="D39" s="80"/>
      <c r="E39" s="81"/>
      <c r="F39" s="81"/>
      <c r="G39" s="81"/>
      <c r="H39" s="81"/>
      <c r="I39" s="82"/>
      <c r="J39" s="80"/>
      <c r="K39" s="82"/>
      <c r="L39" s="80"/>
      <c r="M39" s="82"/>
      <c r="N39" s="80"/>
      <c r="O39" s="82"/>
      <c r="P39" s="94"/>
      <c r="Q39" s="95"/>
      <c r="R39" s="80"/>
      <c r="S39" s="81"/>
    </row>
    <row r="40" spans="2:19" x14ac:dyDescent="0.25">
      <c r="B40" s="75"/>
      <c r="C40" s="76"/>
      <c r="D40" s="83"/>
      <c r="E40" s="84"/>
      <c r="F40" s="84"/>
      <c r="G40" s="84"/>
      <c r="H40" s="84"/>
      <c r="I40" s="85"/>
      <c r="J40" s="83"/>
      <c r="K40" s="85"/>
      <c r="L40" s="83"/>
      <c r="M40" s="85"/>
      <c r="N40" s="83"/>
      <c r="O40" s="85"/>
      <c r="P40" s="96"/>
      <c r="Q40" s="97"/>
      <c r="R40" s="80"/>
      <c r="S40" s="81"/>
    </row>
    <row r="41" spans="2:19" x14ac:dyDescent="0.25">
      <c r="B41" s="71"/>
      <c r="C41" s="72"/>
      <c r="D41" s="77"/>
      <c r="E41" s="78"/>
      <c r="F41" s="78"/>
      <c r="G41" s="78"/>
      <c r="H41" s="78"/>
      <c r="I41" s="79"/>
      <c r="J41" s="77"/>
      <c r="K41" s="79"/>
      <c r="L41" s="77"/>
      <c r="M41" s="79"/>
      <c r="N41" s="77"/>
      <c r="O41" s="79"/>
      <c r="P41" s="92"/>
      <c r="Q41" s="93"/>
      <c r="R41" s="80" t="str">
        <f t="shared" ref="R41" ca="1" si="9">IF(L41=""," ",IF(P41="Concluída"," ",IF(TODAY()&gt;L41,"EM ATRASO",IF(TODAY()=L41,"HOJE"," "))))</f>
        <v xml:space="preserve"> </v>
      </c>
      <c r="S41" s="81"/>
    </row>
    <row r="42" spans="2:19" x14ac:dyDescent="0.25">
      <c r="B42" s="73"/>
      <c r="C42" s="74"/>
      <c r="D42" s="80"/>
      <c r="E42" s="81"/>
      <c r="F42" s="81"/>
      <c r="G42" s="81"/>
      <c r="H42" s="81"/>
      <c r="I42" s="82"/>
      <c r="J42" s="80"/>
      <c r="K42" s="82"/>
      <c r="L42" s="80"/>
      <c r="M42" s="82"/>
      <c r="N42" s="80"/>
      <c r="O42" s="82"/>
      <c r="P42" s="94"/>
      <c r="Q42" s="95"/>
      <c r="R42" s="80"/>
      <c r="S42" s="81"/>
    </row>
    <row r="43" spans="2:19" x14ac:dyDescent="0.25">
      <c r="B43" s="75"/>
      <c r="C43" s="76"/>
      <c r="D43" s="83"/>
      <c r="E43" s="84"/>
      <c r="F43" s="84"/>
      <c r="G43" s="84"/>
      <c r="H43" s="84"/>
      <c r="I43" s="85"/>
      <c r="J43" s="83"/>
      <c r="K43" s="85"/>
      <c r="L43" s="83"/>
      <c r="M43" s="85"/>
      <c r="N43" s="83"/>
      <c r="O43" s="85"/>
      <c r="P43" s="96"/>
      <c r="Q43" s="97"/>
      <c r="R43" s="80"/>
      <c r="S43" s="81"/>
    </row>
    <row r="44" spans="2:19" x14ac:dyDescent="0.25">
      <c r="B44" s="71"/>
      <c r="C44" s="72"/>
      <c r="D44" s="77"/>
      <c r="E44" s="78"/>
      <c r="F44" s="78"/>
      <c r="G44" s="78"/>
      <c r="H44" s="78"/>
      <c r="I44" s="79"/>
      <c r="J44" s="77"/>
      <c r="K44" s="79"/>
      <c r="L44" s="77"/>
      <c r="M44" s="79"/>
      <c r="N44" s="77"/>
      <c r="O44" s="79"/>
      <c r="P44" s="92"/>
      <c r="Q44" s="93"/>
      <c r="R44" s="80" t="str">
        <f t="shared" ref="R44" ca="1" si="10">IF(L44=""," ",IF(P44="Concluída"," ",IF(TODAY()&gt;L44,"EM ATRASO",IF(TODAY()=L44,"HOJE"," "))))</f>
        <v xml:space="preserve"> </v>
      </c>
      <c r="S44" s="81"/>
    </row>
    <row r="45" spans="2:19" x14ac:dyDescent="0.25">
      <c r="B45" s="73"/>
      <c r="C45" s="74"/>
      <c r="D45" s="80"/>
      <c r="E45" s="81"/>
      <c r="F45" s="81"/>
      <c r="G45" s="81"/>
      <c r="H45" s="81"/>
      <c r="I45" s="82"/>
      <c r="J45" s="80"/>
      <c r="K45" s="82"/>
      <c r="L45" s="80"/>
      <c r="M45" s="82"/>
      <c r="N45" s="80"/>
      <c r="O45" s="82"/>
      <c r="P45" s="94"/>
      <c r="Q45" s="95"/>
      <c r="R45" s="80"/>
      <c r="S45" s="81"/>
    </row>
    <row r="46" spans="2:19" x14ac:dyDescent="0.25">
      <c r="B46" s="75"/>
      <c r="C46" s="76"/>
      <c r="D46" s="83"/>
      <c r="E46" s="84"/>
      <c r="F46" s="84"/>
      <c r="G46" s="84"/>
      <c r="H46" s="84"/>
      <c r="I46" s="85"/>
      <c r="J46" s="83"/>
      <c r="K46" s="85"/>
      <c r="L46" s="83"/>
      <c r="M46" s="85"/>
      <c r="N46" s="83"/>
      <c r="O46" s="85"/>
      <c r="P46" s="96"/>
      <c r="Q46" s="97"/>
      <c r="R46" s="80"/>
      <c r="S46" s="81"/>
    </row>
    <row r="47" spans="2:19" x14ac:dyDescent="0.25">
      <c r="B47" s="71"/>
      <c r="C47" s="72"/>
      <c r="D47" s="77"/>
      <c r="E47" s="78"/>
      <c r="F47" s="78"/>
      <c r="G47" s="78"/>
      <c r="H47" s="78"/>
      <c r="I47" s="79"/>
      <c r="J47" s="77"/>
      <c r="K47" s="79"/>
      <c r="L47" s="77"/>
      <c r="M47" s="79"/>
      <c r="N47" s="77"/>
      <c r="O47" s="79"/>
      <c r="P47" s="92"/>
      <c r="Q47" s="93"/>
      <c r="R47" s="80" t="str">
        <f t="shared" ref="R47" ca="1" si="11">IF(L47=""," ",IF(P47="Concluída"," ",IF(TODAY()&gt;L47,"EM ATRASO",IF(TODAY()=L47,"HOJE"," "))))</f>
        <v xml:space="preserve"> </v>
      </c>
      <c r="S47" s="81"/>
    </row>
    <row r="48" spans="2:19" x14ac:dyDescent="0.25">
      <c r="B48" s="73"/>
      <c r="C48" s="74"/>
      <c r="D48" s="80"/>
      <c r="E48" s="81"/>
      <c r="F48" s="81"/>
      <c r="G48" s="81"/>
      <c r="H48" s="81"/>
      <c r="I48" s="82"/>
      <c r="J48" s="80"/>
      <c r="K48" s="82"/>
      <c r="L48" s="80"/>
      <c r="M48" s="82"/>
      <c r="N48" s="80"/>
      <c r="O48" s="82"/>
      <c r="P48" s="94"/>
      <c r="Q48" s="95"/>
      <c r="R48" s="80"/>
      <c r="S48" s="81"/>
    </row>
    <row r="49" spans="2:19" x14ac:dyDescent="0.25">
      <c r="B49" s="75"/>
      <c r="C49" s="76"/>
      <c r="D49" s="83"/>
      <c r="E49" s="84"/>
      <c r="F49" s="84"/>
      <c r="G49" s="84"/>
      <c r="H49" s="84"/>
      <c r="I49" s="85"/>
      <c r="J49" s="83"/>
      <c r="K49" s="85"/>
      <c r="L49" s="83"/>
      <c r="M49" s="85"/>
      <c r="N49" s="83"/>
      <c r="O49" s="85"/>
      <c r="P49" s="96"/>
      <c r="Q49" s="97"/>
      <c r="R49" s="80"/>
      <c r="S49" s="81"/>
    </row>
    <row r="50" spans="2:19" x14ac:dyDescent="0.25">
      <c r="B50" s="71"/>
      <c r="C50" s="72"/>
      <c r="D50" s="77"/>
      <c r="E50" s="78"/>
      <c r="F50" s="78"/>
      <c r="G50" s="78"/>
      <c r="H50" s="78"/>
      <c r="I50" s="79"/>
      <c r="J50" s="77"/>
      <c r="K50" s="79"/>
      <c r="L50" s="77"/>
      <c r="M50" s="79"/>
      <c r="N50" s="77"/>
      <c r="O50" s="79"/>
      <c r="P50" s="92"/>
      <c r="Q50" s="93"/>
      <c r="R50" s="80" t="str">
        <f t="shared" ref="R50" ca="1" si="12">IF(L50=""," ",IF(P50="Concluída"," ",IF(TODAY()&gt;L50,"EM ATRASO",IF(TODAY()=L50,"HOJE"," "))))</f>
        <v xml:space="preserve"> </v>
      </c>
      <c r="S50" s="81"/>
    </row>
    <row r="51" spans="2:19" x14ac:dyDescent="0.25">
      <c r="B51" s="73"/>
      <c r="C51" s="74"/>
      <c r="D51" s="80"/>
      <c r="E51" s="81"/>
      <c r="F51" s="81"/>
      <c r="G51" s="81"/>
      <c r="H51" s="81"/>
      <c r="I51" s="82"/>
      <c r="J51" s="80"/>
      <c r="K51" s="82"/>
      <c r="L51" s="80"/>
      <c r="M51" s="82"/>
      <c r="N51" s="80"/>
      <c r="O51" s="82"/>
      <c r="P51" s="94"/>
      <c r="Q51" s="95"/>
      <c r="R51" s="80"/>
      <c r="S51" s="81"/>
    </row>
    <row r="52" spans="2:19" x14ac:dyDescent="0.25">
      <c r="B52" s="75"/>
      <c r="C52" s="76"/>
      <c r="D52" s="83"/>
      <c r="E52" s="84"/>
      <c r="F52" s="84"/>
      <c r="G52" s="84"/>
      <c r="H52" s="84"/>
      <c r="I52" s="85"/>
      <c r="J52" s="83"/>
      <c r="K52" s="85"/>
      <c r="L52" s="83"/>
      <c r="M52" s="85"/>
      <c r="N52" s="83"/>
      <c r="O52" s="85"/>
      <c r="P52" s="96"/>
      <c r="Q52" s="97"/>
      <c r="R52" s="80"/>
      <c r="S52" s="81"/>
    </row>
    <row r="53" spans="2:19" x14ac:dyDescent="0.25">
      <c r="B53" s="71"/>
      <c r="C53" s="72"/>
      <c r="D53" s="77"/>
      <c r="E53" s="78"/>
      <c r="F53" s="78"/>
      <c r="G53" s="78"/>
      <c r="H53" s="78"/>
      <c r="I53" s="79"/>
      <c r="J53" s="77"/>
      <c r="K53" s="79"/>
      <c r="L53" s="77"/>
      <c r="M53" s="79"/>
      <c r="N53" s="77"/>
      <c r="O53" s="79"/>
      <c r="P53" s="92"/>
      <c r="Q53" s="93"/>
      <c r="R53" s="80" t="str">
        <f t="shared" ref="R53" ca="1" si="13">IF(L53=""," ",IF(P53="Concluída"," ",IF(TODAY()&gt;L53,"EM ATRASO",IF(TODAY()=L53,"HOJE"," "))))</f>
        <v xml:space="preserve"> </v>
      </c>
      <c r="S53" s="81"/>
    </row>
    <row r="54" spans="2:19" x14ac:dyDescent="0.25">
      <c r="B54" s="73"/>
      <c r="C54" s="74"/>
      <c r="D54" s="80"/>
      <c r="E54" s="81"/>
      <c r="F54" s="81"/>
      <c r="G54" s="81"/>
      <c r="H54" s="81"/>
      <c r="I54" s="82"/>
      <c r="J54" s="80"/>
      <c r="K54" s="82"/>
      <c r="L54" s="80"/>
      <c r="M54" s="82"/>
      <c r="N54" s="80"/>
      <c r="O54" s="82"/>
      <c r="P54" s="94"/>
      <c r="Q54" s="95"/>
      <c r="R54" s="80"/>
      <c r="S54" s="81"/>
    </row>
    <row r="55" spans="2:19" x14ac:dyDescent="0.25">
      <c r="B55" s="75"/>
      <c r="C55" s="76"/>
      <c r="D55" s="83"/>
      <c r="E55" s="84"/>
      <c r="F55" s="84"/>
      <c r="G55" s="84"/>
      <c r="H55" s="84"/>
      <c r="I55" s="85"/>
      <c r="J55" s="83"/>
      <c r="K55" s="85"/>
      <c r="L55" s="83"/>
      <c r="M55" s="85"/>
      <c r="N55" s="83"/>
      <c r="O55" s="85"/>
      <c r="P55" s="96"/>
      <c r="Q55" s="97"/>
      <c r="R55" s="80"/>
      <c r="S55" s="81"/>
    </row>
    <row r="56" spans="2:19" x14ac:dyDescent="0.25">
      <c r="B56" s="71"/>
      <c r="C56" s="72"/>
      <c r="D56" s="77"/>
      <c r="E56" s="78"/>
      <c r="F56" s="78"/>
      <c r="G56" s="78"/>
      <c r="H56" s="78"/>
      <c r="I56" s="79"/>
      <c r="J56" s="77"/>
      <c r="K56" s="79"/>
      <c r="L56" s="77"/>
      <c r="M56" s="79"/>
      <c r="N56" s="77"/>
      <c r="O56" s="79"/>
      <c r="P56" s="92"/>
      <c r="Q56" s="93"/>
      <c r="R56" s="80" t="str">
        <f t="shared" ref="R56" ca="1" si="14">IF(L56=""," ",IF(P56="Concluída"," ",IF(TODAY()&gt;L56,"EM ATRASO",IF(TODAY()=L56,"HOJE"," "))))</f>
        <v xml:space="preserve"> </v>
      </c>
      <c r="S56" s="81"/>
    </row>
    <row r="57" spans="2:19" x14ac:dyDescent="0.25">
      <c r="B57" s="73"/>
      <c r="C57" s="74"/>
      <c r="D57" s="80"/>
      <c r="E57" s="81"/>
      <c r="F57" s="81"/>
      <c r="G57" s="81"/>
      <c r="H57" s="81"/>
      <c r="I57" s="82"/>
      <c r="J57" s="80"/>
      <c r="K57" s="82"/>
      <c r="L57" s="80"/>
      <c r="M57" s="82"/>
      <c r="N57" s="80"/>
      <c r="O57" s="82"/>
      <c r="P57" s="94"/>
      <c r="Q57" s="95"/>
      <c r="R57" s="80"/>
      <c r="S57" s="81"/>
    </row>
    <row r="58" spans="2:19" x14ac:dyDescent="0.25">
      <c r="B58" s="75"/>
      <c r="C58" s="76"/>
      <c r="D58" s="83"/>
      <c r="E58" s="84"/>
      <c r="F58" s="84"/>
      <c r="G58" s="84"/>
      <c r="H58" s="84"/>
      <c r="I58" s="85"/>
      <c r="J58" s="83"/>
      <c r="K58" s="85"/>
      <c r="L58" s="83"/>
      <c r="M58" s="85"/>
      <c r="N58" s="83"/>
      <c r="O58" s="85"/>
      <c r="P58" s="96"/>
      <c r="Q58" s="97"/>
      <c r="R58" s="80"/>
      <c r="S58" s="81"/>
    </row>
    <row r="59" spans="2:19" x14ac:dyDescent="0.25">
      <c r="B59" s="71"/>
      <c r="C59" s="72"/>
      <c r="D59" s="77"/>
      <c r="E59" s="78"/>
      <c r="F59" s="78"/>
      <c r="G59" s="78"/>
      <c r="H59" s="78"/>
      <c r="I59" s="79"/>
      <c r="J59" s="77"/>
      <c r="K59" s="79"/>
      <c r="L59" s="77"/>
      <c r="M59" s="79"/>
      <c r="N59" s="77"/>
      <c r="O59" s="79"/>
      <c r="P59" s="92"/>
      <c r="Q59" s="93"/>
      <c r="R59" s="80" t="str">
        <f t="shared" ref="R59" ca="1" si="15">IF(L59=""," ",IF(P59="Concluída"," ",IF(TODAY()&gt;L59,"EM ATRASO",IF(TODAY()=L59,"HOJE"," "))))</f>
        <v xml:space="preserve"> </v>
      </c>
      <c r="S59" s="81"/>
    </row>
    <row r="60" spans="2:19" x14ac:dyDescent="0.25">
      <c r="B60" s="73"/>
      <c r="C60" s="74"/>
      <c r="D60" s="80"/>
      <c r="E60" s="81"/>
      <c r="F60" s="81"/>
      <c r="G60" s="81"/>
      <c r="H60" s="81"/>
      <c r="I60" s="82"/>
      <c r="J60" s="80"/>
      <c r="K60" s="82"/>
      <c r="L60" s="80"/>
      <c r="M60" s="82"/>
      <c r="N60" s="80"/>
      <c r="O60" s="82"/>
      <c r="P60" s="94"/>
      <c r="Q60" s="95"/>
      <c r="R60" s="80"/>
      <c r="S60" s="81"/>
    </row>
    <row r="61" spans="2:19" x14ac:dyDescent="0.25">
      <c r="B61" s="75"/>
      <c r="C61" s="76"/>
      <c r="D61" s="83"/>
      <c r="E61" s="84"/>
      <c r="F61" s="84"/>
      <c r="G61" s="84"/>
      <c r="H61" s="84"/>
      <c r="I61" s="85"/>
      <c r="J61" s="83"/>
      <c r="K61" s="85"/>
      <c r="L61" s="83"/>
      <c r="M61" s="85"/>
      <c r="N61" s="83"/>
      <c r="O61" s="85"/>
      <c r="P61" s="96"/>
      <c r="Q61" s="97"/>
      <c r="R61" s="80"/>
      <c r="S61" s="81"/>
    </row>
    <row r="62" spans="2:19" x14ac:dyDescent="0.25">
      <c r="B62" s="71"/>
      <c r="C62" s="72"/>
      <c r="D62" s="77"/>
      <c r="E62" s="78"/>
      <c r="F62" s="78"/>
      <c r="G62" s="78"/>
      <c r="H62" s="78"/>
      <c r="I62" s="79"/>
      <c r="J62" s="77"/>
      <c r="K62" s="79"/>
      <c r="L62" s="77"/>
      <c r="M62" s="79"/>
      <c r="N62" s="77"/>
      <c r="O62" s="79"/>
      <c r="P62" s="92"/>
      <c r="Q62" s="93"/>
      <c r="R62" s="80" t="str">
        <f t="shared" ref="R62" ca="1" si="16">IF(L62=""," ",IF(P62="Concluída"," ",IF(TODAY()&gt;L62,"EM ATRASO",IF(TODAY()=L62,"HOJE"," "))))</f>
        <v xml:space="preserve"> </v>
      </c>
      <c r="S62" s="81"/>
    </row>
    <row r="63" spans="2:19" x14ac:dyDescent="0.25">
      <c r="B63" s="73"/>
      <c r="C63" s="74"/>
      <c r="D63" s="80"/>
      <c r="E63" s="81"/>
      <c r="F63" s="81"/>
      <c r="G63" s="81"/>
      <c r="H63" s="81"/>
      <c r="I63" s="82"/>
      <c r="J63" s="80"/>
      <c r="K63" s="82"/>
      <c r="L63" s="80"/>
      <c r="M63" s="82"/>
      <c r="N63" s="80"/>
      <c r="O63" s="82"/>
      <c r="P63" s="94"/>
      <c r="Q63" s="95"/>
      <c r="R63" s="80"/>
      <c r="S63" s="81"/>
    </row>
    <row r="64" spans="2:19" x14ac:dyDescent="0.25">
      <c r="B64" s="75"/>
      <c r="C64" s="76"/>
      <c r="D64" s="83"/>
      <c r="E64" s="84"/>
      <c r="F64" s="84"/>
      <c r="G64" s="84"/>
      <c r="H64" s="84"/>
      <c r="I64" s="85"/>
      <c r="J64" s="83"/>
      <c r="K64" s="85"/>
      <c r="L64" s="83"/>
      <c r="M64" s="85"/>
      <c r="N64" s="83"/>
      <c r="O64" s="85"/>
      <c r="P64" s="96"/>
      <c r="Q64" s="97"/>
      <c r="R64" s="80"/>
      <c r="S64" s="81"/>
    </row>
    <row r="65" spans="2:19" x14ac:dyDescent="0.25">
      <c r="B65" s="71"/>
      <c r="C65" s="72"/>
      <c r="D65" s="77"/>
      <c r="E65" s="78"/>
      <c r="F65" s="78"/>
      <c r="G65" s="78"/>
      <c r="H65" s="78"/>
      <c r="I65" s="79"/>
      <c r="J65" s="77"/>
      <c r="K65" s="79"/>
      <c r="L65" s="77"/>
      <c r="M65" s="79"/>
      <c r="N65" s="77"/>
      <c r="O65" s="79"/>
      <c r="P65" s="92"/>
      <c r="Q65" s="93"/>
      <c r="R65" s="80" t="str">
        <f t="shared" ref="R65" ca="1" si="17">IF(L65=""," ",IF(P65="Concluída"," ",IF(TODAY()&gt;L65,"EM ATRASO",IF(TODAY()=L65,"HOJE"," "))))</f>
        <v xml:space="preserve"> </v>
      </c>
      <c r="S65" s="81"/>
    </row>
    <row r="66" spans="2:19" x14ac:dyDescent="0.25">
      <c r="B66" s="73"/>
      <c r="C66" s="74"/>
      <c r="D66" s="80"/>
      <c r="E66" s="81"/>
      <c r="F66" s="81"/>
      <c r="G66" s="81"/>
      <c r="H66" s="81"/>
      <c r="I66" s="82"/>
      <c r="J66" s="80"/>
      <c r="K66" s="82"/>
      <c r="L66" s="80"/>
      <c r="M66" s="82"/>
      <c r="N66" s="80"/>
      <c r="O66" s="82"/>
      <c r="P66" s="94"/>
      <c r="Q66" s="95"/>
      <c r="R66" s="80"/>
      <c r="S66" s="81"/>
    </row>
    <row r="67" spans="2:19" x14ac:dyDescent="0.25">
      <c r="B67" s="75"/>
      <c r="C67" s="76"/>
      <c r="D67" s="83"/>
      <c r="E67" s="84"/>
      <c r="F67" s="84"/>
      <c r="G67" s="84"/>
      <c r="H67" s="84"/>
      <c r="I67" s="85"/>
      <c r="J67" s="83"/>
      <c r="K67" s="85"/>
      <c r="L67" s="83"/>
      <c r="M67" s="85"/>
      <c r="N67" s="83"/>
      <c r="O67" s="85"/>
      <c r="P67" s="96"/>
      <c r="Q67" s="97"/>
      <c r="R67" s="80"/>
      <c r="S67" s="81"/>
    </row>
    <row r="68" spans="2:19" x14ac:dyDescent="0.25">
      <c r="B68" s="71"/>
      <c r="C68" s="72"/>
      <c r="D68" s="77"/>
      <c r="E68" s="78"/>
      <c r="F68" s="78"/>
      <c r="G68" s="78"/>
      <c r="H68" s="78"/>
      <c r="I68" s="79"/>
      <c r="J68" s="77"/>
      <c r="K68" s="79"/>
      <c r="L68" s="77"/>
      <c r="M68" s="79"/>
      <c r="N68" s="77"/>
      <c r="O68" s="79"/>
      <c r="P68" s="92"/>
      <c r="Q68" s="93"/>
      <c r="R68" s="80" t="str">
        <f t="shared" ref="R68" ca="1" si="18">IF(L68=""," ",IF(P68="Concluída"," ",IF(TODAY()&gt;L68,"EM ATRASO",IF(TODAY()=L68,"HOJE"," "))))</f>
        <v xml:space="preserve"> </v>
      </c>
      <c r="S68" s="81"/>
    </row>
    <row r="69" spans="2:19" x14ac:dyDescent="0.25">
      <c r="B69" s="73"/>
      <c r="C69" s="74"/>
      <c r="D69" s="80"/>
      <c r="E69" s="81"/>
      <c r="F69" s="81"/>
      <c r="G69" s="81"/>
      <c r="H69" s="81"/>
      <c r="I69" s="82"/>
      <c r="J69" s="80"/>
      <c r="K69" s="82"/>
      <c r="L69" s="80"/>
      <c r="M69" s="82"/>
      <c r="N69" s="80"/>
      <c r="O69" s="82"/>
      <c r="P69" s="94"/>
      <c r="Q69" s="95"/>
      <c r="R69" s="80"/>
      <c r="S69" s="81"/>
    </row>
    <row r="70" spans="2:19" x14ac:dyDescent="0.25">
      <c r="B70" s="75"/>
      <c r="C70" s="76"/>
      <c r="D70" s="83"/>
      <c r="E70" s="84"/>
      <c r="F70" s="84"/>
      <c r="G70" s="84"/>
      <c r="H70" s="84"/>
      <c r="I70" s="85"/>
      <c r="J70" s="83"/>
      <c r="K70" s="85"/>
      <c r="L70" s="83"/>
      <c r="M70" s="85"/>
      <c r="N70" s="83"/>
      <c r="O70" s="85"/>
      <c r="P70" s="96"/>
      <c r="Q70" s="97"/>
      <c r="R70" s="80"/>
      <c r="S70" s="81"/>
    </row>
    <row r="71" spans="2:19" x14ac:dyDescent="0.25">
      <c r="B71" s="71"/>
      <c r="C71" s="72"/>
      <c r="D71" s="77"/>
      <c r="E71" s="78"/>
      <c r="F71" s="78"/>
      <c r="G71" s="78"/>
      <c r="H71" s="78"/>
      <c r="I71" s="79"/>
      <c r="J71" s="77"/>
      <c r="K71" s="79"/>
      <c r="L71" s="77"/>
      <c r="M71" s="79"/>
      <c r="N71" s="77"/>
      <c r="O71" s="79"/>
      <c r="P71" s="92"/>
      <c r="Q71" s="93"/>
      <c r="R71" s="80" t="str">
        <f t="shared" ref="R71" ca="1" si="19">IF(L71=""," ",IF(P71="Concluída"," ",IF(TODAY()&gt;L71,"EM ATRASO",IF(TODAY()=L71,"HOJE"," "))))</f>
        <v xml:space="preserve"> </v>
      </c>
      <c r="S71" s="81"/>
    </row>
    <row r="72" spans="2:19" x14ac:dyDescent="0.25">
      <c r="B72" s="73"/>
      <c r="C72" s="74"/>
      <c r="D72" s="80"/>
      <c r="E72" s="81"/>
      <c r="F72" s="81"/>
      <c r="G72" s="81"/>
      <c r="H72" s="81"/>
      <c r="I72" s="82"/>
      <c r="J72" s="80"/>
      <c r="K72" s="82"/>
      <c r="L72" s="80"/>
      <c r="M72" s="82"/>
      <c r="N72" s="80"/>
      <c r="O72" s="82"/>
      <c r="P72" s="94"/>
      <c r="Q72" s="95"/>
      <c r="R72" s="80"/>
      <c r="S72" s="81"/>
    </row>
    <row r="73" spans="2:19" x14ac:dyDescent="0.25">
      <c r="B73" s="75"/>
      <c r="C73" s="76"/>
      <c r="D73" s="83"/>
      <c r="E73" s="84"/>
      <c r="F73" s="84"/>
      <c r="G73" s="84"/>
      <c r="H73" s="84"/>
      <c r="I73" s="85"/>
      <c r="J73" s="83"/>
      <c r="K73" s="85"/>
      <c r="L73" s="83"/>
      <c r="M73" s="85"/>
      <c r="N73" s="83"/>
      <c r="O73" s="85"/>
      <c r="P73" s="96"/>
      <c r="Q73" s="97"/>
      <c r="R73" s="80"/>
      <c r="S73" s="81"/>
    </row>
    <row r="74" spans="2:19" x14ac:dyDescent="0.25">
      <c r="B74" s="71"/>
      <c r="C74" s="72"/>
      <c r="D74" s="77"/>
      <c r="E74" s="78"/>
      <c r="F74" s="78"/>
      <c r="G74" s="78"/>
      <c r="H74" s="78"/>
      <c r="I74" s="79"/>
      <c r="J74" s="77"/>
      <c r="K74" s="79"/>
      <c r="L74" s="77"/>
      <c r="M74" s="79"/>
      <c r="N74" s="77"/>
      <c r="O74" s="79"/>
      <c r="P74" s="92"/>
      <c r="Q74" s="93"/>
      <c r="R74" s="80" t="str">
        <f t="shared" ref="R74" ca="1" si="20">IF(L74=""," ",IF(P74="Concluída"," ",IF(TODAY()&gt;L74,"EM ATRASO",IF(TODAY()=L74,"HOJE"," "))))</f>
        <v xml:space="preserve"> </v>
      </c>
      <c r="S74" s="81"/>
    </row>
    <row r="75" spans="2:19" x14ac:dyDescent="0.25">
      <c r="B75" s="73"/>
      <c r="C75" s="74"/>
      <c r="D75" s="80"/>
      <c r="E75" s="81"/>
      <c r="F75" s="81"/>
      <c r="G75" s="81"/>
      <c r="H75" s="81"/>
      <c r="I75" s="82"/>
      <c r="J75" s="80"/>
      <c r="K75" s="82"/>
      <c r="L75" s="80"/>
      <c r="M75" s="82"/>
      <c r="N75" s="80"/>
      <c r="O75" s="82"/>
      <c r="P75" s="94"/>
      <c r="Q75" s="95"/>
      <c r="R75" s="80"/>
      <c r="S75" s="81"/>
    </row>
    <row r="76" spans="2:19" x14ac:dyDescent="0.25">
      <c r="B76" s="75"/>
      <c r="C76" s="76"/>
      <c r="D76" s="83"/>
      <c r="E76" s="84"/>
      <c r="F76" s="84"/>
      <c r="G76" s="84"/>
      <c r="H76" s="84"/>
      <c r="I76" s="85"/>
      <c r="J76" s="83"/>
      <c r="K76" s="85"/>
      <c r="L76" s="83"/>
      <c r="M76" s="85"/>
      <c r="N76" s="83"/>
      <c r="O76" s="85"/>
      <c r="P76" s="96"/>
      <c r="Q76" s="97"/>
      <c r="R76" s="80"/>
      <c r="S76" s="81"/>
    </row>
    <row r="77" spans="2:19" x14ac:dyDescent="0.25">
      <c r="B77" s="71"/>
      <c r="C77" s="72"/>
      <c r="D77" s="77"/>
      <c r="E77" s="78"/>
      <c r="F77" s="78"/>
      <c r="G77" s="78"/>
      <c r="H77" s="78"/>
      <c r="I77" s="79"/>
      <c r="J77" s="77"/>
      <c r="K77" s="79"/>
      <c r="L77" s="77"/>
      <c r="M77" s="79"/>
      <c r="N77" s="77"/>
      <c r="O77" s="79"/>
      <c r="P77" s="92"/>
      <c r="Q77" s="93"/>
      <c r="R77" s="80" t="str">
        <f t="shared" ref="R77" ca="1" si="21">IF(L77=""," ",IF(P77="Concluída"," ",IF(TODAY()&gt;L77,"EM ATRASO",IF(TODAY()=L77,"HOJE"," "))))</f>
        <v xml:space="preserve"> </v>
      </c>
      <c r="S77" s="81"/>
    </row>
    <row r="78" spans="2:19" x14ac:dyDescent="0.25">
      <c r="B78" s="73"/>
      <c r="C78" s="74"/>
      <c r="D78" s="80"/>
      <c r="E78" s="81"/>
      <c r="F78" s="81"/>
      <c r="G78" s="81"/>
      <c r="H78" s="81"/>
      <c r="I78" s="82"/>
      <c r="J78" s="80"/>
      <c r="K78" s="82"/>
      <c r="L78" s="80"/>
      <c r="M78" s="82"/>
      <c r="N78" s="80"/>
      <c r="O78" s="82"/>
      <c r="P78" s="94"/>
      <c r="Q78" s="95"/>
      <c r="R78" s="80"/>
      <c r="S78" s="81"/>
    </row>
    <row r="79" spans="2:19" x14ac:dyDescent="0.25">
      <c r="B79" s="75"/>
      <c r="C79" s="76"/>
      <c r="D79" s="83"/>
      <c r="E79" s="84"/>
      <c r="F79" s="84"/>
      <c r="G79" s="84"/>
      <c r="H79" s="84"/>
      <c r="I79" s="85"/>
      <c r="J79" s="83"/>
      <c r="K79" s="85"/>
      <c r="L79" s="83"/>
      <c r="M79" s="85"/>
      <c r="N79" s="83"/>
      <c r="O79" s="85"/>
      <c r="P79" s="96"/>
      <c r="Q79" s="97"/>
      <c r="R79" s="80"/>
      <c r="S79" s="81"/>
    </row>
    <row r="80" spans="2:19" x14ac:dyDescent="0.25">
      <c r="B80" s="71"/>
      <c r="C80" s="72"/>
      <c r="D80" s="77"/>
      <c r="E80" s="78"/>
      <c r="F80" s="78"/>
      <c r="G80" s="78"/>
      <c r="H80" s="78"/>
      <c r="I80" s="79"/>
      <c r="J80" s="77"/>
      <c r="K80" s="79"/>
      <c r="L80" s="77"/>
      <c r="M80" s="79"/>
      <c r="N80" s="77"/>
      <c r="O80" s="79"/>
      <c r="P80" s="92"/>
      <c r="Q80" s="93"/>
      <c r="R80" s="80" t="str">
        <f t="shared" ref="R80" ca="1" si="22">IF(L80=""," ",IF(P80="Concluída"," ",IF(TODAY()&gt;L80,"EM ATRASO",IF(TODAY()=L80,"HOJE"," "))))</f>
        <v xml:space="preserve"> </v>
      </c>
      <c r="S80" s="81"/>
    </row>
    <row r="81" spans="2:19" x14ac:dyDescent="0.25">
      <c r="B81" s="73"/>
      <c r="C81" s="74"/>
      <c r="D81" s="80"/>
      <c r="E81" s="81"/>
      <c r="F81" s="81"/>
      <c r="G81" s="81"/>
      <c r="H81" s="81"/>
      <c r="I81" s="82"/>
      <c r="J81" s="80"/>
      <c r="K81" s="82"/>
      <c r="L81" s="80"/>
      <c r="M81" s="82"/>
      <c r="N81" s="80"/>
      <c r="O81" s="82"/>
      <c r="P81" s="94"/>
      <c r="Q81" s="95"/>
      <c r="R81" s="80"/>
      <c r="S81" s="81"/>
    </row>
    <row r="82" spans="2:19" x14ac:dyDescent="0.25">
      <c r="B82" s="75"/>
      <c r="C82" s="76"/>
      <c r="D82" s="83"/>
      <c r="E82" s="84"/>
      <c r="F82" s="84"/>
      <c r="G82" s="84"/>
      <c r="H82" s="84"/>
      <c r="I82" s="85"/>
      <c r="J82" s="83"/>
      <c r="K82" s="85"/>
      <c r="L82" s="83"/>
      <c r="M82" s="85"/>
      <c r="N82" s="83"/>
      <c r="O82" s="85"/>
      <c r="P82" s="96"/>
      <c r="Q82" s="97"/>
      <c r="R82" s="80"/>
      <c r="S82" s="81"/>
    </row>
    <row r="83" spans="2:19" x14ac:dyDescent="0.25">
      <c r="B83" s="71"/>
      <c r="C83" s="72"/>
      <c r="D83" s="77"/>
      <c r="E83" s="78"/>
      <c r="F83" s="78"/>
      <c r="G83" s="78"/>
      <c r="H83" s="78"/>
      <c r="I83" s="79"/>
      <c r="J83" s="77"/>
      <c r="K83" s="79"/>
      <c r="L83" s="77"/>
      <c r="M83" s="79"/>
      <c r="N83" s="77"/>
      <c r="O83" s="79"/>
      <c r="P83" s="92"/>
      <c r="Q83" s="93"/>
      <c r="R83" s="80" t="str">
        <f t="shared" ref="R83" ca="1" si="23">IF(L83=""," ",IF(P83="Concluída"," ",IF(TODAY()&gt;L83,"EM ATRASO",IF(TODAY()=L83,"HOJE"," "))))</f>
        <v xml:space="preserve"> </v>
      </c>
      <c r="S83" s="81"/>
    </row>
    <row r="84" spans="2:19" x14ac:dyDescent="0.25">
      <c r="B84" s="73"/>
      <c r="C84" s="74"/>
      <c r="D84" s="80"/>
      <c r="E84" s="81"/>
      <c r="F84" s="81"/>
      <c r="G84" s="81"/>
      <c r="H84" s="81"/>
      <c r="I84" s="82"/>
      <c r="J84" s="80"/>
      <c r="K84" s="82"/>
      <c r="L84" s="80"/>
      <c r="M84" s="82"/>
      <c r="N84" s="80"/>
      <c r="O84" s="82"/>
      <c r="P84" s="94"/>
      <c r="Q84" s="95"/>
      <c r="R84" s="80"/>
      <c r="S84" s="81"/>
    </row>
    <row r="85" spans="2:19" x14ac:dyDescent="0.25">
      <c r="B85" s="75"/>
      <c r="C85" s="76"/>
      <c r="D85" s="83"/>
      <c r="E85" s="84"/>
      <c r="F85" s="84"/>
      <c r="G85" s="84"/>
      <c r="H85" s="84"/>
      <c r="I85" s="85"/>
      <c r="J85" s="83"/>
      <c r="K85" s="85"/>
      <c r="L85" s="83"/>
      <c r="M85" s="85"/>
      <c r="N85" s="83"/>
      <c r="O85" s="85"/>
      <c r="P85" s="96"/>
      <c r="Q85" s="97"/>
      <c r="R85" s="80"/>
      <c r="S85" s="81"/>
    </row>
    <row r="86" spans="2:19" x14ac:dyDescent="0.25">
      <c r="B86" s="71"/>
      <c r="C86" s="72"/>
      <c r="D86" s="77"/>
      <c r="E86" s="78"/>
      <c r="F86" s="78"/>
      <c r="G86" s="78"/>
      <c r="H86" s="78"/>
      <c r="I86" s="79"/>
      <c r="J86" s="77"/>
      <c r="K86" s="79"/>
      <c r="L86" s="77"/>
      <c r="M86" s="79"/>
      <c r="N86" s="77"/>
      <c r="O86" s="79"/>
      <c r="P86" s="92"/>
      <c r="Q86" s="93"/>
      <c r="R86" s="80" t="str">
        <f t="shared" ref="R86" ca="1" si="24">IF(L86=""," ",IF(P86="Concluída"," ",IF(TODAY()&gt;L86,"EM ATRASO",IF(TODAY()=L86,"HOJE"," "))))</f>
        <v xml:space="preserve"> </v>
      </c>
      <c r="S86" s="81"/>
    </row>
    <row r="87" spans="2:19" x14ac:dyDescent="0.25">
      <c r="B87" s="73"/>
      <c r="C87" s="74"/>
      <c r="D87" s="80"/>
      <c r="E87" s="81"/>
      <c r="F87" s="81"/>
      <c r="G87" s="81"/>
      <c r="H87" s="81"/>
      <c r="I87" s="82"/>
      <c r="J87" s="80"/>
      <c r="K87" s="82"/>
      <c r="L87" s="80"/>
      <c r="M87" s="82"/>
      <c r="N87" s="80"/>
      <c r="O87" s="82"/>
      <c r="P87" s="94"/>
      <c r="Q87" s="95"/>
      <c r="R87" s="80"/>
      <c r="S87" s="81"/>
    </row>
    <row r="88" spans="2:19" x14ac:dyDescent="0.25">
      <c r="B88" s="75"/>
      <c r="C88" s="76"/>
      <c r="D88" s="83"/>
      <c r="E88" s="84"/>
      <c r="F88" s="84"/>
      <c r="G88" s="84"/>
      <c r="H88" s="84"/>
      <c r="I88" s="85"/>
      <c r="J88" s="83"/>
      <c r="K88" s="85"/>
      <c r="L88" s="83"/>
      <c r="M88" s="85"/>
      <c r="N88" s="83"/>
      <c r="O88" s="85"/>
      <c r="P88" s="96"/>
      <c r="Q88" s="97"/>
      <c r="R88" s="80"/>
      <c r="S88" s="81"/>
    </row>
    <row r="89" spans="2:19" x14ac:dyDescent="0.25">
      <c r="B89" s="71"/>
      <c r="C89" s="72"/>
      <c r="D89" s="77"/>
      <c r="E89" s="78"/>
      <c r="F89" s="78"/>
      <c r="G89" s="78"/>
      <c r="H89" s="78"/>
      <c r="I89" s="79"/>
      <c r="J89" s="77"/>
      <c r="K89" s="79"/>
      <c r="L89" s="77"/>
      <c r="M89" s="79"/>
      <c r="N89" s="77"/>
      <c r="O89" s="79"/>
      <c r="P89" s="92"/>
      <c r="Q89" s="93"/>
      <c r="R89" s="80" t="str">
        <f t="shared" ref="R89" ca="1" si="25">IF(L89=""," ",IF(P89="Concluída"," ",IF(TODAY()&gt;L89,"EM ATRASO",IF(TODAY()=L89,"HOJE"," "))))</f>
        <v xml:space="preserve"> </v>
      </c>
      <c r="S89" s="81"/>
    </row>
    <row r="90" spans="2:19" x14ac:dyDescent="0.25">
      <c r="B90" s="73"/>
      <c r="C90" s="74"/>
      <c r="D90" s="80"/>
      <c r="E90" s="81"/>
      <c r="F90" s="81"/>
      <c r="G90" s="81"/>
      <c r="H90" s="81"/>
      <c r="I90" s="82"/>
      <c r="J90" s="80"/>
      <c r="K90" s="82"/>
      <c r="L90" s="80"/>
      <c r="M90" s="82"/>
      <c r="N90" s="80"/>
      <c r="O90" s="82"/>
      <c r="P90" s="94"/>
      <c r="Q90" s="95"/>
      <c r="R90" s="80"/>
      <c r="S90" s="81"/>
    </row>
    <row r="91" spans="2:19" x14ac:dyDescent="0.25">
      <c r="B91" s="75"/>
      <c r="C91" s="76"/>
      <c r="D91" s="83"/>
      <c r="E91" s="84"/>
      <c r="F91" s="84"/>
      <c r="G91" s="84"/>
      <c r="H91" s="84"/>
      <c r="I91" s="85"/>
      <c r="J91" s="83"/>
      <c r="K91" s="85"/>
      <c r="L91" s="83"/>
      <c r="M91" s="85"/>
      <c r="N91" s="83"/>
      <c r="O91" s="85"/>
      <c r="P91" s="96"/>
      <c r="Q91" s="97"/>
      <c r="R91" s="80"/>
      <c r="S91" s="81"/>
    </row>
    <row r="92" spans="2:19" x14ac:dyDescent="0.25">
      <c r="B92" s="71"/>
      <c r="C92" s="72"/>
      <c r="D92" s="77"/>
      <c r="E92" s="78"/>
      <c r="F92" s="78"/>
      <c r="G92" s="78"/>
      <c r="H92" s="78"/>
      <c r="I92" s="79"/>
      <c r="J92" s="77"/>
      <c r="K92" s="79"/>
      <c r="L92" s="77"/>
      <c r="M92" s="79"/>
      <c r="N92" s="77"/>
      <c r="O92" s="79"/>
      <c r="P92" s="92"/>
      <c r="Q92" s="93"/>
      <c r="R92" s="80" t="str">
        <f t="shared" ref="R92" ca="1" si="26">IF(L92=""," ",IF(P92="Concluída"," ",IF(TODAY()&gt;L92,"EM ATRASO",IF(TODAY()=L92,"HOJE"," "))))</f>
        <v xml:space="preserve"> </v>
      </c>
      <c r="S92" s="81"/>
    </row>
    <row r="93" spans="2:19" x14ac:dyDescent="0.25">
      <c r="B93" s="73"/>
      <c r="C93" s="74"/>
      <c r="D93" s="80"/>
      <c r="E93" s="81"/>
      <c r="F93" s="81"/>
      <c r="G93" s="81"/>
      <c r="H93" s="81"/>
      <c r="I93" s="82"/>
      <c r="J93" s="80"/>
      <c r="K93" s="82"/>
      <c r="L93" s="80"/>
      <c r="M93" s="82"/>
      <c r="N93" s="80"/>
      <c r="O93" s="82"/>
      <c r="P93" s="94"/>
      <c r="Q93" s="95"/>
      <c r="R93" s="80"/>
      <c r="S93" s="81"/>
    </row>
    <row r="94" spans="2:19" x14ac:dyDescent="0.25">
      <c r="B94" s="75"/>
      <c r="C94" s="76"/>
      <c r="D94" s="83"/>
      <c r="E94" s="84"/>
      <c r="F94" s="84"/>
      <c r="G94" s="84"/>
      <c r="H94" s="84"/>
      <c r="I94" s="85"/>
      <c r="J94" s="83"/>
      <c r="K94" s="85"/>
      <c r="L94" s="83"/>
      <c r="M94" s="85"/>
      <c r="N94" s="83"/>
      <c r="O94" s="85"/>
      <c r="P94" s="96"/>
      <c r="Q94" s="97"/>
      <c r="R94" s="80"/>
      <c r="S94" s="81"/>
    </row>
    <row r="95" spans="2:19" x14ac:dyDescent="0.25">
      <c r="B95" s="71"/>
      <c r="C95" s="72"/>
      <c r="D95" s="77"/>
      <c r="E95" s="78"/>
      <c r="F95" s="78"/>
      <c r="G95" s="78"/>
      <c r="H95" s="78"/>
      <c r="I95" s="79"/>
      <c r="J95" s="77"/>
      <c r="K95" s="79"/>
      <c r="L95" s="77"/>
      <c r="M95" s="79"/>
      <c r="N95" s="77"/>
      <c r="O95" s="79"/>
      <c r="P95" s="92"/>
      <c r="Q95" s="93"/>
      <c r="R95" s="80" t="str">
        <f t="shared" ref="R95" ca="1" si="27">IF(L95=""," ",IF(P95="Concluída"," ",IF(TODAY()&gt;L95,"EM ATRASO",IF(TODAY()=L95,"HOJE"," "))))</f>
        <v xml:space="preserve"> </v>
      </c>
      <c r="S95" s="81"/>
    </row>
    <row r="96" spans="2:19" x14ac:dyDescent="0.25">
      <c r="B96" s="73"/>
      <c r="C96" s="74"/>
      <c r="D96" s="80"/>
      <c r="E96" s="81"/>
      <c r="F96" s="81"/>
      <c r="G96" s="81"/>
      <c r="H96" s="81"/>
      <c r="I96" s="82"/>
      <c r="J96" s="80"/>
      <c r="K96" s="82"/>
      <c r="L96" s="80"/>
      <c r="M96" s="82"/>
      <c r="N96" s="80"/>
      <c r="O96" s="82"/>
      <c r="P96" s="94"/>
      <c r="Q96" s="95"/>
      <c r="R96" s="80"/>
      <c r="S96" s="81"/>
    </row>
    <row r="97" spans="2:19" x14ac:dyDescent="0.25">
      <c r="B97" s="75"/>
      <c r="C97" s="76"/>
      <c r="D97" s="83"/>
      <c r="E97" s="84"/>
      <c r="F97" s="84"/>
      <c r="G97" s="84"/>
      <c r="H97" s="84"/>
      <c r="I97" s="85"/>
      <c r="J97" s="83"/>
      <c r="K97" s="85"/>
      <c r="L97" s="83"/>
      <c r="M97" s="85"/>
      <c r="N97" s="83"/>
      <c r="O97" s="85"/>
      <c r="P97" s="96"/>
      <c r="Q97" s="97"/>
      <c r="R97" s="80"/>
      <c r="S97" s="81"/>
    </row>
    <row r="98" spans="2:19" x14ac:dyDescent="0.25">
      <c r="B98" s="71"/>
      <c r="C98" s="72"/>
      <c r="D98" s="77"/>
      <c r="E98" s="78"/>
      <c r="F98" s="78"/>
      <c r="G98" s="78"/>
      <c r="H98" s="78"/>
      <c r="I98" s="79"/>
      <c r="J98" s="77"/>
      <c r="K98" s="79"/>
      <c r="L98" s="77"/>
      <c r="M98" s="79"/>
      <c r="N98" s="77"/>
      <c r="O98" s="79"/>
      <c r="P98" s="92"/>
      <c r="Q98" s="93"/>
      <c r="R98" s="80" t="str">
        <f t="shared" ref="R98" ca="1" si="28">IF(L98=""," ",IF(P98="Concluída"," ",IF(TODAY()&gt;L98,"EM ATRASO",IF(TODAY()=L98,"HOJE"," "))))</f>
        <v xml:space="preserve"> </v>
      </c>
      <c r="S98" s="81"/>
    </row>
    <row r="99" spans="2:19" x14ac:dyDescent="0.25">
      <c r="B99" s="73"/>
      <c r="C99" s="74"/>
      <c r="D99" s="80"/>
      <c r="E99" s="81"/>
      <c r="F99" s="81"/>
      <c r="G99" s="81"/>
      <c r="H99" s="81"/>
      <c r="I99" s="82"/>
      <c r="J99" s="80"/>
      <c r="K99" s="82"/>
      <c r="L99" s="80"/>
      <c r="M99" s="82"/>
      <c r="N99" s="80"/>
      <c r="O99" s="82"/>
      <c r="P99" s="94"/>
      <c r="Q99" s="95"/>
      <c r="R99" s="80"/>
      <c r="S99" s="81"/>
    </row>
    <row r="100" spans="2:19" x14ac:dyDescent="0.25">
      <c r="B100" s="75"/>
      <c r="C100" s="76"/>
      <c r="D100" s="83"/>
      <c r="E100" s="84"/>
      <c r="F100" s="84"/>
      <c r="G100" s="84"/>
      <c r="H100" s="84"/>
      <c r="I100" s="85"/>
      <c r="J100" s="83"/>
      <c r="K100" s="85"/>
      <c r="L100" s="83"/>
      <c r="M100" s="85"/>
      <c r="N100" s="83"/>
      <c r="O100" s="85"/>
      <c r="P100" s="96"/>
      <c r="Q100" s="97"/>
      <c r="R100" s="80"/>
      <c r="S100" s="81"/>
    </row>
    <row r="101" spans="2:19" x14ac:dyDescent="0.25">
      <c r="B101" s="71"/>
      <c r="C101" s="72"/>
      <c r="D101" s="77"/>
      <c r="E101" s="78"/>
      <c r="F101" s="78"/>
      <c r="G101" s="78"/>
      <c r="H101" s="78"/>
      <c r="I101" s="79"/>
      <c r="J101" s="77"/>
      <c r="K101" s="79"/>
      <c r="L101" s="77"/>
      <c r="M101" s="79"/>
      <c r="N101" s="77"/>
      <c r="O101" s="79"/>
      <c r="P101" s="92"/>
      <c r="Q101" s="93"/>
    </row>
    <row r="102" spans="2:19" x14ac:dyDescent="0.25">
      <c r="B102" s="73"/>
      <c r="C102" s="74"/>
      <c r="D102" s="80"/>
      <c r="E102" s="81"/>
      <c r="F102" s="81"/>
      <c r="G102" s="81"/>
      <c r="H102" s="81"/>
      <c r="I102" s="82"/>
      <c r="J102" s="80"/>
      <c r="K102" s="82"/>
      <c r="L102" s="80"/>
      <c r="M102" s="82"/>
      <c r="N102" s="80"/>
      <c r="O102" s="82"/>
      <c r="P102" s="94"/>
      <c r="Q102" s="95"/>
    </row>
    <row r="103" spans="2:19" x14ac:dyDescent="0.25">
      <c r="B103" s="75"/>
      <c r="C103" s="76"/>
      <c r="D103" s="83"/>
      <c r="E103" s="84"/>
      <c r="F103" s="84"/>
      <c r="G103" s="84"/>
      <c r="H103" s="84"/>
      <c r="I103" s="85"/>
      <c r="J103" s="83"/>
      <c r="K103" s="85"/>
      <c r="L103" s="83"/>
      <c r="M103" s="85"/>
      <c r="N103" s="83"/>
      <c r="O103" s="85"/>
      <c r="P103" s="96"/>
      <c r="Q103" s="97"/>
    </row>
    <row r="104" spans="2:19" x14ac:dyDescent="0.25">
      <c r="B104" s="71"/>
      <c r="C104" s="72"/>
      <c r="D104" s="77"/>
      <c r="E104" s="78"/>
      <c r="F104" s="78"/>
      <c r="G104" s="78"/>
      <c r="H104" s="78"/>
      <c r="I104" s="79"/>
      <c r="J104" s="77"/>
      <c r="K104" s="79"/>
      <c r="L104" s="77"/>
      <c r="M104" s="79"/>
      <c r="N104" s="77"/>
      <c r="O104" s="79"/>
      <c r="P104" s="92"/>
      <c r="Q104" s="93"/>
    </row>
    <row r="105" spans="2:19" x14ac:dyDescent="0.25">
      <c r="B105" s="73"/>
      <c r="C105" s="74"/>
      <c r="D105" s="80"/>
      <c r="E105" s="81"/>
      <c r="F105" s="81"/>
      <c r="G105" s="81"/>
      <c r="H105" s="81"/>
      <c r="I105" s="82"/>
      <c r="J105" s="80"/>
      <c r="K105" s="82"/>
      <c r="L105" s="80"/>
      <c r="M105" s="82"/>
      <c r="N105" s="80"/>
      <c r="O105" s="82"/>
      <c r="P105" s="94"/>
      <c r="Q105" s="95"/>
    </row>
    <row r="106" spans="2:19" x14ac:dyDescent="0.25">
      <c r="B106" s="75"/>
      <c r="C106" s="76"/>
      <c r="D106" s="83"/>
      <c r="E106" s="84"/>
      <c r="F106" s="84"/>
      <c r="G106" s="84"/>
      <c r="H106" s="84"/>
      <c r="I106" s="85"/>
      <c r="J106" s="83"/>
      <c r="K106" s="85"/>
      <c r="L106" s="83"/>
      <c r="M106" s="85"/>
      <c r="N106" s="83"/>
      <c r="O106" s="85"/>
      <c r="P106" s="96"/>
      <c r="Q106" s="97"/>
    </row>
    <row r="107" spans="2:19" x14ac:dyDescent="0.25">
      <c r="B107" s="71"/>
      <c r="C107" s="72"/>
      <c r="D107" s="77"/>
      <c r="E107" s="78"/>
      <c r="F107" s="78"/>
      <c r="G107" s="78"/>
      <c r="H107" s="78"/>
      <c r="I107" s="79"/>
      <c r="J107" s="77"/>
      <c r="K107" s="79"/>
      <c r="L107" s="77"/>
      <c r="M107" s="79"/>
      <c r="N107" s="77"/>
      <c r="O107" s="79"/>
      <c r="P107" s="92"/>
      <c r="Q107" s="93"/>
    </row>
    <row r="108" spans="2:19" x14ac:dyDescent="0.25">
      <c r="B108" s="73"/>
      <c r="C108" s="74"/>
      <c r="D108" s="80"/>
      <c r="E108" s="81"/>
      <c r="F108" s="81"/>
      <c r="G108" s="81"/>
      <c r="H108" s="81"/>
      <c r="I108" s="82"/>
      <c r="J108" s="80"/>
      <c r="K108" s="82"/>
      <c r="L108" s="80"/>
      <c r="M108" s="82"/>
      <c r="N108" s="80"/>
      <c r="O108" s="82"/>
      <c r="P108" s="94"/>
      <c r="Q108" s="95"/>
    </row>
    <row r="109" spans="2:19" x14ac:dyDescent="0.25">
      <c r="B109" s="75"/>
      <c r="C109" s="76"/>
      <c r="D109" s="83"/>
      <c r="E109" s="84"/>
      <c r="F109" s="84"/>
      <c r="G109" s="84"/>
      <c r="H109" s="84"/>
      <c r="I109" s="85"/>
      <c r="J109" s="83"/>
      <c r="K109" s="85"/>
      <c r="L109" s="83"/>
      <c r="M109" s="85"/>
      <c r="N109" s="83"/>
      <c r="O109" s="85"/>
      <c r="P109" s="96"/>
      <c r="Q109" s="97"/>
    </row>
    <row r="110" spans="2:19" x14ac:dyDescent="0.25">
      <c r="B110" s="71"/>
      <c r="C110" s="72"/>
      <c r="D110" s="77"/>
      <c r="E110" s="78"/>
      <c r="F110" s="78"/>
      <c r="G110" s="78"/>
      <c r="H110" s="78"/>
      <c r="I110" s="79"/>
      <c r="J110" s="77"/>
      <c r="K110" s="79"/>
      <c r="L110" s="77"/>
      <c r="M110" s="79"/>
      <c r="N110" s="77"/>
      <c r="O110" s="79"/>
      <c r="P110" s="92"/>
      <c r="Q110" s="93"/>
    </row>
    <row r="111" spans="2:19" x14ac:dyDescent="0.25">
      <c r="B111" s="73"/>
      <c r="C111" s="74"/>
      <c r="D111" s="80"/>
      <c r="E111" s="81"/>
      <c r="F111" s="81"/>
      <c r="G111" s="81"/>
      <c r="H111" s="81"/>
      <c r="I111" s="82"/>
      <c r="J111" s="80"/>
      <c r="K111" s="82"/>
      <c r="L111" s="80"/>
      <c r="M111" s="82"/>
      <c r="N111" s="80"/>
      <c r="O111" s="82"/>
      <c r="P111" s="94"/>
      <c r="Q111" s="95"/>
    </row>
    <row r="112" spans="2:19" x14ac:dyDescent="0.25">
      <c r="B112" s="75"/>
      <c r="C112" s="76"/>
      <c r="D112" s="83"/>
      <c r="E112" s="84"/>
      <c r="F112" s="84"/>
      <c r="G112" s="84"/>
      <c r="H112" s="84"/>
      <c r="I112" s="85"/>
      <c r="J112" s="83"/>
      <c r="K112" s="85"/>
      <c r="L112" s="83"/>
      <c r="M112" s="85"/>
      <c r="N112" s="83"/>
      <c r="O112" s="85"/>
      <c r="P112" s="96"/>
      <c r="Q112" s="97"/>
    </row>
    <row r="113" spans="2:17" x14ac:dyDescent="0.25">
      <c r="B113" s="71"/>
      <c r="C113" s="72"/>
      <c r="D113" s="77"/>
      <c r="E113" s="78"/>
      <c r="F113" s="78"/>
      <c r="G113" s="78"/>
      <c r="H113" s="78"/>
      <c r="I113" s="79"/>
      <c r="J113" s="77"/>
      <c r="K113" s="79"/>
      <c r="L113" s="77"/>
      <c r="M113" s="79"/>
      <c r="N113" s="77"/>
      <c r="O113" s="79"/>
      <c r="P113" s="92"/>
      <c r="Q113" s="93"/>
    </row>
    <row r="114" spans="2:17" x14ac:dyDescent="0.25">
      <c r="B114" s="73"/>
      <c r="C114" s="74"/>
      <c r="D114" s="80"/>
      <c r="E114" s="81"/>
      <c r="F114" s="81"/>
      <c r="G114" s="81"/>
      <c r="H114" s="81"/>
      <c r="I114" s="82"/>
      <c r="J114" s="80"/>
      <c r="K114" s="82"/>
      <c r="L114" s="80"/>
      <c r="M114" s="82"/>
      <c r="N114" s="80"/>
      <c r="O114" s="82"/>
      <c r="P114" s="94"/>
      <c r="Q114" s="95"/>
    </row>
    <row r="115" spans="2:17" x14ac:dyDescent="0.25">
      <c r="B115" s="75"/>
      <c r="C115" s="76"/>
      <c r="D115" s="83"/>
      <c r="E115" s="84"/>
      <c r="F115" s="84"/>
      <c r="G115" s="84"/>
      <c r="H115" s="84"/>
      <c r="I115" s="85"/>
      <c r="J115" s="83"/>
      <c r="K115" s="85"/>
      <c r="L115" s="83"/>
      <c r="M115" s="85"/>
      <c r="N115" s="83"/>
      <c r="O115" s="85"/>
      <c r="P115" s="96"/>
      <c r="Q115" s="97"/>
    </row>
    <row r="116" spans="2:17" x14ac:dyDescent="0.25">
      <c r="B116" s="71"/>
      <c r="C116" s="72"/>
      <c r="D116" s="77"/>
      <c r="E116" s="78"/>
      <c r="F116" s="78"/>
      <c r="G116" s="78"/>
      <c r="H116" s="78"/>
      <c r="I116" s="79"/>
      <c r="J116" s="77"/>
      <c r="K116" s="79"/>
      <c r="L116" s="77"/>
      <c r="M116" s="79"/>
      <c r="N116" s="77"/>
      <c r="O116" s="79"/>
      <c r="P116" s="92"/>
      <c r="Q116" s="93"/>
    </row>
    <row r="117" spans="2:17" x14ac:dyDescent="0.25">
      <c r="B117" s="73"/>
      <c r="C117" s="74"/>
      <c r="D117" s="80"/>
      <c r="E117" s="81"/>
      <c r="F117" s="81"/>
      <c r="G117" s="81"/>
      <c r="H117" s="81"/>
      <c r="I117" s="82"/>
      <c r="J117" s="80"/>
      <c r="K117" s="82"/>
      <c r="L117" s="80"/>
      <c r="M117" s="82"/>
      <c r="N117" s="80"/>
      <c r="O117" s="82"/>
      <c r="P117" s="94"/>
      <c r="Q117" s="95"/>
    </row>
    <row r="118" spans="2:17" x14ac:dyDescent="0.25">
      <c r="B118" s="75"/>
      <c r="C118" s="76"/>
      <c r="D118" s="83"/>
      <c r="E118" s="84"/>
      <c r="F118" s="84"/>
      <c r="G118" s="84"/>
      <c r="H118" s="84"/>
      <c r="I118" s="85"/>
      <c r="J118" s="83"/>
      <c r="K118" s="85"/>
      <c r="L118" s="83"/>
      <c r="M118" s="85"/>
      <c r="N118" s="83"/>
      <c r="O118" s="85"/>
      <c r="P118" s="96"/>
      <c r="Q118" s="97"/>
    </row>
    <row r="119" spans="2:17" x14ac:dyDescent="0.25">
      <c r="B119" s="71"/>
      <c r="C119" s="72"/>
      <c r="D119" s="77"/>
      <c r="E119" s="78"/>
      <c r="F119" s="78"/>
      <c r="G119" s="78"/>
      <c r="H119" s="78"/>
      <c r="I119" s="79"/>
      <c r="J119" s="77"/>
      <c r="K119" s="79"/>
      <c r="L119" s="77"/>
      <c r="M119" s="79"/>
      <c r="N119" s="77"/>
      <c r="O119" s="79"/>
      <c r="P119" s="92"/>
      <c r="Q119" s="93"/>
    </row>
    <row r="120" spans="2:17" x14ac:dyDescent="0.25">
      <c r="B120" s="73"/>
      <c r="C120" s="74"/>
      <c r="D120" s="80"/>
      <c r="E120" s="81"/>
      <c r="F120" s="81"/>
      <c r="G120" s="81"/>
      <c r="H120" s="81"/>
      <c r="I120" s="82"/>
      <c r="J120" s="80"/>
      <c r="K120" s="82"/>
      <c r="L120" s="80"/>
      <c r="M120" s="82"/>
      <c r="N120" s="80"/>
      <c r="O120" s="82"/>
      <c r="P120" s="94"/>
      <c r="Q120" s="95"/>
    </row>
    <row r="121" spans="2:17" x14ac:dyDescent="0.25">
      <c r="B121" s="75"/>
      <c r="C121" s="76"/>
      <c r="D121" s="83"/>
      <c r="E121" s="84"/>
      <c r="F121" s="84"/>
      <c r="G121" s="84"/>
      <c r="H121" s="84"/>
      <c r="I121" s="85"/>
      <c r="J121" s="83"/>
      <c r="K121" s="85"/>
      <c r="L121" s="83"/>
      <c r="M121" s="85"/>
      <c r="N121" s="83"/>
      <c r="O121" s="85"/>
      <c r="P121" s="96"/>
      <c r="Q121" s="97"/>
    </row>
    <row r="122" spans="2:17" x14ac:dyDescent="0.25">
      <c r="B122" s="71"/>
      <c r="C122" s="72"/>
      <c r="D122" s="77"/>
      <c r="E122" s="78"/>
      <c r="F122" s="78"/>
      <c r="G122" s="78"/>
      <c r="H122" s="78"/>
      <c r="I122" s="79"/>
      <c r="J122" s="77"/>
      <c r="K122" s="79"/>
      <c r="L122" s="77"/>
      <c r="M122" s="79"/>
      <c r="N122" s="77"/>
      <c r="O122" s="79"/>
      <c r="P122" s="92"/>
      <c r="Q122" s="93"/>
    </row>
    <row r="123" spans="2:17" x14ac:dyDescent="0.25">
      <c r="B123" s="73"/>
      <c r="C123" s="74"/>
      <c r="D123" s="80"/>
      <c r="E123" s="81"/>
      <c r="F123" s="81"/>
      <c r="G123" s="81"/>
      <c r="H123" s="81"/>
      <c r="I123" s="82"/>
      <c r="J123" s="80"/>
      <c r="K123" s="82"/>
      <c r="L123" s="80"/>
      <c r="M123" s="82"/>
      <c r="N123" s="80"/>
      <c r="O123" s="82"/>
      <c r="P123" s="94"/>
      <c r="Q123" s="95"/>
    </row>
    <row r="124" spans="2:17" x14ac:dyDescent="0.25">
      <c r="B124" s="75"/>
      <c r="C124" s="76"/>
      <c r="D124" s="83"/>
      <c r="E124" s="84"/>
      <c r="F124" s="84"/>
      <c r="G124" s="84"/>
      <c r="H124" s="84"/>
      <c r="I124" s="85"/>
      <c r="J124" s="83"/>
      <c r="K124" s="85"/>
      <c r="L124" s="83"/>
      <c r="M124" s="85"/>
      <c r="N124" s="83"/>
      <c r="O124" s="85"/>
      <c r="P124" s="96"/>
      <c r="Q124" s="97"/>
    </row>
    <row r="125" spans="2:17" x14ac:dyDescent="0.25">
      <c r="B125" s="71"/>
      <c r="C125" s="72"/>
      <c r="D125" s="77"/>
      <c r="E125" s="78"/>
      <c r="F125" s="78"/>
      <c r="G125" s="78"/>
      <c r="H125" s="78"/>
      <c r="I125" s="79"/>
      <c r="J125" s="77"/>
      <c r="K125" s="79"/>
      <c r="L125" s="77"/>
      <c r="M125" s="79"/>
      <c r="N125" s="77"/>
      <c r="O125" s="79"/>
      <c r="P125" s="92"/>
      <c r="Q125" s="93"/>
    </row>
    <row r="126" spans="2:17" x14ac:dyDescent="0.25">
      <c r="B126" s="73"/>
      <c r="C126" s="74"/>
      <c r="D126" s="80"/>
      <c r="E126" s="81"/>
      <c r="F126" s="81"/>
      <c r="G126" s="81"/>
      <c r="H126" s="81"/>
      <c r="I126" s="82"/>
      <c r="J126" s="80"/>
      <c r="K126" s="82"/>
      <c r="L126" s="80"/>
      <c r="M126" s="82"/>
      <c r="N126" s="80"/>
      <c r="O126" s="82"/>
      <c r="P126" s="94"/>
      <c r="Q126" s="95"/>
    </row>
    <row r="127" spans="2:17" x14ac:dyDescent="0.25">
      <c r="B127" s="75"/>
      <c r="C127" s="76"/>
      <c r="D127" s="83"/>
      <c r="E127" s="84"/>
      <c r="F127" s="84"/>
      <c r="G127" s="84"/>
      <c r="H127" s="84"/>
      <c r="I127" s="85"/>
      <c r="J127" s="83"/>
      <c r="K127" s="85"/>
      <c r="L127" s="83"/>
      <c r="M127" s="85"/>
      <c r="N127" s="83"/>
      <c r="O127" s="85"/>
      <c r="P127" s="96"/>
      <c r="Q127" s="97"/>
    </row>
    <row r="128" spans="2:17" x14ac:dyDescent="0.25">
      <c r="B128" s="71"/>
      <c r="C128" s="72"/>
      <c r="D128" s="77"/>
      <c r="E128" s="78"/>
      <c r="F128" s="78"/>
      <c r="G128" s="78"/>
      <c r="H128" s="78"/>
      <c r="I128" s="79"/>
      <c r="J128" s="77"/>
      <c r="K128" s="79"/>
      <c r="L128" s="77"/>
      <c r="M128" s="79"/>
      <c r="N128" s="77"/>
      <c r="O128" s="79"/>
      <c r="P128" s="92"/>
      <c r="Q128" s="93"/>
    </row>
    <row r="129" spans="2:17" x14ac:dyDescent="0.25">
      <c r="B129" s="73"/>
      <c r="C129" s="74"/>
      <c r="D129" s="80"/>
      <c r="E129" s="81"/>
      <c r="F129" s="81"/>
      <c r="G129" s="81"/>
      <c r="H129" s="81"/>
      <c r="I129" s="82"/>
      <c r="J129" s="80"/>
      <c r="K129" s="82"/>
      <c r="L129" s="80"/>
      <c r="M129" s="82"/>
      <c r="N129" s="80"/>
      <c r="O129" s="82"/>
      <c r="P129" s="94"/>
      <c r="Q129" s="95"/>
    </row>
    <row r="130" spans="2:17" x14ac:dyDescent="0.25">
      <c r="B130" s="75"/>
      <c r="C130" s="76"/>
      <c r="D130" s="83"/>
      <c r="E130" s="84"/>
      <c r="F130" s="84"/>
      <c r="G130" s="84"/>
      <c r="H130" s="84"/>
      <c r="I130" s="85"/>
      <c r="J130" s="83"/>
      <c r="K130" s="85"/>
      <c r="L130" s="83"/>
      <c r="M130" s="85"/>
      <c r="N130" s="83"/>
      <c r="O130" s="85"/>
      <c r="P130" s="96"/>
      <c r="Q130" s="97"/>
    </row>
    <row r="131" spans="2:17" x14ac:dyDescent="0.25">
      <c r="B131" s="71"/>
      <c r="C131" s="72"/>
      <c r="D131" s="77"/>
      <c r="E131" s="78"/>
      <c r="F131" s="78"/>
      <c r="G131" s="78"/>
      <c r="H131" s="78"/>
      <c r="I131" s="79"/>
      <c r="J131" s="77"/>
      <c r="K131" s="79"/>
      <c r="L131" s="77"/>
      <c r="M131" s="79"/>
      <c r="N131" s="77"/>
      <c r="O131" s="79"/>
      <c r="P131" s="92"/>
      <c r="Q131" s="93"/>
    </row>
    <row r="132" spans="2:17" x14ac:dyDescent="0.25">
      <c r="B132" s="73"/>
      <c r="C132" s="74"/>
      <c r="D132" s="80"/>
      <c r="E132" s="81"/>
      <c r="F132" s="81"/>
      <c r="G132" s="81"/>
      <c r="H132" s="81"/>
      <c r="I132" s="82"/>
      <c r="J132" s="80"/>
      <c r="K132" s="82"/>
      <c r="L132" s="80"/>
      <c r="M132" s="82"/>
      <c r="N132" s="80"/>
      <c r="O132" s="82"/>
      <c r="P132" s="94"/>
      <c r="Q132" s="95"/>
    </row>
    <row r="133" spans="2:17" x14ac:dyDescent="0.25">
      <c r="B133" s="75"/>
      <c r="C133" s="76"/>
      <c r="D133" s="83"/>
      <c r="E133" s="84"/>
      <c r="F133" s="84"/>
      <c r="G133" s="84"/>
      <c r="H133" s="84"/>
      <c r="I133" s="85"/>
      <c r="J133" s="83"/>
      <c r="K133" s="85"/>
      <c r="L133" s="83"/>
      <c r="M133" s="85"/>
      <c r="N133" s="83"/>
      <c r="O133" s="85"/>
      <c r="P133" s="96"/>
      <c r="Q133" s="97"/>
    </row>
    <row r="134" spans="2:17" x14ac:dyDescent="0.25">
      <c r="B134" s="71"/>
      <c r="C134" s="72"/>
      <c r="D134" s="77"/>
      <c r="E134" s="78"/>
      <c r="F134" s="78"/>
      <c r="G134" s="78"/>
      <c r="H134" s="78"/>
      <c r="I134" s="79"/>
      <c r="J134" s="77"/>
      <c r="K134" s="79"/>
      <c r="L134" s="77"/>
      <c r="M134" s="79"/>
      <c r="N134" s="77"/>
      <c r="O134" s="79"/>
      <c r="P134" s="92"/>
      <c r="Q134" s="93"/>
    </row>
    <row r="135" spans="2:17" x14ac:dyDescent="0.25">
      <c r="B135" s="73"/>
      <c r="C135" s="74"/>
      <c r="D135" s="80"/>
      <c r="E135" s="81"/>
      <c r="F135" s="81"/>
      <c r="G135" s="81"/>
      <c r="H135" s="81"/>
      <c r="I135" s="82"/>
      <c r="J135" s="80"/>
      <c r="K135" s="82"/>
      <c r="L135" s="80"/>
      <c r="M135" s="82"/>
      <c r="N135" s="80"/>
      <c r="O135" s="82"/>
      <c r="P135" s="94"/>
      <c r="Q135" s="95"/>
    </row>
    <row r="136" spans="2:17" x14ac:dyDescent="0.25">
      <c r="B136" s="75"/>
      <c r="C136" s="76"/>
      <c r="D136" s="83"/>
      <c r="E136" s="84"/>
      <c r="F136" s="84"/>
      <c r="G136" s="84"/>
      <c r="H136" s="84"/>
      <c r="I136" s="85"/>
      <c r="J136" s="83"/>
      <c r="K136" s="85"/>
      <c r="L136" s="83"/>
      <c r="M136" s="85"/>
      <c r="N136" s="83"/>
      <c r="O136" s="85"/>
      <c r="P136" s="96"/>
      <c r="Q136" s="97"/>
    </row>
    <row r="137" spans="2:17" x14ac:dyDescent="0.25">
      <c r="B137" s="71"/>
      <c r="C137" s="72"/>
      <c r="D137" s="77"/>
      <c r="E137" s="78"/>
      <c r="F137" s="78"/>
      <c r="G137" s="78"/>
      <c r="H137" s="78"/>
      <c r="I137" s="79"/>
      <c r="J137" s="77"/>
      <c r="K137" s="79"/>
      <c r="L137" s="77"/>
      <c r="M137" s="79"/>
      <c r="N137" s="77"/>
      <c r="O137" s="79"/>
      <c r="P137" s="92"/>
      <c r="Q137" s="93"/>
    </row>
    <row r="138" spans="2:17" x14ac:dyDescent="0.25">
      <c r="B138" s="73"/>
      <c r="C138" s="74"/>
      <c r="D138" s="80"/>
      <c r="E138" s="81"/>
      <c r="F138" s="81"/>
      <c r="G138" s="81"/>
      <c r="H138" s="81"/>
      <c r="I138" s="82"/>
      <c r="J138" s="80"/>
      <c r="K138" s="82"/>
      <c r="L138" s="80"/>
      <c r="M138" s="82"/>
      <c r="N138" s="80"/>
      <c r="O138" s="82"/>
      <c r="P138" s="94"/>
      <c r="Q138" s="95"/>
    </row>
    <row r="139" spans="2:17" x14ac:dyDescent="0.25">
      <c r="B139" s="75"/>
      <c r="C139" s="76"/>
      <c r="D139" s="83"/>
      <c r="E139" s="84"/>
      <c r="F139" s="84"/>
      <c r="G139" s="84"/>
      <c r="H139" s="84"/>
      <c r="I139" s="85"/>
      <c r="J139" s="83"/>
      <c r="K139" s="85"/>
      <c r="L139" s="83"/>
      <c r="M139" s="85"/>
      <c r="N139" s="83"/>
      <c r="O139" s="85"/>
      <c r="P139" s="96"/>
      <c r="Q139" s="97"/>
    </row>
    <row r="140" spans="2:17" x14ac:dyDescent="0.25">
      <c r="B140" s="71"/>
      <c r="C140" s="72"/>
      <c r="D140" s="77"/>
      <c r="E140" s="78"/>
      <c r="F140" s="78"/>
      <c r="G140" s="78"/>
      <c r="H140" s="78"/>
      <c r="I140" s="79"/>
      <c r="J140" s="77"/>
      <c r="K140" s="79"/>
      <c r="L140" s="77"/>
      <c r="M140" s="79"/>
      <c r="N140" s="77"/>
      <c r="O140" s="79"/>
      <c r="P140" s="92"/>
      <c r="Q140" s="93"/>
    </row>
    <row r="141" spans="2:17" x14ac:dyDescent="0.25">
      <c r="B141" s="73"/>
      <c r="C141" s="74"/>
      <c r="D141" s="80"/>
      <c r="E141" s="81"/>
      <c r="F141" s="81"/>
      <c r="G141" s="81"/>
      <c r="H141" s="81"/>
      <c r="I141" s="82"/>
      <c r="J141" s="80"/>
      <c r="K141" s="82"/>
      <c r="L141" s="80"/>
      <c r="M141" s="82"/>
      <c r="N141" s="80"/>
      <c r="O141" s="82"/>
      <c r="P141" s="94"/>
      <c r="Q141" s="95"/>
    </row>
    <row r="142" spans="2:17" x14ac:dyDescent="0.25">
      <c r="B142" s="75"/>
      <c r="C142" s="76"/>
      <c r="D142" s="83"/>
      <c r="E142" s="84"/>
      <c r="F142" s="84"/>
      <c r="G142" s="84"/>
      <c r="H142" s="84"/>
      <c r="I142" s="85"/>
      <c r="J142" s="83"/>
      <c r="K142" s="85"/>
      <c r="L142" s="83"/>
      <c r="M142" s="85"/>
      <c r="N142" s="83"/>
      <c r="O142" s="85"/>
      <c r="P142" s="96"/>
      <c r="Q142" s="97"/>
    </row>
    <row r="143" spans="2:17" x14ac:dyDescent="0.25">
      <c r="B143" s="71"/>
      <c r="C143" s="72"/>
      <c r="D143" s="77"/>
      <c r="E143" s="78"/>
      <c r="F143" s="78"/>
      <c r="G143" s="78"/>
      <c r="H143" s="78"/>
      <c r="I143" s="79"/>
      <c r="J143" s="77"/>
      <c r="K143" s="79"/>
      <c r="L143" s="77"/>
      <c r="M143" s="79"/>
      <c r="N143" s="77"/>
      <c r="O143" s="79"/>
      <c r="P143" s="92"/>
      <c r="Q143" s="93"/>
    </row>
    <row r="144" spans="2:17" x14ac:dyDescent="0.25">
      <c r="B144" s="73"/>
      <c r="C144" s="74"/>
      <c r="D144" s="80"/>
      <c r="E144" s="81"/>
      <c r="F144" s="81"/>
      <c r="G144" s="81"/>
      <c r="H144" s="81"/>
      <c r="I144" s="82"/>
      <c r="J144" s="80"/>
      <c r="K144" s="82"/>
      <c r="L144" s="80"/>
      <c r="M144" s="82"/>
      <c r="N144" s="80"/>
      <c r="O144" s="82"/>
      <c r="P144" s="94"/>
      <c r="Q144" s="95"/>
    </row>
    <row r="145" spans="2:17" x14ac:dyDescent="0.25">
      <c r="B145" s="75"/>
      <c r="C145" s="76"/>
      <c r="D145" s="83"/>
      <c r="E145" s="84"/>
      <c r="F145" s="84"/>
      <c r="G145" s="84"/>
      <c r="H145" s="84"/>
      <c r="I145" s="85"/>
      <c r="J145" s="83"/>
      <c r="K145" s="85"/>
      <c r="L145" s="83"/>
      <c r="M145" s="85"/>
      <c r="N145" s="83"/>
      <c r="O145" s="85"/>
      <c r="P145" s="96"/>
      <c r="Q145" s="97"/>
    </row>
    <row r="146" spans="2:17" x14ac:dyDescent="0.25">
      <c r="B146" s="71"/>
      <c r="C146" s="72"/>
      <c r="D146" s="77"/>
      <c r="E146" s="78"/>
      <c r="F146" s="78"/>
      <c r="G146" s="78"/>
      <c r="H146" s="78"/>
      <c r="I146" s="79"/>
      <c r="J146" s="77"/>
      <c r="K146" s="79"/>
      <c r="L146" s="77"/>
      <c r="M146" s="79"/>
      <c r="N146" s="77"/>
      <c r="O146" s="79"/>
      <c r="P146" s="92"/>
      <c r="Q146" s="93"/>
    </row>
    <row r="147" spans="2:17" x14ac:dyDescent="0.25">
      <c r="B147" s="73"/>
      <c r="C147" s="74"/>
      <c r="D147" s="80"/>
      <c r="E147" s="81"/>
      <c r="F147" s="81"/>
      <c r="G147" s="81"/>
      <c r="H147" s="81"/>
      <c r="I147" s="82"/>
      <c r="J147" s="80"/>
      <c r="K147" s="82"/>
      <c r="L147" s="80"/>
      <c r="M147" s="82"/>
      <c r="N147" s="80"/>
      <c r="O147" s="82"/>
      <c r="P147" s="94"/>
      <c r="Q147" s="95"/>
    </row>
    <row r="148" spans="2:17" x14ac:dyDescent="0.25">
      <c r="B148" s="75"/>
      <c r="C148" s="76"/>
      <c r="D148" s="83"/>
      <c r="E148" s="84"/>
      <c r="F148" s="84"/>
      <c r="G148" s="84"/>
      <c r="H148" s="84"/>
      <c r="I148" s="85"/>
      <c r="J148" s="83"/>
      <c r="K148" s="85"/>
      <c r="L148" s="83"/>
      <c r="M148" s="85"/>
      <c r="N148" s="83"/>
      <c r="O148" s="85"/>
      <c r="P148" s="96"/>
      <c r="Q148" s="97"/>
    </row>
    <row r="149" spans="2:17" x14ac:dyDescent="0.25">
      <c r="B149" s="71"/>
      <c r="C149" s="72"/>
      <c r="D149" s="77"/>
      <c r="E149" s="78"/>
      <c r="F149" s="78"/>
      <c r="G149" s="78"/>
      <c r="H149" s="78"/>
      <c r="I149" s="79"/>
      <c r="J149" s="77"/>
      <c r="K149" s="79"/>
      <c r="L149" s="77"/>
      <c r="M149" s="79"/>
      <c r="N149" s="77"/>
      <c r="O149" s="79"/>
      <c r="P149" s="92"/>
      <c r="Q149" s="93"/>
    </row>
    <row r="150" spans="2:17" x14ac:dyDescent="0.25">
      <c r="B150" s="73"/>
      <c r="C150" s="74"/>
      <c r="D150" s="80"/>
      <c r="E150" s="81"/>
      <c r="F150" s="81"/>
      <c r="G150" s="81"/>
      <c r="H150" s="81"/>
      <c r="I150" s="82"/>
      <c r="J150" s="80"/>
      <c r="K150" s="82"/>
      <c r="L150" s="80"/>
      <c r="M150" s="82"/>
      <c r="N150" s="80"/>
      <c r="O150" s="82"/>
      <c r="P150" s="94"/>
      <c r="Q150" s="95"/>
    </row>
    <row r="151" spans="2:17" x14ac:dyDescent="0.25">
      <c r="B151" s="75"/>
      <c r="C151" s="76"/>
      <c r="D151" s="83"/>
      <c r="E151" s="84"/>
      <c r="F151" s="84"/>
      <c r="G151" s="84"/>
      <c r="H151" s="84"/>
      <c r="I151" s="85"/>
      <c r="J151" s="83"/>
      <c r="K151" s="85"/>
      <c r="L151" s="83"/>
      <c r="M151" s="85"/>
      <c r="N151" s="83"/>
      <c r="O151" s="85"/>
      <c r="P151" s="96"/>
      <c r="Q151" s="97"/>
    </row>
    <row r="152" spans="2:17" x14ac:dyDescent="0.25">
      <c r="B152" s="71"/>
      <c r="C152" s="72"/>
      <c r="D152" s="77"/>
      <c r="E152" s="78"/>
      <c r="F152" s="78"/>
      <c r="G152" s="78"/>
      <c r="H152" s="78"/>
      <c r="I152" s="79"/>
      <c r="J152" s="77"/>
      <c r="K152" s="79"/>
      <c r="L152" s="77"/>
      <c r="M152" s="79"/>
      <c r="N152" s="77"/>
      <c r="O152" s="79"/>
      <c r="P152" s="92"/>
      <c r="Q152" s="93"/>
    </row>
    <row r="153" spans="2:17" x14ac:dyDescent="0.25">
      <c r="B153" s="73"/>
      <c r="C153" s="74"/>
      <c r="D153" s="80"/>
      <c r="E153" s="81"/>
      <c r="F153" s="81"/>
      <c r="G153" s="81"/>
      <c r="H153" s="81"/>
      <c r="I153" s="82"/>
      <c r="J153" s="80"/>
      <c r="K153" s="82"/>
      <c r="L153" s="80"/>
      <c r="M153" s="82"/>
      <c r="N153" s="80"/>
      <c r="O153" s="82"/>
      <c r="P153" s="94"/>
      <c r="Q153" s="95"/>
    </row>
    <row r="154" spans="2:17" x14ac:dyDescent="0.25">
      <c r="B154" s="75"/>
      <c r="C154" s="76"/>
      <c r="D154" s="83"/>
      <c r="E154" s="84"/>
      <c r="F154" s="84"/>
      <c r="G154" s="84"/>
      <c r="H154" s="84"/>
      <c r="I154" s="85"/>
      <c r="J154" s="83"/>
      <c r="K154" s="85"/>
      <c r="L154" s="83"/>
      <c r="M154" s="85"/>
      <c r="N154" s="83"/>
      <c r="O154" s="85"/>
      <c r="P154" s="96"/>
      <c r="Q154" s="97"/>
    </row>
    <row r="155" spans="2:17" x14ac:dyDescent="0.25">
      <c r="B155" s="71"/>
      <c r="C155" s="72"/>
      <c r="D155" s="77"/>
      <c r="E155" s="78"/>
      <c r="F155" s="78"/>
      <c r="G155" s="78"/>
      <c r="H155" s="78"/>
      <c r="I155" s="79"/>
      <c r="J155" s="77"/>
      <c r="K155" s="79"/>
      <c r="L155" s="77"/>
      <c r="M155" s="79"/>
      <c r="N155" s="77"/>
      <c r="O155" s="79"/>
      <c r="P155" s="92"/>
      <c r="Q155" s="93"/>
    </row>
    <row r="156" spans="2:17" x14ac:dyDescent="0.25">
      <c r="B156" s="73"/>
      <c r="C156" s="74"/>
      <c r="D156" s="80"/>
      <c r="E156" s="81"/>
      <c r="F156" s="81"/>
      <c r="G156" s="81"/>
      <c r="H156" s="81"/>
      <c r="I156" s="82"/>
      <c r="J156" s="80"/>
      <c r="K156" s="82"/>
      <c r="L156" s="80"/>
      <c r="M156" s="82"/>
      <c r="N156" s="80"/>
      <c r="O156" s="82"/>
      <c r="P156" s="94"/>
      <c r="Q156" s="95"/>
    </row>
    <row r="157" spans="2:17" x14ac:dyDescent="0.25">
      <c r="B157" s="75"/>
      <c r="C157" s="76"/>
      <c r="D157" s="83"/>
      <c r="E157" s="84"/>
      <c r="F157" s="84"/>
      <c r="G157" s="84"/>
      <c r="H157" s="84"/>
      <c r="I157" s="85"/>
      <c r="J157" s="83"/>
      <c r="K157" s="85"/>
      <c r="L157" s="83"/>
      <c r="M157" s="85"/>
      <c r="N157" s="83"/>
      <c r="O157" s="85"/>
      <c r="P157" s="96"/>
      <c r="Q157" s="97"/>
    </row>
    <row r="158" spans="2:17" x14ac:dyDescent="0.25">
      <c r="B158" s="71"/>
      <c r="C158" s="72"/>
      <c r="D158" s="77"/>
      <c r="E158" s="78"/>
      <c r="F158" s="78"/>
      <c r="G158" s="78"/>
      <c r="H158" s="78"/>
      <c r="I158" s="79"/>
      <c r="J158" s="77"/>
      <c r="K158" s="79"/>
      <c r="L158" s="77"/>
      <c r="M158" s="79"/>
      <c r="N158" s="77"/>
      <c r="O158" s="79"/>
      <c r="P158" s="92"/>
      <c r="Q158" s="93"/>
    </row>
    <row r="159" spans="2:17" x14ac:dyDescent="0.25">
      <c r="B159" s="73"/>
      <c r="C159" s="74"/>
      <c r="D159" s="80"/>
      <c r="E159" s="81"/>
      <c r="F159" s="81"/>
      <c r="G159" s="81"/>
      <c r="H159" s="81"/>
      <c r="I159" s="82"/>
      <c r="J159" s="80"/>
      <c r="K159" s="82"/>
      <c r="L159" s="80"/>
      <c r="M159" s="82"/>
      <c r="N159" s="80"/>
      <c r="O159" s="82"/>
      <c r="P159" s="94"/>
      <c r="Q159" s="95"/>
    </row>
    <row r="160" spans="2:17" x14ac:dyDescent="0.25">
      <c r="B160" s="75"/>
      <c r="C160" s="76"/>
      <c r="D160" s="83"/>
      <c r="E160" s="84"/>
      <c r="F160" s="84"/>
      <c r="G160" s="84"/>
      <c r="H160" s="84"/>
      <c r="I160" s="85"/>
      <c r="J160" s="83"/>
      <c r="K160" s="85"/>
      <c r="L160" s="83"/>
      <c r="M160" s="85"/>
      <c r="N160" s="83"/>
      <c r="O160" s="85"/>
      <c r="P160" s="96"/>
      <c r="Q160" s="97"/>
    </row>
    <row r="161" spans="2:17" x14ac:dyDescent="0.25">
      <c r="B161" s="71"/>
      <c r="C161" s="72"/>
      <c r="D161" s="77"/>
      <c r="E161" s="78"/>
      <c r="F161" s="78"/>
      <c r="G161" s="78"/>
      <c r="H161" s="78"/>
      <c r="I161" s="79"/>
      <c r="J161" s="77"/>
      <c r="K161" s="79"/>
      <c r="L161" s="77"/>
      <c r="M161" s="79"/>
      <c r="N161" s="77"/>
      <c r="O161" s="79"/>
      <c r="P161" s="92"/>
      <c r="Q161" s="93"/>
    </row>
    <row r="162" spans="2:17" x14ac:dyDescent="0.25">
      <c r="B162" s="73"/>
      <c r="C162" s="74"/>
      <c r="D162" s="80"/>
      <c r="E162" s="81"/>
      <c r="F162" s="81"/>
      <c r="G162" s="81"/>
      <c r="H162" s="81"/>
      <c r="I162" s="82"/>
      <c r="J162" s="80"/>
      <c r="K162" s="82"/>
      <c r="L162" s="80"/>
      <c r="M162" s="82"/>
      <c r="N162" s="80"/>
      <c r="O162" s="82"/>
      <c r="P162" s="94"/>
      <c r="Q162" s="95"/>
    </row>
    <row r="163" spans="2:17" x14ac:dyDescent="0.25">
      <c r="B163" s="75"/>
      <c r="C163" s="76"/>
      <c r="D163" s="83"/>
      <c r="E163" s="84"/>
      <c r="F163" s="84"/>
      <c r="G163" s="84"/>
      <c r="H163" s="84"/>
      <c r="I163" s="85"/>
      <c r="J163" s="83"/>
      <c r="K163" s="85"/>
      <c r="L163" s="83"/>
      <c r="M163" s="85"/>
      <c r="N163" s="83"/>
      <c r="O163" s="85"/>
      <c r="P163" s="96"/>
      <c r="Q163" s="97"/>
    </row>
    <row r="164" spans="2:17" x14ac:dyDescent="0.25">
      <c r="B164" s="71"/>
      <c r="C164" s="72"/>
      <c r="D164" s="77"/>
      <c r="E164" s="78"/>
      <c r="F164" s="78"/>
      <c r="G164" s="78"/>
      <c r="H164" s="78"/>
      <c r="I164" s="79"/>
      <c r="J164" s="77"/>
      <c r="K164" s="79"/>
      <c r="L164" s="77"/>
      <c r="M164" s="79"/>
      <c r="N164" s="77"/>
      <c r="O164" s="79"/>
      <c r="P164" s="92"/>
      <c r="Q164" s="93"/>
    </row>
    <row r="165" spans="2:17" x14ac:dyDescent="0.25">
      <c r="B165" s="73"/>
      <c r="C165" s="74"/>
      <c r="D165" s="80"/>
      <c r="E165" s="81"/>
      <c r="F165" s="81"/>
      <c r="G165" s="81"/>
      <c r="H165" s="81"/>
      <c r="I165" s="82"/>
      <c r="J165" s="80"/>
      <c r="K165" s="82"/>
      <c r="L165" s="80"/>
      <c r="M165" s="82"/>
      <c r="N165" s="80"/>
      <c r="O165" s="82"/>
      <c r="P165" s="94"/>
      <c r="Q165" s="95"/>
    </row>
    <row r="166" spans="2:17" x14ac:dyDescent="0.25">
      <c r="B166" s="75"/>
      <c r="C166" s="76"/>
      <c r="D166" s="83"/>
      <c r="E166" s="84"/>
      <c r="F166" s="84"/>
      <c r="G166" s="84"/>
      <c r="H166" s="84"/>
      <c r="I166" s="85"/>
      <c r="J166" s="83"/>
      <c r="K166" s="85"/>
      <c r="L166" s="83"/>
      <c r="M166" s="85"/>
      <c r="N166" s="83"/>
      <c r="O166" s="85"/>
      <c r="P166" s="96"/>
      <c r="Q166" s="97"/>
    </row>
    <row r="167" spans="2:17" x14ac:dyDescent="0.25">
      <c r="B167" s="71"/>
      <c r="C167" s="72"/>
      <c r="D167" s="77"/>
      <c r="E167" s="78"/>
      <c r="F167" s="78"/>
      <c r="G167" s="78"/>
      <c r="H167" s="78"/>
      <c r="I167" s="79"/>
      <c r="J167" s="77"/>
      <c r="K167" s="79"/>
      <c r="L167" s="77"/>
      <c r="M167" s="79"/>
      <c r="N167" s="77"/>
      <c r="O167" s="79"/>
      <c r="P167" s="92"/>
      <c r="Q167" s="93"/>
    </row>
    <row r="168" spans="2:17" x14ac:dyDescent="0.25">
      <c r="B168" s="73"/>
      <c r="C168" s="74"/>
      <c r="D168" s="80"/>
      <c r="E168" s="81"/>
      <c r="F168" s="81"/>
      <c r="G168" s="81"/>
      <c r="H168" s="81"/>
      <c r="I168" s="82"/>
      <c r="J168" s="80"/>
      <c r="K168" s="82"/>
      <c r="L168" s="80"/>
      <c r="M168" s="82"/>
      <c r="N168" s="80"/>
      <c r="O168" s="82"/>
      <c r="P168" s="94"/>
      <c r="Q168" s="95"/>
    </row>
    <row r="169" spans="2:17" x14ac:dyDescent="0.25">
      <c r="B169" s="75"/>
      <c r="C169" s="76"/>
      <c r="D169" s="83"/>
      <c r="E169" s="84"/>
      <c r="F169" s="84"/>
      <c r="G169" s="84"/>
      <c r="H169" s="84"/>
      <c r="I169" s="85"/>
      <c r="J169" s="83"/>
      <c r="K169" s="85"/>
      <c r="L169" s="83"/>
      <c r="M169" s="85"/>
      <c r="N169" s="83"/>
      <c r="O169" s="85"/>
      <c r="P169" s="96"/>
      <c r="Q169" s="97"/>
    </row>
    <row r="170" spans="2:17" x14ac:dyDescent="0.25">
      <c r="B170" s="71"/>
      <c r="C170" s="72"/>
      <c r="D170" s="77"/>
      <c r="E170" s="78"/>
      <c r="F170" s="78"/>
      <c r="G170" s="78"/>
      <c r="H170" s="78"/>
      <c r="I170" s="79"/>
      <c r="J170" s="77"/>
      <c r="K170" s="79"/>
      <c r="L170" s="77"/>
      <c r="M170" s="79"/>
      <c r="N170" s="77"/>
      <c r="O170" s="79"/>
      <c r="P170" s="92"/>
      <c r="Q170" s="93"/>
    </row>
    <row r="171" spans="2:17" x14ac:dyDescent="0.25">
      <c r="B171" s="73"/>
      <c r="C171" s="74"/>
      <c r="D171" s="80"/>
      <c r="E171" s="81"/>
      <c r="F171" s="81"/>
      <c r="G171" s="81"/>
      <c r="H171" s="81"/>
      <c r="I171" s="82"/>
      <c r="J171" s="80"/>
      <c r="K171" s="82"/>
      <c r="L171" s="80"/>
      <c r="M171" s="82"/>
      <c r="N171" s="80"/>
      <c r="O171" s="82"/>
      <c r="P171" s="94"/>
      <c r="Q171" s="95"/>
    </row>
    <row r="172" spans="2:17" x14ac:dyDescent="0.25">
      <c r="B172" s="75"/>
      <c r="C172" s="76"/>
      <c r="D172" s="83"/>
      <c r="E172" s="84"/>
      <c r="F172" s="84"/>
      <c r="G172" s="84"/>
      <c r="H172" s="84"/>
      <c r="I172" s="85"/>
      <c r="J172" s="83"/>
      <c r="K172" s="85"/>
      <c r="L172" s="83"/>
      <c r="M172" s="85"/>
      <c r="N172" s="83"/>
      <c r="O172" s="85"/>
      <c r="P172" s="96"/>
      <c r="Q172" s="97"/>
    </row>
    <row r="173" spans="2:17" x14ac:dyDescent="0.25">
      <c r="B173" s="71"/>
      <c r="C173" s="72"/>
      <c r="D173" s="77"/>
      <c r="E173" s="78"/>
      <c r="F173" s="78"/>
      <c r="G173" s="78"/>
      <c r="H173" s="78"/>
      <c r="I173" s="79"/>
      <c r="J173" s="77"/>
      <c r="K173" s="79"/>
      <c r="L173" s="77"/>
      <c r="M173" s="79"/>
      <c r="N173" s="77"/>
      <c r="O173" s="79"/>
      <c r="P173" s="92"/>
      <c r="Q173" s="93"/>
    </row>
    <row r="174" spans="2:17" x14ac:dyDescent="0.25">
      <c r="B174" s="73"/>
      <c r="C174" s="74"/>
      <c r="D174" s="80"/>
      <c r="E174" s="81"/>
      <c r="F174" s="81"/>
      <c r="G174" s="81"/>
      <c r="H174" s="81"/>
      <c r="I174" s="82"/>
      <c r="J174" s="80"/>
      <c r="K174" s="82"/>
      <c r="L174" s="80"/>
      <c r="M174" s="82"/>
      <c r="N174" s="80"/>
      <c r="O174" s="82"/>
      <c r="P174" s="94"/>
      <c r="Q174" s="95"/>
    </row>
    <row r="175" spans="2:17" x14ac:dyDescent="0.25">
      <c r="B175" s="75"/>
      <c r="C175" s="76"/>
      <c r="D175" s="83"/>
      <c r="E175" s="84"/>
      <c r="F175" s="84"/>
      <c r="G175" s="84"/>
      <c r="H175" s="84"/>
      <c r="I175" s="85"/>
      <c r="J175" s="83"/>
      <c r="K175" s="85"/>
      <c r="L175" s="83"/>
      <c r="M175" s="85"/>
      <c r="N175" s="83"/>
      <c r="O175" s="85"/>
      <c r="P175" s="96"/>
      <c r="Q175" s="97"/>
    </row>
    <row r="176" spans="2:17" x14ac:dyDescent="0.25">
      <c r="B176" s="71"/>
      <c r="C176" s="72"/>
      <c r="D176" s="77"/>
      <c r="E176" s="78"/>
      <c r="F176" s="78"/>
      <c r="G176" s="78"/>
      <c r="H176" s="78"/>
      <c r="I176" s="79"/>
      <c r="J176" s="77"/>
      <c r="K176" s="79"/>
      <c r="L176" s="77"/>
      <c r="M176" s="79"/>
      <c r="N176" s="77"/>
      <c r="O176" s="79"/>
      <c r="P176" s="92"/>
      <c r="Q176" s="93"/>
    </row>
    <row r="177" spans="2:17" x14ac:dyDescent="0.25">
      <c r="B177" s="73"/>
      <c r="C177" s="74"/>
      <c r="D177" s="80"/>
      <c r="E177" s="81"/>
      <c r="F177" s="81"/>
      <c r="G177" s="81"/>
      <c r="H177" s="81"/>
      <c r="I177" s="82"/>
      <c r="J177" s="80"/>
      <c r="K177" s="82"/>
      <c r="L177" s="80"/>
      <c r="M177" s="82"/>
      <c r="N177" s="80"/>
      <c r="O177" s="82"/>
      <c r="P177" s="94"/>
      <c r="Q177" s="95"/>
    </row>
    <row r="178" spans="2:17" x14ac:dyDescent="0.25">
      <c r="B178" s="75"/>
      <c r="C178" s="76"/>
      <c r="D178" s="83"/>
      <c r="E178" s="84"/>
      <c r="F178" s="84"/>
      <c r="G178" s="84"/>
      <c r="H178" s="84"/>
      <c r="I178" s="85"/>
      <c r="J178" s="83"/>
      <c r="K178" s="85"/>
      <c r="L178" s="83"/>
      <c r="M178" s="85"/>
      <c r="N178" s="83"/>
      <c r="O178" s="85"/>
      <c r="P178" s="96"/>
      <c r="Q178" s="97"/>
    </row>
    <row r="179" spans="2:17" x14ac:dyDescent="0.25">
      <c r="B179" s="71"/>
      <c r="C179" s="72"/>
      <c r="D179" s="77"/>
      <c r="E179" s="78"/>
      <c r="F179" s="78"/>
      <c r="G179" s="78"/>
      <c r="H179" s="78"/>
      <c r="I179" s="79"/>
      <c r="J179" s="77"/>
      <c r="K179" s="79"/>
      <c r="L179" s="77"/>
      <c r="M179" s="79"/>
      <c r="N179" s="77"/>
      <c r="O179" s="79"/>
      <c r="P179" s="92"/>
      <c r="Q179" s="93"/>
    </row>
    <row r="180" spans="2:17" x14ac:dyDescent="0.25">
      <c r="B180" s="73"/>
      <c r="C180" s="74"/>
      <c r="D180" s="80"/>
      <c r="E180" s="81"/>
      <c r="F180" s="81"/>
      <c r="G180" s="81"/>
      <c r="H180" s="81"/>
      <c r="I180" s="82"/>
      <c r="J180" s="80"/>
      <c r="K180" s="82"/>
      <c r="L180" s="80"/>
      <c r="M180" s="82"/>
      <c r="N180" s="80"/>
      <c r="O180" s="82"/>
      <c r="P180" s="94"/>
      <c r="Q180" s="95"/>
    </row>
    <row r="181" spans="2:17" x14ac:dyDescent="0.25">
      <c r="B181" s="75"/>
      <c r="C181" s="76"/>
      <c r="D181" s="83"/>
      <c r="E181" s="84"/>
      <c r="F181" s="84"/>
      <c r="G181" s="84"/>
      <c r="H181" s="84"/>
      <c r="I181" s="85"/>
      <c r="J181" s="83"/>
      <c r="K181" s="85"/>
      <c r="L181" s="83"/>
      <c r="M181" s="85"/>
      <c r="N181" s="83"/>
      <c r="O181" s="85"/>
      <c r="P181" s="96"/>
      <c r="Q181" s="97"/>
    </row>
    <row r="182" spans="2:17" x14ac:dyDescent="0.25">
      <c r="B182" s="71"/>
      <c r="C182" s="72"/>
      <c r="D182" s="77"/>
      <c r="E182" s="78"/>
      <c r="F182" s="78"/>
      <c r="G182" s="78"/>
      <c r="H182" s="78"/>
      <c r="I182" s="79"/>
      <c r="J182" s="77"/>
      <c r="K182" s="79"/>
      <c r="L182" s="77"/>
      <c r="M182" s="79"/>
      <c r="N182" s="77"/>
      <c r="O182" s="79"/>
      <c r="P182" s="92"/>
      <c r="Q182" s="93"/>
    </row>
    <row r="183" spans="2:17" x14ac:dyDescent="0.25">
      <c r="B183" s="73"/>
      <c r="C183" s="74"/>
      <c r="D183" s="80"/>
      <c r="E183" s="81"/>
      <c r="F183" s="81"/>
      <c r="G183" s="81"/>
      <c r="H183" s="81"/>
      <c r="I183" s="82"/>
      <c r="J183" s="80"/>
      <c r="K183" s="82"/>
      <c r="L183" s="80"/>
      <c r="M183" s="82"/>
      <c r="N183" s="80"/>
      <c r="O183" s="82"/>
      <c r="P183" s="94"/>
      <c r="Q183" s="95"/>
    </row>
    <row r="184" spans="2:17" x14ac:dyDescent="0.25">
      <c r="B184" s="75"/>
      <c r="C184" s="76"/>
      <c r="D184" s="83"/>
      <c r="E184" s="84"/>
      <c r="F184" s="84"/>
      <c r="G184" s="84"/>
      <c r="H184" s="84"/>
      <c r="I184" s="85"/>
      <c r="J184" s="83"/>
      <c r="K184" s="85"/>
      <c r="L184" s="83"/>
      <c r="M184" s="85"/>
      <c r="N184" s="83"/>
      <c r="O184" s="85"/>
      <c r="P184" s="96"/>
      <c r="Q184" s="97"/>
    </row>
    <row r="185" spans="2:17" x14ac:dyDescent="0.25">
      <c r="B185" s="71"/>
      <c r="C185" s="72"/>
      <c r="D185" s="77"/>
      <c r="E185" s="78"/>
      <c r="F185" s="78"/>
      <c r="G185" s="78"/>
      <c r="H185" s="78"/>
      <c r="I185" s="79"/>
      <c r="J185" s="77"/>
      <c r="K185" s="79"/>
      <c r="L185" s="77"/>
      <c r="M185" s="79"/>
      <c r="N185" s="77"/>
      <c r="O185" s="79"/>
      <c r="P185" s="92"/>
      <c r="Q185" s="93"/>
    </row>
    <row r="186" spans="2:17" x14ac:dyDescent="0.25">
      <c r="B186" s="73"/>
      <c r="C186" s="74"/>
      <c r="D186" s="80"/>
      <c r="E186" s="81"/>
      <c r="F186" s="81"/>
      <c r="G186" s="81"/>
      <c r="H186" s="81"/>
      <c r="I186" s="82"/>
      <c r="J186" s="80"/>
      <c r="K186" s="82"/>
      <c r="L186" s="80"/>
      <c r="M186" s="82"/>
      <c r="N186" s="80"/>
      <c r="O186" s="82"/>
      <c r="P186" s="94"/>
      <c r="Q186" s="95"/>
    </row>
    <row r="187" spans="2:17" x14ac:dyDescent="0.25">
      <c r="B187" s="75"/>
      <c r="C187" s="76"/>
      <c r="D187" s="83"/>
      <c r="E187" s="84"/>
      <c r="F187" s="84"/>
      <c r="G187" s="84"/>
      <c r="H187" s="84"/>
      <c r="I187" s="85"/>
      <c r="J187" s="83"/>
      <c r="K187" s="85"/>
      <c r="L187" s="83"/>
      <c r="M187" s="85"/>
      <c r="N187" s="83"/>
      <c r="O187" s="85"/>
      <c r="P187" s="96"/>
      <c r="Q187" s="97"/>
    </row>
    <row r="188" spans="2:17" x14ac:dyDescent="0.25">
      <c r="B188" s="71"/>
      <c r="C188" s="72"/>
      <c r="D188" s="77"/>
      <c r="E188" s="78"/>
      <c r="F188" s="78"/>
      <c r="G188" s="78"/>
      <c r="H188" s="78"/>
      <c r="I188" s="79"/>
      <c r="J188" s="77"/>
      <c r="K188" s="79"/>
      <c r="L188" s="77"/>
      <c r="M188" s="79"/>
      <c r="N188" s="77"/>
      <c r="O188" s="79"/>
      <c r="P188" s="92"/>
      <c r="Q188" s="93"/>
    </row>
    <row r="189" spans="2:17" x14ac:dyDescent="0.25">
      <c r="B189" s="73"/>
      <c r="C189" s="74"/>
      <c r="D189" s="80"/>
      <c r="E189" s="81"/>
      <c r="F189" s="81"/>
      <c r="G189" s="81"/>
      <c r="H189" s="81"/>
      <c r="I189" s="82"/>
      <c r="J189" s="80"/>
      <c r="K189" s="82"/>
      <c r="L189" s="80"/>
      <c r="M189" s="82"/>
      <c r="N189" s="80"/>
      <c r="O189" s="82"/>
      <c r="P189" s="94"/>
      <c r="Q189" s="95"/>
    </row>
    <row r="190" spans="2:17" x14ac:dyDescent="0.25">
      <c r="B190" s="75"/>
      <c r="C190" s="76"/>
      <c r="D190" s="83"/>
      <c r="E190" s="84"/>
      <c r="F190" s="84"/>
      <c r="G190" s="84"/>
      <c r="H190" s="84"/>
      <c r="I190" s="85"/>
      <c r="J190" s="83"/>
      <c r="K190" s="85"/>
      <c r="L190" s="83"/>
      <c r="M190" s="85"/>
      <c r="N190" s="83"/>
      <c r="O190" s="85"/>
      <c r="P190" s="96"/>
      <c r="Q190" s="97"/>
    </row>
    <row r="191" spans="2:17" x14ac:dyDescent="0.25">
      <c r="B191" s="71"/>
      <c r="C191" s="72"/>
      <c r="D191" s="77"/>
      <c r="E191" s="78"/>
      <c r="F191" s="78"/>
      <c r="G191" s="78"/>
      <c r="H191" s="78"/>
      <c r="I191" s="79"/>
      <c r="J191" s="77"/>
      <c r="K191" s="79"/>
      <c r="L191" s="77"/>
      <c r="M191" s="79"/>
      <c r="N191" s="77"/>
      <c r="O191" s="79"/>
      <c r="P191" s="92"/>
      <c r="Q191" s="93"/>
    </row>
    <row r="192" spans="2:17" x14ac:dyDescent="0.25">
      <c r="B192" s="73"/>
      <c r="C192" s="74"/>
      <c r="D192" s="80"/>
      <c r="E192" s="81"/>
      <c r="F192" s="81"/>
      <c r="G192" s="81"/>
      <c r="H192" s="81"/>
      <c r="I192" s="82"/>
      <c r="J192" s="80"/>
      <c r="K192" s="82"/>
      <c r="L192" s="80"/>
      <c r="M192" s="82"/>
      <c r="N192" s="80"/>
      <c r="O192" s="82"/>
      <c r="P192" s="94"/>
      <c r="Q192" s="95"/>
    </row>
    <row r="193" spans="2:17" x14ac:dyDescent="0.25">
      <c r="B193" s="75"/>
      <c r="C193" s="76"/>
      <c r="D193" s="83"/>
      <c r="E193" s="84"/>
      <c r="F193" s="84"/>
      <c r="G193" s="84"/>
      <c r="H193" s="84"/>
      <c r="I193" s="85"/>
      <c r="J193" s="83"/>
      <c r="K193" s="85"/>
      <c r="L193" s="83"/>
      <c r="M193" s="85"/>
      <c r="N193" s="83"/>
      <c r="O193" s="85"/>
      <c r="P193" s="96"/>
      <c r="Q193" s="97"/>
    </row>
    <row r="194" spans="2:17" x14ac:dyDescent="0.25">
      <c r="B194" s="71"/>
      <c r="C194" s="72"/>
      <c r="D194" s="77"/>
      <c r="E194" s="78"/>
      <c r="F194" s="78"/>
      <c r="G194" s="78"/>
      <c r="H194" s="78"/>
      <c r="I194" s="79"/>
      <c r="J194" s="77"/>
      <c r="K194" s="79"/>
      <c r="L194" s="77"/>
      <c r="M194" s="79"/>
      <c r="N194" s="77"/>
      <c r="O194" s="79"/>
      <c r="P194" s="92"/>
      <c r="Q194" s="93"/>
    </row>
    <row r="195" spans="2:17" x14ac:dyDescent="0.25">
      <c r="B195" s="73"/>
      <c r="C195" s="74"/>
      <c r="D195" s="80"/>
      <c r="E195" s="81"/>
      <c r="F195" s="81"/>
      <c r="G195" s="81"/>
      <c r="H195" s="81"/>
      <c r="I195" s="82"/>
      <c r="J195" s="80"/>
      <c r="K195" s="82"/>
      <c r="L195" s="80"/>
      <c r="M195" s="82"/>
      <c r="N195" s="80"/>
      <c r="O195" s="82"/>
      <c r="P195" s="94"/>
      <c r="Q195" s="95"/>
    </row>
    <row r="196" spans="2:17" x14ac:dyDescent="0.25">
      <c r="B196" s="75"/>
      <c r="C196" s="76"/>
      <c r="D196" s="83"/>
      <c r="E196" s="84"/>
      <c r="F196" s="84"/>
      <c r="G196" s="84"/>
      <c r="H196" s="84"/>
      <c r="I196" s="85"/>
      <c r="J196" s="83"/>
      <c r="K196" s="85"/>
      <c r="L196" s="83"/>
      <c r="M196" s="85"/>
      <c r="N196" s="83"/>
      <c r="O196" s="85"/>
      <c r="P196" s="96"/>
      <c r="Q196" s="97"/>
    </row>
    <row r="197" spans="2:17" x14ac:dyDescent="0.25">
      <c r="B197" s="71"/>
      <c r="C197" s="72"/>
      <c r="D197" s="77"/>
      <c r="E197" s="78"/>
      <c r="F197" s="78"/>
      <c r="G197" s="78"/>
      <c r="H197" s="78"/>
      <c r="I197" s="79"/>
      <c r="J197" s="77"/>
      <c r="K197" s="79"/>
      <c r="L197" s="77"/>
      <c r="M197" s="79"/>
      <c r="N197" s="77"/>
      <c r="O197" s="79"/>
      <c r="P197" s="92"/>
      <c r="Q197" s="93"/>
    </row>
    <row r="198" spans="2:17" x14ac:dyDescent="0.25">
      <c r="B198" s="73"/>
      <c r="C198" s="74"/>
      <c r="D198" s="80"/>
      <c r="E198" s="81"/>
      <c r="F198" s="81"/>
      <c r="G198" s="81"/>
      <c r="H198" s="81"/>
      <c r="I198" s="82"/>
      <c r="J198" s="80"/>
      <c r="K198" s="82"/>
      <c r="L198" s="80"/>
      <c r="M198" s="82"/>
      <c r="N198" s="80"/>
      <c r="O198" s="82"/>
      <c r="P198" s="94"/>
      <c r="Q198" s="95"/>
    </row>
    <row r="199" spans="2:17" x14ac:dyDescent="0.25">
      <c r="B199" s="75"/>
      <c r="C199" s="76"/>
      <c r="D199" s="83"/>
      <c r="E199" s="84"/>
      <c r="F199" s="84"/>
      <c r="G199" s="84"/>
      <c r="H199" s="84"/>
      <c r="I199" s="85"/>
      <c r="J199" s="83"/>
      <c r="K199" s="85"/>
      <c r="L199" s="83"/>
      <c r="M199" s="85"/>
      <c r="N199" s="83"/>
      <c r="O199" s="85"/>
      <c r="P199" s="96"/>
      <c r="Q199" s="97"/>
    </row>
    <row r="200" spans="2:17" x14ac:dyDescent="0.25">
      <c r="B200" s="71"/>
      <c r="C200" s="72"/>
      <c r="D200" s="77"/>
      <c r="E200" s="78"/>
      <c r="F200" s="78"/>
      <c r="G200" s="78"/>
      <c r="H200" s="78"/>
      <c r="I200" s="79"/>
      <c r="J200" s="77"/>
      <c r="K200" s="79"/>
      <c r="L200" s="77"/>
      <c r="M200" s="79"/>
      <c r="N200" s="77"/>
      <c r="O200" s="79"/>
      <c r="P200" s="92"/>
      <c r="Q200" s="93"/>
    </row>
    <row r="201" spans="2:17" x14ac:dyDescent="0.25">
      <c r="B201" s="73"/>
      <c r="C201" s="74"/>
      <c r="D201" s="80"/>
      <c r="E201" s="81"/>
      <c r="F201" s="81"/>
      <c r="G201" s="81"/>
      <c r="H201" s="81"/>
      <c r="I201" s="82"/>
      <c r="J201" s="80"/>
      <c r="K201" s="82"/>
      <c r="L201" s="80"/>
      <c r="M201" s="82"/>
      <c r="N201" s="80"/>
      <c r="O201" s="82"/>
      <c r="P201" s="94"/>
      <c r="Q201" s="95"/>
    </row>
    <row r="202" spans="2:17" x14ac:dyDescent="0.25">
      <c r="B202" s="75"/>
      <c r="C202" s="76"/>
      <c r="D202" s="83"/>
      <c r="E202" s="84"/>
      <c r="F202" s="84"/>
      <c r="G202" s="84"/>
      <c r="H202" s="84"/>
      <c r="I202" s="85"/>
      <c r="J202" s="83"/>
      <c r="K202" s="85"/>
      <c r="L202" s="83"/>
      <c r="M202" s="85"/>
      <c r="N202" s="83"/>
      <c r="O202" s="85"/>
      <c r="P202" s="96"/>
      <c r="Q202" s="97"/>
    </row>
    <row r="203" spans="2:17" x14ac:dyDescent="0.25">
      <c r="B203" s="71"/>
      <c r="C203" s="72"/>
      <c r="D203" s="77"/>
      <c r="E203" s="78"/>
      <c r="F203" s="78"/>
      <c r="G203" s="78"/>
      <c r="H203" s="78"/>
      <c r="I203" s="79"/>
      <c r="J203" s="77"/>
      <c r="K203" s="79"/>
      <c r="L203" s="77"/>
      <c r="M203" s="79"/>
      <c r="N203" s="77"/>
      <c r="O203" s="79"/>
      <c r="P203" s="92"/>
      <c r="Q203" s="93"/>
    </row>
    <row r="204" spans="2:17" x14ac:dyDescent="0.25">
      <c r="B204" s="73"/>
      <c r="C204" s="74"/>
      <c r="D204" s="80"/>
      <c r="E204" s="81"/>
      <c r="F204" s="81"/>
      <c r="G204" s="81"/>
      <c r="H204" s="81"/>
      <c r="I204" s="82"/>
      <c r="J204" s="80"/>
      <c r="K204" s="82"/>
      <c r="L204" s="80"/>
      <c r="M204" s="82"/>
      <c r="N204" s="80"/>
      <c r="O204" s="82"/>
      <c r="P204" s="94"/>
      <c r="Q204" s="95"/>
    </row>
    <row r="205" spans="2:17" x14ac:dyDescent="0.25">
      <c r="B205" s="75"/>
      <c r="C205" s="76"/>
      <c r="D205" s="83"/>
      <c r="E205" s="84"/>
      <c r="F205" s="84"/>
      <c r="G205" s="84"/>
      <c r="H205" s="84"/>
      <c r="I205" s="85"/>
      <c r="J205" s="83"/>
      <c r="K205" s="85"/>
      <c r="L205" s="83"/>
      <c r="M205" s="85"/>
      <c r="N205" s="83"/>
      <c r="O205" s="85"/>
      <c r="P205" s="96"/>
      <c r="Q205" s="97"/>
    </row>
    <row r="206" spans="2:17" x14ac:dyDescent="0.25">
      <c r="B206" s="71"/>
      <c r="C206" s="72"/>
      <c r="D206" s="77"/>
      <c r="E206" s="78"/>
      <c r="F206" s="78"/>
      <c r="G206" s="78"/>
      <c r="H206" s="78"/>
      <c r="I206" s="79"/>
      <c r="J206" s="77"/>
      <c r="K206" s="79"/>
      <c r="L206" s="77"/>
      <c r="M206" s="79"/>
      <c r="N206" s="77"/>
      <c r="O206" s="79"/>
      <c r="P206" s="92"/>
      <c r="Q206" s="93"/>
    </row>
    <row r="207" spans="2:17" x14ac:dyDescent="0.25">
      <c r="B207" s="73"/>
      <c r="C207" s="74"/>
      <c r="D207" s="80"/>
      <c r="E207" s="81"/>
      <c r="F207" s="81"/>
      <c r="G207" s="81"/>
      <c r="H207" s="81"/>
      <c r="I207" s="82"/>
      <c r="J207" s="80"/>
      <c r="K207" s="82"/>
      <c r="L207" s="80"/>
      <c r="M207" s="82"/>
      <c r="N207" s="80"/>
      <c r="O207" s="82"/>
      <c r="P207" s="94"/>
      <c r="Q207" s="95"/>
    </row>
    <row r="208" spans="2:17" x14ac:dyDescent="0.25">
      <c r="B208" s="75"/>
      <c r="C208" s="76"/>
      <c r="D208" s="83"/>
      <c r="E208" s="84"/>
      <c r="F208" s="84"/>
      <c r="G208" s="84"/>
      <c r="H208" s="84"/>
      <c r="I208" s="85"/>
      <c r="J208" s="83"/>
      <c r="K208" s="85"/>
      <c r="L208" s="83"/>
      <c r="M208" s="85"/>
      <c r="N208" s="83"/>
      <c r="O208" s="85"/>
      <c r="P208" s="96"/>
      <c r="Q208" s="97"/>
    </row>
    <row r="209" spans="2:17" x14ac:dyDescent="0.25">
      <c r="B209" s="71"/>
      <c r="C209" s="72"/>
      <c r="D209" s="77"/>
      <c r="E209" s="78"/>
      <c r="F209" s="78"/>
      <c r="G209" s="78"/>
      <c r="H209" s="78"/>
      <c r="I209" s="79"/>
      <c r="J209" s="77"/>
      <c r="K209" s="79"/>
      <c r="L209" s="77"/>
      <c r="M209" s="79"/>
      <c r="N209" s="77"/>
      <c r="O209" s="79"/>
      <c r="P209" s="92"/>
      <c r="Q209" s="93"/>
    </row>
    <row r="210" spans="2:17" x14ac:dyDescent="0.25">
      <c r="B210" s="73"/>
      <c r="C210" s="74"/>
      <c r="D210" s="80"/>
      <c r="E210" s="81"/>
      <c r="F210" s="81"/>
      <c r="G210" s="81"/>
      <c r="H210" s="81"/>
      <c r="I210" s="82"/>
      <c r="J210" s="80"/>
      <c r="K210" s="82"/>
      <c r="L210" s="80"/>
      <c r="M210" s="82"/>
      <c r="N210" s="80"/>
      <c r="O210" s="82"/>
      <c r="P210" s="94"/>
      <c r="Q210" s="95"/>
    </row>
    <row r="211" spans="2:17" x14ac:dyDescent="0.25">
      <c r="B211" s="75"/>
      <c r="C211" s="76"/>
      <c r="D211" s="83"/>
      <c r="E211" s="84"/>
      <c r="F211" s="84"/>
      <c r="G211" s="84"/>
      <c r="H211" s="84"/>
      <c r="I211" s="85"/>
      <c r="J211" s="83"/>
      <c r="K211" s="85"/>
      <c r="L211" s="83"/>
      <c r="M211" s="85"/>
      <c r="N211" s="83"/>
      <c r="O211" s="85"/>
      <c r="P211" s="96"/>
      <c r="Q211" s="97"/>
    </row>
    <row r="212" spans="2:17" x14ac:dyDescent="0.25">
      <c r="B212" s="71"/>
      <c r="C212" s="72"/>
      <c r="D212" s="77"/>
      <c r="E212" s="78"/>
      <c r="F212" s="78"/>
      <c r="G212" s="78"/>
      <c r="H212" s="78"/>
      <c r="I212" s="79"/>
      <c r="J212" s="77"/>
      <c r="K212" s="79"/>
      <c r="L212" s="77"/>
      <c r="M212" s="79"/>
      <c r="N212" s="77"/>
      <c r="O212" s="79"/>
      <c r="P212" s="92"/>
      <c r="Q212" s="93"/>
    </row>
    <row r="213" spans="2:17" x14ac:dyDescent="0.25">
      <c r="B213" s="73"/>
      <c r="C213" s="74"/>
      <c r="D213" s="80"/>
      <c r="E213" s="81"/>
      <c r="F213" s="81"/>
      <c r="G213" s="81"/>
      <c r="H213" s="81"/>
      <c r="I213" s="82"/>
      <c r="J213" s="80"/>
      <c r="K213" s="82"/>
      <c r="L213" s="80"/>
      <c r="M213" s="82"/>
      <c r="N213" s="80"/>
      <c r="O213" s="82"/>
      <c r="P213" s="94"/>
      <c r="Q213" s="95"/>
    </row>
    <row r="214" spans="2:17" x14ac:dyDescent="0.25">
      <c r="B214" s="75"/>
      <c r="C214" s="76"/>
      <c r="D214" s="83"/>
      <c r="E214" s="84"/>
      <c r="F214" s="84"/>
      <c r="G214" s="84"/>
      <c r="H214" s="84"/>
      <c r="I214" s="85"/>
      <c r="J214" s="83"/>
      <c r="K214" s="85"/>
      <c r="L214" s="83"/>
      <c r="M214" s="85"/>
      <c r="N214" s="83"/>
      <c r="O214" s="85"/>
      <c r="P214" s="96"/>
      <c r="Q214" s="97"/>
    </row>
    <row r="215" spans="2:17" x14ac:dyDescent="0.25">
      <c r="B215" s="71"/>
      <c r="C215" s="72"/>
      <c r="D215" s="77"/>
      <c r="E215" s="78"/>
      <c r="F215" s="78"/>
      <c r="G215" s="78"/>
      <c r="H215" s="78"/>
      <c r="I215" s="79"/>
      <c r="J215" s="77"/>
      <c r="K215" s="79"/>
      <c r="L215" s="77"/>
      <c r="M215" s="79"/>
      <c r="N215" s="77"/>
      <c r="O215" s="79"/>
      <c r="P215" s="92"/>
      <c r="Q215" s="93"/>
    </row>
    <row r="216" spans="2:17" x14ac:dyDescent="0.25">
      <c r="B216" s="73"/>
      <c r="C216" s="74"/>
      <c r="D216" s="80"/>
      <c r="E216" s="81"/>
      <c r="F216" s="81"/>
      <c r="G216" s="81"/>
      <c r="H216" s="81"/>
      <c r="I216" s="82"/>
      <c r="J216" s="80"/>
      <c r="K216" s="82"/>
      <c r="L216" s="80"/>
      <c r="M216" s="82"/>
      <c r="N216" s="80"/>
      <c r="O216" s="82"/>
      <c r="P216" s="94"/>
      <c r="Q216" s="95"/>
    </row>
    <row r="217" spans="2:17" x14ac:dyDescent="0.25">
      <c r="B217" s="75"/>
      <c r="C217" s="76"/>
      <c r="D217" s="83"/>
      <c r="E217" s="84"/>
      <c r="F217" s="84"/>
      <c r="G217" s="84"/>
      <c r="H217" s="84"/>
      <c r="I217" s="85"/>
      <c r="J217" s="83"/>
      <c r="K217" s="85"/>
      <c r="L217" s="83"/>
      <c r="M217" s="85"/>
      <c r="N217" s="83"/>
      <c r="O217" s="85"/>
      <c r="P217" s="96"/>
      <c r="Q217" s="97"/>
    </row>
    <row r="218" spans="2:17" x14ac:dyDescent="0.25">
      <c r="B218" s="71"/>
      <c r="C218" s="72"/>
      <c r="D218" s="77"/>
      <c r="E218" s="78"/>
      <c r="F218" s="78"/>
      <c r="G218" s="78"/>
      <c r="H218" s="78"/>
      <c r="I218" s="79"/>
      <c r="J218" s="77"/>
      <c r="K218" s="79"/>
      <c r="L218" s="77"/>
      <c r="M218" s="79"/>
      <c r="N218" s="77"/>
      <c r="O218" s="79"/>
      <c r="P218" s="92"/>
      <c r="Q218" s="93"/>
    </row>
    <row r="219" spans="2:17" x14ac:dyDescent="0.25">
      <c r="B219" s="73"/>
      <c r="C219" s="74"/>
      <c r="D219" s="80"/>
      <c r="E219" s="81"/>
      <c r="F219" s="81"/>
      <c r="G219" s="81"/>
      <c r="H219" s="81"/>
      <c r="I219" s="82"/>
      <c r="J219" s="80"/>
      <c r="K219" s="82"/>
      <c r="L219" s="80"/>
      <c r="M219" s="82"/>
      <c r="N219" s="80"/>
      <c r="O219" s="82"/>
      <c r="P219" s="94"/>
      <c r="Q219" s="95"/>
    </row>
    <row r="220" spans="2:17" x14ac:dyDescent="0.25">
      <c r="B220" s="75"/>
      <c r="C220" s="76"/>
      <c r="D220" s="83"/>
      <c r="E220" s="84"/>
      <c r="F220" s="84"/>
      <c r="G220" s="84"/>
      <c r="H220" s="84"/>
      <c r="I220" s="85"/>
      <c r="J220" s="83"/>
      <c r="K220" s="85"/>
      <c r="L220" s="83"/>
      <c r="M220" s="85"/>
      <c r="N220" s="83"/>
      <c r="O220" s="85"/>
      <c r="P220" s="96"/>
      <c r="Q220" s="97"/>
    </row>
    <row r="221" spans="2:17" x14ac:dyDescent="0.25">
      <c r="B221" s="71"/>
      <c r="C221" s="72"/>
      <c r="D221" s="77"/>
      <c r="E221" s="78"/>
      <c r="F221" s="78"/>
      <c r="G221" s="78"/>
      <c r="H221" s="78"/>
      <c r="I221" s="79"/>
      <c r="J221" s="77"/>
      <c r="K221" s="79"/>
      <c r="L221" s="77"/>
      <c r="M221" s="79"/>
      <c r="N221" s="77"/>
      <c r="O221" s="79"/>
      <c r="P221" s="92"/>
      <c r="Q221" s="93"/>
    </row>
    <row r="222" spans="2:17" x14ac:dyDescent="0.25">
      <c r="B222" s="73"/>
      <c r="C222" s="74"/>
      <c r="D222" s="80"/>
      <c r="E222" s="81"/>
      <c r="F222" s="81"/>
      <c r="G222" s="81"/>
      <c r="H222" s="81"/>
      <c r="I222" s="82"/>
      <c r="J222" s="80"/>
      <c r="K222" s="82"/>
      <c r="L222" s="80"/>
      <c r="M222" s="82"/>
      <c r="N222" s="80"/>
      <c r="O222" s="82"/>
      <c r="P222" s="94"/>
      <c r="Q222" s="95"/>
    </row>
    <row r="223" spans="2:17" x14ac:dyDescent="0.25">
      <c r="B223" s="75"/>
      <c r="C223" s="76"/>
      <c r="D223" s="83"/>
      <c r="E223" s="84"/>
      <c r="F223" s="84"/>
      <c r="G223" s="84"/>
      <c r="H223" s="84"/>
      <c r="I223" s="85"/>
      <c r="J223" s="83"/>
      <c r="K223" s="85"/>
      <c r="L223" s="83"/>
      <c r="M223" s="85"/>
      <c r="N223" s="83"/>
      <c r="O223" s="85"/>
      <c r="P223" s="96"/>
      <c r="Q223" s="97"/>
    </row>
    <row r="224" spans="2:17" x14ac:dyDescent="0.25">
      <c r="B224" s="71"/>
      <c r="C224" s="72"/>
      <c r="D224" s="77"/>
      <c r="E224" s="78"/>
      <c r="F224" s="78"/>
      <c r="G224" s="78"/>
      <c r="H224" s="78"/>
      <c r="I224" s="79"/>
      <c r="J224" s="77"/>
      <c r="K224" s="79"/>
      <c r="L224" s="77"/>
      <c r="M224" s="79"/>
      <c r="N224" s="77"/>
      <c r="O224" s="79"/>
      <c r="P224" s="92"/>
      <c r="Q224" s="93"/>
    </row>
    <row r="225" spans="2:17" x14ac:dyDescent="0.25">
      <c r="B225" s="73"/>
      <c r="C225" s="74"/>
      <c r="D225" s="80"/>
      <c r="E225" s="81"/>
      <c r="F225" s="81"/>
      <c r="G225" s="81"/>
      <c r="H225" s="81"/>
      <c r="I225" s="82"/>
      <c r="J225" s="80"/>
      <c r="K225" s="82"/>
      <c r="L225" s="80"/>
      <c r="M225" s="82"/>
      <c r="N225" s="80"/>
      <c r="O225" s="82"/>
      <c r="P225" s="94"/>
      <c r="Q225" s="95"/>
    </row>
    <row r="226" spans="2:17" x14ac:dyDescent="0.25">
      <c r="B226" s="75"/>
      <c r="C226" s="76"/>
      <c r="D226" s="83"/>
      <c r="E226" s="84"/>
      <c r="F226" s="84"/>
      <c r="G226" s="84"/>
      <c r="H226" s="84"/>
      <c r="I226" s="85"/>
      <c r="J226" s="83"/>
      <c r="K226" s="85"/>
      <c r="L226" s="83"/>
      <c r="M226" s="85"/>
      <c r="N226" s="83"/>
      <c r="O226" s="85"/>
      <c r="P226" s="96"/>
      <c r="Q226" s="97"/>
    </row>
    <row r="227" spans="2:17" x14ac:dyDescent="0.25">
      <c r="B227" s="71"/>
      <c r="C227" s="72"/>
      <c r="D227" s="77"/>
      <c r="E227" s="78"/>
      <c r="F227" s="78"/>
      <c r="G227" s="78"/>
      <c r="H227" s="78"/>
      <c r="I227" s="79"/>
      <c r="J227" s="77"/>
      <c r="K227" s="79"/>
      <c r="L227" s="77"/>
      <c r="M227" s="79"/>
      <c r="N227" s="77"/>
      <c r="O227" s="79"/>
      <c r="P227" s="92"/>
      <c r="Q227" s="93"/>
    </row>
    <row r="228" spans="2:17" x14ac:dyDescent="0.25">
      <c r="B228" s="73"/>
      <c r="C228" s="74"/>
      <c r="D228" s="80"/>
      <c r="E228" s="81"/>
      <c r="F228" s="81"/>
      <c r="G228" s="81"/>
      <c r="H228" s="81"/>
      <c r="I228" s="82"/>
      <c r="J228" s="80"/>
      <c r="K228" s="82"/>
      <c r="L228" s="80"/>
      <c r="M228" s="82"/>
      <c r="N228" s="80"/>
      <c r="O228" s="82"/>
      <c r="P228" s="94"/>
      <c r="Q228" s="95"/>
    </row>
    <row r="229" spans="2:17" x14ac:dyDescent="0.25">
      <c r="B229" s="75"/>
      <c r="C229" s="76"/>
      <c r="D229" s="83"/>
      <c r="E229" s="84"/>
      <c r="F229" s="84"/>
      <c r="G229" s="84"/>
      <c r="H229" s="84"/>
      <c r="I229" s="85"/>
      <c r="J229" s="83"/>
      <c r="K229" s="85"/>
      <c r="L229" s="83"/>
      <c r="M229" s="85"/>
      <c r="N229" s="83"/>
      <c r="O229" s="85"/>
      <c r="P229" s="96"/>
      <c r="Q229" s="97"/>
    </row>
    <row r="230" spans="2:17" x14ac:dyDescent="0.25">
      <c r="B230" s="71"/>
      <c r="C230" s="72"/>
      <c r="D230" s="77"/>
      <c r="E230" s="78"/>
      <c r="F230" s="78"/>
      <c r="G230" s="78"/>
      <c r="H230" s="78"/>
      <c r="I230" s="79"/>
      <c r="J230" s="77"/>
      <c r="K230" s="79"/>
      <c r="L230" s="77"/>
      <c r="M230" s="79"/>
      <c r="N230" s="77"/>
      <c r="O230" s="79"/>
      <c r="P230" s="92"/>
      <c r="Q230" s="93"/>
    </row>
    <row r="231" spans="2:17" x14ac:dyDescent="0.25">
      <c r="B231" s="73"/>
      <c r="C231" s="74"/>
      <c r="D231" s="80"/>
      <c r="E231" s="81"/>
      <c r="F231" s="81"/>
      <c r="G231" s="81"/>
      <c r="H231" s="81"/>
      <c r="I231" s="82"/>
      <c r="J231" s="80"/>
      <c r="K231" s="82"/>
      <c r="L231" s="80"/>
      <c r="M231" s="82"/>
      <c r="N231" s="80"/>
      <c r="O231" s="82"/>
      <c r="P231" s="94"/>
      <c r="Q231" s="95"/>
    </row>
    <row r="232" spans="2:17" x14ac:dyDescent="0.25">
      <c r="B232" s="75"/>
      <c r="C232" s="76"/>
      <c r="D232" s="83"/>
      <c r="E232" s="84"/>
      <c r="F232" s="84"/>
      <c r="G232" s="84"/>
      <c r="H232" s="84"/>
      <c r="I232" s="85"/>
      <c r="J232" s="83"/>
      <c r="K232" s="85"/>
      <c r="L232" s="83"/>
      <c r="M232" s="85"/>
      <c r="N232" s="83"/>
      <c r="O232" s="85"/>
      <c r="P232" s="96"/>
      <c r="Q232" s="97"/>
    </row>
    <row r="233" spans="2:17" x14ac:dyDescent="0.25">
      <c r="B233" s="71"/>
      <c r="C233" s="72"/>
      <c r="D233" s="77"/>
      <c r="E233" s="78"/>
      <c r="F233" s="78"/>
      <c r="G233" s="78"/>
      <c r="H233" s="78"/>
      <c r="I233" s="79"/>
      <c r="J233" s="77"/>
      <c r="K233" s="79"/>
      <c r="L233" s="77"/>
      <c r="M233" s="79"/>
      <c r="N233" s="77"/>
      <c r="O233" s="79"/>
      <c r="P233" s="92"/>
      <c r="Q233" s="93"/>
    </row>
    <row r="234" spans="2:17" x14ac:dyDescent="0.25">
      <c r="B234" s="73"/>
      <c r="C234" s="74"/>
      <c r="D234" s="80"/>
      <c r="E234" s="81"/>
      <c r="F234" s="81"/>
      <c r="G234" s="81"/>
      <c r="H234" s="81"/>
      <c r="I234" s="82"/>
      <c r="J234" s="80"/>
      <c r="K234" s="82"/>
      <c r="L234" s="80"/>
      <c r="M234" s="82"/>
      <c r="N234" s="80"/>
      <c r="O234" s="82"/>
      <c r="P234" s="94"/>
      <c r="Q234" s="95"/>
    </row>
    <row r="235" spans="2:17" x14ac:dyDescent="0.25">
      <c r="B235" s="75"/>
      <c r="C235" s="76"/>
      <c r="D235" s="83"/>
      <c r="E235" s="84"/>
      <c r="F235" s="84"/>
      <c r="G235" s="84"/>
      <c r="H235" s="84"/>
      <c r="I235" s="85"/>
      <c r="J235" s="83"/>
      <c r="K235" s="85"/>
      <c r="L235" s="83"/>
      <c r="M235" s="85"/>
      <c r="N235" s="83"/>
      <c r="O235" s="85"/>
      <c r="P235" s="96"/>
      <c r="Q235" s="97"/>
    </row>
    <row r="236" spans="2:17" x14ac:dyDescent="0.25">
      <c r="B236" s="71"/>
      <c r="C236" s="72"/>
      <c r="D236" s="77"/>
      <c r="E236" s="78"/>
      <c r="F236" s="78"/>
      <c r="G236" s="78"/>
      <c r="H236" s="78"/>
      <c r="I236" s="79"/>
      <c r="J236" s="77"/>
      <c r="K236" s="79"/>
      <c r="L236" s="77"/>
      <c r="M236" s="79"/>
      <c r="N236" s="77"/>
      <c r="O236" s="79"/>
      <c r="P236" s="92"/>
      <c r="Q236" s="93"/>
    </row>
    <row r="237" spans="2:17" x14ac:dyDescent="0.25">
      <c r="B237" s="73"/>
      <c r="C237" s="74"/>
      <c r="D237" s="80"/>
      <c r="E237" s="81"/>
      <c r="F237" s="81"/>
      <c r="G237" s="81"/>
      <c r="H237" s="81"/>
      <c r="I237" s="82"/>
      <c r="J237" s="80"/>
      <c r="K237" s="82"/>
      <c r="L237" s="80"/>
      <c r="M237" s="82"/>
      <c r="N237" s="80"/>
      <c r="O237" s="82"/>
      <c r="P237" s="94"/>
      <c r="Q237" s="95"/>
    </row>
    <row r="238" spans="2:17" x14ac:dyDescent="0.25">
      <c r="B238" s="75"/>
      <c r="C238" s="76"/>
      <c r="D238" s="83"/>
      <c r="E238" s="84"/>
      <c r="F238" s="84"/>
      <c r="G238" s="84"/>
      <c r="H238" s="84"/>
      <c r="I238" s="85"/>
      <c r="J238" s="83"/>
      <c r="K238" s="85"/>
      <c r="L238" s="83"/>
      <c r="M238" s="85"/>
      <c r="N238" s="83"/>
      <c r="O238" s="85"/>
      <c r="P238" s="96"/>
      <c r="Q238" s="97"/>
    </row>
    <row r="239" spans="2:17" x14ac:dyDescent="0.25">
      <c r="B239" s="71"/>
      <c r="C239" s="72"/>
      <c r="D239" s="77"/>
      <c r="E239" s="78"/>
      <c r="F239" s="78"/>
      <c r="G239" s="78"/>
      <c r="H239" s="78"/>
      <c r="I239" s="79"/>
      <c r="J239" s="77"/>
      <c r="K239" s="79"/>
      <c r="L239" s="77"/>
      <c r="M239" s="79"/>
      <c r="N239" s="77"/>
      <c r="O239" s="79"/>
      <c r="P239" s="92"/>
      <c r="Q239" s="93"/>
    </row>
    <row r="240" spans="2:17" x14ac:dyDescent="0.25">
      <c r="B240" s="73"/>
      <c r="C240" s="74"/>
      <c r="D240" s="80"/>
      <c r="E240" s="81"/>
      <c r="F240" s="81"/>
      <c r="G240" s="81"/>
      <c r="H240" s="81"/>
      <c r="I240" s="82"/>
      <c r="J240" s="80"/>
      <c r="K240" s="82"/>
      <c r="L240" s="80"/>
      <c r="M240" s="82"/>
      <c r="N240" s="80"/>
      <c r="O240" s="82"/>
      <c r="P240" s="94"/>
      <c r="Q240" s="95"/>
    </row>
    <row r="241" spans="2:17" x14ac:dyDescent="0.25">
      <c r="B241" s="75"/>
      <c r="C241" s="76"/>
      <c r="D241" s="83"/>
      <c r="E241" s="84"/>
      <c r="F241" s="84"/>
      <c r="G241" s="84"/>
      <c r="H241" s="84"/>
      <c r="I241" s="85"/>
      <c r="J241" s="83"/>
      <c r="K241" s="85"/>
      <c r="L241" s="83"/>
      <c r="M241" s="85"/>
      <c r="N241" s="83"/>
      <c r="O241" s="85"/>
      <c r="P241" s="96"/>
      <c r="Q241" s="97"/>
    </row>
    <row r="242" spans="2:17" x14ac:dyDescent="0.25">
      <c r="B242" s="71"/>
      <c r="C242" s="72"/>
      <c r="D242" s="77"/>
      <c r="E242" s="78"/>
      <c r="F242" s="78"/>
      <c r="G242" s="78"/>
      <c r="H242" s="78"/>
      <c r="I242" s="79"/>
      <c r="J242" s="77"/>
      <c r="K242" s="79"/>
      <c r="L242" s="77"/>
      <c r="M242" s="79"/>
      <c r="N242" s="77"/>
      <c r="O242" s="79"/>
      <c r="P242" s="92"/>
      <c r="Q242" s="93"/>
    </row>
    <row r="243" spans="2:17" x14ac:dyDescent="0.25">
      <c r="B243" s="73"/>
      <c r="C243" s="74"/>
      <c r="D243" s="80"/>
      <c r="E243" s="81"/>
      <c r="F243" s="81"/>
      <c r="G243" s="81"/>
      <c r="H243" s="81"/>
      <c r="I243" s="82"/>
      <c r="J243" s="80"/>
      <c r="K243" s="82"/>
      <c r="L243" s="80"/>
      <c r="M243" s="82"/>
      <c r="N243" s="80"/>
      <c r="O243" s="82"/>
      <c r="P243" s="94"/>
      <c r="Q243" s="95"/>
    </row>
    <row r="244" spans="2:17" x14ac:dyDescent="0.25">
      <c r="B244" s="75"/>
      <c r="C244" s="76"/>
      <c r="D244" s="83"/>
      <c r="E244" s="84"/>
      <c r="F244" s="84"/>
      <c r="G244" s="84"/>
      <c r="H244" s="84"/>
      <c r="I244" s="85"/>
      <c r="J244" s="83"/>
      <c r="K244" s="85"/>
      <c r="L244" s="83"/>
      <c r="M244" s="85"/>
      <c r="N244" s="83"/>
      <c r="O244" s="85"/>
      <c r="P244" s="96"/>
      <c r="Q244" s="97"/>
    </row>
    <row r="245" spans="2:17" x14ac:dyDescent="0.25">
      <c r="B245" s="71"/>
      <c r="C245" s="72"/>
      <c r="D245" s="77"/>
      <c r="E245" s="78"/>
      <c r="F245" s="78"/>
      <c r="G245" s="78"/>
      <c r="H245" s="78"/>
      <c r="I245" s="79"/>
      <c r="J245" s="77"/>
      <c r="K245" s="79"/>
      <c r="L245" s="77"/>
      <c r="M245" s="79"/>
      <c r="N245" s="77"/>
      <c r="O245" s="79"/>
      <c r="P245" s="92"/>
      <c r="Q245" s="93"/>
    </row>
    <row r="246" spans="2:17" x14ac:dyDescent="0.25">
      <c r="B246" s="73"/>
      <c r="C246" s="74"/>
      <c r="D246" s="80"/>
      <c r="E246" s="81"/>
      <c r="F246" s="81"/>
      <c r="G246" s="81"/>
      <c r="H246" s="81"/>
      <c r="I246" s="82"/>
      <c r="J246" s="80"/>
      <c r="K246" s="82"/>
      <c r="L246" s="80"/>
      <c r="M246" s="82"/>
      <c r="N246" s="80"/>
      <c r="O246" s="82"/>
      <c r="P246" s="94"/>
      <c r="Q246" s="95"/>
    </row>
    <row r="247" spans="2:17" x14ac:dyDescent="0.25">
      <c r="B247" s="75"/>
      <c r="C247" s="76"/>
      <c r="D247" s="83"/>
      <c r="E247" s="84"/>
      <c r="F247" s="84"/>
      <c r="G247" s="84"/>
      <c r="H247" s="84"/>
      <c r="I247" s="85"/>
      <c r="J247" s="83"/>
      <c r="K247" s="85"/>
      <c r="L247" s="83"/>
      <c r="M247" s="85"/>
      <c r="N247" s="83"/>
      <c r="O247" s="85"/>
      <c r="P247" s="96"/>
      <c r="Q247" s="97"/>
    </row>
    <row r="248" spans="2:17" x14ac:dyDescent="0.25">
      <c r="B248" s="71"/>
      <c r="C248" s="72"/>
      <c r="D248" s="77"/>
      <c r="E248" s="78"/>
      <c r="F248" s="78"/>
      <c r="G248" s="78"/>
      <c r="H248" s="78"/>
      <c r="I248" s="79"/>
      <c r="J248" s="77"/>
      <c r="K248" s="79"/>
      <c r="L248" s="77"/>
      <c r="M248" s="79"/>
      <c r="N248" s="77"/>
      <c r="O248" s="79"/>
      <c r="P248" s="92"/>
      <c r="Q248" s="93"/>
    </row>
    <row r="249" spans="2:17" x14ac:dyDescent="0.25">
      <c r="B249" s="73"/>
      <c r="C249" s="74"/>
      <c r="D249" s="80"/>
      <c r="E249" s="81"/>
      <c r="F249" s="81"/>
      <c r="G249" s="81"/>
      <c r="H249" s="81"/>
      <c r="I249" s="82"/>
      <c r="J249" s="80"/>
      <c r="K249" s="82"/>
      <c r="L249" s="80"/>
      <c r="M249" s="82"/>
      <c r="N249" s="80"/>
      <c r="O249" s="82"/>
      <c r="P249" s="94"/>
      <c r="Q249" s="95"/>
    </row>
    <row r="250" spans="2:17" x14ac:dyDescent="0.25">
      <c r="B250" s="75"/>
      <c r="C250" s="76"/>
      <c r="D250" s="83"/>
      <c r="E250" s="84"/>
      <c r="F250" s="84"/>
      <c r="G250" s="84"/>
      <c r="H250" s="84"/>
      <c r="I250" s="85"/>
      <c r="J250" s="83"/>
      <c r="K250" s="85"/>
      <c r="L250" s="83"/>
      <c r="M250" s="85"/>
      <c r="N250" s="83"/>
      <c r="O250" s="85"/>
      <c r="P250" s="96"/>
      <c r="Q250" s="97"/>
    </row>
    <row r="251" spans="2:17" x14ac:dyDescent="0.25">
      <c r="B251" s="71"/>
      <c r="C251" s="72"/>
      <c r="D251" s="77"/>
      <c r="E251" s="78"/>
      <c r="F251" s="78"/>
      <c r="G251" s="78"/>
      <c r="H251" s="78"/>
      <c r="I251" s="79"/>
      <c r="J251" s="77"/>
      <c r="K251" s="79"/>
      <c r="L251" s="77"/>
      <c r="M251" s="79"/>
      <c r="N251" s="77"/>
      <c r="O251" s="79"/>
      <c r="P251" s="92"/>
      <c r="Q251" s="93"/>
    </row>
    <row r="252" spans="2:17" x14ac:dyDescent="0.25">
      <c r="B252" s="73"/>
      <c r="C252" s="74"/>
      <c r="D252" s="80"/>
      <c r="E252" s="81"/>
      <c r="F252" s="81"/>
      <c r="G252" s="81"/>
      <c r="H252" s="81"/>
      <c r="I252" s="82"/>
      <c r="J252" s="80"/>
      <c r="K252" s="82"/>
      <c r="L252" s="80"/>
      <c r="M252" s="82"/>
      <c r="N252" s="80"/>
      <c r="O252" s="82"/>
      <c r="P252" s="94"/>
      <c r="Q252" s="95"/>
    </row>
    <row r="253" spans="2:17" x14ac:dyDescent="0.25">
      <c r="B253" s="75"/>
      <c r="C253" s="76"/>
      <c r="D253" s="83"/>
      <c r="E253" s="84"/>
      <c r="F253" s="84"/>
      <c r="G253" s="84"/>
      <c r="H253" s="84"/>
      <c r="I253" s="85"/>
      <c r="J253" s="83"/>
      <c r="K253" s="85"/>
      <c r="L253" s="83"/>
      <c r="M253" s="85"/>
      <c r="N253" s="83"/>
      <c r="O253" s="85"/>
      <c r="P253" s="96"/>
      <c r="Q253" s="97"/>
    </row>
    <row r="254" spans="2:17" x14ac:dyDescent="0.25">
      <c r="B254" s="71"/>
      <c r="C254" s="72"/>
      <c r="D254" s="77"/>
      <c r="E254" s="78"/>
      <c r="F254" s="78"/>
      <c r="G254" s="78"/>
      <c r="H254" s="78"/>
      <c r="I254" s="79"/>
      <c r="J254" s="77"/>
      <c r="K254" s="79"/>
      <c r="L254" s="77"/>
      <c r="M254" s="79"/>
      <c r="N254" s="77"/>
      <c r="O254" s="79"/>
      <c r="P254" s="92"/>
      <c r="Q254" s="93"/>
    </row>
    <row r="255" spans="2:17" x14ac:dyDescent="0.25">
      <c r="B255" s="73"/>
      <c r="C255" s="74"/>
      <c r="D255" s="80"/>
      <c r="E255" s="81"/>
      <c r="F255" s="81"/>
      <c r="G255" s="81"/>
      <c r="H255" s="81"/>
      <c r="I255" s="82"/>
      <c r="J255" s="80"/>
      <c r="K255" s="82"/>
      <c r="L255" s="80"/>
      <c r="M255" s="82"/>
      <c r="N255" s="80"/>
      <c r="O255" s="82"/>
      <c r="P255" s="94"/>
      <c r="Q255" s="95"/>
    </row>
    <row r="256" spans="2:17" x14ac:dyDescent="0.25">
      <c r="B256" s="75"/>
      <c r="C256" s="76"/>
      <c r="D256" s="83"/>
      <c r="E256" s="84"/>
      <c r="F256" s="84"/>
      <c r="G256" s="84"/>
      <c r="H256" s="84"/>
      <c r="I256" s="85"/>
      <c r="J256" s="83"/>
      <c r="K256" s="85"/>
      <c r="L256" s="83"/>
      <c r="M256" s="85"/>
      <c r="N256" s="83"/>
      <c r="O256" s="85"/>
      <c r="P256" s="96"/>
      <c r="Q256" s="97"/>
    </row>
    <row r="257" spans="2:17" x14ac:dyDescent="0.25">
      <c r="B257" s="71"/>
      <c r="C257" s="72"/>
      <c r="D257" s="77"/>
      <c r="E257" s="78"/>
      <c r="F257" s="78"/>
      <c r="G257" s="78"/>
      <c r="H257" s="78"/>
      <c r="I257" s="79"/>
      <c r="J257" s="77"/>
      <c r="K257" s="79"/>
      <c r="L257" s="77"/>
      <c r="M257" s="79"/>
      <c r="N257" s="77"/>
      <c r="O257" s="79"/>
      <c r="P257" s="92"/>
      <c r="Q257" s="93"/>
    </row>
    <row r="258" spans="2:17" x14ac:dyDescent="0.25">
      <c r="B258" s="73"/>
      <c r="C258" s="74"/>
      <c r="D258" s="80"/>
      <c r="E258" s="81"/>
      <c r="F258" s="81"/>
      <c r="G258" s="81"/>
      <c r="H258" s="81"/>
      <c r="I258" s="82"/>
      <c r="J258" s="80"/>
      <c r="K258" s="82"/>
      <c r="L258" s="80"/>
      <c r="M258" s="82"/>
      <c r="N258" s="80"/>
      <c r="O258" s="82"/>
      <c r="P258" s="94"/>
      <c r="Q258" s="95"/>
    </row>
    <row r="259" spans="2:17" x14ac:dyDescent="0.25">
      <c r="B259" s="75"/>
      <c r="C259" s="76"/>
      <c r="D259" s="83"/>
      <c r="E259" s="84"/>
      <c r="F259" s="84"/>
      <c r="G259" s="84"/>
      <c r="H259" s="84"/>
      <c r="I259" s="85"/>
      <c r="J259" s="83"/>
      <c r="K259" s="85"/>
      <c r="L259" s="83"/>
      <c r="M259" s="85"/>
      <c r="N259" s="83"/>
      <c r="O259" s="85"/>
      <c r="P259" s="96"/>
      <c r="Q259" s="97"/>
    </row>
    <row r="260" spans="2:17" x14ac:dyDescent="0.25">
      <c r="B260" s="71"/>
      <c r="C260" s="72"/>
      <c r="D260" s="77"/>
      <c r="E260" s="78"/>
      <c r="F260" s="78"/>
      <c r="G260" s="78"/>
      <c r="H260" s="78"/>
      <c r="I260" s="79"/>
      <c r="J260" s="77"/>
      <c r="K260" s="79"/>
      <c r="L260" s="77"/>
      <c r="M260" s="79"/>
      <c r="N260" s="77"/>
      <c r="O260" s="79"/>
      <c r="P260" s="92"/>
      <c r="Q260" s="93"/>
    </row>
    <row r="261" spans="2:17" x14ac:dyDescent="0.25">
      <c r="B261" s="73"/>
      <c r="C261" s="74"/>
      <c r="D261" s="80"/>
      <c r="E261" s="81"/>
      <c r="F261" s="81"/>
      <c r="G261" s="81"/>
      <c r="H261" s="81"/>
      <c r="I261" s="82"/>
      <c r="J261" s="80"/>
      <c r="K261" s="82"/>
      <c r="L261" s="80"/>
      <c r="M261" s="82"/>
      <c r="N261" s="80"/>
      <c r="O261" s="82"/>
      <c r="P261" s="94"/>
      <c r="Q261" s="95"/>
    </row>
    <row r="262" spans="2:17" x14ac:dyDescent="0.25">
      <c r="B262" s="75"/>
      <c r="C262" s="76"/>
      <c r="D262" s="83"/>
      <c r="E262" s="84"/>
      <c r="F262" s="84"/>
      <c r="G262" s="84"/>
      <c r="H262" s="84"/>
      <c r="I262" s="85"/>
      <c r="J262" s="83"/>
      <c r="K262" s="85"/>
      <c r="L262" s="83"/>
      <c r="M262" s="85"/>
      <c r="N262" s="83"/>
      <c r="O262" s="85"/>
      <c r="P262" s="96"/>
      <c r="Q262" s="97"/>
    </row>
    <row r="263" spans="2:17" x14ac:dyDescent="0.25">
      <c r="B263" s="71"/>
      <c r="C263" s="72"/>
      <c r="D263" s="77"/>
      <c r="E263" s="78"/>
      <c r="F263" s="78"/>
      <c r="G263" s="78"/>
      <c r="H263" s="78"/>
      <c r="I263" s="79"/>
      <c r="J263" s="77"/>
      <c r="K263" s="79"/>
      <c r="L263" s="77"/>
      <c r="M263" s="79"/>
      <c r="N263" s="77"/>
      <c r="O263" s="79"/>
      <c r="P263" s="92"/>
      <c r="Q263" s="93"/>
    </row>
    <row r="264" spans="2:17" x14ac:dyDescent="0.25">
      <c r="B264" s="73"/>
      <c r="C264" s="74"/>
      <c r="D264" s="80"/>
      <c r="E264" s="81"/>
      <c r="F264" s="81"/>
      <c r="G264" s="81"/>
      <c r="H264" s="81"/>
      <c r="I264" s="82"/>
      <c r="J264" s="80"/>
      <c r="K264" s="82"/>
      <c r="L264" s="80"/>
      <c r="M264" s="82"/>
      <c r="N264" s="80"/>
      <c r="O264" s="82"/>
      <c r="P264" s="94"/>
      <c r="Q264" s="95"/>
    </row>
    <row r="265" spans="2:17" x14ac:dyDescent="0.25">
      <c r="B265" s="75"/>
      <c r="C265" s="76"/>
      <c r="D265" s="83"/>
      <c r="E265" s="84"/>
      <c r="F265" s="84"/>
      <c r="G265" s="84"/>
      <c r="H265" s="84"/>
      <c r="I265" s="85"/>
      <c r="J265" s="83"/>
      <c r="K265" s="85"/>
      <c r="L265" s="83"/>
      <c r="M265" s="85"/>
      <c r="N265" s="83"/>
      <c r="O265" s="85"/>
      <c r="P265" s="96"/>
      <c r="Q265" s="97"/>
    </row>
    <row r="266" spans="2:17" x14ac:dyDescent="0.25">
      <c r="B266" s="71"/>
      <c r="C266" s="72"/>
      <c r="D266" s="77"/>
      <c r="E266" s="78"/>
      <c r="F266" s="78"/>
      <c r="G266" s="78"/>
      <c r="H266" s="78"/>
      <c r="I266" s="79"/>
      <c r="J266" s="77"/>
      <c r="K266" s="79"/>
      <c r="L266" s="77"/>
      <c r="M266" s="79"/>
      <c r="N266" s="77"/>
      <c r="O266" s="79"/>
      <c r="P266" s="92"/>
      <c r="Q266" s="93"/>
    </row>
    <row r="267" spans="2:17" x14ac:dyDescent="0.25">
      <c r="B267" s="73"/>
      <c r="C267" s="74"/>
      <c r="D267" s="80"/>
      <c r="E267" s="81"/>
      <c r="F267" s="81"/>
      <c r="G267" s="81"/>
      <c r="H267" s="81"/>
      <c r="I267" s="82"/>
      <c r="J267" s="80"/>
      <c r="K267" s="82"/>
      <c r="L267" s="80"/>
      <c r="M267" s="82"/>
      <c r="N267" s="80"/>
      <c r="O267" s="82"/>
      <c r="P267" s="94"/>
      <c r="Q267" s="95"/>
    </row>
    <row r="268" spans="2:17" x14ac:dyDescent="0.25">
      <c r="B268" s="75"/>
      <c r="C268" s="76"/>
      <c r="D268" s="83"/>
      <c r="E268" s="84"/>
      <c r="F268" s="84"/>
      <c r="G268" s="84"/>
      <c r="H268" s="84"/>
      <c r="I268" s="85"/>
      <c r="J268" s="83"/>
      <c r="K268" s="85"/>
      <c r="L268" s="83"/>
      <c r="M268" s="85"/>
      <c r="N268" s="83"/>
      <c r="O268" s="85"/>
      <c r="P268" s="96"/>
      <c r="Q268" s="97"/>
    </row>
    <row r="269" spans="2:17" x14ac:dyDescent="0.25">
      <c r="B269" s="71"/>
      <c r="C269" s="72"/>
      <c r="D269" s="77"/>
      <c r="E269" s="78"/>
      <c r="F269" s="78"/>
      <c r="G269" s="78"/>
      <c r="H269" s="78"/>
      <c r="I269" s="79"/>
      <c r="J269" s="77"/>
      <c r="K269" s="79"/>
      <c r="L269" s="77"/>
      <c r="M269" s="79"/>
      <c r="N269" s="77"/>
      <c r="O269" s="79"/>
      <c r="P269" s="92"/>
      <c r="Q269" s="93"/>
    </row>
    <row r="270" spans="2:17" x14ac:dyDescent="0.25">
      <c r="B270" s="73"/>
      <c r="C270" s="74"/>
      <c r="D270" s="80"/>
      <c r="E270" s="81"/>
      <c r="F270" s="81"/>
      <c r="G270" s="81"/>
      <c r="H270" s="81"/>
      <c r="I270" s="82"/>
      <c r="J270" s="80"/>
      <c r="K270" s="82"/>
      <c r="L270" s="80"/>
      <c r="M270" s="82"/>
      <c r="N270" s="80"/>
      <c r="O270" s="82"/>
      <c r="P270" s="94"/>
      <c r="Q270" s="95"/>
    </row>
    <row r="271" spans="2:17" x14ac:dyDescent="0.25">
      <c r="B271" s="75"/>
      <c r="C271" s="76"/>
      <c r="D271" s="83"/>
      <c r="E271" s="84"/>
      <c r="F271" s="84"/>
      <c r="G271" s="84"/>
      <c r="H271" s="84"/>
      <c r="I271" s="85"/>
      <c r="J271" s="83"/>
      <c r="K271" s="85"/>
      <c r="L271" s="83"/>
      <c r="M271" s="85"/>
      <c r="N271" s="83"/>
      <c r="O271" s="85"/>
      <c r="P271" s="96"/>
      <c r="Q271" s="97"/>
    </row>
    <row r="272" spans="2:17" x14ac:dyDescent="0.25">
      <c r="B272" s="71"/>
      <c r="C272" s="72"/>
      <c r="D272" s="77"/>
      <c r="E272" s="78"/>
      <c r="F272" s="78"/>
      <c r="G272" s="78"/>
      <c r="H272" s="78"/>
      <c r="I272" s="79"/>
      <c r="J272" s="77"/>
      <c r="K272" s="79"/>
      <c r="L272" s="77"/>
      <c r="M272" s="79"/>
      <c r="N272" s="77"/>
      <c r="O272" s="79"/>
      <c r="P272" s="92"/>
      <c r="Q272" s="93"/>
    </row>
    <row r="273" spans="2:17" x14ac:dyDescent="0.25">
      <c r="B273" s="73"/>
      <c r="C273" s="74"/>
      <c r="D273" s="80"/>
      <c r="E273" s="81"/>
      <c r="F273" s="81"/>
      <c r="G273" s="81"/>
      <c r="H273" s="81"/>
      <c r="I273" s="82"/>
      <c r="J273" s="80"/>
      <c r="K273" s="82"/>
      <c r="L273" s="80"/>
      <c r="M273" s="82"/>
      <c r="N273" s="80"/>
      <c r="O273" s="82"/>
      <c r="P273" s="94"/>
      <c r="Q273" s="95"/>
    </row>
    <row r="274" spans="2:17" x14ac:dyDescent="0.25">
      <c r="B274" s="75"/>
      <c r="C274" s="76"/>
      <c r="D274" s="83"/>
      <c r="E274" s="84"/>
      <c r="F274" s="84"/>
      <c r="G274" s="84"/>
      <c r="H274" s="84"/>
      <c r="I274" s="85"/>
      <c r="J274" s="83"/>
      <c r="K274" s="85"/>
      <c r="L274" s="83"/>
      <c r="M274" s="85"/>
      <c r="N274" s="83"/>
      <c r="O274" s="85"/>
      <c r="P274" s="96"/>
      <c r="Q274" s="97"/>
    </row>
    <row r="275" spans="2:17" x14ac:dyDescent="0.25">
      <c r="B275" s="71"/>
      <c r="C275" s="72"/>
      <c r="D275" s="77"/>
      <c r="E275" s="78"/>
      <c r="F275" s="78"/>
      <c r="G275" s="78"/>
      <c r="H275" s="78"/>
      <c r="I275" s="79"/>
      <c r="J275" s="77"/>
      <c r="K275" s="79"/>
      <c r="L275" s="77"/>
      <c r="M275" s="79"/>
      <c r="N275" s="77"/>
      <c r="O275" s="79"/>
      <c r="P275" s="92"/>
      <c r="Q275" s="93"/>
    </row>
    <row r="276" spans="2:17" x14ac:dyDescent="0.25">
      <c r="B276" s="73"/>
      <c r="C276" s="74"/>
      <c r="D276" s="80"/>
      <c r="E276" s="81"/>
      <c r="F276" s="81"/>
      <c r="G276" s="81"/>
      <c r="H276" s="81"/>
      <c r="I276" s="82"/>
      <c r="J276" s="80"/>
      <c r="K276" s="82"/>
      <c r="L276" s="80"/>
      <c r="M276" s="82"/>
      <c r="N276" s="80"/>
      <c r="O276" s="82"/>
      <c r="P276" s="94"/>
      <c r="Q276" s="95"/>
    </row>
    <row r="277" spans="2:17" x14ac:dyDescent="0.25">
      <c r="B277" s="75"/>
      <c r="C277" s="76"/>
      <c r="D277" s="83"/>
      <c r="E277" s="84"/>
      <c r="F277" s="84"/>
      <c r="G277" s="84"/>
      <c r="H277" s="84"/>
      <c r="I277" s="85"/>
      <c r="J277" s="83"/>
      <c r="K277" s="85"/>
      <c r="L277" s="83"/>
      <c r="M277" s="85"/>
      <c r="N277" s="83"/>
      <c r="O277" s="85"/>
      <c r="P277" s="96"/>
      <c r="Q277" s="97"/>
    </row>
    <row r="278" spans="2:17" x14ac:dyDescent="0.25">
      <c r="B278" s="71"/>
      <c r="C278" s="72"/>
      <c r="D278" s="77"/>
      <c r="E278" s="78"/>
      <c r="F278" s="78"/>
      <c r="G278" s="78"/>
      <c r="H278" s="78"/>
      <c r="I278" s="79"/>
      <c r="J278" s="77"/>
      <c r="K278" s="79"/>
      <c r="L278" s="77"/>
      <c r="M278" s="79"/>
      <c r="N278" s="77"/>
      <c r="O278" s="79"/>
      <c r="P278" s="92"/>
      <c r="Q278" s="93"/>
    </row>
    <row r="279" spans="2:17" x14ac:dyDescent="0.25">
      <c r="B279" s="73"/>
      <c r="C279" s="74"/>
      <c r="D279" s="80"/>
      <c r="E279" s="81"/>
      <c r="F279" s="81"/>
      <c r="G279" s="81"/>
      <c r="H279" s="81"/>
      <c r="I279" s="82"/>
      <c r="J279" s="80"/>
      <c r="K279" s="82"/>
      <c r="L279" s="80"/>
      <c r="M279" s="82"/>
      <c r="N279" s="80"/>
      <c r="O279" s="82"/>
      <c r="P279" s="94"/>
      <c r="Q279" s="95"/>
    </row>
    <row r="280" spans="2:17" x14ac:dyDescent="0.25">
      <c r="B280" s="75"/>
      <c r="C280" s="76"/>
      <c r="D280" s="83"/>
      <c r="E280" s="84"/>
      <c r="F280" s="84"/>
      <c r="G280" s="84"/>
      <c r="H280" s="84"/>
      <c r="I280" s="85"/>
      <c r="J280" s="83"/>
      <c r="K280" s="85"/>
      <c r="L280" s="83"/>
      <c r="M280" s="85"/>
      <c r="N280" s="83"/>
      <c r="O280" s="85"/>
      <c r="P280" s="96"/>
      <c r="Q280" s="97"/>
    </row>
    <row r="281" spans="2:17" x14ac:dyDescent="0.25">
      <c r="B281" s="71"/>
      <c r="C281" s="72"/>
      <c r="D281" s="77"/>
      <c r="E281" s="78"/>
      <c r="F281" s="78"/>
      <c r="G281" s="78"/>
      <c r="H281" s="78"/>
      <c r="I281" s="79"/>
      <c r="J281" s="77"/>
      <c r="K281" s="79"/>
      <c r="L281" s="77"/>
      <c r="M281" s="79"/>
      <c r="N281" s="77"/>
      <c r="O281" s="79"/>
      <c r="P281" s="92"/>
      <c r="Q281" s="93"/>
    </row>
    <row r="282" spans="2:17" x14ac:dyDescent="0.25">
      <c r="B282" s="73"/>
      <c r="C282" s="74"/>
      <c r="D282" s="80"/>
      <c r="E282" s="81"/>
      <c r="F282" s="81"/>
      <c r="G282" s="81"/>
      <c r="H282" s="81"/>
      <c r="I282" s="82"/>
      <c r="J282" s="80"/>
      <c r="K282" s="82"/>
      <c r="L282" s="80"/>
      <c r="M282" s="82"/>
      <c r="N282" s="80"/>
      <c r="O282" s="82"/>
      <c r="P282" s="94"/>
      <c r="Q282" s="95"/>
    </row>
    <row r="283" spans="2:17" x14ac:dyDescent="0.25">
      <c r="B283" s="75"/>
      <c r="C283" s="76"/>
      <c r="D283" s="83"/>
      <c r="E283" s="84"/>
      <c r="F283" s="84"/>
      <c r="G283" s="84"/>
      <c r="H283" s="84"/>
      <c r="I283" s="85"/>
      <c r="J283" s="83"/>
      <c r="K283" s="85"/>
      <c r="L283" s="83"/>
      <c r="M283" s="85"/>
      <c r="N283" s="83"/>
      <c r="O283" s="85"/>
      <c r="P283" s="96"/>
      <c r="Q283" s="97"/>
    </row>
    <row r="284" spans="2:17" x14ac:dyDescent="0.25">
      <c r="B284" s="71"/>
      <c r="C284" s="72"/>
      <c r="D284" s="77"/>
      <c r="E284" s="78"/>
      <c r="F284" s="78"/>
      <c r="G284" s="78"/>
      <c r="H284" s="78"/>
      <c r="I284" s="79"/>
      <c r="J284" s="77"/>
      <c r="K284" s="79"/>
      <c r="L284" s="77"/>
      <c r="M284" s="79"/>
      <c r="N284" s="77"/>
      <c r="O284" s="79"/>
      <c r="P284" s="92"/>
      <c r="Q284" s="93"/>
    </row>
    <row r="285" spans="2:17" x14ac:dyDescent="0.25">
      <c r="B285" s="73"/>
      <c r="C285" s="74"/>
      <c r="D285" s="80"/>
      <c r="E285" s="81"/>
      <c r="F285" s="81"/>
      <c r="G285" s="81"/>
      <c r="H285" s="81"/>
      <c r="I285" s="82"/>
      <c r="J285" s="80"/>
      <c r="K285" s="82"/>
      <c r="L285" s="80"/>
      <c r="M285" s="82"/>
      <c r="N285" s="80"/>
      <c r="O285" s="82"/>
      <c r="P285" s="94"/>
      <c r="Q285" s="95"/>
    </row>
    <row r="286" spans="2:17" x14ac:dyDescent="0.25">
      <c r="B286" s="75"/>
      <c r="C286" s="76"/>
      <c r="D286" s="83"/>
      <c r="E286" s="84"/>
      <c r="F286" s="84"/>
      <c r="G286" s="84"/>
      <c r="H286" s="84"/>
      <c r="I286" s="85"/>
      <c r="J286" s="83"/>
      <c r="K286" s="85"/>
      <c r="L286" s="83"/>
      <c r="M286" s="85"/>
      <c r="N286" s="83"/>
      <c r="O286" s="85"/>
      <c r="P286" s="96"/>
      <c r="Q286" s="97"/>
    </row>
    <row r="287" spans="2:17" x14ac:dyDescent="0.25">
      <c r="B287" s="71"/>
      <c r="C287" s="72"/>
      <c r="D287" s="77"/>
      <c r="E287" s="78"/>
      <c r="F287" s="78"/>
      <c r="G287" s="78"/>
      <c r="H287" s="78"/>
      <c r="I287" s="79"/>
      <c r="J287" s="77"/>
      <c r="K287" s="79"/>
      <c r="L287" s="77"/>
      <c r="M287" s="79"/>
      <c r="N287" s="77"/>
      <c r="O287" s="79"/>
      <c r="P287" s="92"/>
      <c r="Q287" s="93"/>
    </row>
    <row r="288" spans="2:17" x14ac:dyDescent="0.25">
      <c r="B288" s="73"/>
      <c r="C288" s="74"/>
      <c r="D288" s="80"/>
      <c r="E288" s="81"/>
      <c r="F288" s="81"/>
      <c r="G288" s="81"/>
      <c r="H288" s="81"/>
      <c r="I288" s="82"/>
      <c r="J288" s="80"/>
      <c r="K288" s="82"/>
      <c r="L288" s="80"/>
      <c r="M288" s="82"/>
      <c r="N288" s="80"/>
      <c r="O288" s="82"/>
      <c r="P288" s="94"/>
      <c r="Q288" s="95"/>
    </row>
    <row r="289" spans="2:17" x14ac:dyDescent="0.25">
      <c r="B289" s="75"/>
      <c r="C289" s="76"/>
      <c r="D289" s="83"/>
      <c r="E289" s="84"/>
      <c r="F289" s="84"/>
      <c r="G289" s="84"/>
      <c r="H289" s="84"/>
      <c r="I289" s="85"/>
      <c r="J289" s="83"/>
      <c r="K289" s="85"/>
      <c r="L289" s="83"/>
      <c r="M289" s="85"/>
      <c r="N289" s="83"/>
      <c r="O289" s="85"/>
      <c r="P289" s="96"/>
      <c r="Q289" s="97"/>
    </row>
    <row r="290" spans="2:17" x14ac:dyDescent="0.25">
      <c r="B290" s="71"/>
      <c r="C290" s="72"/>
      <c r="D290" s="77"/>
      <c r="E290" s="78"/>
      <c r="F290" s="78"/>
      <c r="G290" s="78"/>
      <c r="H290" s="78"/>
      <c r="I290" s="79"/>
      <c r="J290" s="77"/>
      <c r="K290" s="79"/>
      <c r="L290" s="77"/>
      <c r="M290" s="79"/>
      <c r="N290" s="77"/>
      <c r="O290" s="79"/>
      <c r="P290" s="92"/>
      <c r="Q290" s="93"/>
    </row>
    <row r="291" spans="2:17" x14ac:dyDescent="0.25">
      <c r="B291" s="73"/>
      <c r="C291" s="74"/>
      <c r="D291" s="80"/>
      <c r="E291" s="81"/>
      <c r="F291" s="81"/>
      <c r="G291" s="81"/>
      <c r="H291" s="81"/>
      <c r="I291" s="82"/>
      <c r="J291" s="80"/>
      <c r="K291" s="82"/>
      <c r="L291" s="80"/>
      <c r="M291" s="82"/>
      <c r="N291" s="80"/>
      <c r="O291" s="82"/>
      <c r="P291" s="94"/>
      <c r="Q291" s="95"/>
    </row>
    <row r="292" spans="2:17" x14ac:dyDescent="0.25">
      <c r="B292" s="75"/>
      <c r="C292" s="76"/>
      <c r="D292" s="83"/>
      <c r="E292" s="84"/>
      <c r="F292" s="84"/>
      <c r="G292" s="84"/>
      <c r="H292" s="84"/>
      <c r="I292" s="85"/>
      <c r="J292" s="83"/>
      <c r="K292" s="85"/>
      <c r="L292" s="83"/>
      <c r="M292" s="85"/>
      <c r="N292" s="83"/>
      <c r="O292" s="85"/>
      <c r="P292" s="96"/>
      <c r="Q292" s="97"/>
    </row>
    <row r="293" spans="2:17" x14ac:dyDescent="0.25">
      <c r="B293" s="71"/>
      <c r="C293" s="72"/>
      <c r="D293" s="77"/>
      <c r="E293" s="78"/>
      <c r="F293" s="78"/>
      <c r="G293" s="78"/>
      <c r="H293" s="78"/>
      <c r="I293" s="79"/>
      <c r="J293" s="77"/>
      <c r="K293" s="79"/>
      <c r="L293" s="77"/>
      <c r="M293" s="79"/>
      <c r="N293" s="77"/>
      <c r="O293" s="79"/>
      <c r="P293" s="92"/>
      <c r="Q293" s="93"/>
    </row>
    <row r="294" spans="2:17" x14ac:dyDescent="0.25">
      <c r="B294" s="73"/>
      <c r="C294" s="74"/>
      <c r="D294" s="80"/>
      <c r="E294" s="81"/>
      <c r="F294" s="81"/>
      <c r="G294" s="81"/>
      <c r="H294" s="81"/>
      <c r="I294" s="82"/>
      <c r="J294" s="80"/>
      <c r="K294" s="82"/>
      <c r="L294" s="80"/>
      <c r="M294" s="82"/>
      <c r="N294" s="80"/>
      <c r="O294" s="82"/>
      <c r="P294" s="94"/>
      <c r="Q294" s="95"/>
    </row>
    <row r="295" spans="2:17" x14ac:dyDescent="0.25">
      <c r="B295" s="75"/>
      <c r="C295" s="76"/>
      <c r="D295" s="83"/>
      <c r="E295" s="84"/>
      <c r="F295" s="84"/>
      <c r="G295" s="84"/>
      <c r="H295" s="84"/>
      <c r="I295" s="85"/>
      <c r="J295" s="83"/>
      <c r="K295" s="85"/>
      <c r="L295" s="83"/>
      <c r="M295" s="85"/>
      <c r="N295" s="83"/>
      <c r="O295" s="85"/>
      <c r="P295" s="96"/>
      <c r="Q295" s="97"/>
    </row>
    <row r="296" spans="2:17" x14ac:dyDescent="0.25">
      <c r="B296" s="71"/>
      <c r="C296" s="72"/>
      <c r="D296" s="77"/>
      <c r="E296" s="78"/>
      <c r="F296" s="78"/>
      <c r="G296" s="78"/>
      <c r="H296" s="78"/>
      <c r="I296" s="79"/>
      <c r="J296" s="77"/>
      <c r="K296" s="79"/>
      <c r="L296" s="77"/>
      <c r="M296" s="79"/>
      <c r="N296" s="77"/>
      <c r="O296" s="79"/>
      <c r="P296" s="92"/>
      <c r="Q296" s="93"/>
    </row>
    <row r="297" spans="2:17" x14ac:dyDescent="0.25">
      <c r="B297" s="73"/>
      <c r="C297" s="74"/>
      <c r="D297" s="80"/>
      <c r="E297" s="81"/>
      <c r="F297" s="81"/>
      <c r="G297" s="81"/>
      <c r="H297" s="81"/>
      <c r="I297" s="82"/>
      <c r="J297" s="80"/>
      <c r="K297" s="82"/>
      <c r="L297" s="80"/>
      <c r="M297" s="82"/>
      <c r="N297" s="80"/>
      <c r="O297" s="82"/>
      <c r="P297" s="94"/>
      <c r="Q297" s="95"/>
    </row>
    <row r="298" spans="2:17" x14ac:dyDescent="0.25">
      <c r="B298" s="75"/>
      <c r="C298" s="76"/>
      <c r="D298" s="83"/>
      <c r="E298" s="84"/>
      <c r="F298" s="84"/>
      <c r="G298" s="84"/>
      <c r="H298" s="84"/>
      <c r="I298" s="85"/>
      <c r="J298" s="83"/>
      <c r="K298" s="85"/>
      <c r="L298" s="83"/>
      <c r="M298" s="85"/>
      <c r="N298" s="83"/>
      <c r="O298" s="85"/>
      <c r="P298" s="96"/>
      <c r="Q298" s="97"/>
    </row>
  </sheetData>
  <sheetProtection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620"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B98:C100"/>
    <mergeCell ref="D98:I100"/>
    <mergeCell ref="J98:K100"/>
    <mergeCell ref="L98:M100"/>
    <mergeCell ref="N98:O100"/>
    <mergeCell ref="P92:Q94"/>
    <mergeCell ref="B95:C97"/>
    <mergeCell ref="D95:I97"/>
    <mergeCell ref="J95:K97"/>
    <mergeCell ref="L95:M97"/>
    <mergeCell ref="N95:O97"/>
    <mergeCell ref="P95:Q97"/>
    <mergeCell ref="B92:C94"/>
    <mergeCell ref="D92:I94"/>
    <mergeCell ref="J92:K94"/>
    <mergeCell ref="L92:M94"/>
    <mergeCell ref="N92:O94"/>
    <mergeCell ref="B89:C91"/>
    <mergeCell ref="D89:I91"/>
    <mergeCell ref="J89:K91"/>
    <mergeCell ref="L89:M91"/>
    <mergeCell ref="N89:O91"/>
    <mergeCell ref="P89:Q91"/>
    <mergeCell ref="B86:C88"/>
    <mergeCell ref="D86:I88"/>
    <mergeCell ref="J86:K88"/>
    <mergeCell ref="L86:M88"/>
    <mergeCell ref="N86:O88"/>
    <mergeCell ref="B83:C85"/>
    <mergeCell ref="D83:I85"/>
    <mergeCell ref="J83:K85"/>
    <mergeCell ref="L83:M85"/>
    <mergeCell ref="N83:O85"/>
    <mergeCell ref="P83:Q85"/>
    <mergeCell ref="B80:C82"/>
    <mergeCell ref="D80:I82"/>
    <mergeCell ref="J80:K82"/>
    <mergeCell ref="L80:M82"/>
    <mergeCell ref="N80:O82"/>
    <mergeCell ref="B77:C79"/>
    <mergeCell ref="D77:I79"/>
    <mergeCell ref="J77:K79"/>
    <mergeCell ref="L77:M79"/>
    <mergeCell ref="N77:O79"/>
    <mergeCell ref="P77:Q79"/>
    <mergeCell ref="B74:C76"/>
    <mergeCell ref="D74:I76"/>
    <mergeCell ref="J74:K76"/>
    <mergeCell ref="L74:M76"/>
    <mergeCell ref="N74:O76"/>
    <mergeCell ref="P68:Q70"/>
    <mergeCell ref="B71:C73"/>
    <mergeCell ref="D71:I73"/>
    <mergeCell ref="J71:K73"/>
    <mergeCell ref="L71:M73"/>
    <mergeCell ref="N71:O73"/>
    <mergeCell ref="P71:Q73"/>
    <mergeCell ref="B68:C70"/>
    <mergeCell ref="D68:I70"/>
    <mergeCell ref="J68:K70"/>
    <mergeCell ref="L68:M70"/>
    <mergeCell ref="N68:O70"/>
    <mergeCell ref="P62:Q64"/>
    <mergeCell ref="B65:C67"/>
    <mergeCell ref="D65:I67"/>
    <mergeCell ref="J65:K67"/>
    <mergeCell ref="L65:M67"/>
    <mergeCell ref="N65:O67"/>
    <mergeCell ref="P65:Q67"/>
    <mergeCell ref="B62:C64"/>
    <mergeCell ref="D62:I64"/>
    <mergeCell ref="J62:K64"/>
    <mergeCell ref="L62:M64"/>
    <mergeCell ref="N62:O64"/>
    <mergeCell ref="P56:Q58"/>
    <mergeCell ref="B59:C61"/>
    <mergeCell ref="D59:I61"/>
    <mergeCell ref="J59:K61"/>
    <mergeCell ref="L59:M61"/>
    <mergeCell ref="N59:O61"/>
    <mergeCell ref="P59:Q61"/>
    <mergeCell ref="B56:C58"/>
    <mergeCell ref="D56:I58"/>
    <mergeCell ref="J56:K58"/>
    <mergeCell ref="L56:M58"/>
    <mergeCell ref="N56:O58"/>
    <mergeCell ref="P50:Q52"/>
    <mergeCell ref="B53:C55"/>
    <mergeCell ref="D53:I55"/>
    <mergeCell ref="J53:K55"/>
    <mergeCell ref="L53:M55"/>
    <mergeCell ref="N53:O55"/>
    <mergeCell ref="P53:Q55"/>
    <mergeCell ref="B50:C52"/>
    <mergeCell ref="D50:I52"/>
    <mergeCell ref="J50:K52"/>
    <mergeCell ref="L50:M52"/>
    <mergeCell ref="N50:O52"/>
    <mergeCell ref="P47:Q49"/>
    <mergeCell ref="B44:C46"/>
    <mergeCell ref="D44:I46"/>
    <mergeCell ref="J44:K46"/>
    <mergeCell ref="L44:M46"/>
    <mergeCell ref="N44:O46"/>
    <mergeCell ref="P44:Q46"/>
    <mergeCell ref="B47:C49"/>
    <mergeCell ref="D47:I49"/>
    <mergeCell ref="J47:K49"/>
    <mergeCell ref="L47:M49"/>
    <mergeCell ref="N47:O49"/>
    <mergeCell ref="P41:Q43"/>
    <mergeCell ref="B38:C40"/>
    <mergeCell ref="D38:I40"/>
    <mergeCell ref="J38:K40"/>
    <mergeCell ref="L38:M40"/>
    <mergeCell ref="N38:O40"/>
    <mergeCell ref="P38:Q40"/>
    <mergeCell ref="B41:C43"/>
    <mergeCell ref="D41:I43"/>
    <mergeCell ref="J41:K43"/>
    <mergeCell ref="L41:M43"/>
    <mergeCell ref="N41:O43"/>
    <mergeCell ref="P35:Q37"/>
    <mergeCell ref="B32:C34"/>
    <mergeCell ref="D32:I34"/>
    <mergeCell ref="J32:K34"/>
    <mergeCell ref="L32:M34"/>
    <mergeCell ref="N32:O34"/>
    <mergeCell ref="P32:Q34"/>
    <mergeCell ref="B35:C37"/>
    <mergeCell ref="D35:I37"/>
    <mergeCell ref="J35:K37"/>
    <mergeCell ref="L35:M37"/>
    <mergeCell ref="N35:O37"/>
    <mergeCell ref="P29:Q31"/>
    <mergeCell ref="B26:C28"/>
    <mergeCell ref="D26:I28"/>
    <mergeCell ref="J26:K28"/>
    <mergeCell ref="L26:M28"/>
    <mergeCell ref="N26:O28"/>
    <mergeCell ref="P26:Q28"/>
    <mergeCell ref="B29:C31"/>
    <mergeCell ref="D29:I31"/>
    <mergeCell ref="J29:K31"/>
    <mergeCell ref="L29:M31"/>
    <mergeCell ref="N29:O31"/>
    <mergeCell ref="P23:Q25"/>
    <mergeCell ref="B20:C22"/>
    <mergeCell ref="D20:I22"/>
    <mergeCell ref="J20:K22"/>
    <mergeCell ref="L20:M22"/>
    <mergeCell ref="N20:O22"/>
    <mergeCell ref="P20:Q22"/>
    <mergeCell ref="B23:C25"/>
    <mergeCell ref="D23:I25"/>
    <mergeCell ref="J23:K25"/>
    <mergeCell ref="L23:M25"/>
    <mergeCell ref="N23:O25"/>
    <mergeCell ref="P17:Q19"/>
    <mergeCell ref="N11:O13"/>
    <mergeCell ref="P11:Q13"/>
    <mergeCell ref="B14:C16"/>
    <mergeCell ref="D14:I16"/>
    <mergeCell ref="J14:K16"/>
    <mergeCell ref="L14:M16"/>
    <mergeCell ref="N14:O16"/>
    <mergeCell ref="P14:Q16"/>
    <mergeCell ref="B17:C19"/>
    <mergeCell ref="D17:I19"/>
    <mergeCell ref="J17:K19"/>
    <mergeCell ref="L17:M19"/>
    <mergeCell ref="N17:O19"/>
    <mergeCell ref="A1:C3"/>
    <mergeCell ref="E1:F3"/>
    <mergeCell ref="G1:H3"/>
    <mergeCell ref="E5:F5"/>
    <mergeCell ref="G5:H5"/>
    <mergeCell ref="P8:Q10"/>
    <mergeCell ref="K5:L5"/>
    <mergeCell ref="M5:N5"/>
    <mergeCell ref="B11:C13"/>
    <mergeCell ref="D11:I13"/>
    <mergeCell ref="J11:K13"/>
    <mergeCell ref="L11:M13"/>
    <mergeCell ref="I5:J5"/>
    <mergeCell ref="B8:C10"/>
    <mergeCell ref="D8:I10"/>
    <mergeCell ref="J8:K10"/>
    <mergeCell ref="L8:M10"/>
    <mergeCell ref="N8:O10"/>
    <mergeCell ref="B101:C103"/>
    <mergeCell ref="D101:I103"/>
    <mergeCell ref="J101:K103"/>
    <mergeCell ref="L101:M103"/>
    <mergeCell ref="N101:O103"/>
    <mergeCell ref="P101:Q103"/>
    <mergeCell ref="B104:C106"/>
    <mergeCell ref="D104:I106"/>
    <mergeCell ref="J104:K106"/>
    <mergeCell ref="L104:M106"/>
    <mergeCell ref="N104:O106"/>
    <mergeCell ref="P104:Q106"/>
    <mergeCell ref="B107:C109"/>
    <mergeCell ref="D107:I109"/>
    <mergeCell ref="J107:K109"/>
    <mergeCell ref="L107:M109"/>
    <mergeCell ref="N107:O109"/>
    <mergeCell ref="P107:Q109"/>
    <mergeCell ref="B110:C112"/>
    <mergeCell ref="D110:I112"/>
    <mergeCell ref="J110:K112"/>
    <mergeCell ref="L110:M112"/>
    <mergeCell ref="N110:O112"/>
    <mergeCell ref="P110:Q112"/>
    <mergeCell ref="B113:C115"/>
    <mergeCell ref="D113:I115"/>
    <mergeCell ref="J113:K115"/>
    <mergeCell ref="L113:M115"/>
    <mergeCell ref="N113:O115"/>
    <mergeCell ref="P113:Q115"/>
    <mergeCell ref="B116:C118"/>
    <mergeCell ref="D116:I118"/>
    <mergeCell ref="J116:K118"/>
    <mergeCell ref="L116:M118"/>
    <mergeCell ref="N116:O118"/>
    <mergeCell ref="P116:Q118"/>
    <mergeCell ref="B119:C121"/>
    <mergeCell ref="D119:I121"/>
    <mergeCell ref="J119:K121"/>
    <mergeCell ref="L119:M121"/>
    <mergeCell ref="N119:O121"/>
    <mergeCell ref="P119:Q121"/>
    <mergeCell ref="B122:C124"/>
    <mergeCell ref="D122:I124"/>
    <mergeCell ref="J122:K124"/>
    <mergeCell ref="L122:M124"/>
    <mergeCell ref="N122:O124"/>
    <mergeCell ref="P122:Q124"/>
    <mergeCell ref="B125:C127"/>
    <mergeCell ref="D125:I127"/>
    <mergeCell ref="J125:K127"/>
    <mergeCell ref="L125:M127"/>
    <mergeCell ref="N125:O127"/>
    <mergeCell ref="P125:Q127"/>
    <mergeCell ref="B128:C130"/>
    <mergeCell ref="D128:I130"/>
    <mergeCell ref="J128:K130"/>
    <mergeCell ref="L128:M130"/>
    <mergeCell ref="N128:O130"/>
    <mergeCell ref="P128:Q130"/>
    <mergeCell ref="B131:C133"/>
    <mergeCell ref="D131:I133"/>
    <mergeCell ref="J131:K133"/>
    <mergeCell ref="L131:M133"/>
    <mergeCell ref="N131:O133"/>
    <mergeCell ref="P131:Q133"/>
    <mergeCell ref="B134:C136"/>
    <mergeCell ref="D134:I136"/>
    <mergeCell ref="J134:K136"/>
    <mergeCell ref="L134:M136"/>
    <mergeCell ref="N134:O136"/>
    <mergeCell ref="P134:Q136"/>
    <mergeCell ref="B137:C139"/>
    <mergeCell ref="D137:I139"/>
    <mergeCell ref="J137:K139"/>
    <mergeCell ref="L137:M139"/>
    <mergeCell ref="N137:O139"/>
    <mergeCell ref="P137:Q139"/>
    <mergeCell ref="B140:C142"/>
    <mergeCell ref="D140:I142"/>
    <mergeCell ref="J140:K142"/>
    <mergeCell ref="L140:M142"/>
    <mergeCell ref="N140:O142"/>
    <mergeCell ref="P140:Q142"/>
    <mergeCell ref="B143:C145"/>
    <mergeCell ref="D143:I145"/>
    <mergeCell ref="J143:K145"/>
    <mergeCell ref="L143:M145"/>
    <mergeCell ref="N143:O145"/>
    <mergeCell ref="P143:Q145"/>
    <mergeCell ref="B146:C148"/>
    <mergeCell ref="D146:I148"/>
    <mergeCell ref="J146:K148"/>
    <mergeCell ref="L146:M148"/>
    <mergeCell ref="N146:O148"/>
    <mergeCell ref="P146:Q148"/>
    <mergeCell ref="B149:C151"/>
    <mergeCell ref="D149:I151"/>
    <mergeCell ref="J149:K151"/>
    <mergeCell ref="L149:M151"/>
    <mergeCell ref="N149:O151"/>
    <mergeCell ref="P149:Q151"/>
    <mergeCell ref="B152:C154"/>
    <mergeCell ref="D152:I154"/>
    <mergeCell ref="J152:K154"/>
    <mergeCell ref="L152:M154"/>
    <mergeCell ref="N152:O154"/>
    <mergeCell ref="P152:Q154"/>
    <mergeCell ref="B155:C157"/>
    <mergeCell ref="D155:I157"/>
    <mergeCell ref="J155:K157"/>
    <mergeCell ref="L155:M157"/>
    <mergeCell ref="N155:O157"/>
    <mergeCell ref="P155:Q157"/>
    <mergeCell ref="B158:C160"/>
    <mergeCell ref="D158:I160"/>
    <mergeCell ref="J158:K160"/>
    <mergeCell ref="L158:M160"/>
    <mergeCell ref="N158:O160"/>
    <mergeCell ref="P158:Q160"/>
    <mergeCell ref="B161:C163"/>
    <mergeCell ref="D161:I163"/>
    <mergeCell ref="J161:K163"/>
    <mergeCell ref="L161:M163"/>
    <mergeCell ref="N161:O163"/>
    <mergeCell ref="P161:Q163"/>
    <mergeCell ref="B164:C166"/>
    <mergeCell ref="D164:I166"/>
    <mergeCell ref="J164:K166"/>
    <mergeCell ref="L164:M166"/>
    <mergeCell ref="N164:O166"/>
    <mergeCell ref="P164:Q166"/>
    <mergeCell ref="B167:C169"/>
    <mergeCell ref="D167:I169"/>
    <mergeCell ref="J167:K169"/>
    <mergeCell ref="L167:M169"/>
    <mergeCell ref="N167:O169"/>
    <mergeCell ref="P167:Q169"/>
    <mergeCell ref="B170:C172"/>
    <mergeCell ref="D170:I172"/>
    <mergeCell ref="J170:K172"/>
    <mergeCell ref="L170:M172"/>
    <mergeCell ref="N170:O172"/>
    <mergeCell ref="P170:Q172"/>
    <mergeCell ref="B173:C175"/>
    <mergeCell ref="D173:I175"/>
    <mergeCell ref="J173:K175"/>
    <mergeCell ref="L173:M175"/>
    <mergeCell ref="N173:O175"/>
    <mergeCell ref="P173:Q175"/>
    <mergeCell ref="B176:C178"/>
    <mergeCell ref="D176:I178"/>
    <mergeCell ref="J176:K178"/>
    <mergeCell ref="L176:M178"/>
    <mergeCell ref="N176:O178"/>
    <mergeCell ref="P176:Q178"/>
    <mergeCell ref="B179:C181"/>
    <mergeCell ref="D179:I181"/>
    <mergeCell ref="J179:K181"/>
    <mergeCell ref="L179:M181"/>
    <mergeCell ref="N179:O181"/>
    <mergeCell ref="P179:Q181"/>
    <mergeCell ref="B182:C184"/>
    <mergeCell ref="D182:I184"/>
    <mergeCell ref="J182:K184"/>
    <mergeCell ref="L182:M184"/>
    <mergeCell ref="N182:O184"/>
    <mergeCell ref="P182:Q184"/>
    <mergeCell ref="B185:C187"/>
    <mergeCell ref="D185:I187"/>
    <mergeCell ref="J185:K187"/>
    <mergeCell ref="L185:M187"/>
    <mergeCell ref="N185:O187"/>
    <mergeCell ref="P185:Q187"/>
    <mergeCell ref="B188:C190"/>
    <mergeCell ref="D188:I190"/>
    <mergeCell ref="J188:K190"/>
    <mergeCell ref="L188:M190"/>
    <mergeCell ref="N188:O190"/>
    <mergeCell ref="P188:Q190"/>
    <mergeCell ref="B191:C193"/>
    <mergeCell ref="D191:I193"/>
    <mergeCell ref="J191:K193"/>
    <mergeCell ref="L191:M193"/>
    <mergeCell ref="N191:O193"/>
    <mergeCell ref="P191:Q193"/>
    <mergeCell ref="B194:C196"/>
    <mergeCell ref="D194:I196"/>
    <mergeCell ref="J194:K196"/>
    <mergeCell ref="L194:M196"/>
    <mergeCell ref="N194:O196"/>
    <mergeCell ref="P194:Q196"/>
    <mergeCell ref="B197:C199"/>
    <mergeCell ref="D197:I199"/>
    <mergeCell ref="J197:K199"/>
    <mergeCell ref="L197:M199"/>
    <mergeCell ref="N197:O199"/>
    <mergeCell ref="P197:Q199"/>
    <mergeCell ref="B200:C202"/>
    <mergeCell ref="D200:I202"/>
    <mergeCell ref="J200:K202"/>
    <mergeCell ref="L200:M202"/>
    <mergeCell ref="N200:O202"/>
    <mergeCell ref="P200:Q202"/>
    <mergeCell ref="B203:C205"/>
    <mergeCell ref="D203:I205"/>
    <mergeCell ref="J203:K205"/>
    <mergeCell ref="L203:M205"/>
    <mergeCell ref="N203:O205"/>
    <mergeCell ref="P203:Q205"/>
    <mergeCell ref="B206:C208"/>
    <mergeCell ref="D206:I208"/>
    <mergeCell ref="J206:K208"/>
    <mergeCell ref="L206:M208"/>
    <mergeCell ref="N206:O208"/>
    <mergeCell ref="P206:Q208"/>
    <mergeCell ref="B209:C211"/>
    <mergeCell ref="D209:I211"/>
    <mergeCell ref="J209:K211"/>
    <mergeCell ref="L209:M211"/>
    <mergeCell ref="N209:O211"/>
    <mergeCell ref="P209:Q211"/>
    <mergeCell ref="B212:C214"/>
    <mergeCell ref="D212:I214"/>
    <mergeCell ref="J212:K214"/>
    <mergeCell ref="L212:M214"/>
    <mergeCell ref="N212:O214"/>
    <mergeCell ref="P212:Q214"/>
    <mergeCell ref="B215:C217"/>
    <mergeCell ref="D215:I217"/>
    <mergeCell ref="J215:K217"/>
    <mergeCell ref="L215:M217"/>
    <mergeCell ref="N215:O217"/>
    <mergeCell ref="P215:Q217"/>
    <mergeCell ref="B218:C220"/>
    <mergeCell ref="D218:I220"/>
    <mergeCell ref="J218:K220"/>
    <mergeCell ref="L218:M220"/>
    <mergeCell ref="N218:O220"/>
    <mergeCell ref="P218:Q220"/>
    <mergeCell ref="B221:C223"/>
    <mergeCell ref="D221:I223"/>
    <mergeCell ref="J221:K223"/>
    <mergeCell ref="L221:M223"/>
    <mergeCell ref="N221:O223"/>
    <mergeCell ref="P221:Q223"/>
    <mergeCell ref="B224:C226"/>
    <mergeCell ref="D224:I226"/>
    <mergeCell ref="J224:K226"/>
    <mergeCell ref="L224:M226"/>
    <mergeCell ref="N224:O226"/>
    <mergeCell ref="P224:Q226"/>
    <mergeCell ref="B227:C229"/>
    <mergeCell ref="D227:I229"/>
    <mergeCell ref="J227:K229"/>
    <mergeCell ref="L227:M229"/>
    <mergeCell ref="N227:O229"/>
    <mergeCell ref="P227:Q229"/>
    <mergeCell ref="B230:C232"/>
    <mergeCell ref="D230:I232"/>
    <mergeCell ref="J230:K232"/>
    <mergeCell ref="L230:M232"/>
    <mergeCell ref="N230:O232"/>
    <mergeCell ref="P230:Q232"/>
    <mergeCell ref="B233:C235"/>
    <mergeCell ref="D233:I235"/>
    <mergeCell ref="J233:K235"/>
    <mergeCell ref="L233:M235"/>
    <mergeCell ref="N233:O235"/>
    <mergeCell ref="P233:Q235"/>
    <mergeCell ref="B236:C238"/>
    <mergeCell ref="D236:I238"/>
    <mergeCell ref="J236:K238"/>
    <mergeCell ref="L236:M238"/>
    <mergeCell ref="N236:O238"/>
    <mergeCell ref="P236:Q238"/>
    <mergeCell ref="B239:C241"/>
    <mergeCell ref="D239:I241"/>
    <mergeCell ref="J239:K241"/>
    <mergeCell ref="L239:M241"/>
    <mergeCell ref="N239:O241"/>
    <mergeCell ref="P239:Q241"/>
    <mergeCell ref="B242:C244"/>
    <mergeCell ref="D242:I244"/>
    <mergeCell ref="J242:K244"/>
    <mergeCell ref="L242:M244"/>
    <mergeCell ref="N242:O244"/>
    <mergeCell ref="P242:Q244"/>
    <mergeCell ref="B245:C247"/>
    <mergeCell ref="D245:I247"/>
    <mergeCell ref="J245:K247"/>
    <mergeCell ref="L245:M247"/>
    <mergeCell ref="N245:O247"/>
    <mergeCell ref="P245:Q247"/>
    <mergeCell ref="B248:C250"/>
    <mergeCell ref="D248:I250"/>
    <mergeCell ref="J248:K250"/>
    <mergeCell ref="L248:M250"/>
    <mergeCell ref="N248:O250"/>
    <mergeCell ref="P248:Q250"/>
    <mergeCell ref="B251:C253"/>
    <mergeCell ref="D251:I253"/>
    <mergeCell ref="J251:K253"/>
    <mergeCell ref="L251:M253"/>
    <mergeCell ref="N251:O253"/>
    <mergeCell ref="P251:Q253"/>
    <mergeCell ref="B254:C256"/>
    <mergeCell ref="D254:I256"/>
    <mergeCell ref="J254:K256"/>
    <mergeCell ref="L254:M256"/>
    <mergeCell ref="N254:O256"/>
    <mergeCell ref="P254:Q256"/>
    <mergeCell ref="B257:C259"/>
    <mergeCell ref="D257:I259"/>
    <mergeCell ref="J257:K259"/>
    <mergeCell ref="L257:M259"/>
    <mergeCell ref="N257:O259"/>
    <mergeCell ref="P257:Q259"/>
    <mergeCell ref="B260:C262"/>
    <mergeCell ref="D260:I262"/>
    <mergeCell ref="J260:K262"/>
    <mergeCell ref="L260:M262"/>
    <mergeCell ref="N260:O262"/>
    <mergeCell ref="P260:Q262"/>
    <mergeCell ref="B263:C265"/>
    <mergeCell ref="D263:I265"/>
    <mergeCell ref="J263:K265"/>
    <mergeCell ref="L263:M265"/>
    <mergeCell ref="N263:O265"/>
    <mergeCell ref="P263:Q265"/>
    <mergeCell ref="B266:C268"/>
    <mergeCell ref="D266:I268"/>
    <mergeCell ref="J266:K268"/>
    <mergeCell ref="L266:M268"/>
    <mergeCell ref="N266:O268"/>
    <mergeCell ref="P266:Q268"/>
    <mergeCell ref="B269:C271"/>
    <mergeCell ref="D269:I271"/>
    <mergeCell ref="J269:K271"/>
    <mergeCell ref="L269:M271"/>
    <mergeCell ref="N269:O271"/>
    <mergeCell ref="P269:Q271"/>
    <mergeCell ref="B272:C274"/>
    <mergeCell ref="D272:I274"/>
    <mergeCell ref="J272:K274"/>
    <mergeCell ref="L272:M274"/>
    <mergeCell ref="N272:O274"/>
    <mergeCell ref="P272:Q274"/>
    <mergeCell ref="B275:C277"/>
    <mergeCell ref="D275:I277"/>
    <mergeCell ref="J275:K277"/>
    <mergeCell ref="L275:M277"/>
    <mergeCell ref="N275:O277"/>
    <mergeCell ref="P275:Q277"/>
    <mergeCell ref="B278:C280"/>
    <mergeCell ref="D278:I280"/>
    <mergeCell ref="J278:K280"/>
    <mergeCell ref="L278:M280"/>
    <mergeCell ref="N278:O280"/>
    <mergeCell ref="P278:Q280"/>
    <mergeCell ref="B281:C283"/>
    <mergeCell ref="D281:I283"/>
    <mergeCell ref="J281:K283"/>
    <mergeCell ref="L281:M283"/>
    <mergeCell ref="N281:O283"/>
    <mergeCell ref="P281:Q283"/>
    <mergeCell ref="B284:C286"/>
    <mergeCell ref="D284:I286"/>
    <mergeCell ref="J284:K286"/>
    <mergeCell ref="L284:M286"/>
    <mergeCell ref="N284:O286"/>
    <mergeCell ref="P284:Q286"/>
    <mergeCell ref="B287:C289"/>
    <mergeCell ref="D287:I289"/>
    <mergeCell ref="J287:K289"/>
    <mergeCell ref="L287:M289"/>
    <mergeCell ref="N287:O289"/>
    <mergeCell ref="P287:Q289"/>
    <mergeCell ref="B290:C292"/>
    <mergeCell ref="D290:I292"/>
    <mergeCell ref="J290:K292"/>
    <mergeCell ref="L290:M292"/>
    <mergeCell ref="N290:O292"/>
    <mergeCell ref="P290:Q292"/>
    <mergeCell ref="B293:C295"/>
    <mergeCell ref="D293:I295"/>
    <mergeCell ref="J293:K295"/>
    <mergeCell ref="L293:M295"/>
    <mergeCell ref="N293:O295"/>
    <mergeCell ref="P293:Q295"/>
    <mergeCell ref="B296:C298"/>
    <mergeCell ref="D296:I298"/>
    <mergeCell ref="J296:K298"/>
    <mergeCell ref="L296:M298"/>
    <mergeCell ref="N296:O298"/>
    <mergeCell ref="P296:Q298"/>
  </mergeCells>
  <conditionalFormatting sqref="R11:S100">
    <cfRule type="containsText" dxfId="86" priority="19" operator="containsText" text="EM ATRASO">
      <formula>NOT(ISERROR(SEARCH("EM ATRASO",R11)))</formula>
    </cfRule>
  </conditionalFormatting>
  <conditionalFormatting sqref="R11:S100">
    <cfRule type="containsText" dxfId="85" priority="18" operator="containsText" text="HOJE">
      <formula>NOT(ISERROR(SEARCH("HOJE",R11)))</formula>
    </cfRule>
  </conditionalFormatting>
  <conditionalFormatting sqref="P11:Q13">
    <cfRule type="cellIs" dxfId="84" priority="1" operator="equal">
      <formula>"Por Fazer"</formula>
    </cfRule>
    <cfRule type="cellIs" dxfId="83" priority="2" operator="equal">
      <formula>"Em progresso"</formula>
    </cfRule>
    <cfRule type="cellIs" dxfId="82" priority="3" operator="equal">
      <formula>"Concluída"</formula>
    </cfRule>
  </conditionalFormatting>
  <conditionalFormatting sqref="B14:N47 B50:N50 B53:N53 B56:N56 B59:N59 B62:N62 B65:N65 B68:N68 B71:N71 B74:N74 B77:N77 B80:N80 B83:N83 B86:N86 B89:N89 B92:N92 B95:N95 B98:N98 B101:N101 B107:N107 B113:N113 B119:N119 B125:N125 B131:N131 B137:N137 B143:N143 B149:N149 B155:N155 B161:N161 B167:N167 B173:N173 B179:N179 B185:N185 B191:N191 B197:N197 B203:N203 B209:N209 B215:N215 B221:N221 B227:N227 B233:N233 B239:N239 B245:N245 B251:N251 B257:N257 B263:N263 B269:N269 B275:N275 B281:N281 B287:N287 B293:N293 B104:N104 B110:N110 B116:N116 B122:N122 B128:N128 B134:N134 B140:N140 B146:N146 B152:N152 B158:N158 B164:N164 B170:N170 B176:N176 B182:N182 B188:N188 B194:N194 B200:N200 B206:N206 B212:N212 B218:N218 B224:N224 B230:N230 B236:N236 B242:N242 B248:N248 B254:N254 B260:N260 B266:N266 B272:N272 B278:N278 B284:N284 B290:N290 B296:N296">
    <cfRule type="expression" dxfId="81" priority="11" stopIfTrue="1">
      <formula>$N14:$N50="Urgente"</formula>
    </cfRule>
    <cfRule type="expression" dxfId="80" priority="12" stopIfTrue="1">
      <formula>$N14:$N50="Alta"</formula>
    </cfRule>
    <cfRule type="expression" dxfId="79" priority="13" stopIfTrue="1">
      <formula>$N14:$N50="Média"</formula>
    </cfRule>
    <cfRule type="expression" dxfId="78" priority="14" stopIfTrue="1">
      <formula>$N14:$N50="Baixa"</formula>
    </cfRule>
  </conditionalFormatting>
  <conditionalFormatting sqref="P14:Q298">
    <cfRule type="cellIs" dxfId="77" priority="8" operator="equal">
      <formula>"Por Fazer"</formula>
    </cfRule>
    <cfRule type="cellIs" dxfId="76" priority="9" operator="equal">
      <formula>"Em progresso"</formula>
    </cfRule>
    <cfRule type="cellIs" dxfId="75" priority="10" operator="equal">
      <formula>"Concluída"</formula>
    </cfRule>
  </conditionalFormatting>
  <conditionalFormatting sqref="B11:N13">
    <cfRule type="expression" dxfId="74" priority="4" stopIfTrue="1">
      <formula>$N11:$N47="Urgente"</formula>
    </cfRule>
    <cfRule type="expression" dxfId="73" priority="5" stopIfTrue="1">
      <formula>$N11:$N47="Alta"</formula>
    </cfRule>
    <cfRule type="expression" dxfId="72" priority="6" stopIfTrue="1">
      <formula>$N11:$N47="Média"</formula>
    </cfRule>
    <cfRule type="expression" dxfId="71" priority="7" stopIfTrue="1">
      <formula>$N11:$N47="Baixa"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0A572D-F159-43FA-9F8C-5FF517F4F58C}">
          <x14:formula1>
            <xm:f>DataBase!$F$3:$F$5</xm:f>
          </x14:formula1>
          <xm:sqref>P11:Q298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5DC-7171-46A1-ACEE-4DD436C22401}">
  <sheetPr codeName="Planilha11"/>
  <dimension ref="B3:AH872"/>
  <sheetViews>
    <sheetView zoomScale="70" zoomScaleNormal="70" workbookViewId="0">
      <selection activeCell="B6" sqref="B6:Q8"/>
    </sheetView>
  </sheetViews>
  <sheetFormatPr defaultRowHeight="15" x14ac:dyDescent="0.25"/>
  <sheetData>
    <row r="3" spans="2:34" x14ac:dyDescent="0.25">
      <c r="B3" s="100" t="s">
        <v>9</v>
      </c>
      <c r="C3" s="101"/>
      <c r="D3" s="106" t="s">
        <v>10</v>
      </c>
      <c r="E3" s="107"/>
      <c r="F3" s="107"/>
      <c r="G3" s="107"/>
      <c r="H3" s="107"/>
      <c r="I3" s="108"/>
      <c r="J3" s="100" t="s">
        <v>11</v>
      </c>
      <c r="K3" s="101"/>
      <c r="L3" s="100" t="s">
        <v>12</v>
      </c>
      <c r="M3" s="101"/>
      <c r="N3" s="100" t="s">
        <v>13</v>
      </c>
      <c r="O3" s="101"/>
      <c r="P3" s="100" t="s">
        <v>14</v>
      </c>
      <c r="Q3" s="101"/>
      <c r="S3" s="100" t="s">
        <v>9</v>
      </c>
      <c r="T3" s="101"/>
      <c r="U3" s="106" t="s">
        <v>10</v>
      </c>
      <c r="V3" s="107"/>
      <c r="W3" s="107"/>
      <c r="X3" s="107"/>
      <c r="Y3" s="107"/>
      <c r="Z3" s="108"/>
      <c r="AA3" s="100" t="s">
        <v>11</v>
      </c>
      <c r="AB3" s="101"/>
      <c r="AC3" s="100" t="s">
        <v>12</v>
      </c>
      <c r="AD3" s="101"/>
      <c r="AE3" s="100" t="s">
        <v>13</v>
      </c>
      <c r="AF3" s="101"/>
      <c r="AG3" s="100" t="s">
        <v>14</v>
      </c>
      <c r="AH3" s="101"/>
    </row>
    <row r="4" spans="2:34" x14ac:dyDescent="0.25">
      <c r="B4" s="102"/>
      <c r="C4" s="103"/>
      <c r="D4" s="109"/>
      <c r="E4" s="110"/>
      <c r="F4" s="110"/>
      <c r="G4" s="110"/>
      <c r="H4" s="110"/>
      <c r="I4" s="111"/>
      <c r="J4" s="102"/>
      <c r="K4" s="103"/>
      <c r="L4" s="102"/>
      <c r="M4" s="103"/>
      <c r="N4" s="102"/>
      <c r="O4" s="103"/>
      <c r="P4" s="102"/>
      <c r="Q4" s="103"/>
      <c r="S4" s="102"/>
      <c r="T4" s="103"/>
      <c r="U4" s="109"/>
      <c r="V4" s="110"/>
      <c r="W4" s="110"/>
      <c r="X4" s="110"/>
      <c r="Y4" s="110"/>
      <c r="Z4" s="111"/>
      <c r="AA4" s="102"/>
      <c r="AB4" s="103"/>
      <c r="AC4" s="102"/>
      <c r="AD4" s="103"/>
      <c r="AE4" s="102"/>
      <c r="AF4" s="103"/>
      <c r="AG4" s="102"/>
      <c r="AH4" s="103"/>
    </row>
    <row r="5" spans="2:34" x14ac:dyDescent="0.25">
      <c r="B5" s="104"/>
      <c r="C5" s="105"/>
      <c r="D5" s="112"/>
      <c r="E5" s="113"/>
      <c r="F5" s="113"/>
      <c r="G5" s="113"/>
      <c r="H5" s="113"/>
      <c r="I5" s="114"/>
      <c r="J5" s="104"/>
      <c r="K5" s="105"/>
      <c r="L5" s="104"/>
      <c r="M5" s="105"/>
      <c r="N5" s="104"/>
      <c r="O5" s="105"/>
      <c r="P5" s="104"/>
      <c r="Q5" s="105"/>
      <c r="S5" s="104"/>
      <c r="T5" s="105"/>
      <c r="U5" s="112"/>
      <c r="V5" s="113"/>
      <c r="W5" s="113"/>
      <c r="X5" s="113"/>
      <c r="Y5" s="113"/>
      <c r="Z5" s="114"/>
      <c r="AA5" s="104"/>
      <c r="AB5" s="105"/>
      <c r="AC5" s="104"/>
      <c r="AD5" s="105"/>
      <c r="AE5" s="104"/>
      <c r="AF5" s="105"/>
      <c r="AG5" s="104"/>
      <c r="AH5" s="105"/>
    </row>
    <row r="6" spans="2:34" x14ac:dyDescent="0.25">
      <c r="B6" s="71"/>
      <c r="C6" s="72"/>
      <c r="D6" s="77"/>
      <c r="E6" s="78"/>
      <c r="F6" s="78"/>
      <c r="G6" s="78"/>
      <c r="H6" s="78"/>
      <c r="I6" s="79"/>
      <c r="J6" s="86"/>
      <c r="K6" s="87"/>
      <c r="L6" s="86"/>
      <c r="M6" s="87"/>
      <c r="N6" s="77"/>
      <c r="O6" s="79"/>
      <c r="P6" s="92"/>
      <c r="Q6" s="93"/>
      <c r="S6" s="77"/>
      <c r="T6" s="79"/>
      <c r="U6" s="77"/>
      <c r="V6" s="78"/>
      <c r="W6" s="78"/>
      <c r="X6" s="78"/>
      <c r="Y6" s="78"/>
      <c r="Z6" s="79"/>
      <c r="AA6" s="86"/>
      <c r="AB6" s="87"/>
      <c r="AC6" s="86"/>
      <c r="AD6" s="87"/>
      <c r="AE6" s="77"/>
      <c r="AF6" s="79"/>
      <c r="AG6" s="92"/>
      <c r="AH6" s="93"/>
    </row>
    <row r="7" spans="2:34" x14ac:dyDescent="0.25">
      <c r="B7" s="73"/>
      <c r="C7" s="74"/>
      <c r="D7" s="80"/>
      <c r="E7" s="81"/>
      <c r="F7" s="81"/>
      <c r="G7" s="81"/>
      <c r="H7" s="81"/>
      <c r="I7" s="82"/>
      <c r="J7" s="88"/>
      <c r="K7" s="89"/>
      <c r="L7" s="88"/>
      <c r="M7" s="89"/>
      <c r="N7" s="80"/>
      <c r="O7" s="82"/>
      <c r="P7" s="94"/>
      <c r="Q7" s="95"/>
      <c r="S7" s="80"/>
      <c r="T7" s="82"/>
      <c r="U7" s="80"/>
      <c r="V7" s="81"/>
      <c r="W7" s="81"/>
      <c r="X7" s="81"/>
      <c r="Y7" s="81"/>
      <c r="Z7" s="82"/>
      <c r="AA7" s="88"/>
      <c r="AB7" s="89"/>
      <c r="AC7" s="88"/>
      <c r="AD7" s="89"/>
      <c r="AE7" s="80"/>
      <c r="AF7" s="82"/>
      <c r="AG7" s="94"/>
      <c r="AH7" s="95"/>
    </row>
    <row r="8" spans="2:34" x14ac:dyDescent="0.25">
      <c r="B8" s="75"/>
      <c r="C8" s="76"/>
      <c r="D8" s="83"/>
      <c r="E8" s="84"/>
      <c r="F8" s="84"/>
      <c r="G8" s="84"/>
      <c r="H8" s="84"/>
      <c r="I8" s="85"/>
      <c r="J8" s="90"/>
      <c r="K8" s="91"/>
      <c r="L8" s="90"/>
      <c r="M8" s="91"/>
      <c r="N8" s="83"/>
      <c r="O8" s="85"/>
      <c r="P8" s="96"/>
      <c r="Q8" s="97"/>
      <c r="S8" s="83"/>
      <c r="T8" s="85"/>
      <c r="U8" s="83"/>
      <c r="V8" s="84"/>
      <c r="W8" s="84"/>
      <c r="X8" s="84"/>
      <c r="Y8" s="84"/>
      <c r="Z8" s="85"/>
      <c r="AA8" s="90"/>
      <c r="AB8" s="91"/>
      <c r="AC8" s="90"/>
      <c r="AD8" s="91"/>
      <c r="AE8" s="83"/>
      <c r="AF8" s="85"/>
      <c r="AG8" s="96"/>
      <c r="AH8" s="97"/>
    </row>
    <row r="9" spans="2:34" x14ac:dyDescent="0.25">
      <c r="B9" s="71"/>
      <c r="C9" s="72"/>
      <c r="D9" s="77"/>
      <c r="E9" s="78"/>
      <c r="F9" s="78"/>
      <c r="G9" s="78"/>
      <c r="H9" s="78"/>
      <c r="I9" s="79"/>
      <c r="J9" s="86"/>
      <c r="K9" s="87"/>
      <c r="L9" s="86"/>
      <c r="M9" s="87"/>
      <c r="N9" s="77"/>
      <c r="O9" s="79"/>
      <c r="P9" s="92"/>
      <c r="Q9" s="93"/>
      <c r="S9" s="77"/>
      <c r="T9" s="79"/>
      <c r="U9" s="77"/>
      <c r="V9" s="78"/>
      <c r="W9" s="78"/>
      <c r="X9" s="78"/>
      <c r="Y9" s="78"/>
      <c r="Z9" s="79"/>
      <c r="AA9" s="86"/>
      <c r="AB9" s="87"/>
      <c r="AC9" s="86"/>
      <c r="AD9" s="87"/>
      <c r="AE9" s="77"/>
      <c r="AF9" s="79"/>
      <c r="AG9" s="92"/>
      <c r="AH9" s="93"/>
    </row>
    <row r="10" spans="2:34" x14ac:dyDescent="0.25">
      <c r="B10" s="73"/>
      <c r="C10" s="74"/>
      <c r="D10" s="80"/>
      <c r="E10" s="81"/>
      <c r="F10" s="81"/>
      <c r="G10" s="81"/>
      <c r="H10" s="81"/>
      <c r="I10" s="82"/>
      <c r="J10" s="88"/>
      <c r="K10" s="89"/>
      <c r="L10" s="88"/>
      <c r="M10" s="89"/>
      <c r="N10" s="80"/>
      <c r="O10" s="82"/>
      <c r="P10" s="94"/>
      <c r="Q10" s="95"/>
      <c r="S10" s="80"/>
      <c r="T10" s="82"/>
      <c r="U10" s="80"/>
      <c r="V10" s="81"/>
      <c r="W10" s="81"/>
      <c r="X10" s="81"/>
      <c r="Y10" s="81"/>
      <c r="Z10" s="82"/>
      <c r="AA10" s="88"/>
      <c r="AB10" s="89"/>
      <c r="AC10" s="88"/>
      <c r="AD10" s="89"/>
      <c r="AE10" s="80"/>
      <c r="AF10" s="82"/>
      <c r="AG10" s="94"/>
      <c r="AH10" s="95"/>
    </row>
    <row r="11" spans="2:34" x14ac:dyDescent="0.25">
      <c r="B11" s="75"/>
      <c r="C11" s="76"/>
      <c r="D11" s="83"/>
      <c r="E11" s="84"/>
      <c r="F11" s="84"/>
      <c r="G11" s="84"/>
      <c r="H11" s="84"/>
      <c r="I11" s="85"/>
      <c r="J11" s="90"/>
      <c r="K11" s="91"/>
      <c r="L11" s="90"/>
      <c r="M11" s="91"/>
      <c r="N11" s="83"/>
      <c r="O11" s="85"/>
      <c r="P11" s="96"/>
      <c r="Q11" s="97"/>
      <c r="S11" s="83"/>
      <c r="T11" s="85"/>
      <c r="U11" s="83"/>
      <c r="V11" s="84"/>
      <c r="W11" s="84"/>
      <c r="X11" s="84"/>
      <c r="Y11" s="84"/>
      <c r="Z11" s="85"/>
      <c r="AA11" s="90"/>
      <c r="AB11" s="91"/>
      <c r="AC11" s="90"/>
      <c r="AD11" s="91"/>
      <c r="AE11" s="83"/>
      <c r="AF11" s="85"/>
      <c r="AG11" s="96"/>
      <c r="AH11" s="97"/>
    </row>
    <row r="12" spans="2:34" x14ac:dyDescent="0.25">
      <c r="B12" s="71"/>
      <c r="C12" s="72"/>
      <c r="D12" s="77"/>
      <c r="E12" s="78"/>
      <c r="F12" s="78"/>
      <c r="G12" s="78"/>
      <c r="H12" s="78"/>
      <c r="I12" s="79"/>
      <c r="J12" s="86"/>
      <c r="K12" s="87"/>
      <c r="L12" s="86"/>
      <c r="M12" s="87"/>
      <c r="N12" s="77"/>
      <c r="O12" s="79"/>
      <c r="P12" s="92"/>
      <c r="Q12" s="93"/>
      <c r="S12" s="77"/>
      <c r="T12" s="79"/>
      <c r="U12" s="77"/>
      <c r="V12" s="78"/>
      <c r="W12" s="78"/>
      <c r="X12" s="78"/>
      <c r="Y12" s="78"/>
      <c r="Z12" s="79"/>
      <c r="AA12" s="86"/>
      <c r="AB12" s="87"/>
      <c r="AC12" s="86"/>
      <c r="AD12" s="87"/>
      <c r="AE12" s="77"/>
      <c r="AF12" s="79"/>
      <c r="AG12" s="92"/>
      <c r="AH12" s="93"/>
    </row>
    <row r="13" spans="2:34" x14ac:dyDescent="0.25">
      <c r="B13" s="73"/>
      <c r="C13" s="74"/>
      <c r="D13" s="80"/>
      <c r="E13" s="81"/>
      <c r="F13" s="81"/>
      <c r="G13" s="81"/>
      <c r="H13" s="81"/>
      <c r="I13" s="82"/>
      <c r="J13" s="88"/>
      <c r="K13" s="89"/>
      <c r="L13" s="88"/>
      <c r="M13" s="89"/>
      <c r="N13" s="80"/>
      <c r="O13" s="82"/>
      <c r="P13" s="94"/>
      <c r="Q13" s="95"/>
      <c r="S13" s="80"/>
      <c r="T13" s="82"/>
      <c r="U13" s="80"/>
      <c r="V13" s="81"/>
      <c r="W13" s="81"/>
      <c r="X13" s="81"/>
      <c r="Y13" s="81"/>
      <c r="Z13" s="82"/>
      <c r="AA13" s="88"/>
      <c r="AB13" s="89"/>
      <c r="AC13" s="88"/>
      <c r="AD13" s="89"/>
      <c r="AE13" s="80"/>
      <c r="AF13" s="82"/>
      <c r="AG13" s="94"/>
      <c r="AH13" s="95"/>
    </row>
    <row r="14" spans="2:34" x14ac:dyDescent="0.25">
      <c r="B14" s="75"/>
      <c r="C14" s="76"/>
      <c r="D14" s="83"/>
      <c r="E14" s="84"/>
      <c r="F14" s="84"/>
      <c r="G14" s="84"/>
      <c r="H14" s="84"/>
      <c r="I14" s="85"/>
      <c r="J14" s="90"/>
      <c r="K14" s="91"/>
      <c r="L14" s="90"/>
      <c r="M14" s="91"/>
      <c r="N14" s="83"/>
      <c r="O14" s="85"/>
      <c r="P14" s="96"/>
      <c r="Q14" s="97"/>
      <c r="S14" s="83"/>
      <c r="T14" s="85"/>
      <c r="U14" s="83"/>
      <c r="V14" s="84"/>
      <c r="W14" s="84"/>
      <c r="X14" s="84"/>
      <c r="Y14" s="84"/>
      <c r="Z14" s="85"/>
      <c r="AA14" s="90"/>
      <c r="AB14" s="91"/>
      <c r="AC14" s="90"/>
      <c r="AD14" s="91"/>
      <c r="AE14" s="83"/>
      <c r="AF14" s="85"/>
      <c r="AG14" s="96"/>
      <c r="AH14" s="97"/>
    </row>
    <row r="15" spans="2:34" x14ac:dyDescent="0.25">
      <c r="B15" s="71"/>
      <c r="C15" s="72"/>
      <c r="D15" s="77"/>
      <c r="E15" s="78"/>
      <c r="F15" s="78"/>
      <c r="G15" s="78"/>
      <c r="H15" s="78"/>
      <c r="I15" s="79"/>
      <c r="J15" s="86"/>
      <c r="K15" s="87"/>
      <c r="L15" s="86"/>
      <c r="M15" s="87"/>
      <c r="N15" s="77"/>
      <c r="O15" s="79"/>
      <c r="P15" s="92"/>
      <c r="Q15" s="93"/>
      <c r="S15" s="77"/>
      <c r="T15" s="79"/>
      <c r="U15" s="77"/>
      <c r="V15" s="78"/>
      <c r="W15" s="78"/>
      <c r="X15" s="78"/>
      <c r="Y15" s="78"/>
      <c r="Z15" s="79"/>
      <c r="AA15" s="86"/>
      <c r="AB15" s="87"/>
      <c r="AC15" s="86"/>
      <c r="AD15" s="87"/>
      <c r="AE15" s="77"/>
      <c r="AF15" s="79"/>
      <c r="AG15" s="92"/>
      <c r="AH15" s="93"/>
    </row>
    <row r="16" spans="2:34" x14ac:dyDescent="0.25">
      <c r="B16" s="73"/>
      <c r="C16" s="74"/>
      <c r="D16" s="80"/>
      <c r="E16" s="81"/>
      <c r="F16" s="81"/>
      <c r="G16" s="81"/>
      <c r="H16" s="81"/>
      <c r="I16" s="82"/>
      <c r="J16" s="88"/>
      <c r="K16" s="89"/>
      <c r="L16" s="88"/>
      <c r="M16" s="89"/>
      <c r="N16" s="80"/>
      <c r="O16" s="82"/>
      <c r="P16" s="94"/>
      <c r="Q16" s="95"/>
      <c r="S16" s="80"/>
      <c r="T16" s="82"/>
      <c r="U16" s="80"/>
      <c r="V16" s="81"/>
      <c r="W16" s="81"/>
      <c r="X16" s="81"/>
      <c r="Y16" s="81"/>
      <c r="Z16" s="82"/>
      <c r="AA16" s="88"/>
      <c r="AB16" s="89"/>
      <c r="AC16" s="88"/>
      <c r="AD16" s="89"/>
      <c r="AE16" s="80"/>
      <c r="AF16" s="82"/>
      <c r="AG16" s="94"/>
      <c r="AH16" s="95"/>
    </row>
    <row r="17" spans="2:34" x14ac:dyDescent="0.25">
      <c r="B17" s="75"/>
      <c r="C17" s="76"/>
      <c r="D17" s="83"/>
      <c r="E17" s="84"/>
      <c r="F17" s="84"/>
      <c r="G17" s="84"/>
      <c r="H17" s="84"/>
      <c r="I17" s="85"/>
      <c r="J17" s="90"/>
      <c r="K17" s="91"/>
      <c r="L17" s="90"/>
      <c r="M17" s="91"/>
      <c r="N17" s="83"/>
      <c r="O17" s="85"/>
      <c r="P17" s="96"/>
      <c r="Q17" s="97"/>
      <c r="S17" s="83"/>
      <c r="T17" s="85"/>
      <c r="U17" s="83"/>
      <c r="V17" s="84"/>
      <c r="W17" s="84"/>
      <c r="X17" s="84"/>
      <c r="Y17" s="84"/>
      <c r="Z17" s="85"/>
      <c r="AA17" s="90"/>
      <c r="AB17" s="91"/>
      <c r="AC17" s="90"/>
      <c r="AD17" s="91"/>
      <c r="AE17" s="83"/>
      <c r="AF17" s="85"/>
      <c r="AG17" s="96"/>
      <c r="AH17" s="97"/>
    </row>
    <row r="18" spans="2:34" x14ac:dyDescent="0.25">
      <c r="B18" s="71"/>
      <c r="C18" s="72"/>
      <c r="D18" s="77"/>
      <c r="E18" s="78"/>
      <c r="F18" s="78"/>
      <c r="G18" s="78"/>
      <c r="H18" s="78"/>
      <c r="I18" s="79"/>
      <c r="J18" s="86"/>
      <c r="K18" s="87"/>
      <c r="L18" s="86"/>
      <c r="M18" s="87"/>
      <c r="N18" s="77"/>
      <c r="O18" s="79"/>
      <c r="P18" s="92"/>
      <c r="Q18" s="93"/>
      <c r="S18" s="77"/>
      <c r="T18" s="79"/>
      <c r="U18" s="77"/>
      <c r="V18" s="78"/>
      <c r="W18" s="78"/>
      <c r="X18" s="78"/>
      <c r="Y18" s="78"/>
      <c r="Z18" s="79"/>
      <c r="AA18" s="86"/>
      <c r="AB18" s="87"/>
      <c r="AC18" s="86"/>
      <c r="AD18" s="87"/>
      <c r="AE18" s="77"/>
      <c r="AF18" s="79"/>
      <c r="AG18" s="92"/>
      <c r="AH18" s="93"/>
    </row>
    <row r="19" spans="2:34" x14ac:dyDescent="0.25">
      <c r="B19" s="73"/>
      <c r="C19" s="74"/>
      <c r="D19" s="80"/>
      <c r="E19" s="81"/>
      <c r="F19" s="81"/>
      <c r="G19" s="81"/>
      <c r="H19" s="81"/>
      <c r="I19" s="82"/>
      <c r="J19" s="88"/>
      <c r="K19" s="89"/>
      <c r="L19" s="88"/>
      <c r="M19" s="89"/>
      <c r="N19" s="80"/>
      <c r="O19" s="82"/>
      <c r="P19" s="94"/>
      <c r="Q19" s="95"/>
      <c r="S19" s="80"/>
      <c r="T19" s="82"/>
      <c r="U19" s="80"/>
      <c r="V19" s="81"/>
      <c r="W19" s="81"/>
      <c r="X19" s="81"/>
      <c r="Y19" s="81"/>
      <c r="Z19" s="82"/>
      <c r="AA19" s="88"/>
      <c r="AB19" s="89"/>
      <c r="AC19" s="88"/>
      <c r="AD19" s="89"/>
      <c r="AE19" s="80"/>
      <c r="AF19" s="82"/>
      <c r="AG19" s="94"/>
      <c r="AH19" s="95"/>
    </row>
    <row r="20" spans="2:34" x14ac:dyDescent="0.25">
      <c r="B20" s="75"/>
      <c r="C20" s="76"/>
      <c r="D20" s="83"/>
      <c r="E20" s="84"/>
      <c r="F20" s="84"/>
      <c r="G20" s="84"/>
      <c r="H20" s="84"/>
      <c r="I20" s="85"/>
      <c r="J20" s="90"/>
      <c r="K20" s="91"/>
      <c r="L20" s="90"/>
      <c r="M20" s="91"/>
      <c r="N20" s="83"/>
      <c r="O20" s="85"/>
      <c r="P20" s="96"/>
      <c r="Q20" s="97"/>
      <c r="S20" s="83"/>
      <c r="T20" s="85"/>
      <c r="U20" s="83"/>
      <c r="V20" s="84"/>
      <c r="W20" s="84"/>
      <c r="X20" s="84"/>
      <c r="Y20" s="84"/>
      <c r="Z20" s="85"/>
      <c r="AA20" s="90"/>
      <c r="AB20" s="91"/>
      <c r="AC20" s="90"/>
      <c r="AD20" s="91"/>
      <c r="AE20" s="83"/>
      <c r="AF20" s="85"/>
      <c r="AG20" s="96"/>
      <c r="AH20" s="97"/>
    </row>
    <row r="21" spans="2:34" x14ac:dyDescent="0.25">
      <c r="B21" s="71"/>
      <c r="C21" s="72"/>
      <c r="D21" s="77"/>
      <c r="E21" s="78"/>
      <c r="F21" s="78"/>
      <c r="G21" s="78"/>
      <c r="H21" s="78"/>
      <c r="I21" s="79"/>
      <c r="J21" s="86"/>
      <c r="K21" s="87"/>
      <c r="L21" s="86"/>
      <c r="M21" s="87"/>
      <c r="N21" s="77"/>
      <c r="O21" s="79"/>
      <c r="P21" s="92"/>
      <c r="Q21" s="93"/>
      <c r="S21" s="77"/>
      <c r="T21" s="79"/>
      <c r="U21" s="77"/>
      <c r="V21" s="78"/>
      <c r="W21" s="78"/>
      <c r="X21" s="78"/>
      <c r="Y21" s="78"/>
      <c r="Z21" s="79"/>
      <c r="AA21" s="86"/>
      <c r="AB21" s="87"/>
      <c r="AC21" s="86"/>
      <c r="AD21" s="87"/>
      <c r="AE21" s="77"/>
      <c r="AF21" s="79"/>
      <c r="AG21" s="92"/>
      <c r="AH21" s="93"/>
    </row>
    <row r="22" spans="2:34" x14ac:dyDescent="0.25">
      <c r="B22" s="73"/>
      <c r="C22" s="74"/>
      <c r="D22" s="80"/>
      <c r="E22" s="81"/>
      <c r="F22" s="81"/>
      <c r="G22" s="81"/>
      <c r="H22" s="81"/>
      <c r="I22" s="82"/>
      <c r="J22" s="88"/>
      <c r="K22" s="89"/>
      <c r="L22" s="88"/>
      <c r="M22" s="89"/>
      <c r="N22" s="80"/>
      <c r="O22" s="82"/>
      <c r="P22" s="94"/>
      <c r="Q22" s="95"/>
      <c r="S22" s="80"/>
      <c r="T22" s="82"/>
      <c r="U22" s="80"/>
      <c r="V22" s="81"/>
      <c r="W22" s="81"/>
      <c r="X22" s="81"/>
      <c r="Y22" s="81"/>
      <c r="Z22" s="82"/>
      <c r="AA22" s="88"/>
      <c r="AB22" s="89"/>
      <c r="AC22" s="88"/>
      <c r="AD22" s="89"/>
      <c r="AE22" s="80"/>
      <c r="AF22" s="82"/>
      <c r="AG22" s="94"/>
      <c r="AH22" s="95"/>
    </row>
    <row r="23" spans="2:34" x14ac:dyDescent="0.25">
      <c r="B23" s="75"/>
      <c r="C23" s="76"/>
      <c r="D23" s="83"/>
      <c r="E23" s="84"/>
      <c r="F23" s="84"/>
      <c r="G23" s="84"/>
      <c r="H23" s="84"/>
      <c r="I23" s="85"/>
      <c r="J23" s="90"/>
      <c r="K23" s="91"/>
      <c r="L23" s="90"/>
      <c r="M23" s="91"/>
      <c r="N23" s="83"/>
      <c r="O23" s="85"/>
      <c r="P23" s="96"/>
      <c r="Q23" s="97"/>
      <c r="S23" s="83"/>
      <c r="T23" s="85"/>
      <c r="U23" s="83"/>
      <c r="V23" s="84"/>
      <c r="W23" s="84"/>
      <c r="X23" s="84"/>
      <c r="Y23" s="84"/>
      <c r="Z23" s="85"/>
      <c r="AA23" s="90"/>
      <c r="AB23" s="91"/>
      <c r="AC23" s="90"/>
      <c r="AD23" s="91"/>
      <c r="AE23" s="83"/>
      <c r="AF23" s="85"/>
      <c r="AG23" s="96"/>
      <c r="AH23" s="97"/>
    </row>
    <row r="24" spans="2:34" x14ac:dyDescent="0.25">
      <c r="B24" s="71"/>
      <c r="C24" s="72"/>
      <c r="D24" s="77"/>
      <c r="E24" s="78"/>
      <c r="F24" s="78"/>
      <c r="G24" s="78"/>
      <c r="H24" s="78"/>
      <c r="I24" s="79"/>
      <c r="J24" s="86"/>
      <c r="K24" s="87"/>
      <c r="L24" s="86"/>
      <c r="M24" s="87"/>
      <c r="N24" s="77"/>
      <c r="O24" s="79"/>
      <c r="P24" s="92"/>
      <c r="Q24" s="93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8"/>
      <c r="AD24" s="98"/>
      <c r="AE24" s="98"/>
      <c r="AF24" s="98"/>
      <c r="AG24" s="98"/>
      <c r="AH24" s="98"/>
    </row>
    <row r="25" spans="2:34" x14ac:dyDescent="0.25">
      <c r="B25" s="73"/>
      <c r="C25" s="74"/>
      <c r="D25" s="80"/>
      <c r="E25" s="81"/>
      <c r="F25" s="81"/>
      <c r="G25" s="81"/>
      <c r="H25" s="81"/>
      <c r="I25" s="82"/>
      <c r="J25" s="88"/>
      <c r="K25" s="89"/>
      <c r="L25" s="88"/>
      <c r="M25" s="89"/>
      <c r="N25" s="80"/>
      <c r="O25" s="82"/>
      <c r="P25" s="94"/>
      <c r="Q25" s="95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8"/>
      <c r="AD25" s="98"/>
      <c r="AE25" s="98"/>
      <c r="AF25" s="98"/>
      <c r="AG25" s="98"/>
      <c r="AH25" s="98"/>
    </row>
    <row r="26" spans="2:34" x14ac:dyDescent="0.25">
      <c r="B26" s="75"/>
      <c r="C26" s="76"/>
      <c r="D26" s="83"/>
      <c r="E26" s="84"/>
      <c r="F26" s="84"/>
      <c r="G26" s="84"/>
      <c r="H26" s="84"/>
      <c r="I26" s="85"/>
      <c r="J26" s="90"/>
      <c r="K26" s="91"/>
      <c r="L26" s="90"/>
      <c r="M26" s="91"/>
      <c r="N26" s="83"/>
      <c r="O26" s="85"/>
      <c r="P26" s="96"/>
      <c r="Q26" s="97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8"/>
      <c r="AD26" s="98"/>
      <c r="AE26" s="98"/>
      <c r="AF26" s="98"/>
      <c r="AG26" s="98"/>
      <c r="AH26" s="98"/>
    </row>
    <row r="27" spans="2:34" x14ac:dyDescent="0.25">
      <c r="B27" s="71"/>
      <c r="C27" s="72"/>
      <c r="D27" s="77"/>
      <c r="E27" s="78"/>
      <c r="F27" s="78"/>
      <c r="G27" s="78"/>
      <c r="H27" s="78"/>
      <c r="I27" s="79"/>
      <c r="J27" s="86"/>
      <c r="K27" s="87"/>
      <c r="L27" s="86"/>
      <c r="M27" s="87"/>
      <c r="N27" s="77"/>
      <c r="O27" s="79"/>
      <c r="P27" s="92"/>
      <c r="Q27" s="93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8"/>
      <c r="AD27" s="98"/>
      <c r="AE27" s="98"/>
      <c r="AF27" s="98"/>
      <c r="AG27" s="98"/>
      <c r="AH27" s="98"/>
    </row>
    <row r="28" spans="2:34" x14ac:dyDescent="0.25">
      <c r="B28" s="73"/>
      <c r="C28" s="74"/>
      <c r="D28" s="80"/>
      <c r="E28" s="81"/>
      <c r="F28" s="81"/>
      <c r="G28" s="81"/>
      <c r="H28" s="81"/>
      <c r="I28" s="82"/>
      <c r="J28" s="88"/>
      <c r="K28" s="89"/>
      <c r="L28" s="88"/>
      <c r="M28" s="89"/>
      <c r="N28" s="80"/>
      <c r="O28" s="82"/>
      <c r="P28" s="94"/>
      <c r="Q28" s="95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8"/>
      <c r="AD28" s="98"/>
      <c r="AE28" s="98"/>
      <c r="AF28" s="98"/>
      <c r="AG28" s="98"/>
      <c r="AH28" s="98"/>
    </row>
    <row r="29" spans="2:34" x14ac:dyDescent="0.25">
      <c r="B29" s="75"/>
      <c r="C29" s="76"/>
      <c r="D29" s="83"/>
      <c r="E29" s="84"/>
      <c r="F29" s="84"/>
      <c r="G29" s="84"/>
      <c r="H29" s="84"/>
      <c r="I29" s="85"/>
      <c r="J29" s="90"/>
      <c r="K29" s="91"/>
      <c r="L29" s="90"/>
      <c r="M29" s="91"/>
      <c r="N29" s="83"/>
      <c r="O29" s="85"/>
      <c r="P29" s="96"/>
      <c r="Q29" s="97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8"/>
      <c r="AD29" s="98"/>
      <c r="AE29" s="98"/>
      <c r="AF29" s="98"/>
      <c r="AG29" s="98"/>
      <c r="AH29" s="98"/>
    </row>
    <row r="30" spans="2:34" x14ac:dyDescent="0.25">
      <c r="B30" s="71"/>
      <c r="C30" s="72"/>
      <c r="D30" s="77"/>
      <c r="E30" s="78"/>
      <c r="F30" s="78"/>
      <c r="G30" s="78"/>
      <c r="H30" s="78"/>
      <c r="I30" s="79"/>
      <c r="J30" s="86"/>
      <c r="K30" s="87"/>
      <c r="L30" s="86"/>
      <c r="M30" s="87"/>
      <c r="N30" s="77"/>
      <c r="O30" s="79"/>
      <c r="P30" s="92"/>
      <c r="Q30" s="93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8"/>
      <c r="AD30" s="98"/>
      <c r="AE30" s="98"/>
      <c r="AF30" s="98"/>
      <c r="AG30" s="98"/>
      <c r="AH30" s="98"/>
    </row>
    <row r="31" spans="2:34" x14ac:dyDescent="0.25">
      <c r="B31" s="73"/>
      <c r="C31" s="74"/>
      <c r="D31" s="80"/>
      <c r="E31" s="81"/>
      <c r="F31" s="81"/>
      <c r="G31" s="81"/>
      <c r="H31" s="81"/>
      <c r="I31" s="82"/>
      <c r="J31" s="88"/>
      <c r="K31" s="89"/>
      <c r="L31" s="88"/>
      <c r="M31" s="89"/>
      <c r="N31" s="80"/>
      <c r="O31" s="82"/>
      <c r="P31" s="94"/>
      <c r="Q31" s="95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8"/>
      <c r="AD31" s="98"/>
      <c r="AE31" s="98"/>
      <c r="AF31" s="98"/>
      <c r="AG31" s="98"/>
      <c r="AH31" s="98"/>
    </row>
    <row r="32" spans="2:34" x14ac:dyDescent="0.25">
      <c r="B32" s="75"/>
      <c r="C32" s="76"/>
      <c r="D32" s="83"/>
      <c r="E32" s="84"/>
      <c r="F32" s="84"/>
      <c r="G32" s="84"/>
      <c r="H32" s="84"/>
      <c r="I32" s="85"/>
      <c r="J32" s="90"/>
      <c r="K32" s="91"/>
      <c r="L32" s="90"/>
      <c r="M32" s="91"/>
      <c r="N32" s="83"/>
      <c r="O32" s="85"/>
      <c r="P32" s="96"/>
      <c r="Q32" s="97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8"/>
      <c r="AD32" s="98"/>
      <c r="AE32" s="98"/>
      <c r="AF32" s="98"/>
      <c r="AG32" s="98"/>
      <c r="AH32" s="98"/>
    </row>
    <row r="33" spans="2:34" x14ac:dyDescent="0.25">
      <c r="B33" s="71"/>
      <c r="C33" s="72"/>
      <c r="D33" s="77"/>
      <c r="E33" s="78"/>
      <c r="F33" s="78"/>
      <c r="G33" s="78"/>
      <c r="H33" s="78"/>
      <c r="I33" s="79"/>
      <c r="J33" s="86"/>
      <c r="K33" s="87"/>
      <c r="L33" s="86"/>
      <c r="M33" s="87"/>
      <c r="N33" s="77"/>
      <c r="O33" s="79"/>
      <c r="P33" s="92"/>
      <c r="Q33" s="93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8"/>
      <c r="AD33" s="98"/>
      <c r="AE33" s="98"/>
      <c r="AF33" s="98"/>
      <c r="AG33" s="98"/>
      <c r="AH33" s="98"/>
    </row>
    <row r="34" spans="2:34" x14ac:dyDescent="0.25">
      <c r="B34" s="73"/>
      <c r="C34" s="74"/>
      <c r="D34" s="80"/>
      <c r="E34" s="81"/>
      <c r="F34" s="81"/>
      <c r="G34" s="81"/>
      <c r="H34" s="81"/>
      <c r="I34" s="82"/>
      <c r="J34" s="88"/>
      <c r="K34" s="89"/>
      <c r="L34" s="88"/>
      <c r="M34" s="89"/>
      <c r="N34" s="80"/>
      <c r="O34" s="82"/>
      <c r="P34" s="94"/>
      <c r="Q34" s="95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8"/>
      <c r="AD34" s="98"/>
      <c r="AE34" s="98"/>
      <c r="AF34" s="98"/>
      <c r="AG34" s="98"/>
      <c r="AH34" s="98"/>
    </row>
    <row r="35" spans="2:34" x14ac:dyDescent="0.25">
      <c r="B35" s="75"/>
      <c r="C35" s="76"/>
      <c r="D35" s="83"/>
      <c r="E35" s="84"/>
      <c r="F35" s="84"/>
      <c r="G35" s="84"/>
      <c r="H35" s="84"/>
      <c r="I35" s="85"/>
      <c r="J35" s="90"/>
      <c r="K35" s="91"/>
      <c r="L35" s="90"/>
      <c r="M35" s="91"/>
      <c r="N35" s="83"/>
      <c r="O35" s="85"/>
      <c r="P35" s="96"/>
      <c r="Q35" s="97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8"/>
      <c r="AD35" s="98"/>
      <c r="AE35" s="98"/>
      <c r="AF35" s="98"/>
      <c r="AG35" s="98"/>
      <c r="AH35" s="98"/>
    </row>
    <row r="36" spans="2:34" x14ac:dyDescent="0.25">
      <c r="B36" s="71"/>
      <c r="C36" s="72"/>
      <c r="D36" s="77"/>
      <c r="E36" s="78"/>
      <c r="F36" s="78"/>
      <c r="G36" s="78"/>
      <c r="H36" s="78"/>
      <c r="I36" s="79"/>
      <c r="J36" s="86"/>
      <c r="K36" s="87"/>
      <c r="L36" s="86"/>
      <c r="M36" s="87"/>
      <c r="N36" s="77"/>
      <c r="O36" s="79"/>
      <c r="P36" s="92"/>
      <c r="Q36" s="93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8"/>
      <c r="AD36" s="98"/>
      <c r="AE36" s="98"/>
      <c r="AF36" s="98"/>
      <c r="AG36" s="98"/>
      <c r="AH36" s="98"/>
    </row>
    <row r="37" spans="2:34" x14ac:dyDescent="0.25">
      <c r="B37" s="73"/>
      <c r="C37" s="74"/>
      <c r="D37" s="80"/>
      <c r="E37" s="81"/>
      <c r="F37" s="81"/>
      <c r="G37" s="81"/>
      <c r="H37" s="81"/>
      <c r="I37" s="82"/>
      <c r="J37" s="88"/>
      <c r="K37" s="89"/>
      <c r="L37" s="88"/>
      <c r="M37" s="89"/>
      <c r="N37" s="80"/>
      <c r="O37" s="82"/>
      <c r="P37" s="94"/>
      <c r="Q37" s="95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8"/>
      <c r="AD37" s="98"/>
      <c r="AE37" s="98"/>
      <c r="AF37" s="98"/>
      <c r="AG37" s="98"/>
      <c r="AH37" s="98"/>
    </row>
    <row r="38" spans="2:34" x14ac:dyDescent="0.25">
      <c r="B38" s="75"/>
      <c r="C38" s="76"/>
      <c r="D38" s="83"/>
      <c r="E38" s="84"/>
      <c r="F38" s="84"/>
      <c r="G38" s="84"/>
      <c r="H38" s="84"/>
      <c r="I38" s="85"/>
      <c r="J38" s="90"/>
      <c r="K38" s="91"/>
      <c r="L38" s="90"/>
      <c r="M38" s="91"/>
      <c r="N38" s="83"/>
      <c r="O38" s="85"/>
      <c r="P38" s="96"/>
      <c r="Q38" s="97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8"/>
      <c r="AD38" s="98"/>
      <c r="AE38" s="98"/>
      <c r="AF38" s="98"/>
      <c r="AG38" s="98"/>
      <c r="AH38" s="98"/>
    </row>
    <row r="39" spans="2:34" x14ac:dyDescent="0.25">
      <c r="B39" s="71"/>
      <c r="C39" s="72"/>
      <c r="D39" s="77"/>
      <c r="E39" s="78"/>
      <c r="F39" s="78"/>
      <c r="G39" s="78"/>
      <c r="H39" s="78"/>
      <c r="I39" s="79"/>
      <c r="J39" s="86"/>
      <c r="K39" s="87"/>
      <c r="L39" s="86"/>
      <c r="M39" s="87"/>
      <c r="N39" s="77"/>
      <c r="O39" s="79"/>
      <c r="P39" s="92"/>
      <c r="Q39" s="93"/>
      <c r="S39" s="99"/>
      <c r="T39" s="99"/>
      <c r="U39" s="99"/>
      <c r="V39" s="99"/>
      <c r="W39" s="99"/>
      <c r="X39" s="99"/>
      <c r="Y39" s="99"/>
      <c r="Z39" s="99"/>
      <c r="AA39" s="99"/>
      <c r="AB39" s="99"/>
      <c r="AC39" s="98"/>
      <c r="AD39" s="98"/>
      <c r="AE39" s="98"/>
      <c r="AF39" s="98"/>
      <c r="AG39" s="98"/>
      <c r="AH39" s="98"/>
    </row>
    <row r="40" spans="2:34" x14ac:dyDescent="0.25">
      <c r="B40" s="73"/>
      <c r="C40" s="74"/>
      <c r="D40" s="80"/>
      <c r="E40" s="81"/>
      <c r="F40" s="81"/>
      <c r="G40" s="81"/>
      <c r="H40" s="81"/>
      <c r="I40" s="82"/>
      <c r="J40" s="88"/>
      <c r="K40" s="89"/>
      <c r="L40" s="88"/>
      <c r="M40" s="89"/>
      <c r="N40" s="80"/>
      <c r="O40" s="82"/>
      <c r="P40" s="94"/>
      <c r="Q40" s="95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8"/>
      <c r="AD40" s="98"/>
      <c r="AE40" s="98"/>
      <c r="AF40" s="98"/>
      <c r="AG40" s="98"/>
      <c r="AH40" s="98"/>
    </row>
    <row r="41" spans="2:34" x14ac:dyDescent="0.25">
      <c r="B41" s="75"/>
      <c r="C41" s="76"/>
      <c r="D41" s="83"/>
      <c r="E41" s="84"/>
      <c r="F41" s="84"/>
      <c r="G41" s="84"/>
      <c r="H41" s="84"/>
      <c r="I41" s="85"/>
      <c r="J41" s="90"/>
      <c r="K41" s="91"/>
      <c r="L41" s="90"/>
      <c r="M41" s="91"/>
      <c r="N41" s="83"/>
      <c r="O41" s="85"/>
      <c r="P41" s="96"/>
      <c r="Q41" s="97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8"/>
      <c r="AD41" s="98"/>
      <c r="AE41" s="98"/>
      <c r="AF41" s="98"/>
      <c r="AG41" s="98"/>
      <c r="AH41" s="98"/>
    </row>
    <row r="42" spans="2:34" x14ac:dyDescent="0.25">
      <c r="B42" s="71"/>
      <c r="C42" s="72"/>
      <c r="D42" s="77"/>
      <c r="E42" s="78"/>
      <c r="F42" s="78"/>
      <c r="G42" s="78"/>
      <c r="H42" s="78"/>
      <c r="I42" s="79"/>
      <c r="J42" s="86"/>
      <c r="K42" s="87"/>
      <c r="L42" s="86"/>
      <c r="M42" s="87"/>
      <c r="N42" s="77"/>
      <c r="O42" s="79"/>
      <c r="P42" s="92"/>
      <c r="Q42" s="93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8"/>
      <c r="AD42" s="98"/>
      <c r="AE42" s="98"/>
      <c r="AF42" s="98"/>
      <c r="AG42" s="98"/>
      <c r="AH42" s="98"/>
    </row>
    <row r="43" spans="2:34" x14ac:dyDescent="0.25">
      <c r="B43" s="73"/>
      <c r="C43" s="74"/>
      <c r="D43" s="80"/>
      <c r="E43" s="81"/>
      <c r="F43" s="81"/>
      <c r="G43" s="81"/>
      <c r="H43" s="81"/>
      <c r="I43" s="82"/>
      <c r="J43" s="88"/>
      <c r="K43" s="89"/>
      <c r="L43" s="88"/>
      <c r="M43" s="89"/>
      <c r="N43" s="80"/>
      <c r="O43" s="82"/>
      <c r="P43" s="94"/>
      <c r="Q43" s="95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8"/>
      <c r="AD43" s="98"/>
      <c r="AE43" s="98"/>
      <c r="AF43" s="98"/>
      <c r="AG43" s="98"/>
      <c r="AH43" s="98"/>
    </row>
    <row r="44" spans="2:34" x14ac:dyDescent="0.25">
      <c r="B44" s="75"/>
      <c r="C44" s="76"/>
      <c r="D44" s="83"/>
      <c r="E44" s="84"/>
      <c r="F44" s="84"/>
      <c r="G44" s="84"/>
      <c r="H44" s="84"/>
      <c r="I44" s="85"/>
      <c r="J44" s="90"/>
      <c r="K44" s="91"/>
      <c r="L44" s="90"/>
      <c r="M44" s="91"/>
      <c r="N44" s="83"/>
      <c r="O44" s="85"/>
      <c r="P44" s="96"/>
      <c r="Q44" s="97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8"/>
      <c r="AD44" s="98"/>
      <c r="AE44" s="98"/>
      <c r="AF44" s="98"/>
      <c r="AG44" s="98"/>
      <c r="AH44" s="98"/>
    </row>
    <row r="45" spans="2:34" x14ac:dyDescent="0.25">
      <c r="B45" s="71"/>
      <c r="C45" s="72"/>
      <c r="D45" s="77"/>
      <c r="E45" s="78"/>
      <c r="F45" s="78"/>
      <c r="G45" s="78"/>
      <c r="H45" s="78"/>
      <c r="I45" s="79"/>
      <c r="J45" s="86"/>
      <c r="K45" s="87"/>
      <c r="L45" s="86"/>
      <c r="M45" s="87"/>
      <c r="N45" s="77"/>
      <c r="O45" s="79"/>
      <c r="P45" s="92"/>
      <c r="Q45" s="93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8"/>
      <c r="AD45" s="98"/>
      <c r="AE45" s="98"/>
      <c r="AF45" s="98"/>
      <c r="AG45" s="98"/>
      <c r="AH45" s="98"/>
    </row>
    <row r="46" spans="2:34" x14ac:dyDescent="0.25">
      <c r="B46" s="73"/>
      <c r="C46" s="74"/>
      <c r="D46" s="80"/>
      <c r="E46" s="81"/>
      <c r="F46" s="81"/>
      <c r="G46" s="81"/>
      <c r="H46" s="81"/>
      <c r="I46" s="82"/>
      <c r="J46" s="88"/>
      <c r="K46" s="89"/>
      <c r="L46" s="88"/>
      <c r="M46" s="89"/>
      <c r="N46" s="80"/>
      <c r="O46" s="82"/>
      <c r="P46" s="94"/>
      <c r="Q46" s="95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8"/>
      <c r="AD46" s="98"/>
      <c r="AE46" s="98"/>
      <c r="AF46" s="98"/>
      <c r="AG46" s="98"/>
      <c r="AH46" s="98"/>
    </row>
    <row r="47" spans="2:34" x14ac:dyDescent="0.25">
      <c r="B47" s="75"/>
      <c r="C47" s="76"/>
      <c r="D47" s="83"/>
      <c r="E47" s="84"/>
      <c r="F47" s="84"/>
      <c r="G47" s="84"/>
      <c r="H47" s="84"/>
      <c r="I47" s="85"/>
      <c r="J47" s="90"/>
      <c r="K47" s="91"/>
      <c r="L47" s="90"/>
      <c r="M47" s="91"/>
      <c r="N47" s="83"/>
      <c r="O47" s="85"/>
      <c r="P47" s="96"/>
      <c r="Q47" s="97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8"/>
      <c r="AD47" s="98"/>
      <c r="AE47" s="98"/>
      <c r="AF47" s="98"/>
      <c r="AG47" s="98"/>
      <c r="AH47" s="98"/>
    </row>
    <row r="48" spans="2:34" x14ac:dyDescent="0.25">
      <c r="B48" s="71"/>
      <c r="C48" s="72"/>
      <c r="D48" s="77"/>
      <c r="E48" s="78"/>
      <c r="F48" s="78"/>
      <c r="G48" s="78"/>
      <c r="H48" s="78"/>
      <c r="I48" s="79"/>
      <c r="J48" s="86"/>
      <c r="K48" s="87"/>
      <c r="L48" s="86"/>
      <c r="M48" s="87"/>
      <c r="N48" s="77"/>
      <c r="O48" s="79"/>
      <c r="P48" s="92"/>
      <c r="Q48" s="93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8"/>
      <c r="AD48" s="98"/>
      <c r="AE48" s="98"/>
      <c r="AF48" s="98"/>
      <c r="AG48" s="98"/>
      <c r="AH48" s="98"/>
    </row>
    <row r="49" spans="2:34" x14ac:dyDescent="0.25">
      <c r="B49" s="73"/>
      <c r="C49" s="74"/>
      <c r="D49" s="80"/>
      <c r="E49" s="81"/>
      <c r="F49" s="81"/>
      <c r="G49" s="81"/>
      <c r="H49" s="81"/>
      <c r="I49" s="82"/>
      <c r="J49" s="88"/>
      <c r="K49" s="89"/>
      <c r="L49" s="88"/>
      <c r="M49" s="89"/>
      <c r="N49" s="80"/>
      <c r="O49" s="82"/>
      <c r="P49" s="94"/>
      <c r="Q49" s="95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8"/>
      <c r="AD49" s="98"/>
      <c r="AE49" s="98"/>
      <c r="AF49" s="98"/>
      <c r="AG49" s="98"/>
      <c r="AH49" s="98"/>
    </row>
    <row r="50" spans="2:34" x14ac:dyDescent="0.25">
      <c r="B50" s="75"/>
      <c r="C50" s="76"/>
      <c r="D50" s="83"/>
      <c r="E50" s="84"/>
      <c r="F50" s="84"/>
      <c r="G50" s="84"/>
      <c r="H50" s="84"/>
      <c r="I50" s="85"/>
      <c r="J50" s="90"/>
      <c r="K50" s="91"/>
      <c r="L50" s="90"/>
      <c r="M50" s="91"/>
      <c r="N50" s="83"/>
      <c r="O50" s="85"/>
      <c r="P50" s="96"/>
      <c r="Q50" s="97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8"/>
      <c r="AD50" s="98"/>
      <c r="AE50" s="98"/>
      <c r="AF50" s="98"/>
      <c r="AG50" s="98"/>
      <c r="AH50" s="98"/>
    </row>
    <row r="51" spans="2:34" x14ac:dyDescent="0.25">
      <c r="B51" s="71"/>
      <c r="C51" s="72"/>
      <c r="D51" s="77"/>
      <c r="E51" s="78"/>
      <c r="F51" s="78"/>
      <c r="G51" s="78"/>
      <c r="H51" s="78"/>
      <c r="I51" s="79"/>
      <c r="J51" s="86"/>
      <c r="K51" s="87"/>
      <c r="L51" s="86"/>
      <c r="M51" s="87"/>
      <c r="N51" s="77"/>
      <c r="O51" s="79"/>
      <c r="P51" s="92"/>
      <c r="Q51" s="93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8"/>
      <c r="AD51" s="98"/>
      <c r="AE51" s="98"/>
      <c r="AF51" s="98"/>
      <c r="AG51" s="98"/>
      <c r="AH51" s="98"/>
    </row>
    <row r="52" spans="2:34" x14ac:dyDescent="0.25">
      <c r="B52" s="73"/>
      <c r="C52" s="74"/>
      <c r="D52" s="80"/>
      <c r="E52" s="81"/>
      <c r="F52" s="81"/>
      <c r="G52" s="81"/>
      <c r="H52" s="81"/>
      <c r="I52" s="82"/>
      <c r="J52" s="88"/>
      <c r="K52" s="89"/>
      <c r="L52" s="88"/>
      <c r="M52" s="89"/>
      <c r="N52" s="80"/>
      <c r="O52" s="82"/>
      <c r="P52" s="94"/>
      <c r="Q52" s="95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8"/>
      <c r="AD52" s="98"/>
      <c r="AE52" s="98"/>
      <c r="AF52" s="98"/>
      <c r="AG52" s="98"/>
      <c r="AH52" s="98"/>
    </row>
    <row r="53" spans="2:34" x14ac:dyDescent="0.25">
      <c r="B53" s="75"/>
      <c r="C53" s="76"/>
      <c r="D53" s="83"/>
      <c r="E53" s="84"/>
      <c r="F53" s="84"/>
      <c r="G53" s="84"/>
      <c r="H53" s="84"/>
      <c r="I53" s="85"/>
      <c r="J53" s="90"/>
      <c r="K53" s="91"/>
      <c r="L53" s="90"/>
      <c r="M53" s="91"/>
      <c r="N53" s="83"/>
      <c r="O53" s="85"/>
      <c r="P53" s="96"/>
      <c r="Q53" s="97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8"/>
      <c r="AD53" s="98"/>
      <c r="AE53" s="98"/>
      <c r="AF53" s="98"/>
      <c r="AG53" s="98"/>
      <c r="AH53" s="98"/>
    </row>
    <row r="54" spans="2:34" x14ac:dyDescent="0.25">
      <c r="B54" s="71"/>
      <c r="C54" s="72"/>
      <c r="D54" s="77"/>
      <c r="E54" s="78"/>
      <c r="F54" s="78"/>
      <c r="G54" s="78"/>
      <c r="H54" s="78"/>
      <c r="I54" s="79"/>
      <c r="J54" s="86"/>
      <c r="K54" s="87"/>
      <c r="L54" s="86"/>
      <c r="M54" s="87"/>
      <c r="N54" s="77"/>
      <c r="O54" s="79"/>
      <c r="P54" s="92"/>
      <c r="Q54" s="93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8"/>
      <c r="AD54" s="98"/>
      <c r="AE54" s="98"/>
      <c r="AF54" s="98"/>
      <c r="AG54" s="98"/>
      <c r="AH54" s="98"/>
    </row>
    <row r="55" spans="2:34" x14ac:dyDescent="0.25">
      <c r="B55" s="73"/>
      <c r="C55" s="74"/>
      <c r="D55" s="80"/>
      <c r="E55" s="81"/>
      <c r="F55" s="81"/>
      <c r="G55" s="81"/>
      <c r="H55" s="81"/>
      <c r="I55" s="82"/>
      <c r="J55" s="88"/>
      <c r="K55" s="89"/>
      <c r="L55" s="88"/>
      <c r="M55" s="89"/>
      <c r="N55" s="80"/>
      <c r="O55" s="82"/>
      <c r="P55" s="94"/>
      <c r="Q55" s="95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8"/>
      <c r="AD55" s="98"/>
      <c r="AE55" s="98"/>
      <c r="AF55" s="98"/>
      <c r="AG55" s="98"/>
      <c r="AH55" s="98"/>
    </row>
    <row r="56" spans="2:34" x14ac:dyDescent="0.25">
      <c r="B56" s="75"/>
      <c r="C56" s="76"/>
      <c r="D56" s="83"/>
      <c r="E56" s="84"/>
      <c r="F56" s="84"/>
      <c r="G56" s="84"/>
      <c r="H56" s="84"/>
      <c r="I56" s="85"/>
      <c r="J56" s="90"/>
      <c r="K56" s="91"/>
      <c r="L56" s="90"/>
      <c r="M56" s="91"/>
      <c r="N56" s="83"/>
      <c r="O56" s="85"/>
      <c r="P56" s="96"/>
      <c r="Q56" s="97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8"/>
      <c r="AD56" s="98"/>
      <c r="AE56" s="98"/>
      <c r="AF56" s="98"/>
      <c r="AG56" s="98"/>
      <c r="AH56" s="98"/>
    </row>
    <row r="57" spans="2:34" x14ac:dyDescent="0.25">
      <c r="B57" s="71"/>
      <c r="C57" s="72"/>
      <c r="D57" s="77"/>
      <c r="E57" s="78"/>
      <c r="F57" s="78"/>
      <c r="G57" s="78"/>
      <c r="H57" s="78"/>
      <c r="I57" s="79"/>
      <c r="J57" s="86"/>
      <c r="K57" s="87"/>
      <c r="L57" s="86"/>
      <c r="M57" s="87"/>
      <c r="N57" s="77"/>
      <c r="O57" s="79"/>
      <c r="P57" s="92"/>
      <c r="Q57" s="93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8"/>
      <c r="AD57" s="98"/>
      <c r="AE57" s="98"/>
      <c r="AF57" s="98"/>
      <c r="AG57" s="98"/>
      <c r="AH57" s="98"/>
    </row>
    <row r="58" spans="2:34" x14ac:dyDescent="0.25">
      <c r="B58" s="73"/>
      <c r="C58" s="74"/>
      <c r="D58" s="80"/>
      <c r="E58" s="81"/>
      <c r="F58" s="81"/>
      <c r="G58" s="81"/>
      <c r="H58" s="81"/>
      <c r="I58" s="82"/>
      <c r="J58" s="88"/>
      <c r="K58" s="89"/>
      <c r="L58" s="88"/>
      <c r="M58" s="89"/>
      <c r="N58" s="80"/>
      <c r="O58" s="82"/>
      <c r="P58" s="94"/>
      <c r="Q58" s="95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8"/>
      <c r="AD58" s="98"/>
      <c r="AE58" s="98"/>
      <c r="AF58" s="98"/>
      <c r="AG58" s="98"/>
      <c r="AH58" s="98"/>
    </row>
    <row r="59" spans="2:34" x14ac:dyDescent="0.25">
      <c r="B59" s="75"/>
      <c r="C59" s="76"/>
      <c r="D59" s="83"/>
      <c r="E59" s="84"/>
      <c r="F59" s="84"/>
      <c r="G59" s="84"/>
      <c r="H59" s="84"/>
      <c r="I59" s="85"/>
      <c r="J59" s="90"/>
      <c r="K59" s="91"/>
      <c r="L59" s="90"/>
      <c r="M59" s="91"/>
      <c r="N59" s="83"/>
      <c r="O59" s="85"/>
      <c r="P59" s="96"/>
      <c r="Q59" s="97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8"/>
      <c r="AD59" s="98"/>
      <c r="AE59" s="98"/>
      <c r="AF59" s="98"/>
      <c r="AG59" s="98"/>
      <c r="AH59" s="98"/>
    </row>
    <row r="60" spans="2:34" x14ac:dyDescent="0.25">
      <c r="B60" s="71"/>
      <c r="C60" s="72"/>
      <c r="D60" s="77"/>
      <c r="E60" s="78"/>
      <c r="F60" s="78"/>
      <c r="G60" s="78"/>
      <c r="H60" s="78"/>
      <c r="I60" s="79"/>
      <c r="J60" s="86"/>
      <c r="K60" s="87"/>
      <c r="L60" s="86"/>
      <c r="M60" s="87"/>
      <c r="N60" s="77"/>
      <c r="O60" s="79"/>
      <c r="P60" s="92"/>
      <c r="Q60" s="93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8"/>
      <c r="AD60" s="98"/>
      <c r="AE60" s="98"/>
      <c r="AF60" s="98"/>
      <c r="AG60" s="98"/>
      <c r="AH60" s="98"/>
    </row>
    <row r="61" spans="2:34" x14ac:dyDescent="0.25">
      <c r="B61" s="73"/>
      <c r="C61" s="74"/>
      <c r="D61" s="80"/>
      <c r="E61" s="81"/>
      <c r="F61" s="81"/>
      <c r="G61" s="81"/>
      <c r="H61" s="81"/>
      <c r="I61" s="82"/>
      <c r="J61" s="88"/>
      <c r="K61" s="89"/>
      <c r="L61" s="88"/>
      <c r="M61" s="89"/>
      <c r="N61" s="80"/>
      <c r="O61" s="82"/>
      <c r="P61" s="94"/>
      <c r="Q61" s="95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8"/>
      <c r="AD61" s="98"/>
      <c r="AE61" s="98"/>
      <c r="AF61" s="98"/>
      <c r="AG61" s="98"/>
      <c r="AH61" s="98"/>
    </row>
    <row r="62" spans="2:34" x14ac:dyDescent="0.25">
      <c r="B62" s="75"/>
      <c r="C62" s="76"/>
      <c r="D62" s="83"/>
      <c r="E62" s="84"/>
      <c r="F62" s="84"/>
      <c r="G62" s="84"/>
      <c r="H62" s="84"/>
      <c r="I62" s="85"/>
      <c r="J62" s="90"/>
      <c r="K62" s="91"/>
      <c r="L62" s="90"/>
      <c r="M62" s="91"/>
      <c r="N62" s="83"/>
      <c r="O62" s="85"/>
      <c r="P62" s="96"/>
      <c r="Q62" s="97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8"/>
      <c r="AD62" s="98"/>
      <c r="AE62" s="98"/>
      <c r="AF62" s="98"/>
      <c r="AG62" s="98"/>
      <c r="AH62" s="98"/>
    </row>
    <row r="63" spans="2:34" x14ac:dyDescent="0.25">
      <c r="B63" s="71"/>
      <c r="C63" s="72"/>
      <c r="D63" s="77"/>
      <c r="E63" s="78"/>
      <c r="F63" s="78"/>
      <c r="G63" s="78"/>
      <c r="H63" s="78"/>
      <c r="I63" s="79"/>
      <c r="J63" s="86"/>
      <c r="K63" s="87"/>
      <c r="L63" s="86"/>
      <c r="M63" s="87"/>
      <c r="N63" s="77"/>
      <c r="O63" s="79"/>
      <c r="P63" s="92"/>
      <c r="Q63" s="93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8"/>
      <c r="AD63" s="98"/>
      <c r="AE63" s="98"/>
      <c r="AF63" s="98"/>
      <c r="AG63" s="98"/>
      <c r="AH63" s="98"/>
    </row>
    <row r="64" spans="2:34" x14ac:dyDescent="0.25">
      <c r="B64" s="73"/>
      <c r="C64" s="74"/>
      <c r="D64" s="80"/>
      <c r="E64" s="81"/>
      <c r="F64" s="81"/>
      <c r="G64" s="81"/>
      <c r="H64" s="81"/>
      <c r="I64" s="82"/>
      <c r="J64" s="88"/>
      <c r="K64" s="89"/>
      <c r="L64" s="88"/>
      <c r="M64" s="89"/>
      <c r="N64" s="80"/>
      <c r="O64" s="82"/>
      <c r="P64" s="94"/>
      <c r="Q64" s="95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8"/>
      <c r="AD64" s="98"/>
      <c r="AE64" s="98"/>
      <c r="AF64" s="98"/>
      <c r="AG64" s="98"/>
      <c r="AH64" s="98"/>
    </row>
    <row r="65" spans="2:34" x14ac:dyDescent="0.25">
      <c r="B65" s="75"/>
      <c r="C65" s="76"/>
      <c r="D65" s="83"/>
      <c r="E65" s="84"/>
      <c r="F65" s="84"/>
      <c r="G65" s="84"/>
      <c r="H65" s="84"/>
      <c r="I65" s="85"/>
      <c r="J65" s="90"/>
      <c r="K65" s="91"/>
      <c r="L65" s="90"/>
      <c r="M65" s="91"/>
      <c r="N65" s="83"/>
      <c r="O65" s="85"/>
      <c r="P65" s="96"/>
      <c r="Q65" s="97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8"/>
      <c r="AD65" s="98"/>
      <c r="AE65" s="98"/>
      <c r="AF65" s="98"/>
      <c r="AG65" s="98"/>
      <c r="AH65" s="98"/>
    </row>
    <row r="66" spans="2:34" x14ac:dyDescent="0.25">
      <c r="B66" s="71"/>
      <c r="C66" s="72"/>
      <c r="D66" s="77"/>
      <c r="E66" s="78"/>
      <c r="F66" s="78"/>
      <c r="G66" s="78"/>
      <c r="H66" s="78"/>
      <c r="I66" s="79"/>
      <c r="J66" s="86"/>
      <c r="K66" s="87"/>
      <c r="L66" s="86"/>
      <c r="M66" s="87"/>
      <c r="N66" s="77"/>
      <c r="O66" s="79"/>
      <c r="P66" s="92"/>
      <c r="Q66" s="93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8"/>
      <c r="AD66" s="98"/>
      <c r="AE66" s="98"/>
      <c r="AF66" s="98"/>
      <c r="AG66" s="98"/>
      <c r="AH66" s="98"/>
    </row>
    <row r="67" spans="2:34" x14ac:dyDescent="0.25">
      <c r="B67" s="73"/>
      <c r="C67" s="74"/>
      <c r="D67" s="80"/>
      <c r="E67" s="81"/>
      <c r="F67" s="81"/>
      <c r="G67" s="81"/>
      <c r="H67" s="81"/>
      <c r="I67" s="82"/>
      <c r="J67" s="88"/>
      <c r="K67" s="89"/>
      <c r="L67" s="88"/>
      <c r="M67" s="89"/>
      <c r="N67" s="80"/>
      <c r="O67" s="82"/>
      <c r="P67" s="94"/>
      <c r="Q67" s="95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8"/>
      <c r="AD67" s="98"/>
      <c r="AE67" s="98"/>
      <c r="AF67" s="98"/>
      <c r="AG67" s="98"/>
      <c r="AH67" s="98"/>
    </row>
    <row r="68" spans="2:34" x14ac:dyDescent="0.25">
      <c r="B68" s="75"/>
      <c r="C68" s="76"/>
      <c r="D68" s="83"/>
      <c r="E68" s="84"/>
      <c r="F68" s="84"/>
      <c r="G68" s="84"/>
      <c r="H68" s="84"/>
      <c r="I68" s="85"/>
      <c r="J68" s="90"/>
      <c r="K68" s="91"/>
      <c r="L68" s="90"/>
      <c r="M68" s="91"/>
      <c r="N68" s="83"/>
      <c r="O68" s="85"/>
      <c r="P68" s="96"/>
      <c r="Q68" s="97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8"/>
      <c r="AD68" s="98"/>
      <c r="AE68" s="98"/>
      <c r="AF68" s="98"/>
      <c r="AG68" s="98"/>
      <c r="AH68" s="98"/>
    </row>
    <row r="69" spans="2:34" x14ac:dyDescent="0.25">
      <c r="B69" s="71"/>
      <c r="C69" s="72"/>
      <c r="D69" s="77"/>
      <c r="E69" s="78"/>
      <c r="F69" s="78"/>
      <c r="G69" s="78"/>
      <c r="H69" s="78"/>
      <c r="I69" s="79"/>
      <c r="J69" s="86"/>
      <c r="K69" s="87"/>
      <c r="L69" s="86"/>
      <c r="M69" s="87"/>
      <c r="N69" s="77"/>
      <c r="O69" s="79"/>
      <c r="P69" s="92"/>
      <c r="Q69" s="93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8"/>
      <c r="AD69" s="98"/>
      <c r="AE69" s="98"/>
      <c r="AF69" s="98"/>
      <c r="AG69" s="98"/>
      <c r="AH69" s="98"/>
    </row>
    <row r="70" spans="2:34" x14ac:dyDescent="0.25">
      <c r="B70" s="73"/>
      <c r="C70" s="74"/>
      <c r="D70" s="80"/>
      <c r="E70" s="81"/>
      <c r="F70" s="81"/>
      <c r="G70" s="81"/>
      <c r="H70" s="81"/>
      <c r="I70" s="82"/>
      <c r="J70" s="88"/>
      <c r="K70" s="89"/>
      <c r="L70" s="88"/>
      <c r="M70" s="89"/>
      <c r="N70" s="80"/>
      <c r="O70" s="82"/>
      <c r="P70" s="94"/>
      <c r="Q70" s="95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8"/>
      <c r="AD70" s="98"/>
      <c r="AE70" s="98"/>
      <c r="AF70" s="98"/>
      <c r="AG70" s="98"/>
      <c r="AH70" s="98"/>
    </row>
    <row r="71" spans="2:34" x14ac:dyDescent="0.25">
      <c r="B71" s="75"/>
      <c r="C71" s="76"/>
      <c r="D71" s="83"/>
      <c r="E71" s="84"/>
      <c r="F71" s="84"/>
      <c r="G71" s="84"/>
      <c r="H71" s="84"/>
      <c r="I71" s="85"/>
      <c r="J71" s="90"/>
      <c r="K71" s="91"/>
      <c r="L71" s="90"/>
      <c r="M71" s="91"/>
      <c r="N71" s="83"/>
      <c r="O71" s="85"/>
      <c r="P71" s="96"/>
      <c r="Q71" s="97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8"/>
      <c r="AD71" s="98"/>
      <c r="AE71" s="98"/>
      <c r="AF71" s="98"/>
      <c r="AG71" s="98"/>
      <c r="AH71" s="98"/>
    </row>
    <row r="72" spans="2:34" x14ac:dyDescent="0.25">
      <c r="B72" s="71"/>
      <c r="C72" s="72"/>
      <c r="D72" s="77"/>
      <c r="E72" s="78"/>
      <c r="F72" s="78"/>
      <c r="G72" s="78"/>
      <c r="H72" s="78"/>
      <c r="I72" s="79"/>
      <c r="J72" s="86"/>
      <c r="K72" s="87"/>
      <c r="L72" s="86"/>
      <c r="M72" s="87"/>
      <c r="N72" s="77"/>
      <c r="O72" s="79"/>
      <c r="P72" s="92"/>
      <c r="Q72" s="93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8"/>
      <c r="AD72" s="98"/>
      <c r="AE72" s="98"/>
      <c r="AF72" s="98"/>
      <c r="AG72" s="98"/>
      <c r="AH72" s="98"/>
    </row>
    <row r="73" spans="2:34" x14ac:dyDescent="0.25">
      <c r="B73" s="73"/>
      <c r="C73" s="74"/>
      <c r="D73" s="80"/>
      <c r="E73" s="81"/>
      <c r="F73" s="81"/>
      <c r="G73" s="81"/>
      <c r="H73" s="81"/>
      <c r="I73" s="82"/>
      <c r="J73" s="88"/>
      <c r="K73" s="89"/>
      <c r="L73" s="88"/>
      <c r="M73" s="89"/>
      <c r="N73" s="80"/>
      <c r="O73" s="82"/>
      <c r="P73" s="94"/>
      <c r="Q73" s="95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8"/>
      <c r="AD73" s="98"/>
      <c r="AE73" s="98"/>
      <c r="AF73" s="98"/>
      <c r="AG73" s="98"/>
      <c r="AH73" s="98"/>
    </row>
    <row r="74" spans="2:34" x14ac:dyDescent="0.25">
      <c r="B74" s="75"/>
      <c r="C74" s="76"/>
      <c r="D74" s="83"/>
      <c r="E74" s="84"/>
      <c r="F74" s="84"/>
      <c r="G74" s="84"/>
      <c r="H74" s="84"/>
      <c r="I74" s="85"/>
      <c r="J74" s="90"/>
      <c r="K74" s="91"/>
      <c r="L74" s="90"/>
      <c r="M74" s="91"/>
      <c r="N74" s="83"/>
      <c r="O74" s="85"/>
      <c r="P74" s="96"/>
      <c r="Q74" s="97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8"/>
      <c r="AD74" s="98"/>
      <c r="AE74" s="98"/>
      <c r="AF74" s="98"/>
      <c r="AG74" s="98"/>
      <c r="AH74" s="98"/>
    </row>
    <row r="75" spans="2:34" x14ac:dyDescent="0.25">
      <c r="B75" s="71"/>
      <c r="C75" s="72"/>
      <c r="D75" s="77"/>
      <c r="E75" s="78"/>
      <c r="F75" s="78"/>
      <c r="G75" s="78"/>
      <c r="H75" s="78"/>
      <c r="I75" s="79"/>
      <c r="J75" s="86"/>
      <c r="K75" s="87"/>
      <c r="L75" s="86"/>
      <c r="M75" s="87"/>
      <c r="N75" s="77"/>
      <c r="O75" s="79"/>
      <c r="P75" s="92"/>
      <c r="Q75" s="93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8"/>
      <c r="AD75" s="98"/>
      <c r="AE75" s="98"/>
      <c r="AF75" s="98"/>
      <c r="AG75" s="98"/>
      <c r="AH75" s="98"/>
    </row>
    <row r="76" spans="2:34" x14ac:dyDescent="0.25">
      <c r="B76" s="73"/>
      <c r="C76" s="74"/>
      <c r="D76" s="80"/>
      <c r="E76" s="81"/>
      <c r="F76" s="81"/>
      <c r="G76" s="81"/>
      <c r="H76" s="81"/>
      <c r="I76" s="82"/>
      <c r="J76" s="88"/>
      <c r="K76" s="89"/>
      <c r="L76" s="88"/>
      <c r="M76" s="89"/>
      <c r="N76" s="80"/>
      <c r="O76" s="82"/>
      <c r="P76" s="94"/>
      <c r="Q76" s="95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8"/>
      <c r="AD76" s="98"/>
      <c r="AE76" s="98"/>
      <c r="AF76" s="98"/>
      <c r="AG76" s="98"/>
      <c r="AH76" s="98"/>
    </row>
    <row r="77" spans="2:34" x14ac:dyDescent="0.25">
      <c r="B77" s="75"/>
      <c r="C77" s="76"/>
      <c r="D77" s="83"/>
      <c r="E77" s="84"/>
      <c r="F77" s="84"/>
      <c r="G77" s="84"/>
      <c r="H77" s="84"/>
      <c r="I77" s="85"/>
      <c r="J77" s="90"/>
      <c r="K77" s="91"/>
      <c r="L77" s="90"/>
      <c r="M77" s="91"/>
      <c r="N77" s="83"/>
      <c r="O77" s="85"/>
      <c r="P77" s="96"/>
      <c r="Q77" s="97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8"/>
      <c r="AD77" s="98"/>
      <c r="AE77" s="98"/>
      <c r="AF77" s="98"/>
      <c r="AG77" s="98"/>
      <c r="AH77" s="98"/>
    </row>
    <row r="78" spans="2:34" x14ac:dyDescent="0.25">
      <c r="B78" s="71"/>
      <c r="C78" s="72"/>
      <c r="D78" s="77"/>
      <c r="E78" s="78"/>
      <c r="F78" s="78"/>
      <c r="G78" s="78"/>
      <c r="H78" s="78"/>
      <c r="I78" s="79"/>
      <c r="J78" s="86"/>
      <c r="K78" s="87"/>
      <c r="L78" s="86"/>
      <c r="M78" s="87"/>
      <c r="N78" s="77"/>
      <c r="O78" s="79"/>
      <c r="P78" s="92"/>
      <c r="Q78" s="93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8"/>
      <c r="AD78" s="98"/>
      <c r="AE78" s="98"/>
      <c r="AF78" s="98"/>
      <c r="AG78" s="98"/>
      <c r="AH78" s="98"/>
    </row>
    <row r="79" spans="2:34" x14ac:dyDescent="0.25">
      <c r="B79" s="73"/>
      <c r="C79" s="74"/>
      <c r="D79" s="80"/>
      <c r="E79" s="81"/>
      <c r="F79" s="81"/>
      <c r="G79" s="81"/>
      <c r="H79" s="81"/>
      <c r="I79" s="82"/>
      <c r="J79" s="88"/>
      <c r="K79" s="89"/>
      <c r="L79" s="88"/>
      <c r="M79" s="89"/>
      <c r="N79" s="80"/>
      <c r="O79" s="82"/>
      <c r="P79" s="94"/>
      <c r="Q79" s="95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8"/>
      <c r="AD79" s="98"/>
      <c r="AE79" s="98"/>
      <c r="AF79" s="98"/>
      <c r="AG79" s="98"/>
      <c r="AH79" s="98"/>
    </row>
    <row r="80" spans="2:34" x14ac:dyDescent="0.25">
      <c r="B80" s="75"/>
      <c r="C80" s="76"/>
      <c r="D80" s="83"/>
      <c r="E80" s="84"/>
      <c r="F80" s="84"/>
      <c r="G80" s="84"/>
      <c r="H80" s="84"/>
      <c r="I80" s="85"/>
      <c r="J80" s="90"/>
      <c r="K80" s="91"/>
      <c r="L80" s="90"/>
      <c r="M80" s="91"/>
      <c r="N80" s="83"/>
      <c r="O80" s="85"/>
      <c r="P80" s="96"/>
      <c r="Q80" s="97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8"/>
      <c r="AD80" s="98"/>
      <c r="AE80" s="98"/>
      <c r="AF80" s="98"/>
      <c r="AG80" s="98"/>
      <c r="AH80" s="98"/>
    </row>
    <row r="81" spans="2:34" x14ac:dyDescent="0.25">
      <c r="B81" s="71"/>
      <c r="C81" s="72"/>
      <c r="D81" s="77"/>
      <c r="E81" s="78"/>
      <c r="F81" s="78"/>
      <c r="G81" s="78"/>
      <c r="H81" s="78"/>
      <c r="I81" s="79"/>
      <c r="J81" s="86"/>
      <c r="K81" s="87"/>
      <c r="L81" s="86"/>
      <c r="M81" s="87"/>
      <c r="N81" s="77"/>
      <c r="O81" s="79"/>
      <c r="P81" s="92"/>
      <c r="Q81" s="93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8"/>
      <c r="AD81" s="98"/>
      <c r="AE81" s="98"/>
      <c r="AF81" s="98"/>
      <c r="AG81" s="98"/>
      <c r="AH81" s="98"/>
    </row>
    <row r="82" spans="2:34" x14ac:dyDescent="0.25">
      <c r="B82" s="73"/>
      <c r="C82" s="74"/>
      <c r="D82" s="80"/>
      <c r="E82" s="81"/>
      <c r="F82" s="81"/>
      <c r="G82" s="81"/>
      <c r="H82" s="81"/>
      <c r="I82" s="82"/>
      <c r="J82" s="88"/>
      <c r="K82" s="89"/>
      <c r="L82" s="88"/>
      <c r="M82" s="89"/>
      <c r="N82" s="80"/>
      <c r="O82" s="82"/>
      <c r="P82" s="94"/>
      <c r="Q82" s="95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8"/>
      <c r="AD82" s="98"/>
      <c r="AE82" s="98"/>
      <c r="AF82" s="98"/>
      <c r="AG82" s="98"/>
      <c r="AH82" s="98"/>
    </row>
    <row r="83" spans="2:34" x14ac:dyDescent="0.25">
      <c r="B83" s="75"/>
      <c r="C83" s="76"/>
      <c r="D83" s="83"/>
      <c r="E83" s="84"/>
      <c r="F83" s="84"/>
      <c r="G83" s="84"/>
      <c r="H83" s="84"/>
      <c r="I83" s="85"/>
      <c r="J83" s="90"/>
      <c r="K83" s="91"/>
      <c r="L83" s="90"/>
      <c r="M83" s="91"/>
      <c r="N83" s="83"/>
      <c r="O83" s="85"/>
      <c r="P83" s="96"/>
      <c r="Q83" s="97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8"/>
      <c r="AD83" s="98"/>
      <c r="AE83" s="98"/>
      <c r="AF83" s="98"/>
      <c r="AG83" s="98"/>
      <c r="AH83" s="98"/>
    </row>
    <row r="84" spans="2:34" x14ac:dyDescent="0.25">
      <c r="B84" s="71"/>
      <c r="C84" s="72"/>
      <c r="D84" s="77"/>
      <c r="E84" s="78"/>
      <c r="F84" s="78"/>
      <c r="G84" s="78"/>
      <c r="H84" s="78"/>
      <c r="I84" s="79"/>
      <c r="J84" s="86"/>
      <c r="K84" s="87"/>
      <c r="L84" s="86"/>
      <c r="M84" s="87"/>
      <c r="N84" s="77"/>
      <c r="O84" s="79"/>
      <c r="P84" s="92"/>
      <c r="Q84" s="93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8"/>
      <c r="AD84" s="98"/>
      <c r="AE84" s="98"/>
      <c r="AF84" s="98"/>
      <c r="AG84" s="98"/>
      <c r="AH84" s="98"/>
    </row>
    <row r="85" spans="2:34" x14ac:dyDescent="0.25">
      <c r="B85" s="73"/>
      <c r="C85" s="74"/>
      <c r="D85" s="80"/>
      <c r="E85" s="81"/>
      <c r="F85" s="81"/>
      <c r="G85" s="81"/>
      <c r="H85" s="81"/>
      <c r="I85" s="82"/>
      <c r="J85" s="88"/>
      <c r="K85" s="89"/>
      <c r="L85" s="88"/>
      <c r="M85" s="89"/>
      <c r="N85" s="80"/>
      <c r="O85" s="82"/>
      <c r="P85" s="94"/>
      <c r="Q85" s="95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8"/>
      <c r="AD85" s="98"/>
      <c r="AE85" s="98"/>
      <c r="AF85" s="98"/>
      <c r="AG85" s="98"/>
      <c r="AH85" s="98"/>
    </row>
    <row r="86" spans="2:34" x14ac:dyDescent="0.25">
      <c r="B86" s="75"/>
      <c r="C86" s="76"/>
      <c r="D86" s="83"/>
      <c r="E86" s="84"/>
      <c r="F86" s="84"/>
      <c r="G86" s="84"/>
      <c r="H86" s="84"/>
      <c r="I86" s="85"/>
      <c r="J86" s="90"/>
      <c r="K86" s="91"/>
      <c r="L86" s="90"/>
      <c r="M86" s="91"/>
      <c r="N86" s="83"/>
      <c r="O86" s="85"/>
      <c r="P86" s="96"/>
      <c r="Q86" s="97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8"/>
      <c r="AD86" s="98"/>
      <c r="AE86" s="98"/>
      <c r="AF86" s="98"/>
      <c r="AG86" s="98"/>
      <c r="AH86" s="98"/>
    </row>
    <row r="87" spans="2:34" x14ac:dyDescent="0.25">
      <c r="B87" s="71"/>
      <c r="C87" s="72"/>
      <c r="D87" s="77"/>
      <c r="E87" s="78"/>
      <c r="F87" s="78"/>
      <c r="G87" s="78"/>
      <c r="H87" s="78"/>
      <c r="I87" s="79"/>
      <c r="J87" s="86"/>
      <c r="K87" s="87"/>
      <c r="L87" s="86"/>
      <c r="M87" s="87"/>
      <c r="N87" s="77"/>
      <c r="O87" s="79"/>
      <c r="P87" s="92"/>
      <c r="Q87" s="93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8"/>
      <c r="AD87" s="98"/>
      <c r="AE87" s="98"/>
      <c r="AF87" s="98"/>
      <c r="AG87" s="98"/>
      <c r="AH87" s="98"/>
    </row>
    <row r="88" spans="2:34" x14ac:dyDescent="0.25">
      <c r="B88" s="73"/>
      <c r="C88" s="74"/>
      <c r="D88" s="80"/>
      <c r="E88" s="81"/>
      <c r="F88" s="81"/>
      <c r="G88" s="81"/>
      <c r="H88" s="81"/>
      <c r="I88" s="82"/>
      <c r="J88" s="88"/>
      <c r="K88" s="89"/>
      <c r="L88" s="88"/>
      <c r="M88" s="89"/>
      <c r="N88" s="80"/>
      <c r="O88" s="82"/>
      <c r="P88" s="94"/>
      <c r="Q88" s="95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8"/>
      <c r="AD88" s="98"/>
      <c r="AE88" s="98"/>
      <c r="AF88" s="98"/>
      <c r="AG88" s="98"/>
      <c r="AH88" s="98"/>
    </row>
    <row r="89" spans="2:34" x14ac:dyDescent="0.25">
      <c r="B89" s="75"/>
      <c r="C89" s="76"/>
      <c r="D89" s="83"/>
      <c r="E89" s="84"/>
      <c r="F89" s="84"/>
      <c r="G89" s="84"/>
      <c r="H89" s="84"/>
      <c r="I89" s="85"/>
      <c r="J89" s="90"/>
      <c r="K89" s="91"/>
      <c r="L89" s="90"/>
      <c r="M89" s="91"/>
      <c r="N89" s="83"/>
      <c r="O89" s="85"/>
      <c r="P89" s="96"/>
      <c r="Q89" s="97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8"/>
      <c r="AD89" s="98"/>
      <c r="AE89" s="98"/>
      <c r="AF89" s="98"/>
      <c r="AG89" s="98"/>
      <c r="AH89" s="98"/>
    </row>
    <row r="90" spans="2:34" x14ac:dyDescent="0.25">
      <c r="B90" s="71"/>
      <c r="C90" s="72"/>
      <c r="D90" s="77"/>
      <c r="E90" s="78"/>
      <c r="F90" s="78"/>
      <c r="G90" s="78"/>
      <c r="H90" s="78"/>
      <c r="I90" s="79"/>
      <c r="J90" s="86"/>
      <c r="K90" s="87"/>
      <c r="L90" s="86"/>
      <c r="M90" s="87"/>
      <c r="N90" s="77"/>
      <c r="O90" s="79"/>
      <c r="P90" s="92"/>
      <c r="Q90" s="93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8"/>
      <c r="AD90" s="98"/>
      <c r="AE90" s="98"/>
      <c r="AF90" s="98"/>
      <c r="AG90" s="98"/>
      <c r="AH90" s="98"/>
    </row>
    <row r="91" spans="2:34" x14ac:dyDescent="0.25">
      <c r="B91" s="73"/>
      <c r="C91" s="74"/>
      <c r="D91" s="80"/>
      <c r="E91" s="81"/>
      <c r="F91" s="81"/>
      <c r="G91" s="81"/>
      <c r="H91" s="81"/>
      <c r="I91" s="82"/>
      <c r="J91" s="88"/>
      <c r="K91" s="89"/>
      <c r="L91" s="88"/>
      <c r="M91" s="89"/>
      <c r="N91" s="80"/>
      <c r="O91" s="82"/>
      <c r="P91" s="94"/>
      <c r="Q91" s="95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8"/>
      <c r="AD91" s="98"/>
      <c r="AE91" s="98"/>
      <c r="AF91" s="98"/>
      <c r="AG91" s="98"/>
      <c r="AH91" s="98"/>
    </row>
    <row r="92" spans="2:34" x14ac:dyDescent="0.25">
      <c r="B92" s="75"/>
      <c r="C92" s="76"/>
      <c r="D92" s="83"/>
      <c r="E92" s="84"/>
      <c r="F92" s="84"/>
      <c r="G92" s="84"/>
      <c r="H92" s="84"/>
      <c r="I92" s="85"/>
      <c r="J92" s="90"/>
      <c r="K92" s="91"/>
      <c r="L92" s="90"/>
      <c r="M92" s="91"/>
      <c r="N92" s="83"/>
      <c r="O92" s="85"/>
      <c r="P92" s="96"/>
      <c r="Q92" s="97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8"/>
      <c r="AD92" s="98"/>
      <c r="AE92" s="98"/>
      <c r="AF92" s="98"/>
      <c r="AG92" s="98"/>
      <c r="AH92" s="98"/>
    </row>
    <row r="93" spans="2:34" x14ac:dyDescent="0.25">
      <c r="B93" s="71"/>
      <c r="C93" s="72"/>
      <c r="D93" s="77"/>
      <c r="E93" s="78"/>
      <c r="F93" s="78"/>
      <c r="G93" s="78"/>
      <c r="H93" s="78"/>
      <c r="I93" s="79"/>
      <c r="J93" s="86"/>
      <c r="K93" s="87"/>
      <c r="L93" s="86"/>
      <c r="M93" s="87"/>
      <c r="N93" s="77"/>
      <c r="O93" s="79"/>
      <c r="P93" s="92"/>
      <c r="Q93" s="93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8"/>
      <c r="AD93" s="98"/>
      <c r="AE93" s="98"/>
      <c r="AF93" s="98"/>
      <c r="AG93" s="98"/>
      <c r="AH93" s="98"/>
    </row>
    <row r="94" spans="2:34" x14ac:dyDescent="0.25">
      <c r="B94" s="73"/>
      <c r="C94" s="74"/>
      <c r="D94" s="80"/>
      <c r="E94" s="81"/>
      <c r="F94" s="81"/>
      <c r="G94" s="81"/>
      <c r="H94" s="81"/>
      <c r="I94" s="82"/>
      <c r="J94" s="88"/>
      <c r="K94" s="89"/>
      <c r="L94" s="88"/>
      <c r="M94" s="89"/>
      <c r="N94" s="80"/>
      <c r="O94" s="82"/>
      <c r="P94" s="94"/>
      <c r="Q94" s="95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8"/>
      <c r="AD94" s="98"/>
      <c r="AE94" s="98"/>
      <c r="AF94" s="98"/>
      <c r="AG94" s="98"/>
      <c r="AH94" s="98"/>
    </row>
    <row r="95" spans="2:34" x14ac:dyDescent="0.25">
      <c r="B95" s="75"/>
      <c r="C95" s="76"/>
      <c r="D95" s="83"/>
      <c r="E95" s="84"/>
      <c r="F95" s="84"/>
      <c r="G95" s="84"/>
      <c r="H95" s="84"/>
      <c r="I95" s="85"/>
      <c r="J95" s="90"/>
      <c r="K95" s="91"/>
      <c r="L95" s="90"/>
      <c r="M95" s="91"/>
      <c r="N95" s="83"/>
      <c r="O95" s="85"/>
      <c r="P95" s="96"/>
      <c r="Q95" s="97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8"/>
      <c r="AD95" s="98"/>
      <c r="AE95" s="98"/>
      <c r="AF95" s="98"/>
      <c r="AG95" s="98"/>
      <c r="AH95" s="98"/>
    </row>
    <row r="96" spans="2:34" x14ac:dyDescent="0.25">
      <c r="B96" s="71"/>
      <c r="C96" s="72"/>
      <c r="D96" s="77"/>
      <c r="E96" s="78"/>
      <c r="F96" s="78"/>
      <c r="G96" s="78"/>
      <c r="H96" s="78"/>
      <c r="I96" s="79"/>
      <c r="J96" s="86"/>
      <c r="K96" s="87"/>
      <c r="L96" s="86"/>
      <c r="M96" s="87"/>
      <c r="N96" s="77"/>
      <c r="O96" s="79"/>
      <c r="P96" s="92"/>
      <c r="Q96" s="93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8"/>
      <c r="AD96" s="98"/>
      <c r="AE96" s="98"/>
      <c r="AF96" s="98"/>
      <c r="AG96" s="98"/>
      <c r="AH96" s="98"/>
    </row>
    <row r="97" spans="2:34" x14ac:dyDescent="0.25">
      <c r="B97" s="73"/>
      <c r="C97" s="74"/>
      <c r="D97" s="80"/>
      <c r="E97" s="81"/>
      <c r="F97" s="81"/>
      <c r="G97" s="81"/>
      <c r="H97" s="81"/>
      <c r="I97" s="82"/>
      <c r="J97" s="88"/>
      <c r="K97" s="89"/>
      <c r="L97" s="88"/>
      <c r="M97" s="89"/>
      <c r="N97" s="80"/>
      <c r="O97" s="82"/>
      <c r="P97" s="94"/>
      <c r="Q97" s="95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8"/>
      <c r="AD97" s="98"/>
      <c r="AE97" s="98"/>
      <c r="AF97" s="98"/>
      <c r="AG97" s="98"/>
      <c r="AH97" s="98"/>
    </row>
    <row r="98" spans="2:34" x14ac:dyDescent="0.25">
      <c r="B98" s="75"/>
      <c r="C98" s="76"/>
      <c r="D98" s="83"/>
      <c r="E98" s="84"/>
      <c r="F98" s="84"/>
      <c r="G98" s="84"/>
      <c r="H98" s="84"/>
      <c r="I98" s="85"/>
      <c r="J98" s="90"/>
      <c r="K98" s="91"/>
      <c r="L98" s="90"/>
      <c r="M98" s="91"/>
      <c r="N98" s="83"/>
      <c r="O98" s="85"/>
      <c r="P98" s="96"/>
      <c r="Q98" s="97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8"/>
      <c r="AD98" s="98"/>
      <c r="AE98" s="98"/>
      <c r="AF98" s="98"/>
      <c r="AG98" s="98"/>
      <c r="AH98" s="98"/>
    </row>
    <row r="99" spans="2:34" x14ac:dyDescent="0.25">
      <c r="B99" s="71"/>
      <c r="C99" s="72"/>
      <c r="D99" s="77"/>
      <c r="E99" s="78"/>
      <c r="F99" s="78"/>
      <c r="G99" s="78"/>
      <c r="H99" s="78"/>
      <c r="I99" s="79"/>
      <c r="J99" s="86"/>
      <c r="K99" s="87"/>
      <c r="L99" s="86"/>
      <c r="M99" s="87"/>
      <c r="N99" s="77"/>
      <c r="O99" s="79"/>
      <c r="P99" s="92"/>
      <c r="Q99" s="93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8"/>
      <c r="AD99" s="98"/>
      <c r="AE99" s="98"/>
      <c r="AF99" s="98"/>
      <c r="AG99" s="98"/>
      <c r="AH99" s="98"/>
    </row>
    <row r="100" spans="2:34" x14ac:dyDescent="0.25">
      <c r="B100" s="73"/>
      <c r="C100" s="74"/>
      <c r="D100" s="80"/>
      <c r="E100" s="81"/>
      <c r="F100" s="81"/>
      <c r="G100" s="81"/>
      <c r="H100" s="81"/>
      <c r="I100" s="82"/>
      <c r="J100" s="88"/>
      <c r="K100" s="89"/>
      <c r="L100" s="88"/>
      <c r="M100" s="89"/>
      <c r="N100" s="80"/>
      <c r="O100" s="82"/>
      <c r="P100" s="94"/>
      <c r="Q100" s="95"/>
      <c r="S100" s="99"/>
      <c r="T100" s="99"/>
      <c r="U100" s="99"/>
      <c r="V100" s="99"/>
      <c r="W100" s="99"/>
      <c r="X100" s="99"/>
      <c r="Y100" s="99"/>
      <c r="Z100" s="99"/>
      <c r="AA100" s="99"/>
      <c r="AB100" s="99"/>
      <c r="AC100" s="98"/>
      <c r="AD100" s="98"/>
      <c r="AE100" s="98"/>
      <c r="AF100" s="98"/>
      <c r="AG100" s="98"/>
      <c r="AH100" s="98"/>
    </row>
    <row r="101" spans="2:34" x14ac:dyDescent="0.25">
      <c r="B101" s="75"/>
      <c r="C101" s="76"/>
      <c r="D101" s="83"/>
      <c r="E101" s="84"/>
      <c r="F101" s="84"/>
      <c r="G101" s="84"/>
      <c r="H101" s="84"/>
      <c r="I101" s="85"/>
      <c r="J101" s="90"/>
      <c r="K101" s="91"/>
      <c r="L101" s="90"/>
      <c r="M101" s="91"/>
      <c r="N101" s="83"/>
      <c r="O101" s="85"/>
      <c r="P101" s="96"/>
      <c r="Q101" s="97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8"/>
      <c r="AD101" s="98"/>
      <c r="AE101" s="98"/>
      <c r="AF101" s="98"/>
      <c r="AG101" s="98"/>
      <c r="AH101" s="98"/>
    </row>
    <row r="102" spans="2:34" x14ac:dyDescent="0.25">
      <c r="B102" s="71"/>
      <c r="C102" s="72"/>
      <c r="D102" s="77"/>
      <c r="E102" s="78"/>
      <c r="F102" s="78"/>
      <c r="G102" s="78"/>
      <c r="H102" s="78"/>
      <c r="I102" s="79"/>
      <c r="J102" s="86"/>
      <c r="K102" s="87"/>
      <c r="L102" s="86"/>
      <c r="M102" s="87"/>
      <c r="N102" s="77"/>
      <c r="O102" s="79"/>
      <c r="P102" s="92"/>
      <c r="Q102" s="93"/>
      <c r="S102" s="99"/>
      <c r="T102" s="99"/>
      <c r="U102" s="99"/>
      <c r="V102" s="99"/>
      <c r="W102" s="99"/>
      <c r="X102" s="99"/>
      <c r="Y102" s="99"/>
      <c r="Z102" s="99"/>
      <c r="AA102" s="99"/>
      <c r="AB102" s="99"/>
      <c r="AC102" s="98"/>
      <c r="AD102" s="98"/>
      <c r="AE102" s="98"/>
      <c r="AF102" s="98"/>
      <c r="AG102" s="98"/>
      <c r="AH102" s="98"/>
    </row>
    <row r="103" spans="2:34" x14ac:dyDescent="0.25">
      <c r="B103" s="73"/>
      <c r="C103" s="74"/>
      <c r="D103" s="80"/>
      <c r="E103" s="81"/>
      <c r="F103" s="81"/>
      <c r="G103" s="81"/>
      <c r="H103" s="81"/>
      <c r="I103" s="82"/>
      <c r="J103" s="88"/>
      <c r="K103" s="89"/>
      <c r="L103" s="88"/>
      <c r="M103" s="89"/>
      <c r="N103" s="80"/>
      <c r="O103" s="82"/>
      <c r="P103" s="94"/>
      <c r="Q103" s="95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8"/>
      <c r="AD103" s="98"/>
      <c r="AE103" s="98"/>
      <c r="AF103" s="98"/>
      <c r="AG103" s="98"/>
      <c r="AH103" s="98"/>
    </row>
    <row r="104" spans="2:34" x14ac:dyDescent="0.25">
      <c r="B104" s="75"/>
      <c r="C104" s="76"/>
      <c r="D104" s="83"/>
      <c r="E104" s="84"/>
      <c r="F104" s="84"/>
      <c r="G104" s="84"/>
      <c r="H104" s="84"/>
      <c r="I104" s="85"/>
      <c r="J104" s="90"/>
      <c r="K104" s="91"/>
      <c r="L104" s="90"/>
      <c r="M104" s="91"/>
      <c r="N104" s="83"/>
      <c r="O104" s="85"/>
      <c r="P104" s="96"/>
      <c r="Q104" s="97"/>
      <c r="S104" s="99"/>
      <c r="T104" s="99"/>
      <c r="U104" s="99"/>
      <c r="V104" s="99"/>
      <c r="W104" s="99"/>
      <c r="X104" s="99"/>
      <c r="Y104" s="99"/>
      <c r="Z104" s="99"/>
      <c r="AA104" s="99"/>
      <c r="AB104" s="99"/>
      <c r="AC104" s="98"/>
      <c r="AD104" s="98"/>
      <c r="AE104" s="98"/>
      <c r="AF104" s="98"/>
      <c r="AG104" s="98"/>
      <c r="AH104" s="98"/>
    </row>
    <row r="105" spans="2:34" x14ac:dyDescent="0.25">
      <c r="B105" s="71"/>
      <c r="C105" s="72"/>
      <c r="D105" s="77"/>
      <c r="E105" s="78"/>
      <c r="F105" s="78"/>
      <c r="G105" s="78"/>
      <c r="H105" s="78"/>
      <c r="I105" s="79"/>
      <c r="J105" s="86"/>
      <c r="K105" s="87"/>
      <c r="L105" s="86"/>
      <c r="M105" s="87"/>
      <c r="N105" s="77"/>
      <c r="O105" s="79"/>
      <c r="P105" s="92"/>
      <c r="Q105" s="93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8"/>
      <c r="AD105" s="98"/>
      <c r="AE105" s="98"/>
      <c r="AF105" s="98"/>
      <c r="AG105" s="98"/>
      <c r="AH105" s="98"/>
    </row>
    <row r="106" spans="2:34" x14ac:dyDescent="0.25">
      <c r="B106" s="73"/>
      <c r="C106" s="74"/>
      <c r="D106" s="80"/>
      <c r="E106" s="81"/>
      <c r="F106" s="81"/>
      <c r="G106" s="81"/>
      <c r="H106" s="81"/>
      <c r="I106" s="82"/>
      <c r="J106" s="88"/>
      <c r="K106" s="89"/>
      <c r="L106" s="88"/>
      <c r="M106" s="89"/>
      <c r="N106" s="80"/>
      <c r="O106" s="82"/>
      <c r="P106" s="94"/>
      <c r="Q106" s="95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8"/>
      <c r="AD106" s="98"/>
      <c r="AE106" s="98"/>
      <c r="AF106" s="98"/>
      <c r="AG106" s="98"/>
      <c r="AH106" s="98"/>
    </row>
    <row r="107" spans="2:34" x14ac:dyDescent="0.25">
      <c r="B107" s="75"/>
      <c r="C107" s="76"/>
      <c r="D107" s="83"/>
      <c r="E107" s="84"/>
      <c r="F107" s="84"/>
      <c r="G107" s="84"/>
      <c r="H107" s="84"/>
      <c r="I107" s="85"/>
      <c r="J107" s="90"/>
      <c r="K107" s="91"/>
      <c r="L107" s="90"/>
      <c r="M107" s="91"/>
      <c r="N107" s="83"/>
      <c r="O107" s="85"/>
      <c r="P107" s="96"/>
      <c r="Q107" s="97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8"/>
      <c r="AD107" s="98"/>
      <c r="AE107" s="98"/>
      <c r="AF107" s="98"/>
      <c r="AG107" s="98"/>
      <c r="AH107" s="98"/>
    </row>
    <row r="108" spans="2:34" x14ac:dyDescent="0.25">
      <c r="B108" s="71"/>
      <c r="C108" s="72"/>
      <c r="D108" s="77"/>
      <c r="E108" s="78"/>
      <c r="F108" s="78"/>
      <c r="G108" s="78"/>
      <c r="H108" s="78"/>
      <c r="I108" s="79"/>
      <c r="J108" s="86"/>
      <c r="K108" s="87"/>
      <c r="L108" s="86"/>
      <c r="M108" s="87"/>
      <c r="N108" s="77"/>
      <c r="O108" s="79"/>
      <c r="P108" s="92"/>
      <c r="Q108" s="93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8"/>
      <c r="AD108" s="98"/>
      <c r="AE108" s="98"/>
      <c r="AF108" s="98"/>
      <c r="AG108" s="98"/>
      <c r="AH108" s="98"/>
    </row>
    <row r="109" spans="2:34" x14ac:dyDescent="0.25">
      <c r="B109" s="73"/>
      <c r="C109" s="74"/>
      <c r="D109" s="80"/>
      <c r="E109" s="81"/>
      <c r="F109" s="81"/>
      <c r="G109" s="81"/>
      <c r="H109" s="81"/>
      <c r="I109" s="82"/>
      <c r="J109" s="88"/>
      <c r="K109" s="89"/>
      <c r="L109" s="88"/>
      <c r="M109" s="89"/>
      <c r="N109" s="80"/>
      <c r="O109" s="82"/>
      <c r="P109" s="94"/>
      <c r="Q109" s="95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8"/>
      <c r="AD109" s="98"/>
      <c r="AE109" s="98"/>
      <c r="AF109" s="98"/>
      <c r="AG109" s="98"/>
      <c r="AH109" s="98"/>
    </row>
    <row r="110" spans="2:34" x14ac:dyDescent="0.25">
      <c r="B110" s="75"/>
      <c r="C110" s="76"/>
      <c r="D110" s="83"/>
      <c r="E110" s="84"/>
      <c r="F110" s="84"/>
      <c r="G110" s="84"/>
      <c r="H110" s="84"/>
      <c r="I110" s="85"/>
      <c r="J110" s="90"/>
      <c r="K110" s="91"/>
      <c r="L110" s="90"/>
      <c r="M110" s="91"/>
      <c r="N110" s="83"/>
      <c r="O110" s="85"/>
      <c r="P110" s="96"/>
      <c r="Q110" s="97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8"/>
      <c r="AD110" s="98"/>
      <c r="AE110" s="98"/>
      <c r="AF110" s="98"/>
      <c r="AG110" s="98"/>
      <c r="AH110" s="98"/>
    </row>
    <row r="111" spans="2:34" x14ac:dyDescent="0.25">
      <c r="B111" s="71"/>
      <c r="C111" s="72"/>
      <c r="D111" s="77"/>
      <c r="E111" s="78"/>
      <c r="F111" s="78"/>
      <c r="G111" s="78"/>
      <c r="H111" s="78"/>
      <c r="I111" s="79"/>
      <c r="J111" s="86"/>
      <c r="K111" s="87"/>
      <c r="L111" s="86"/>
      <c r="M111" s="87"/>
      <c r="N111" s="77"/>
      <c r="O111" s="79"/>
      <c r="P111" s="92"/>
      <c r="Q111" s="93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8"/>
      <c r="AD111" s="98"/>
      <c r="AE111" s="98"/>
      <c r="AF111" s="98"/>
      <c r="AG111" s="98"/>
      <c r="AH111" s="98"/>
    </row>
    <row r="112" spans="2:34" x14ac:dyDescent="0.25">
      <c r="B112" s="73"/>
      <c r="C112" s="74"/>
      <c r="D112" s="80"/>
      <c r="E112" s="81"/>
      <c r="F112" s="81"/>
      <c r="G112" s="81"/>
      <c r="H112" s="81"/>
      <c r="I112" s="82"/>
      <c r="J112" s="88"/>
      <c r="K112" s="89"/>
      <c r="L112" s="88"/>
      <c r="M112" s="89"/>
      <c r="N112" s="80"/>
      <c r="O112" s="82"/>
      <c r="P112" s="94"/>
      <c r="Q112" s="95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8"/>
      <c r="AD112" s="98"/>
      <c r="AE112" s="98"/>
      <c r="AF112" s="98"/>
      <c r="AG112" s="98"/>
      <c r="AH112" s="98"/>
    </row>
    <row r="113" spans="2:34" x14ac:dyDescent="0.25">
      <c r="B113" s="75"/>
      <c r="C113" s="76"/>
      <c r="D113" s="83"/>
      <c r="E113" s="84"/>
      <c r="F113" s="84"/>
      <c r="G113" s="84"/>
      <c r="H113" s="84"/>
      <c r="I113" s="85"/>
      <c r="J113" s="90"/>
      <c r="K113" s="91"/>
      <c r="L113" s="90"/>
      <c r="M113" s="91"/>
      <c r="N113" s="83"/>
      <c r="O113" s="85"/>
      <c r="P113" s="96"/>
      <c r="Q113" s="97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8"/>
      <c r="AD113" s="98"/>
      <c r="AE113" s="98"/>
      <c r="AF113" s="98"/>
      <c r="AG113" s="98"/>
      <c r="AH113" s="98"/>
    </row>
    <row r="114" spans="2:34" x14ac:dyDescent="0.25">
      <c r="B114" s="71"/>
      <c r="C114" s="72"/>
      <c r="D114" s="77"/>
      <c r="E114" s="78"/>
      <c r="F114" s="78"/>
      <c r="G114" s="78"/>
      <c r="H114" s="78"/>
      <c r="I114" s="79"/>
      <c r="J114" s="86"/>
      <c r="K114" s="87"/>
      <c r="L114" s="86"/>
      <c r="M114" s="87"/>
      <c r="N114" s="77"/>
      <c r="O114" s="79"/>
      <c r="P114" s="92"/>
      <c r="Q114" s="93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8"/>
      <c r="AD114" s="98"/>
      <c r="AE114" s="98"/>
      <c r="AF114" s="98"/>
      <c r="AG114" s="98"/>
      <c r="AH114" s="98"/>
    </row>
    <row r="115" spans="2:34" x14ac:dyDescent="0.25">
      <c r="B115" s="73"/>
      <c r="C115" s="74"/>
      <c r="D115" s="80"/>
      <c r="E115" s="81"/>
      <c r="F115" s="81"/>
      <c r="G115" s="81"/>
      <c r="H115" s="81"/>
      <c r="I115" s="82"/>
      <c r="J115" s="88"/>
      <c r="K115" s="89"/>
      <c r="L115" s="88"/>
      <c r="M115" s="89"/>
      <c r="N115" s="80"/>
      <c r="O115" s="82"/>
      <c r="P115" s="94"/>
      <c r="Q115" s="95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8"/>
      <c r="AD115" s="98"/>
      <c r="AE115" s="98"/>
      <c r="AF115" s="98"/>
      <c r="AG115" s="98"/>
      <c r="AH115" s="98"/>
    </row>
    <row r="116" spans="2:34" x14ac:dyDescent="0.25">
      <c r="B116" s="75"/>
      <c r="C116" s="76"/>
      <c r="D116" s="83"/>
      <c r="E116" s="84"/>
      <c r="F116" s="84"/>
      <c r="G116" s="84"/>
      <c r="H116" s="84"/>
      <c r="I116" s="85"/>
      <c r="J116" s="90"/>
      <c r="K116" s="91"/>
      <c r="L116" s="90"/>
      <c r="M116" s="91"/>
      <c r="N116" s="83"/>
      <c r="O116" s="85"/>
      <c r="P116" s="96"/>
      <c r="Q116" s="97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8"/>
      <c r="AD116" s="98"/>
      <c r="AE116" s="98"/>
      <c r="AF116" s="98"/>
      <c r="AG116" s="98"/>
      <c r="AH116" s="98"/>
    </row>
    <row r="117" spans="2:34" x14ac:dyDescent="0.25">
      <c r="B117" s="71"/>
      <c r="C117" s="72"/>
      <c r="D117" s="77"/>
      <c r="E117" s="78"/>
      <c r="F117" s="78"/>
      <c r="G117" s="78"/>
      <c r="H117" s="78"/>
      <c r="I117" s="79"/>
      <c r="J117" s="86"/>
      <c r="K117" s="87"/>
      <c r="L117" s="86"/>
      <c r="M117" s="87"/>
      <c r="N117" s="77"/>
      <c r="O117" s="79"/>
      <c r="P117" s="92"/>
      <c r="Q117" s="93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8"/>
      <c r="AD117" s="98"/>
      <c r="AE117" s="98"/>
      <c r="AF117" s="98"/>
      <c r="AG117" s="98"/>
      <c r="AH117" s="98"/>
    </row>
    <row r="118" spans="2:34" x14ac:dyDescent="0.25">
      <c r="B118" s="73"/>
      <c r="C118" s="74"/>
      <c r="D118" s="80"/>
      <c r="E118" s="81"/>
      <c r="F118" s="81"/>
      <c r="G118" s="81"/>
      <c r="H118" s="81"/>
      <c r="I118" s="82"/>
      <c r="J118" s="88"/>
      <c r="K118" s="89"/>
      <c r="L118" s="88"/>
      <c r="M118" s="89"/>
      <c r="N118" s="80"/>
      <c r="O118" s="82"/>
      <c r="P118" s="94"/>
      <c r="Q118" s="95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8"/>
      <c r="AD118" s="98"/>
      <c r="AE118" s="98"/>
      <c r="AF118" s="98"/>
      <c r="AG118" s="98"/>
      <c r="AH118" s="98"/>
    </row>
    <row r="119" spans="2:34" x14ac:dyDescent="0.25">
      <c r="B119" s="75"/>
      <c r="C119" s="76"/>
      <c r="D119" s="83"/>
      <c r="E119" s="84"/>
      <c r="F119" s="84"/>
      <c r="G119" s="84"/>
      <c r="H119" s="84"/>
      <c r="I119" s="85"/>
      <c r="J119" s="90"/>
      <c r="K119" s="91"/>
      <c r="L119" s="90"/>
      <c r="M119" s="91"/>
      <c r="N119" s="83"/>
      <c r="O119" s="85"/>
      <c r="P119" s="96"/>
      <c r="Q119" s="97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8"/>
      <c r="AD119" s="98"/>
      <c r="AE119" s="98"/>
      <c r="AF119" s="98"/>
      <c r="AG119" s="98"/>
      <c r="AH119" s="98"/>
    </row>
    <row r="120" spans="2:34" x14ac:dyDescent="0.25">
      <c r="B120" s="71"/>
      <c r="C120" s="72"/>
      <c r="D120" s="77"/>
      <c r="E120" s="78"/>
      <c r="F120" s="78"/>
      <c r="G120" s="78"/>
      <c r="H120" s="78"/>
      <c r="I120" s="79"/>
      <c r="J120" s="86"/>
      <c r="K120" s="87"/>
      <c r="L120" s="86"/>
      <c r="M120" s="87"/>
      <c r="N120" s="77"/>
      <c r="O120" s="79"/>
      <c r="P120" s="92"/>
      <c r="Q120" s="93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8"/>
      <c r="AD120" s="98"/>
      <c r="AE120" s="98"/>
      <c r="AF120" s="98"/>
      <c r="AG120" s="98"/>
      <c r="AH120" s="98"/>
    </row>
    <row r="121" spans="2:34" x14ac:dyDescent="0.25">
      <c r="B121" s="73"/>
      <c r="C121" s="74"/>
      <c r="D121" s="80"/>
      <c r="E121" s="81"/>
      <c r="F121" s="81"/>
      <c r="G121" s="81"/>
      <c r="H121" s="81"/>
      <c r="I121" s="82"/>
      <c r="J121" s="88"/>
      <c r="K121" s="89"/>
      <c r="L121" s="88"/>
      <c r="M121" s="89"/>
      <c r="N121" s="80"/>
      <c r="O121" s="82"/>
      <c r="P121" s="94"/>
      <c r="Q121" s="95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8"/>
      <c r="AD121" s="98"/>
      <c r="AE121" s="98"/>
      <c r="AF121" s="98"/>
      <c r="AG121" s="98"/>
      <c r="AH121" s="98"/>
    </row>
    <row r="122" spans="2:34" x14ac:dyDescent="0.25">
      <c r="B122" s="75"/>
      <c r="C122" s="76"/>
      <c r="D122" s="83"/>
      <c r="E122" s="84"/>
      <c r="F122" s="84"/>
      <c r="G122" s="84"/>
      <c r="H122" s="84"/>
      <c r="I122" s="85"/>
      <c r="J122" s="90"/>
      <c r="K122" s="91"/>
      <c r="L122" s="90"/>
      <c r="M122" s="91"/>
      <c r="N122" s="83"/>
      <c r="O122" s="85"/>
      <c r="P122" s="96"/>
      <c r="Q122" s="97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8"/>
      <c r="AD122" s="98"/>
      <c r="AE122" s="98"/>
      <c r="AF122" s="98"/>
      <c r="AG122" s="98"/>
      <c r="AH122" s="98"/>
    </row>
    <row r="123" spans="2:34" x14ac:dyDescent="0.25">
      <c r="B123" s="71"/>
      <c r="C123" s="72"/>
      <c r="D123" s="77"/>
      <c r="E123" s="78"/>
      <c r="F123" s="78"/>
      <c r="G123" s="78"/>
      <c r="H123" s="78"/>
      <c r="I123" s="79"/>
      <c r="J123" s="86"/>
      <c r="K123" s="87"/>
      <c r="L123" s="86"/>
      <c r="M123" s="87"/>
      <c r="N123" s="77"/>
      <c r="O123" s="79"/>
      <c r="P123" s="92"/>
      <c r="Q123" s="93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8"/>
      <c r="AD123" s="98"/>
      <c r="AE123" s="98"/>
      <c r="AF123" s="98"/>
      <c r="AG123" s="98"/>
      <c r="AH123" s="98"/>
    </row>
    <row r="124" spans="2:34" x14ac:dyDescent="0.25">
      <c r="B124" s="73"/>
      <c r="C124" s="74"/>
      <c r="D124" s="80"/>
      <c r="E124" s="81"/>
      <c r="F124" s="81"/>
      <c r="G124" s="81"/>
      <c r="H124" s="81"/>
      <c r="I124" s="82"/>
      <c r="J124" s="88"/>
      <c r="K124" s="89"/>
      <c r="L124" s="88"/>
      <c r="M124" s="89"/>
      <c r="N124" s="80"/>
      <c r="O124" s="82"/>
      <c r="P124" s="94"/>
      <c r="Q124" s="95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8"/>
      <c r="AD124" s="98"/>
      <c r="AE124" s="98"/>
      <c r="AF124" s="98"/>
      <c r="AG124" s="98"/>
      <c r="AH124" s="98"/>
    </row>
    <row r="125" spans="2:34" x14ac:dyDescent="0.25">
      <c r="B125" s="75"/>
      <c r="C125" s="76"/>
      <c r="D125" s="83"/>
      <c r="E125" s="84"/>
      <c r="F125" s="84"/>
      <c r="G125" s="84"/>
      <c r="H125" s="84"/>
      <c r="I125" s="85"/>
      <c r="J125" s="90"/>
      <c r="K125" s="91"/>
      <c r="L125" s="90"/>
      <c r="M125" s="91"/>
      <c r="N125" s="83"/>
      <c r="O125" s="85"/>
      <c r="P125" s="96"/>
      <c r="Q125" s="97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8"/>
      <c r="AD125" s="98"/>
      <c r="AE125" s="98"/>
      <c r="AF125" s="98"/>
      <c r="AG125" s="98"/>
      <c r="AH125" s="98"/>
    </row>
    <row r="126" spans="2:34" x14ac:dyDescent="0.25">
      <c r="B126" s="71"/>
      <c r="C126" s="72"/>
      <c r="D126" s="77"/>
      <c r="E126" s="78"/>
      <c r="F126" s="78"/>
      <c r="G126" s="78"/>
      <c r="H126" s="78"/>
      <c r="I126" s="79"/>
      <c r="J126" s="86"/>
      <c r="K126" s="87"/>
      <c r="L126" s="86"/>
      <c r="M126" s="87"/>
      <c r="N126" s="77"/>
      <c r="O126" s="79"/>
      <c r="P126" s="92"/>
      <c r="Q126" s="93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8"/>
      <c r="AD126" s="98"/>
      <c r="AE126" s="98"/>
      <c r="AF126" s="98"/>
      <c r="AG126" s="98"/>
      <c r="AH126" s="98"/>
    </row>
    <row r="127" spans="2:34" x14ac:dyDescent="0.25">
      <c r="B127" s="73"/>
      <c r="C127" s="74"/>
      <c r="D127" s="80"/>
      <c r="E127" s="81"/>
      <c r="F127" s="81"/>
      <c r="G127" s="81"/>
      <c r="H127" s="81"/>
      <c r="I127" s="82"/>
      <c r="J127" s="88"/>
      <c r="K127" s="89"/>
      <c r="L127" s="88"/>
      <c r="M127" s="89"/>
      <c r="N127" s="80"/>
      <c r="O127" s="82"/>
      <c r="P127" s="94"/>
      <c r="Q127" s="95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8"/>
      <c r="AD127" s="98"/>
      <c r="AE127" s="98"/>
      <c r="AF127" s="98"/>
      <c r="AG127" s="98"/>
      <c r="AH127" s="98"/>
    </row>
    <row r="128" spans="2:34" x14ac:dyDescent="0.25">
      <c r="B128" s="75"/>
      <c r="C128" s="76"/>
      <c r="D128" s="83"/>
      <c r="E128" s="84"/>
      <c r="F128" s="84"/>
      <c r="G128" s="84"/>
      <c r="H128" s="84"/>
      <c r="I128" s="85"/>
      <c r="J128" s="90"/>
      <c r="K128" s="91"/>
      <c r="L128" s="90"/>
      <c r="M128" s="91"/>
      <c r="N128" s="83"/>
      <c r="O128" s="85"/>
      <c r="P128" s="96"/>
      <c r="Q128" s="97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8"/>
      <c r="AD128" s="98"/>
      <c r="AE128" s="98"/>
      <c r="AF128" s="98"/>
      <c r="AG128" s="98"/>
      <c r="AH128" s="98"/>
    </row>
    <row r="129" spans="2:34" x14ac:dyDescent="0.25">
      <c r="B129" s="71"/>
      <c r="C129" s="72"/>
      <c r="D129" s="77"/>
      <c r="E129" s="78"/>
      <c r="F129" s="78"/>
      <c r="G129" s="78"/>
      <c r="H129" s="78"/>
      <c r="I129" s="79"/>
      <c r="J129" s="86"/>
      <c r="K129" s="87"/>
      <c r="L129" s="86"/>
      <c r="M129" s="87"/>
      <c r="N129" s="77"/>
      <c r="O129" s="79"/>
      <c r="P129" s="92"/>
      <c r="Q129" s="93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8"/>
      <c r="AD129" s="98"/>
      <c r="AE129" s="98"/>
      <c r="AF129" s="98"/>
      <c r="AG129" s="98"/>
      <c r="AH129" s="98"/>
    </row>
    <row r="130" spans="2:34" x14ac:dyDescent="0.25">
      <c r="B130" s="73"/>
      <c r="C130" s="74"/>
      <c r="D130" s="80"/>
      <c r="E130" s="81"/>
      <c r="F130" s="81"/>
      <c r="G130" s="81"/>
      <c r="H130" s="81"/>
      <c r="I130" s="82"/>
      <c r="J130" s="88"/>
      <c r="K130" s="89"/>
      <c r="L130" s="88"/>
      <c r="M130" s="89"/>
      <c r="N130" s="80"/>
      <c r="O130" s="82"/>
      <c r="P130" s="94"/>
      <c r="Q130" s="95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8"/>
      <c r="AD130" s="98"/>
      <c r="AE130" s="98"/>
      <c r="AF130" s="98"/>
      <c r="AG130" s="98"/>
      <c r="AH130" s="98"/>
    </row>
    <row r="131" spans="2:34" x14ac:dyDescent="0.25">
      <c r="B131" s="75"/>
      <c r="C131" s="76"/>
      <c r="D131" s="83"/>
      <c r="E131" s="84"/>
      <c r="F131" s="84"/>
      <c r="G131" s="84"/>
      <c r="H131" s="84"/>
      <c r="I131" s="85"/>
      <c r="J131" s="90"/>
      <c r="K131" s="91"/>
      <c r="L131" s="90"/>
      <c r="M131" s="91"/>
      <c r="N131" s="83"/>
      <c r="O131" s="85"/>
      <c r="P131" s="96"/>
      <c r="Q131" s="97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8"/>
      <c r="AD131" s="98"/>
      <c r="AE131" s="98"/>
      <c r="AF131" s="98"/>
      <c r="AG131" s="98"/>
      <c r="AH131" s="98"/>
    </row>
    <row r="132" spans="2:34" x14ac:dyDescent="0.25">
      <c r="B132" s="71"/>
      <c r="C132" s="72"/>
      <c r="D132" s="77"/>
      <c r="E132" s="78"/>
      <c r="F132" s="78"/>
      <c r="G132" s="78"/>
      <c r="H132" s="78"/>
      <c r="I132" s="79"/>
      <c r="J132" s="86"/>
      <c r="K132" s="87"/>
      <c r="L132" s="86"/>
      <c r="M132" s="87"/>
      <c r="N132" s="77"/>
      <c r="O132" s="79"/>
      <c r="P132" s="92"/>
      <c r="Q132" s="93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8"/>
      <c r="AD132" s="98"/>
      <c r="AE132" s="98"/>
      <c r="AF132" s="98"/>
      <c r="AG132" s="98"/>
      <c r="AH132" s="98"/>
    </row>
    <row r="133" spans="2:34" x14ac:dyDescent="0.25">
      <c r="B133" s="73"/>
      <c r="C133" s="74"/>
      <c r="D133" s="80"/>
      <c r="E133" s="81"/>
      <c r="F133" s="81"/>
      <c r="G133" s="81"/>
      <c r="H133" s="81"/>
      <c r="I133" s="82"/>
      <c r="J133" s="88"/>
      <c r="K133" s="89"/>
      <c r="L133" s="88"/>
      <c r="M133" s="89"/>
      <c r="N133" s="80"/>
      <c r="O133" s="82"/>
      <c r="P133" s="94"/>
      <c r="Q133" s="95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8"/>
      <c r="AD133" s="98"/>
      <c r="AE133" s="98"/>
      <c r="AF133" s="98"/>
      <c r="AG133" s="98"/>
      <c r="AH133" s="98"/>
    </row>
    <row r="134" spans="2:34" x14ac:dyDescent="0.25">
      <c r="B134" s="75"/>
      <c r="C134" s="76"/>
      <c r="D134" s="83"/>
      <c r="E134" s="84"/>
      <c r="F134" s="84"/>
      <c r="G134" s="84"/>
      <c r="H134" s="84"/>
      <c r="I134" s="85"/>
      <c r="J134" s="90"/>
      <c r="K134" s="91"/>
      <c r="L134" s="90"/>
      <c r="M134" s="91"/>
      <c r="N134" s="83"/>
      <c r="O134" s="85"/>
      <c r="P134" s="96"/>
      <c r="Q134" s="97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8"/>
      <c r="AD134" s="98"/>
      <c r="AE134" s="98"/>
      <c r="AF134" s="98"/>
      <c r="AG134" s="98"/>
      <c r="AH134" s="98"/>
    </row>
    <row r="135" spans="2:34" x14ac:dyDescent="0.25">
      <c r="B135" s="71"/>
      <c r="C135" s="72"/>
      <c r="D135" s="77"/>
      <c r="E135" s="78"/>
      <c r="F135" s="78"/>
      <c r="G135" s="78"/>
      <c r="H135" s="78"/>
      <c r="I135" s="79"/>
      <c r="J135" s="86"/>
      <c r="K135" s="87"/>
      <c r="L135" s="86"/>
      <c r="M135" s="87"/>
      <c r="N135" s="77"/>
      <c r="O135" s="79"/>
      <c r="P135" s="92"/>
      <c r="Q135" s="93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8"/>
      <c r="AD135" s="98"/>
      <c r="AE135" s="98"/>
      <c r="AF135" s="98"/>
      <c r="AG135" s="98"/>
      <c r="AH135" s="98"/>
    </row>
    <row r="136" spans="2:34" x14ac:dyDescent="0.25">
      <c r="B136" s="73"/>
      <c r="C136" s="74"/>
      <c r="D136" s="80"/>
      <c r="E136" s="81"/>
      <c r="F136" s="81"/>
      <c r="G136" s="81"/>
      <c r="H136" s="81"/>
      <c r="I136" s="82"/>
      <c r="J136" s="88"/>
      <c r="K136" s="89"/>
      <c r="L136" s="88"/>
      <c r="M136" s="89"/>
      <c r="N136" s="80"/>
      <c r="O136" s="82"/>
      <c r="P136" s="94"/>
      <c r="Q136" s="95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8"/>
      <c r="AD136" s="98"/>
      <c r="AE136" s="98"/>
      <c r="AF136" s="98"/>
      <c r="AG136" s="98"/>
      <c r="AH136" s="98"/>
    </row>
    <row r="137" spans="2:34" x14ac:dyDescent="0.25">
      <c r="B137" s="75"/>
      <c r="C137" s="76"/>
      <c r="D137" s="83"/>
      <c r="E137" s="84"/>
      <c r="F137" s="84"/>
      <c r="G137" s="84"/>
      <c r="H137" s="84"/>
      <c r="I137" s="85"/>
      <c r="J137" s="90"/>
      <c r="K137" s="91"/>
      <c r="L137" s="90"/>
      <c r="M137" s="91"/>
      <c r="N137" s="83"/>
      <c r="O137" s="85"/>
      <c r="P137" s="96"/>
      <c r="Q137" s="97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8"/>
      <c r="AD137" s="98"/>
      <c r="AE137" s="98"/>
      <c r="AF137" s="98"/>
      <c r="AG137" s="98"/>
      <c r="AH137" s="98"/>
    </row>
    <row r="138" spans="2:34" x14ac:dyDescent="0.25">
      <c r="B138" s="71"/>
      <c r="C138" s="72"/>
      <c r="D138" s="77"/>
      <c r="E138" s="78"/>
      <c r="F138" s="78"/>
      <c r="G138" s="78"/>
      <c r="H138" s="78"/>
      <c r="I138" s="79"/>
      <c r="J138" s="86"/>
      <c r="K138" s="87"/>
      <c r="L138" s="86"/>
      <c r="M138" s="87"/>
      <c r="N138" s="77"/>
      <c r="O138" s="79"/>
      <c r="P138" s="92"/>
      <c r="Q138" s="93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8"/>
      <c r="AD138" s="98"/>
      <c r="AE138" s="98"/>
      <c r="AF138" s="98"/>
      <c r="AG138" s="98"/>
      <c r="AH138" s="98"/>
    </row>
    <row r="139" spans="2:34" x14ac:dyDescent="0.25">
      <c r="B139" s="73"/>
      <c r="C139" s="74"/>
      <c r="D139" s="80"/>
      <c r="E139" s="81"/>
      <c r="F139" s="81"/>
      <c r="G139" s="81"/>
      <c r="H139" s="81"/>
      <c r="I139" s="82"/>
      <c r="J139" s="88"/>
      <c r="K139" s="89"/>
      <c r="L139" s="88"/>
      <c r="M139" s="89"/>
      <c r="N139" s="80"/>
      <c r="O139" s="82"/>
      <c r="P139" s="94"/>
      <c r="Q139" s="95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8"/>
      <c r="AD139" s="98"/>
      <c r="AE139" s="98"/>
      <c r="AF139" s="98"/>
      <c r="AG139" s="98"/>
      <c r="AH139" s="98"/>
    </row>
    <row r="140" spans="2:34" x14ac:dyDescent="0.25">
      <c r="B140" s="75"/>
      <c r="C140" s="76"/>
      <c r="D140" s="83"/>
      <c r="E140" s="84"/>
      <c r="F140" s="84"/>
      <c r="G140" s="84"/>
      <c r="H140" s="84"/>
      <c r="I140" s="85"/>
      <c r="J140" s="90"/>
      <c r="K140" s="91"/>
      <c r="L140" s="90"/>
      <c r="M140" s="91"/>
      <c r="N140" s="83"/>
      <c r="O140" s="85"/>
      <c r="P140" s="96"/>
      <c r="Q140" s="97"/>
      <c r="S140" s="99"/>
      <c r="T140" s="99"/>
      <c r="U140" s="99"/>
      <c r="V140" s="99"/>
      <c r="W140" s="99"/>
      <c r="X140" s="99"/>
      <c r="Y140" s="99"/>
      <c r="Z140" s="99"/>
      <c r="AA140" s="99"/>
      <c r="AB140" s="99"/>
      <c r="AC140" s="98"/>
      <c r="AD140" s="98"/>
      <c r="AE140" s="98"/>
      <c r="AF140" s="98"/>
      <c r="AG140" s="98"/>
      <c r="AH140" s="98"/>
    </row>
    <row r="141" spans="2:34" x14ac:dyDescent="0.25">
      <c r="B141" s="71"/>
      <c r="C141" s="72"/>
      <c r="D141" s="77"/>
      <c r="E141" s="78"/>
      <c r="F141" s="78"/>
      <c r="G141" s="78"/>
      <c r="H141" s="78"/>
      <c r="I141" s="79"/>
      <c r="J141" s="86"/>
      <c r="K141" s="87"/>
      <c r="L141" s="86"/>
      <c r="M141" s="87"/>
      <c r="N141" s="77"/>
      <c r="O141" s="79"/>
      <c r="P141" s="92"/>
      <c r="Q141" s="93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8"/>
      <c r="AD141" s="98"/>
      <c r="AE141" s="98"/>
      <c r="AF141" s="98"/>
      <c r="AG141" s="98"/>
      <c r="AH141" s="98"/>
    </row>
    <row r="142" spans="2:34" x14ac:dyDescent="0.25">
      <c r="B142" s="73"/>
      <c r="C142" s="74"/>
      <c r="D142" s="80"/>
      <c r="E142" s="81"/>
      <c r="F142" s="81"/>
      <c r="G142" s="81"/>
      <c r="H142" s="81"/>
      <c r="I142" s="82"/>
      <c r="J142" s="88"/>
      <c r="K142" s="89"/>
      <c r="L142" s="88"/>
      <c r="M142" s="89"/>
      <c r="N142" s="80"/>
      <c r="O142" s="82"/>
      <c r="P142" s="94"/>
      <c r="Q142" s="95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8"/>
      <c r="AD142" s="98"/>
      <c r="AE142" s="98"/>
      <c r="AF142" s="98"/>
      <c r="AG142" s="98"/>
      <c r="AH142" s="98"/>
    </row>
    <row r="143" spans="2:34" x14ac:dyDescent="0.25">
      <c r="B143" s="75"/>
      <c r="C143" s="76"/>
      <c r="D143" s="83"/>
      <c r="E143" s="84"/>
      <c r="F143" s="84"/>
      <c r="G143" s="84"/>
      <c r="H143" s="84"/>
      <c r="I143" s="85"/>
      <c r="J143" s="90"/>
      <c r="K143" s="91"/>
      <c r="L143" s="90"/>
      <c r="M143" s="91"/>
      <c r="N143" s="83"/>
      <c r="O143" s="85"/>
      <c r="P143" s="96"/>
      <c r="Q143" s="97"/>
      <c r="S143" s="99"/>
      <c r="T143" s="99"/>
      <c r="U143" s="99"/>
      <c r="V143" s="99"/>
      <c r="W143" s="99"/>
      <c r="X143" s="99"/>
      <c r="Y143" s="99"/>
      <c r="Z143" s="99"/>
      <c r="AA143" s="99"/>
      <c r="AB143" s="99"/>
      <c r="AC143" s="98"/>
      <c r="AD143" s="98"/>
      <c r="AE143" s="98"/>
      <c r="AF143" s="98"/>
      <c r="AG143" s="98"/>
      <c r="AH143" s="98"/>
    </row>
    <row r="144" spans="2:34" x14ac:dyDescent="0.25">
      <c r="B144" s="71"/>
      <c r="C144" s="72"/>
      <c r="D144" s="77"/>
      <c r="E144" s="78"/>
      <c r="F144" s="78"/>
      <c r="G144" s="78"/>
      <c r="H144" s="78"/>
      <c r="I144" s="79"/>
      <c r="J144" s="86"/>
      <c r="K144" s="87"/>
      <c r="L144" s="86"/>
      <c r="M144" s="87"/>
      <c r="N144" s="77"/>
      <c r="O144" s="79"/>
      <c r="P144" s="92"/>
      <c r="Q144" s="93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8"/>
      <c r="AD144" s="98"/>
      <c r="AE144" s="98"/>
      <c r="AF144" s="98"/>
      <c r="AG144" s="98"/>
      <c r="AH144" s="98"/>
    </row>
    <row r="145" spans="2:34" x14ac:dyDescent="0.25">
      <c r="B145" s="73"/>
      <c r="C145" s="74"/>
      <c r="D145" s="80"/>
      <c r="E145" s="81"/>
      <c r="F145" s="81"/>
      <c r="G145" s="81"/>
      <c r="H145" s="81"/>
      <c r="I145" s="82"/>
      <c r="J145" s="88"/>
      <c r="K145" s="89"/>
      <c r="L145" s="88"/>
      <c r="M145" s="89"/>
      <c r="N145" s="80"/>
      <c r="O145" s="82"/>
      <c r="P145" s="94"/>
      <c r="Q145" s="95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8"/>
      <c r="AD145" s="98"/>
      <c r="AE145" s="98"/>
      <c r="AF145" s="98"/>
      <c r="AG145" s="98"/>
      <c r="AH145" s="98"/>
    </row>
    <row r="146" spans="2:34" x14ac:dyDescent="0.25">
      <c r="B146" s="75"/>
      <c r="C146" s="76"/>
      <c r="D146" s="83"/>
      <c r="E146" s="84"/>
      <c r="F146" s="84"/>
      <c r="G146" s="84"/>
      <c r="H146" s="84"/>
      <c r="I146" s="85"/>
      <c r="J146" s="90"/>
      <c r="K146" s="91"/>
      <c r="L146" s="90"/>
      <c r="M146" s="91"/>
      <c r="N146" s="83"/>
      <c r="O146" s="85"/>
      <c r="P146" s="96"/>
      <c r="Q146" s="97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8"/>
      <c r="AD146" s="98"/>
      <c r="AE146" s="98"/>
      <c r="AF146" s="98"/>
      <c r="AG146" s="98"/>
      <c r="AH146" s="98"/>
    </row>
    <row r="147" spans="2:34" x14ac:dyDescent="0.25">
      <c r="B147" s="71"/>
      <c r="C147" s="72"/>
      <c r="D147" s="77"/>
      <c r="E147" s="78"/>
      <c r="F147" s="78"/>
      <c r="G147" s="78"/>
      <c r="H147" s="78"/>
      <c r="I147" s="79"/>
      <c r="J147" s="86"/>
      <c r="K147" s="87"/>
      <c r="L147" s="86"/>
      <c r="M147" s="87"/>
      <c r="N147" s="77"/>
      <c r="O147" s="79"/>
      <c r="P147" s="92"/>
      <c r="Q147" s="93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8"/>
      <c r="AD147" s="98"/>
      <c r="AE147" s="98"/>
      <c r="AF147" s="98"/>
      <c r="AG147" s="98"/>
      <c r="AH147" s="98"/>
    </row>
    <row r="148" spans="2:34" x14ac:dyDescent="0.25">
      <c r="B148" s="73"/>
      <c r="C148" s="74"/>
      <c r="D148" s="80"/>
      <c r="E148" s="81"/>
      <c r="F148" s="81"/>
      <c r="G148" s="81"/>
      <c r="H148" s="81"/>
      <c r="I148" s="82"/>
      <c r="J148" s="88"/>
      <c r="K148" s="89"/>
      <c r="L148" s="88"/>
      <c r="M148" s="89"/>
      <c r="N148" s="80"/>
      <c r="O148" s="82"/>
      <c r="P148" s="94"/>
      <c r="Q148" s="95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8"/>
      <c r="AD148" s="98"/>
      <c r="AE148" s="98"/>
      <c r="AF148" s="98"/>
      <c r="AG148" s="98"/>
      <c r="AH148" s="98"/>
    </row>
    <row r="149" spans="2:34" x14ac:dyDescent="0.25">
      <c r="B149" s="75"/>
      <c r="C149" s="76"/>
      <c r="D149" s="83"/>
      <c r="E149" s="84"/>
      <c r="F149" s="84"/>
      <c r="G149" s="84"/>
      <c r="H149" s="84"/>
      <c r="I149" s="85"/>
      <c r="J149" s="90"/>
      <c r="K149" s="91"/>
      <c r="L149" s="90"/>
      <c r="M149" s="91"/>
      <c r="N149" s="83"/>
      <c r="O149" s="85"/>
      <c r="P149" s="96"/>
      <c r="Q149" s="97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8"/>
      <c r="AD149" s="98"/>
      <c r="AE149" s="98"/>
      <c r="AF149" s="98"/>
      <c r="AG149" s="98"/>
      <c r="AH149" s="98"/>
    </row>
    <row r="150" spans="2:34" x14ac:dyDescent="0.25">
      <c r="B150" s="71"/>
      <c r="C150" s="72"/>
      <c r="D150" s="77"/>
      <c r="E150" s="78"/>
      <c r="F150" s="78"/>
      <c r="G150" s="78"/>
      <c r="H150" s="78"/>
      <c r="I150" s="79"/>
      <c r="J150" s="86"/>
      <c r="K150" s="87"/>
      <c r="L150" s="86"/>
      <c r="M150" s="87"/>
      <c r="N150" s="77"/>
      <c r="O150" s="79"/>
      <c r="P150" s="92"/>
      <c r="Q150" s="93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8"/>
      <c r="AD150" s="98"/>
      <c r="AE150" s="98"/>
      <c r="AF150" s="98"/>
      <c r="AG150" s="98"/>
      <c r="AH150" s="98"/>
    </row>
    <row r="151" spans="2:34" x14ac:dyDescent="0.25">
      <c r="B151" s="73"/>
      <c r="C151" s="74"/>
      <c r="D151" s="80"/>
      <c r="E151" s="81"/>
      <c r="F151" s="81"/>
      <c r="G151" s="81"/>
      <c r="H151" s="81"/>
      <c r="I151" s="82"/>
      <c r="J151" s="88"/>
      <c r="K151" s="89"/>
      <c r="L151" s="88"/>
      <c r="M151" s="89"/>
      <c r="N151" s="80"/>
      <c r="O151" s="82"/>
      <c r="P151" s="94"/>
      <c r="Q151" s="95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8"/>
      <c r="AD151" s="98"/>
      <c r="AE151" s="98"/>
      <c r="AF151" s="98"/>
      <c r="AG151" s="98"/>
      <c r="AH151" s="98"/>
    </row>
    <row r="152" spans="2:34" x14ac:dyDescent="0.25">
      <c r="B152" s="75"/>
      <c r="C152" s="76"/>
      <c r="D152" s="83"/>
      <c r="E152" s="84"/>
      <c r="F152" s="84"/>
      <c r="G152" s="84"/>
      <c r="H152" s="84"/>
      <c r="I152" s="85"/>
      <c r="J152" s="90"/>
      <c r="K152" s="91"/>
      <c r="L152" s="90"/>
      <c r="M152" s="91"/>
      <c r="N152" s="83"/>
      <c r="O152" s="85"/>
      <c r="P152" s="96"/>
      <c r="Q152" s="97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8"/>
      <c r="AD152" s="98"/>
      <c r="AE152" s="98"/>
      <c r="AF152" s="98"/>
      <c r="AG152" s="98"/>
      <c r="AH152" s="98"/>
    </row>
    <row r="153" spans="2:34" x14ac:dyDescent="0.25">
      <c r="B153" s="71"/>
      <c r="C153" s="72"/>
      <c r="D153" s="77"/>
      <c r="E153" s="78"/>
      <c r="F153" s="78"/>
      <c r="G153" s="78"/>
      <c r="H153" s="78"/>
      <c r="I153" s="79"/>
      <c r="J153" s="86"/>
      <c r="K153" s="87"/>
      <c r="L153" s="86"/>
      <c r="M153" s="87"/>
      <c r="N153" s="77"/>
      <c r="O153" s="79"/>
      <c r="P153" s="92"/>
      <c r="Q153" s="93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8"/>
      <c r="AD153" s="98"/>
      <c r="AE153" s="98"/>
      <c r="AF153" s="98"/>
      <c r="AG153" s="98"/>
      <c r="AH153" s="98"/>
    </row>
    <row r="154" spans="2:34" x14ac:dyDescent="0.25">
      <c r="B154" s="73"/>
      <c r="C154" s="74"/>
      <c r="D154" s="80"/>
      <c r="E154" s="81"/>
      <c r="F154" s="81"/>
      <c r="G154" s="81"/>
      <c r="H154" s="81"/>
      <c r="I154" s="82"/>
      <c r="J154" s="88"/>
      <c r="K154" s="89"/>
      <c r="L154" s="88"/>
      <c r="M154" s="89"/>
      <c r="N154" s="80"/>
      <c r="O154" s="82"/>
      <c r="P154" s="94"/>
      <c r="Q154" s="95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8"/>
      <c r="AD154" s="98"/>
      <c r="AE154" s="98"/>
      <c r="AF154" s="98"/>
      <c r="AG154" s="98"/>
      <c r="AH154" s="98"/>
    </row>
    <row r="155" spans="2:34" x14ac:dyDescent="0.25">
      <c r="B155" s="75"/>
      <c r="C155" s="76"/>
      <c r="D155" s="83"/>
      <c r="E155" s="84"/>
      <c r="F155" s="84"/>
      <c r="G155" s="84"/>
      <c r="H155" s="84"/>
      <c r="I155" s="85"/>
      <c r="J155" s="90"/>
      <c r="K155" s="91"/>
      <c r="L155" s="90"/>
      <c r="M155" s="91"/>
      <c r="N155" s="83"/>
      <c r="O155" s="85"/>
      <c r="P155" s="96"/>
      <c r="Q155" s="97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8"/>
      <c r="AD155" s="98"/>
      <c r="AE155" s="98"/>
      <c r="AF155" s="98"/>
      <c r="AG155" s="98"/>
      <c r="AH155" s="98"/>
    </row>
    <row r="156" spans="2:34" x14ac:dyDescent="0.25">
      <c r="B156" s="71"/>
      <c r="C156" s="72"/>
      <c r="D156" s="77"/>
      <c r="E156" s="78"/>
      <c r="F156" s="78"/>
      <c r="G156" s="78"/>
      <c r="H156" s="78"/>
      <c r="I156" s="79"/>
      <c r="J156" s="86"/>
      <c r="K156" s="87"/>
      <c r="L156" s="86"/>
      <c r="M156" s="87"/>
      <c r="N156" s="77"/>
      <c r="O156" s="79"/>
      <c r="P156" s="92"/>
      <c r="Q156" s="93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8"/>
      <c r="AD156" s="98"/>
      <c r="AE156" s="98"/>
      <c r="AF156" s="98"/>
      <c r="AG156" s="98"/>
      <c r="AH156" s="98"/>
    </row>
    <row r="157" spans="2:34" x14ac:dyDescent="0.25">
      <c r="B157" s="73"/>
      <c r="C157" s="74"/>
      <c r="D157" s="80"/>
      <c r="E157" s="81"/>
      <c r="F157" s="81"/>
      <c r="G157" s="81"/>
      <c r="H157" s="81"/>
      <c r="I157" s="82"/>
      <c r="J157" s="88"/>
      <c r="K157" s="89"/>
      <c r="L157" s="88"/>
      <c r="M157" s="89"/>
      <c r="N157" s="80"/>
      <c r="O157" s="82"/>
      <c r="P157" s="94"/>
      <c r="Q157" s="95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8"/>
      <c r="AD157" s="98"/>
      <c r="AE157" s="98"/>
      <c r="AF157" s="98"/>
      <c r="AG157" s="98"/>
      <c r="AH157" s="98"/>
    </row>
    <row r="158" spans="2:34" x14ac:dyDescent="0.25">
      <c r="B158" s="75"/>
      <c r="C158" s="76"/>
      <c r="D158" s="83"/>
      <c r="E158" s="84"/>
      <c r="F158" s="84"/>
      <c r="G158" s="84"/>
      <c r="H158" s="84"/>
      <c r="I158" s="85"/>
      <c r="J158" s="90"/>
      <c r="K158" s="91"/>
      <c r="L158" s="90"/>
      <c r="M158" s="91"/>
      <c r="N158" s="83"/>
      <c r="O158" s="85"/>
      <c r="P158" s="96"/>
      <c r="Q158" s="97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8"/>
      <c r="AD158" s="98"/>
      <c r="AE158" s="98"/>
      <c r="AF158" s="98"/>
      <c r="AG158" s="98"/>
      <c r="AH158" s="98"/>
    </row>
    <row r="159" spans="2:34" x14ac:dyDescent="0.25">
      <c r="B159" s="71"/>
      <c r="C159" s="72"/>
      <c r="D159" s="77"/>
      <c r="E159" s="78"/>
      <c r="F159" s="78"/>
      <c r="G159" s="78"/>
      <c r="H159" s="78"/>
      <c r="I159" s="79"/>
      <c r="J159" s="86"/>
      <c r="K159" s="87"/>
      <c r="L159" s="86"/>
      <c r="M159" s="87"/>
      <c r="N159" s="77"/>
      <c r="O159" s="79"/>
      <c r="P159" s="92"/>
      <c r="Q159" s="93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8"/>
      <c r="AD159" s="98"/>
      <c r="AE159" s="98"/>
      <c r="AF159" s="98"/>
      <c r="AG159" s="98"/>
      <c r="AH159" s="98"/>
    </row>
    <row r="160" spans="2:34" x14ac:dyDescent="0.25">
      <c r="B160" s="73"/>
      <c r="C160" s="74"/>
      <c r="D160" s="80"/>
      <c r="E160" s="81"/>
      <c r="F160" s="81"/>
      <c r="G160" s="81"/>
      <c r="H160" s="81"/>
      <c r="I160" s="82"/>
      <c r="J160" s="88"/>
      <c r="K160" s="89"/>
      <c r="L160" s="88"/>
      <c r="M160" s="89"/>
      <c r="N160" s="80"/>
      <c r="O160" s="82"/>
      <c r="P160" s="94"/>
      <c r="Q160" s="95"/>
      <c r="S160" s="99"/>
      <c r="T160" s="99"/>
      <c r="U160" s="99"/>
      <c r="V160" s="99"/>
      <c r="W160" s="99"/>
      <c r="X160" s="99"/>
      <c r="Y160" s="99"/>
      <c r="Z160" s="99"/>
      <c r="AA160" s="99"/>
      <c r="AB160" s="99"/>
      <c r="AC160" s="98"/>
      <c r="AD160" s="98"/>
      <c r="AE160" s="98"/>
      <c r="AF160" s="98"/>
      <c r="AG160" s="98"/>
      <c r="AH160" s="98"/>
    </row>
    <row r="161" spans="2:34" x14ac:dyDescent="0.25">
      <c r="B161" s="75"/>
      <c r="C161" s="76"/>
      <c r="D161" s="83"/>
      <c r="E161" s="84"/>
      <c r="F161" s="84"/>
      <c r="G161" s="84"/>
      <c r="H161" s="84"/>
      <c r="I161" s="85"/>
      <c r="J161" s="90"/>
      <c r="K161" s="91"/>
      <c r="L161" s="90"/>
      <c r="M161" s="91"/>
      <c r="N161" s="83"/>
      <c r="O161" s="85"/>
      <c r="P161" s="96"/>
      <c r="Q161" s="97"/>
      <c r="S161" s="99"/>
      <c r="T161" s="99"/>
      <c r="U161" s="99"/>
      <c r="V161" s="99"/>
      <c r="W161" s="99"/>
      <c r="X161" s="99"/>
      <c r="Y161" s="99"/>
      <c r="Z161" s="99"/>
      <c r="AA161" s="99"/>
      <c r="AB161" s="99"/>
      <c r="AC161" s="98"/>
      <c r="AD161" s="98"/>
      <c r="AE161" s="98"/>
      <c r="AF161" s="98"/>
      <c r="AG161" s="98"/>
      <c r="AH161" s="98"/>
    </row>
    <row r="162" spans="2:34" x14ac:dyDescent="0.25">
      <c r="B162" s="71"/>
      <c r="C162" s="72"/>
      <c r="D162" s="77"/>
      <c r="E162" s="78"/>
      <c r="F162" s="78"/>
      <c r="G162" s="78"/>
      <c r="H162" s="78"/>
      <c r="I162" s="79"/>
      <c r="J162" s="86"/>
      <c r="K162" s="87"/>
      <c r="L162" s="86"/>
      <c r="M162" s="87"/>
      <c r="N162" s="77"/>
      <c r="O162" s="79"/>
      <c r="P162" s="92"/>
      <c r="Q162" s="93"/>
      <c r="S162" s="99"/>
      <c r="T162" s="99"/>
      <c r="U162" s="99"/>
      <c r="V162" s="99"/>
      <c r="W162" s="99"/>
      <c r="X162" s="99"/>
      <c r="Y162" s="99"/>
      <c r="Z162" s="99"/>
      <c r="AA162" s="99"/>
      <c r="AB162" s="99"/>
      <c r="AC162" s="98"/>
      <c r="AD162" s="98"/>
      <c r="AE162" s="98"/>
      <c r="AF162" s="98"/>
      <c r="AG162" s="98"/>
      <c r="AH162" s="98"/>
    </row>
    <row r="163" spans="2:34" x14ac:dyDescent="0.25">
      <c r="B163" s="73"/>
      <c r="C163" s="74"/>
      <c r="D163" s="80"/>
      <c r="E163" s="81"/>
      <c r="F163" s="81"/>
      <c r="G163" s="81"/>
      <c r="H163" s="81"/>
      <c r="I163" s="82"/>
      <c r="J163" s="88"/>
      <c r="K163" s="89"/>
      <c r="L163" s="88"/>
      <c r="M163" s="89"/>
      <c r="N163" s="80"/>
      <c r="O163" s="82"/>
      <c r="P163" s="94"/>
      <c r="Q163" s="95"/>
      <c r="S163" s="99"/>
      <c r="T163" s="99"/>
      <c r="U163" s="99"/>
      <c r="V163" s="99"/>
      <c r="W163" s="99"/>
      <c r="X163" s="99"/>
      <c r="Y163" s="99"/>
      <c r="Z163" s="99"/>
      <c r="AA163" s="99"/>
      <c r="AB163" s="99"/>
      <c r="AC163" s="98"/>
      <c r="AD163" s="98"/>
      <c r="AE163" s="98"/>
      <c r="AF163" s="98"/>
      <c r="AG163" s="98"/>
      <c r="AH163" s="98"/>
    </row>
    <row r="164" spans="2:34" x14ac:dyDescent="0.25">
      <c r="B164" s="75"/>
      <c r="C164" s="76"/>
      <c r="D164" s="83"/>
      <c r="E164" s="84"/>
      <c r="F164" s="84"/>
      <c r="G164" s="84"/>
      <c r="H164" s="84"/>
      <c r="I164" s="85"/>
      <c r="J164" s="90"/>
      <c r="K164" s="91"/>
      <c r="L164" s="90"/>
      <c r="M164" s="91"/>
      <c r="N164" s="83"/>
      <c r="O164" s="85"/>
      <c r="P164" s="96"/>
      <c r="Q164" s="97"/>
      <c r="S164" s="99"/>
      <c r="T164" s="99"/>
      <c r="U164" s="99"/>
      <c r="V164" s="99"/>
      <c r="W164" s="99"/>
      <c r="X164" s="99"/>
      <c r="Y164" s="99"/>
      <c r="Z164" s="99"/>
      <c r="AA164" s="99"/>
      <c r="AB164" s="99"/>
      <c r="AC164" s="98"/>
      <c r="AD164" s="98"/>
      <c r="AE164" s="98"/>
      <c r="AF164" s="98"/>
      <c r="AG164" s="98"/>
      <c r="AH164" s="98"/>
    </row>
    <row r="165" spans="2:34" x14ac:dyDescent="0.25">
      <c r="B165" s="71"/>
      <c r="C165" s="72"/>
      <c r="D165" s="77"/>
      <c r="E165" s="78"/>
      <c r="F165" s="78"/>
      <c r="G165" s="78"/>
      <c r="H165" s="78"/>
      <c r="I165" s="79"/>
      <c r="J165" s="86"/>
      <c r="K165" s="87"/>
      <c r="L165" s="86"/>
      <c r="M165" s="87"/>
      <c r="N165" s="77"/>
      <c r="O165" s="79"/>
      <c r="P165" s="92"/>
      <c r="Q165" s="93"/>
      <c r="S165" s="99"/>
      <c r="T165" s="99"/>
      <c r="U165" s="99"/>
      <c r="V165" s="99"/>
      <c r="W165" s="99"/>
      <c r="X165" s="99"/>
      <c r="Y165" s="99"/>
      <c r="Z165" s="99"/>
      <c r="AA165" s="99"/>
      <c r="AB165" s="99"/>
      <c r="AC165" s="98"/>
      <c r="AD165" s="98"/>
      <c r="AE165" s="98"/>
      <c r="AF165" s="98"/>
      <c r="AG165" s="98"/>
      <c r="AH165" s="98"/>
    </row>
    <row r="166" spans="2:34" x14ac:dyDescent="0.25">
      <c r="B166" s="73"/>
      <c r="C166" s="74"/>
      <c r="D166" s="80"/>
      <c r="E166" s="81"/>
      <c r="F166" s="81"/>
      <c r="G166" s="81"/>
      <c r="H166" s="81"/>
      <c r="I166" s="82"/>
      <c r="J166" s="88"/>
      <c r="K166" s="89"/>
      <c r="L166" s="88"/>
      <c r="M166" s="89"/>
      <c r="N166" s="80"/>
      <c r="O166" s="82"/>
      <c r="P166" s="94"/>
      <c r="Q166" s="95"/>
      <c r="S166" s="99"/>
      <c r="T166" s="99"/>
      <c r="U166" s="99"/>
      <c r="V166" s="99"/>
      <c r="W166" s="99"/>
      <c r="X166" s="99"/>
      <c r="Y166" s="99"/>
      <c r="Z166" s="99"/>
      <c r="AA166" s="99"/>
      <c r="AB166" s="99"/>
      <c r="AC166" s="98"/>
      <c r="AD166" s="98"/>
      <c r="AE166" s="98"/>
      <c r="AF166" s="98"/>
      <c r="AG166" s="98"/>
      <c r="AH166" s="98"/>
    </row>
    <row r="167" spans="2:34" x14ac:dyDescent="0.25">
      <c r="B167" s="75"/>
      <c r="C167" s="76"/>
      <c r="D167" s="83"/>
      <c r="E167" s="84"/>
      <c r="F167" s="84"/>
      <c r="G167" s="84"/>
      <c r="H167" s="84"/>
      <c r="I167" s="85"/>
      <c r="J167" s="90"/>
      <c r="K167" s="91"/>
      <c r="L167" s="90"/>
      <c r="M167" s="91"/>
      <c r="N167" s="83"/>
      <c r="O167" s="85"/>
      <c r="P167" s="96"/>
      <c r="Q167" s="97"/>
      <c r="S167" s="99"/>
      <c r="T167" s="99"/>
      <c r="U167" s="99"/>
      <c r="V167" s="99"/>
      <c r="W167" s="99"/>
      <c r="X167" s="99"/>
      <c r="Y167" s="99"/>
      <c r="Z167" s="99"/>
      <c r="AA167" s="99"/>
      <c r="AB167" s="99"/>
      <c r="AC167" s="98"/>
      <c r="AD167" s="98"/>
      <c r="AE167" s="98"/>
      <c r="AF167" s="98"/>
      <c r="AG167" s="98"/>
      <c r="AH167" s="98"/>
    </row>
    <row r="168" spans="2:34" x14ac:dyDescent="0.25">
      <c r="B168" s="71"/>
      <c r="C168" s="72"/>
      <c r="D168" s="77"/>
      <c r="E168" s="78"/>
      <c r="F168" s="78"/>
      <c r="G168" s="78"/>
      <c r="H168" s="78"/>
      <c r="I168" s="79"/>
      <c r="J168" s="86"/>
      <c r="K168" s="87"/>
      <c r="L168" s="86"/>
      <c r="M168" s="87"/>
      <c r="N168" s="77"/>
      <c r="O168" s="79"/>
      <c r="P168" s="92"/>
      <c r="Q168" s="93"/>
      <c r="S168" s="99"/>
      <c r="T168" s="99"/>
      <c r="U168" s="99"/>
      <c r="V168" s="99"/>
      <c r="W168" s="99"/>
      <c r="X168" s="99"/>
      <c r="Y168" s="99"/>
      <c r="Z168" s="99"/>
      <c r="AA168" s="99"/>
      <c r="AB168" s="99"/>
      <c r="AC168" s="98"/>
      <c r="AD168" s="98"/>
      <c r="AE168" s="98"/>
      <c r="AF168" s="98"/>
      <c r="AG168" s="98"/>
      <c r="AH168" s="98"/>
    </row>
    <row r="169" spans="2:34" x14ac:dyDescent="0.25">
      <c r="B169" s="73"/>
      <c r="C169" s="74"/>
      <c r="D169" s="80"/>
      <c r="E169" s="81"/>
      <c r="F169" s="81"/>
      <c r="G169" s="81"/>
      <c r="H169" s="81"/>
      <c r="I169" s="82"/>
      <c r="J169" s="88"/>
      <c r="K169" s="89"/>
      <c r="L169" s="88"/>
      <c r="M169" s="89"/>
      <c r="N169" s="80"/>
      <c r="O169" s="82"/>
      <c r="P169" s="94"/>
      <c r="Q169" s="95"/>
      <c r="S169" s="99"/>
      <c r="T169" s="99"/>
      <c r="U169" s="99"/>
      <c r="V169" s="99"/>
      <c r="W169" s="99"/>
      <c r="X169" s="99"/>
      <c r="Y169" s="99"/>
      <c r="Z169" s="99"/>
      <c r="AA169" s="99"/>
      <c r="AB169" s="99"/>
      <c r="AC169" s="98"/>
      <c r="AD169" s="98"/>
      <c r="AE169" s="98"/>
      <c r="AF169" s="98"/>
      <c r="AG169" s="98"/>
      <c r="AH169" s="98"/>
    </row>
    <row r="170" spans="2:34" x14ac:dyDescent="0.25">
      <c r="B170" s="75"/>
      <c r="C170" s="76"/>
      <c r="D170" s="83"/>
      <c r="E170" s="84"/>
      <c r="F170" s="84"/>
      <c r="G170" s="84"/>
      <c r="H170" s="84"/>
      <c r="I170" s="85"/>
      <c r="J170" s="90"/>
      <c r="K170" s="91"/>
      <c r="L170" s="90"/>
      <c r="M170" s="91"/>
      <c r="N170" s="83"/>
      <c r="O170" s="85"/>
      <c r="P170" s="96"/>
      <c r="Q170" s="97"/>
      <c r="S170" s="99"/>
      <c r="T170" s="99"/>
      <c r="U170" s="99"/>
      <c r="V170" s="99"/>
      <c r="W170" s="99"/>
      <c r="X170" s="99"/>
      <c r="Y170" s="99"/>
      <c r="Z170" s="99"/>
      <c r="AA170" s="99"/>
      <c r="AB170" s="99"/>
      <c r="AC170" s="98"/>
      <c r="AD170" s="98"/>
      <c r="AE170" s="98"/>
      <c r="AF170" s="98"/>
      <c r="AG170" s="98"/>
      <c r="AH170" s="98"/>
    </row>
    <row r="171" spans="2:34" x14ac:dyDescent="0.25">
      <c r="B171" s="71"/>
      <c r="C171" s="72"/>
      <c r="D171" s="77"/>
      <c r="E171" s="78"/>
      <c r="F171" s="78"/>
      <c r="G171" s="78"/>
      <c r="H171" s="78"/>
      <c r="I171" s="79"/>
      <c r="J171" s="86"/>
      <c r="K171" s="87"/>
      <c r="L171" s="86"/>
      <c r="M171" s="87"/>
      <c r="N171" s="77"/>
      <c r="O171" s="79"/>
      <c r="P171" s="92"/>
      <c r="Q171" s="93"/>
      <c r="S171" s="99"/>
      <c r="T171" s="99"/>
      <c r="U171" s="99"/>
      <c r="V171" s="99"/>
      <c r="W171" s="99"/>
      <c r="X171" s="99"/>
      <c r="Y171" s="99"/>
      <c r="Z171" s="99"/>
      <c r="AA171" s="99"/>
      <c r="AB171" s="99"/>
      <c r="AC171" s="98"/>
      <c r="AD171" s="98"/>
      <c r="AE171" s="98"/>
      <c r="AF171" s="98"/>
      <c r="AG171" s="98"/>
      <c r="AH171" s="98"/>
    </row>
    <row r="172" spans="2:34" x14ac:dyDescent="0.25">
      <c r="B172" s="73"/>
      <c r="C172" s="74"/>
      <c r="D172" s="80"/>
      <c r="E172" s="81"/>
      <c r="F172" s="81"/>
      <c r="G172" s="81"/>
      <c r="H172" s="81"/>
      <c r="I172" s="82"/>
      <c r="J172" s="88"/>
      <c r="K172" s="89"/>
      <c r="L172" s="88"/>
      <c r="M172" s="89"/>
      <c r="N172" s="80"/>
      <c r="O172" s="82"/>
      <c r="P172" s="94"/>
      <c r="Q172" s="95"/>
      <c r="S172" s="99"/>
      <c r="T172" s="99"/>
      <c r="U172" s="99"/>
      <c r="V172" s="99"/>
      <c r="W172" s="99"/>
      <c r="X172" s="99"/>
      <c r="Y172" s="99"/>
      <c r="Z172" s="99"/>
      <c r="AA172" s="99"/>
      <c r="AB172" s="99"/>
      <c r="AC172" s="98"/>
      <c r="AD172" s="98"/>
      <c r="AE172" s="98"/>
      <c r="AF172" s="98"/>
      <c r="AG172" s="98"/>
      <c r="AH172" s="98"/>
    </row>
    <row r="173" spans="2:34" x14ac:dyDescent="0.25">
      <c r="B173" s="75"/>
      <c r="C173" s="76"/>
      <c r="D173" s="83"/>
      <c r="E173" s="84"/>
      <c r="F173" s="84"/>
      <c r="G173" s="84"/>
      <c r="H173" s="84"/>
      <c r="I173" s="85"/>
      <c r="J173" s="90"/>
      <c r="K173" s="91"/>
      <c r="L173" s="90"/>
      <c r="M173" s="91"/>
      <c r="N173" s="83"/>
      <c r="O173" s="85"/>
      <c r="P173" s="96"/>
      <c r="Q173" s="97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8"/>
      <c r="AD173" s="98"/>
      <c r="AE173" s="98"/>
      <c r="AF173" s="98"/>
      <c r="AG173" s="98"/>
      <c r="AH173" s="98"/>
    </row>
    <row r="174" spans="2:34" x14ac:dyDescent="0.25">
      <c r="B174" s="71"/>
      <c r="C174" s="72"/>
      <c r="D174" s="77"/>
      <c r="E174" s="78"/>
      <c r="F174" s="78"/>
      <c r="G174" s="78"/>
      <c r="H174" s="78"/>
      <c r="I174" s="79"/>
      <c r="J174" s="86"/>
      <c r="K174" s="87"/>
      <c r="L174" s="86"/>
      <c r="M174" s="87"/>
      <c r="N174" s="77"/>
      <c r="O174" s="79"/>
      <c r="P174" s="92"/>
      <c r="Q174" s="93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8"/>
      <c r="AD174" s="98"/>
      <c r="AE174" s="98"/>
      <c r="AF174" s="98"/>
      <c r="AG174" s="98"/>
      <c r="AH174" s="98"/>
    </row>
    <row r="175" spans="2:34" x14ac:dyDescent="0.25">
      <c r="B175" s="73"/>
      <c r="C175" s="74"/>
      <c r="D175" s="80"/>
      <c r="E175" s="81"/>
      <c r="F175" s="81"/>
      <c r="G175" s="81"/>
      <c r="H175" s="81"/>
      <c r="I175" s="82"/>
      <c r="J175" s="88"/>
      <c r="K175" s="89"/>
      <c r="L175" s="88"/>
      <c r="M175" s="89"/>
      <c r="N175" s="80"/>
      <c r="O175" s="82"/>
      <c r="P175" s="94"/>
      <c r="Q175" s="95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8"/>
      <c r="AD175" s="98"/>
      <c r="AE175" s="98"/>
      <c r="AF175" s="98"/>
      <c r="AG175" s="98"/>
      <c r="AH175" s="98"/>
    </row>
    <row r="176" spans="2:34" x14ac:dyDescent="0.25">
      <c r="B176" s="75"/>
      <c r="C176" s="76"/>
      <c r="D176" s="83"/>
      <c r="E176" s="84"/>
      <c r="F176" s="84"/>
      <c r="G176" s="84"/>
      <c r="H176" s="84"/>
      <c r="I176" s="85"/>
      <c r="J176" s="90"/>
      <c r="K176" s="91"/>
      <c r="L176" s="90"/>
      <c r="M176" s="91"/>
      <c r="N176" s="83"/>
      <c r="O176" s="85"/>
      <c r="P176" s="96"/>
      <c r="Q176" s="97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8"/>
      <c r="AD176" s="98"/>
      <c r="AE176" s="98"/>
      <c r="AF176" s="98"/>
      <c r="AG176" s="98"/>
      <c r="AH176" s="98"/>
    </row>
    <row r="177" spans="2:34" x14ac:dyDescent="0.25">
      <c r="B177" s="71"/>
      <c r="C177" s="72"/>
      <c r="D177" s="77"/>
      <c r="E177" s="78"/>
      <c r="F177" s="78"/>
      <c r="G177" s="78"/>
      <c r="H177" s="78"/>
      <c r="I177" s="79"/>
      <c r="J177" s="86"/>
      <c r="K177" s="87"/>
      <c r="L177" s="86"/>
      <c r="M177" s="87"/>
      <c r="N177" s="77"/>
      <c r="O177" s="79"/>
      <c r="P177" s="92"/>
      <c r="Q177" s="93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8"/>
      <c r="AD177" s="98"/>
      <c r="AE177" s="98"/>
      <c r="AF177" s="98"/>
      <c r="AG177" s="98"/>
      <c r="AH177" s="98"/>
    </row>
    <row r="178" spans="2:34" x14ac:dyDescent="0.25">
      <c r="B178" s="73"/>
      <c r="C178" s="74"/>
      <c r="D178" s="80"/>
      <c r="E178" s="81"/>
      <c r="F178" s="81"/>
      <c r="G178" s="81"/>
      <c r="H178" s="81"/>
      <c r="I178" s="82"/>
      <c r="J178" s="88"/>
      <c r="K178" s="89"/>
      <c r="L178" s="88"/>
      <c r="M178" s="89"/>
      <c r="N178" s="80"/>
      <c r="O178" s="82"/>
      <c r="P178" s="94"/>
      <c r="Q178" s="95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8"/>
      <c r="AD178" s="98"/>
      <c r="AE178" s="98"/>
      <c r="AF178" s="98"/>
      <c r="AG178" s="98"/>
      <c r="AH178" s="98"/>
    </row>
    <row r="179" spans="2:34" x14ac:dyDescent="0.25">
      <c r="B179" s="75"/>
      <c r="C179" s="76"/>
      <c r="D179" s="83"/>
      <c r="E179" s="84"/>
      <c r="F179" s="84"/>
      <c r="G179" s="84"/>
      <c r="H179" s="84"/>
      <c r="I179" s="85"/>
      <c r="J179" s="90"/>
      <c r="K179" s="91"/>
      <c r="L179" s="90"/>
      <c r="M179" s="91"/>
      <c r="N179" s="83"/>
      <c r="O179" s="85"/>
      <c r="P179" s="96"/>
      <c r="Q179" s="97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8"/>
      <c r="AD179" s="98"/>
      <c r="AE179" s="98"/>
      <c r="AF179" s="98"/>
      <c r="AG179" s="98"/>
      <c r="AH179" s="98"/>
    </row>
    <row r="180" spans="2:34" x14ac:dyDescent="0.25">
      <c r="B180" s="71"/>
      <c r="C180" s="72"/>
      <c r="D180" s="77"/>
      <c r="E180" s="78"/>
      <c r="F180" s="78"/>
      <c r="G180" s="78"/>
      <c r="H180" s="78"/>
      <c r="I180" s="79"/>
      <c r="J180" s="86"/>
      <c r="K180" s="87"/>
      <c r="L180" s="86"/>
      <c r="M180" s="87"/>
      <c r="N180" s="77"/>
      <c r="O180" s="79"/>
      <c r="P180" s="92"/>
      <c r="Q180" s="93"/>
      <c r="S180" s="99"/>
      <c r="T180" s="99"/>
      <c r="U180" s="99"/>
      <c r="V180" s="99"/>
      <c r="W180" s="99"/>
      <c r="X180" s="99"/>
      <c r="Y180" s="99"/>
      <c r="Z180" s="99"/>
      <c r="AA180" s="99"/>
      <c r="AB180" s="99"/>
      <c r="AC180" s="98"/>
      <c r="AD180" s="98"/>
      <c r="AE180" s="98"/>
      <c r="AF180" s="98"/>
      <c r="AG180" s="98"/>
      <c r="AH180" s="98"/>
    </row>
    <row r="181" spans="2:34" x14ac:dyDescent="0.25">
      <c r="B181" s="73"/>
      <c r="C181" s="74"/>
      <c r="D181" s="80"/>
      <c r="E181" s="81"/>
      <c r="F181" s="81"/>
      <c r="G181" s="81"/>
      <c r="H181" s="81"/>
      <c r="I181" s="82"/>
      <c r="J181" s="88"/>
      <c r="K181" s="89"/>
      <c r="L181" s="88"/>
      <c r="M181" s="89"/>
      <c r="N181" s="80"/>
      <c r="O181" s="82"/>
      <c r="P181" s="94"/>
      <c r="Q181" s="95"/>
      <c r="S181" s="99"/>
      <c r="T181" s="99"/>
      <c r="U181" s="99"/>
      <c r="V181" s="99"/>
      <c r="W181" s="99"/>
      <c r="X181" s="99"/>
      <c r="Y181" s="99"/>
      <c r="Z181" s="99"/>
      <c r="AA181" s="99"/>
      <c r="AB181" s="99"/>
      <c r="AC181" s="98"/>
      <c r="AD181" s="98"/>
      <c r="AE181" s="98"/>
      <c r="AF181" s="98"/>
      <c r="AG181" s="98"/>
      <c r="AH181" s="98"/>
    </row>
    <row r="182" spans="2:34" x14ac:dyDescent="0.25">
      <c r="B182" s="75"/>
      <c r="C182" s="76"/>
      <c r="D182" s="83"/>
      <c r="E182" s="84"/>
      <c r="F182" s="84"/>
      <c r="G182" s="84"/>
      <c r="H182" s="84"/>
      <c r="I182" s="85"/>
      <c r="J182" s="90"/>
      <c r="K182" s="91"/>
      <c r="L182" s="90"/>
      <c r="M182" s="91"/>
      <c r="N182" s="83"/>
      <c r="O182" s="85"/>
      <c r="P182" s="96"/>
      <c r="Q182" s="97"/>
      <c r="S182" s="99"/>
      <c r="T182" s="99"/>
      <c r="U182" s="99"/>
      <c r="V182" s="99"/>
      <c r="W182" s="99"/>
      <c r="X182" s="99"/>
      <c r="Y182" s="99"/>
      <c r="Z182" s="99"/>
      <c r="AA182" s="99"/>
      <c r="AB182" s="99"/>
      <c r="AC182" s="98"/>
      <c r="AD182" s="98"/>
      <c r="AE182" s="98"/>
      <c r="AF182" s="98"/>
      <c r="AG182" s="98"/>
      <c r="AH182" s="98"/>
    </row>
    <row r="183" spans="2:34" x14ac:dyDescent="0.25">
      <c r="B183" s="71"/>
      <c r="C183" s="72"/>
      <c r="D183" s="77"/>
      <c r="E183" s="78"/>
      <c r="F183" s="78"/>
      <c r="G183" s="78"/>
      <c r="H183" s="78"/>
      <c r="I183" s="79"/>
      <c r="J183" s="86"/>
      <c r="K183" s="87"/>
      <c r="L183" s="86"/>
      <c r="M183" s="87"/>
      <c r="N183" s="77"/>
      <c r="O183" s="79"/>
      <c r="P183" s="92"/>
      <c r="Q183" s="93"/>
      <c r="S183" s="99"/>
      <c r="T183" s="99"/>
      <c r="U183" s="99"/>
      <c r="V183" s="99"/>
      <c r="W183" s="99"/>
      <c r="X183" s="99"/>
      <c r="Y183" s="99"/>
      <c r="Z183" s="99"/>
      <c r="AA183" s="99"/>
      <c r="AB183" s="99"/>
      <c r="AC183" s="98"/>
      <c r="AD183" s="98"/>
      <c r="AE183" s="98"/>
      <c r="AF183" s="98"/>
      <c r="AG183" s="98"/>
      <c r="AH183" s="98"/>
    </row>
    <row r="184" spans="2:34" x14ac:dyDescent="0.25">
      <c r="B184" s="73"/>
      <c r="C184" s="74"/>
      <c r="D184" s="80"/>
      <c r="E184" s="81"/>
      <c r="F184" s="81"/>
      <c r="G184" s="81"/>
      <c r="H184" s="81"/>
      <c r="I184" s="82"/>
      <c r="J184" s="88"/>
      <c r="K184" s="89"/>
      <c r="L184" s="88"/>
      <c r="M184" s="89"/>
      <c r="N184" s="80"/>
      <c r="O184" s="82"/>
      <c r="P184" s="94"/>
      <c r="Q184" s="95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8"/>
      <c r="AD184" s="98"/>
      <c r="AE184" s="98"/>
      <c r="AF184" s="98"/>
      <c r="AG184" s="98"/>
      <c r="AH184" s="98"/>
    </row>
    <row r="185" spans="2:34" x14ac:dyDescent="0.25">
      <c r="B185" s="75"/>
      <c r="C185" s="76"/>
      <c r="D185" s="83"/>
      <c r="E185" s="84"/>
      <c r="F185" s="84"/>
      <c r="G185" s="84"/>
      <c r="H185" s="84"/>
      <c r="I185" s="85"/>
      <c r="J185" s="90"/>
      <c r="K185" s="91"/>
      <c r="L185" s="90"/>
      <c r="M185" s="91"/>
      <c r="N185" s="83"/>
      <c r="O185" s="85"/>
      <c r="P185" s="96"/>
      <c r="Q185" s="97"/>
      <c r="S185" s="99"/>
      <c r="T185" s="99"/>
      <c r="U185" s="99"/>
      <c r="V185" s="99"/>
      <c r="W185" s="99"/>
      <c r="X185" s="99"/>
      <c r="Y185" s="99"/>
      <c r="Z185" s="99"/>
      <c r="AA185" s="99"/>
      <c r="AB185" s="99"/>
      <c r="AC185" s="98"/>
      <c r="AD185" s="98"/>
      <c r="AE185" s="98"/>
      <c r="AF185" s="98"/>
      <c r="AG185" s="98"/>
      <c r="AH185" s="98"/>
    </row>
    <row r="186" spans="2:34" x14ac:dyDescent="0.25">
      <c r="B186" s="71"/>
      <c r="C186" s="72"/>
      <c r="D186" s="77"/>
      <c r="E186" s="78"/>
      <c r="F186" s="78"/>
      <c r="G186" s="78"/>
      <c r="H186" s="78"/>
      <c r="I186" s="79"/>
      <c r="J186" s="86"/>
      <c r="K186" s="87"/>
      <c r="L186" s="86"/>
      <c r="M186" s="87"/>
      <c r="N186" s="77"/>
      <c r="O186" s="79"/>
      <c r="P186" s="92"/>
      <c r="Q186" s="93"/>
      <c r="S186" s="99"/>
      <c r="T186" s="99"/>
      <c r="U186" s="99"/>
      <c r="V186" s="99"/>
      <c r="W186" s="99"/>
      <c r="X186" s="99"/>
      <c r="Y186" s="99"/>
      <c r="Z186" s="99"/>
      <c r="AA186" s="99"/>
      <c r="AB186" s="99"/>
      <c r="AC186" s="98"/>
      <c r="AD186" s="98"/>
      <c r="AE186" s="98"/>
      <c r="AF186" s="98"/>
      <c r="AG186" s="98"/>
      <c r="AH186" s="98"/>
    </row>
    <row r="187" spans="2:34" x14ac:dyDescent="0.25">
      <c r="B187" s="73"/>
      <c r="C187" s="74"/>
      <c r="D187" s="80"/>
      <c r="E187" s="81"/>
      <c r="F187" s="81"/>
      <c r="G187" s="81"/>
      <c r="H187" s="81"/>
      <c r="I187" s="82"/>
      <c r="J187" s="88"/>
      <c r="K187" s="89"/>
      <c r="L187" s="88"/>
      <c r="M187" s="89"/>
      <c r="N187" s="80"/>
      <c r="O187" s="82"/>
      <c r="P187" s="94"/>
      <c r="Q187" s="95"/>
      <c r="S187" s="99"/>
      <c r="T187" s="99"/>
      <c r="U187" s="99"/>
      <c r="V187" s="99"/>
      <c r="W187" s="99"/>
      <c r="X187" s="99"/>
      <c r="Y187" s="99"/>
      <c r="Z187" s="99"/>
      <c r="AA187" s="99"/>
      <c r="AB187" s="99"/>
      <c r="AC187" s="98"/>
      <c r="AD187" s="98"/>
      <c r="AE187" s="98"/>
      <c r="AF187" s="98"/>
      <c r="AG187" s="98"/>
      <c r="AH187" s="98"/>
    </row>
    <row r="188" spans="2:34" x14ac:dyDescent="0.25">
      <c r="B188" s="75"/>
      <c r="C188" s="76"/>
      <c r="D188" s="83"/>
      <c r="E188" s="84"/>
      <c r="F188" s="84"/>
      <c r="G188" s="84"/>
      <c r="H188" s="84"/>
      <c r="I188" s="85"/>
      <c r="J188" s="90"/>
      <c r="K188" s="91"/>
      <c r="L188" s="90"/>
      <c r="M188" s="91"/>
      <c r="N188" s="83"/>
      <c r="O188" s="85"/>
      <c r="P188" s="96"/>
      <c r="Q188" s="97"/>
      <c r="S188" s="99"/>
      <c r="T188" s="99"/>
      <c r="U188" s="99"/>
      <c r="V188" s="99"/>
      <c r="W188" s="99"/>
      <c r="X188" s="99"/>
      <c r="Y188" s="99"/>
      <c r="Z188" s="99"/>
      <c r="AA188" s="99"/>
      <c r="AB188" s="99"/>
      <c r="AC188" s="98"/>
      <c r="AD188" s="98"/>
      <c r="AE188" s="98"/>
      <c r="AF188" s="98"/>
      <c r="AG188" s="98"/>
      <c r="AH188" s="98"/>
    </row>
    <row r="189" spans="2:34" x14ac:dyDescent="0.25">
      <c r="B189" s="71"/>
      <c r="C189" s="72"/>
      <c r="D189" s="77"/>
      <c r="E189" s="78"/>
      <c r="F189" s="78"/>
      <c r="G189" s="78"/>
      <c r="H189" s="78"/>
      <c r="I189" s="79"/>
      <c r="J189" s="86"/>
      <c r="K189" s="87"/>
      <c r="L189" s="86"/>
      <c r="M189" s="87"/>
      <c r="N189" s="77"/>
      <c r="O189" s="79"/>
      <c r="P189" s="92"/>
      <c r="Q189" s="93"/>
      <c r="S189" s="99"/>
      <c r="T189" s="99"/>
      <c r="U189" s="99"/>
      <c r="V189" s="99"/>
      <c r="W189" s="99"/>
      <c r="X189" s="99"/>
      <c r="Y189" s="99"/>
      <c r="Z189" s="99"/>
      <c r="AA189" s="99"/>
      <c r="AB189" s="99"/>
      <c r="AC189" s="98"/>
      <c r="AD189" s="98"/>
      <c r="AE189" s="98"/>
      <c r="AF189" s="98"/>
      <c r="AG189" s="98"/>
      <c r="AH189" s="98"/>
    </row>
    <row r="190" spans="2:34" x14ac:dyDescent="0.25">
      <c r="B190" s="73"/>
      <c r="C190" s="74"/>
      <c r="D190" s="80"/>
      <c r="E190" s="81"/>
      <c r="F190" s="81"/>
      <c r="G190" s="81"/>
      <c r="H190" s="81"/>
      <c r="I190" s="82"/>
      <c r="J190" s="88"/>
      <c r="K190" s="89"/>
      <c r="L190" s="88"/>
      <c r="M190" s="89"/>
      <c r="N190" s="80"/>
      <c r="O190" s="82"/>
      <c r="P190" s="94"/>
      <c r="Q190" s="95"/>
      <c r="S190" s="99"/>
      <c r="T190" s="99"/>
      <c r="U190" s="99"/>
      <c r="V190" s="99"/>
      <c r="W190" s="99"/>
      <c r="X190" s="99"/>
      <c r="Y190" s="99"/>
      <c r="Z190" s="99"/>
      <c r="AA190" s="99"/>
      <c r="AB190" s="99"/>
      <c r="AC190" s="98"/>
      <c r="AD190" s="98"/>
      <c r="AE190" s="98"/>
      <c r="AF190" s="98"/>
      <c r="AG190" s="98"/>
      <c r="AH190" s="98"/>
    </row>
    <row r="191" spans="2:34" x14ac:dyDescent="0.25">
      <c r="B191" s="75"/>
      <c r="C191" s="76"/>
      <c r="D191" s="83"/>
      <c r="E191" s="84"/>
      <c r="F191" s="84"/>
      <c r="G191" s="84"/>
      <c r="H191" s="84"/>
      <c r="I191" s="85"/>
      <c r="J191" s="90"/>
      <c r="K191" s="91"/>
      <c r="L191" s="90"/>
      <c r="M191" s="91"/>
      <c r="N191" s="83"/>
      <c r="O191" s="85"/>
      <c r="P191" s="96"/>
      <c r="Q191" s="97"/>
      <c r="S191" s="99"/>
      <c r="T191" s="99"/>
      <c r="U191" s="99"/>
      <c r="V191" s="99"/>
      <c r="W191" s="99"/>
      <c r="X191" s="99"/>
      <c r="Y191" s="99"/>
      <c r="Z191" s="99"/>
      <c r="AA191" s="99"/>
      <c r="AB191" s="99"/>
      <c r="AC191" s="98"/>
      <c r="AD191" s="98"/>
      <c r="AE191" s="98"/>
      <c r="AF191" s="98"/>
      <c r="AG191" s="98"/>
      <c r="AH191" s="98"/>
    </row>
    <row r="192" spans="2:34" x14ac:dyDescent="0.25">
      <c r="B192" s="71"/>
      <c r="C192" s="72"/>
      <c r="D192" s="77"/>
      <c r="E192" s="78"/>
      <c r="F192" s="78"/>
      <c r="G192" s="78"/>
      <c r="H192" s="78"/>
      <c r="I192" s="79"/>
      <c r="J192" s="86"/>
      <c r="K192" s="87"/>
      <c r="L192" s="86"/>
      <c r="M192" s="87"/>
      <c r="N192" s="77"/>
      <c r="O192" s="79"/>
      <c r="P192" s="92"/>
      <c r="Q192" s="93"/>
      <c r="S192" s="99"/>
      <c r="T192" s="99"/>
      <c r="U192" s="99"/>
      <c r="V192" s="99"/>
      <c r="W192" s="99"/>
      <c r="X192" s="99"/>
      <c r="Y192" s="99"/>
      <c r="Z192" s="99"/>
      <c r="AA192" s="99"/>
      <c r="AB192" s="99"/>
      <c r="AC192" s="98"/>
      <c r="AD192" s="98"/>
      <c r="AE192" s="98"/>
      <c r="AF192" s="98"/>
      <c r="AG192" s="98"/>
      <c r="AH192" s="98"/>
    </row>
    <row r="193" spans="2:34" x14ac:dyDescent="0.25">
      <c r="B193" s="73"/>
      <c r="C193" s="74"/>
      <c r="D193" s="80"/>
      <c r="E193" s="81"/>
      <c r="F193" s="81"/>
      <c r="G193" s="81"/>
      <c r="H193" s="81"/>
      <c r="I193" s="82"/>
      <c r="J193" s="88"/>
      <c r="K193" s="89"/>
      <c r="L193" s="88"/>
      <c r="M193" s="89"/>
      <c r="N193" s="80"/>
      <c r="O193" s="82"/>
      <c r="P193" s="94"/>
      <c r="Q193" s="95"/>
      <c r="S193" s="99"/>
      <c r="T193" s="99"/>
      <c r="U193" s="99"/>
      <c r="V193" s="99"/>
      <c r="W193" s="99"/>
      <c r="X193" s="99"/>
      <c r="Y193" s="99"/>
      <c r="Z193" s="99"/>
      <c r="AA193" s="99"/>
      <c r="AB193" s="99"/>
      <c r="AC193" s="98"/>
      <c r="AD193" s="98"/>
      <c r="AE193" s="98"/>
      <c r="AF193" s="98"/>
      <c r="AG193" s="98"/>
      <c r="AH193" s="98"/>
    </row>
    <row r="194" spans="2:34" x14ac:dyDescent="0.25">
      <c r="B194" s="75"/>
      <c r="C194" s="76"/>
      <c r="D194" s="83"/>
      <c r="E194" s="84"/>
      <c r="F194" s="84"/>
      <c r="G194" s="84"/>
      <c r="H194" s="84"/>
      <c r="I194" s="85"/>
      <c r="J194" s="90"/>
      <c r="K194" s="91"/>
      <c r="L194" s="90"/>
      <c r="M194" s="91"/>
      <c r="N194" s="83"/>
      <c r="O194" s="85"/>
      <c r="P194" s="96"/>
      <c r="Q194" s="97"/>
      <c r="S194" s="99"/>
      <c r="T194" s="99"/>
      <c r="U194" s="99"/>
      <c r="V194" s="99"/>
      <c r="W194" s="99"/>
      <c r="X194" s="99"/>
      <c r="Y194" s="99"/>
      <c r="Z194" s="99"/>
      <c r="AA194" s="99"/>
      <c r="AB194" s="99"/>
      <c r="AC194" s="98"/>
      <c r="AD194" s="98"/>
      <c r="AE194" s="98"/>
      <c r="AF194" s="98"/>
      <c r="AG194" s="98"/>
      <c r="AH194" s="98"/>
    </row>
    <row r="195" spans="2:34" x14ac:dyDescent="0.25">
      <c r="B195" s="71"/>
      <c r="C195" s="72"/>
      <c r="D195" s="77"/>
      <c r="E195" s="78"/>
      <c r="F195" s="78"/>
      <c r="G195" s="78"/>
      <c r="H195" s="78"/>
      <c r="I195" s="79"/>
      <c r="J195" s="86"/>
      <c r="K195" s="87"/>
      <c r="L195" s="86"/>
      <c r="M195" s="87"/>
      <c r="N195" s="77"/>
      <c r="O195" s="79"/>
      <c r="P195" s="92"/>
      <c r="Q195" s="93"/>
      <c r="S195" s="99"/>
      <c r="T195" s="99"/>
      <c r="U195" s="99"/>
      <c r="V195" s="99"/>
      <c r="W195" s="99"/>
      <c r="X195" s="99"/>
      <c r="Y195" s="99"/>
      <c r="Z195" s="99"/>
      <c r="AA195" s="99"/>
      <c r="AB195" s="99"/>
      <c r="AC195" s="98"/>
      <c r="AD195" s="98"/>
      <c r="AE195" s="98"/>
      <c r="AF195" s="98"/>
      <c r="AG195" s="98"/>
      <c r="AH195" s="98"/>
    </row>
    <row r="196" spans="2:34" x14ac:dyDescent="0.25">
      <c r="B196" s="73"/>
      <c r="C196" s="74"/>
      <c r="D196" s="80"/>
      <c r="E196" s="81"/>
      <c r="F196" s="81"/>
      <c r="G196" s="81"/>
      <c r="H196" s="81"/>
      <c r="I196" s="82"/>
      <c r="J196" s="88"/>
      <c r="K196" s="89"/>
      <c r="L196" s="88"/>
      <c r="M196" s="89"/>
      <c r="N196" s="80"/>
      <c r="O196" s="82"/>
      <c r="P196" s="94"/>
      <c r="Q196" s="95"/>
      <c r="S196" s="99"/>
      <c r="T196" s="99"/>
      <c r="U196" s="99"/>
      <c r="V196" s="99"/>
      <c r="W196" s="99"/>
      <c r="X196" s="99"/>
      <c r="Y196" s="99"/>
      <c r="Z196" s="99"/>
      <c r="AA196" s="99"/>
      <c r="AB196" s="99"/>
      <c r="AC196" s="98"/>
      <c r="AD196" s="98"/>
      <c r="AE196" s="98"/>
      <c r="AF196" s="98"/>
      <c r="AG196" s="98"/>
      <c r="AH196" s="98"/>
    </row>
    <row r="197" spans="2:34" x14ac:dyDescent="0.25">
      <c r="B197" s="75"/>
      <c r="C197" s="76"/>
      <c r="D197" s="83"/>
      <c r="E197" s="84"/>
      <c r="F197" s="84"/>
      <c r="G197" s="84"/>
      <c r="H197" s="84"/>
      <c r="I197" s="85"/>
      <c r="J197" s="90"/>
      <c r="K197" s="91"/>
      <c r="L197" s="90"/>
      <c r="M197" s="91"/>
      <c r="N197" s="83"/>
      <c r="O197" s="85"/>
      <c r="P197" s="96"/>
      <c r="Q197" s="97"/>
      <c r="S197" s="99"/>
      <c r="T197" s="99"/>
      <c r="U197" s="99"/>
      <c r="V197" s="99"/>
      <c r="W197" s="99"/>
      <c r="X197" s="99"/>
      <c r="Y197" s="99"/>
      <c r="Z197" s="99"/>
      <c r="AA197" s="99"/>
      <c r="AB197" s="99"/>
      <c r="AC197" s="98"/>
      <c r="AD197" s="98"/>
      <c r="AE197" s="98"/>
      <c r="AF197" s="98"/>
      <c r="AG197" s="98"/>
      <c r="AH197" s="98"/>
    </row>
    <row r="198" spans="2:34" x14ac:dyDescent="0.25">
      <c r="B198" s="71"/>
      <c r="C198" s="72"/>
      <c r="D198" s="77"/>
      <c r="E198" s="78"/>
      <c r="F198" s="78"/>
      <c r="G198" s="78"/>
      <c r="H198" s="78"/>
      <c r="I198" s="79"/>
      <c r="J198" s="86"/>
      <c r="K198" s="87"/>
      <c r="L198" s="86"/>
      <c r="M198" s="87"/>
      <c r="N198" s="77"/>
      <c r="O198" s="79"/>
      <c r="P198" s="92"/>
      <c r="Q198" s="93"/>
      <c r="S198" s="99"/>
      <c r="T198" s="99"/>
      <c r="U198" s="99"/>
      <c r="V198" s="99"/>
      <c r="W198" s="99"/>
      <c r="X198" s="99"/>
      <c r="Y198" s="99"/>
      <c r="Z198" s="99"/>
      <c r="AA198" s="99"/>
      <c r="AB198" s="99"/>
      <c r="AC198" s="98"/>
      <c r="AD198" s="98"/>
      <c r="AE198" s="98"/>
      <c r="AF198" s="98"/>
      <c r="AG198" s="98"/>
      <c r="AH198" s="98"/>
    </row>
    <row r="199" spans="2:34" x14ac:dyDescent="0.25">
      <c r="B199" s="73"/>
      <c r="C199" s="74"/>
      <c r="D199" s="80"/>
      <c r="E199" s="81"/>
      <c r="F199" s="81"/>
      <c r="G199" s="81"/>
      <c r="H199" s="81"/>
      <c r="I199" s="82"/>
      <c r="J199" s="88"/>
      <c r="K199" s="89"/>
      <c r="L199" s="88"/>
      <c r="M199" s="89"/>
      <c r="N199" s="80"/>
      <c r="O199" s="82"/>
      <c r="P199" s="94"/>
      <c r="Q199" s="95"/>
      <c r="S199" s="99"/>
      <c r="T199" s="99"/>
      <c r="U199" s="99"/>
      <c r="V199" s="99"/>
      <c r="W199" s="99"/>
      <c r="X199" s="99"/>
      <c r="Y199" s="99"/>
      <c r="Z199" s="99"/>
      <c r="AA199" s="99"/>
      <c r="AB199" s="99"/>
      <c r="AC199" s="98"/>
      <c r="AD199" s="98"/>
      <c r="AE199" s="98"/>
      <c r="AF199" s="98"/>
      <c r="AG199" s="98"/>
      <c r="AH199" s="98"/>
    </row>
    <row r="200" spans="2:34" x14ac:dyDescent="0.25">
      <c r="B200" s="75"/>
      <c r="C200" s="76"/>
      <c r="D200" s="83"/>
      <c r="E200" s="84"/>
      <c r="F200" s="84"/>
      <c r="G200" s="84"/>
      <c r="H200" s="84"/>
      <c r="I200" s="85"/>
      <c r="J200" s="90"/>
      <c r="K200" s="91"/>
      <c r="L200" s="90"/>
      <c r="M200" s="91"/>
      <c r="N200" s="83"/>
      <c r="O200" s="85"/>
      <c r="P200" s="96"/>
      <c r="Q200" s="97"/>
      <c r="S200" s="99"/>
      <c r="T200" s="99"/>
      <c r="U200" s="99"/>
      <c r="V200" s="99"/>
      <c r="W200" s="99"/>
      <c r="X200" s="99"/>
      <c r="Y200" s="99"/>
      <c r="Z200" s="99"/>
      <c r="AA200" s="99"/>
      <c r="AB200" s="99"/>
      <c r="AC200" s="98"/>
      <c r="AD200" s="98"/>
      <c r="AE200" s="98"/>
      <c r="AF200" s="98"/>
      <c r="AG200" s="98"/>
      <c r="AH200" s="98"/>
    </row>
    <row r="201" spans="2:34" x14ac:dyDescent="0.25">
      <c r="B201" s="71"/>
      <c r="C201" s="72"/>
      <c r="D201" s="77"/>
      <c r="E201" s="78"/>
      <c r="F201" s="78"/>
      <c r="G201" s="78"/>
      <c r="H201" s="78"/>
      <c r="I201" s="79"/>
      <c r="J201" s="86"/>
      <c r="K201" s="87"/>
      <c r="L201" s="86"/>
      <c r="M201" s="87"/>
      <c r="N201" s="77"/>
      <c r="O201" s="79"/>
      <c r="P201" s="92"/>
      <c r="Q201" s="93"/>
      <c r="S201" s="99"/>
      <c r="T201" s="99"/>
      <c r="U201" s="99"/>
      <c r="V201" s="99"/>
      <c r="W201" s="99"/>
      <c r="X201" s="99"/>
      <c r="Y201" s="99"/>
      <c r="Z201" s="99"/>
      <c r="AA201" s="99"/>
      <c r="AB201" s="99"/>
      <c r="AC201" s="98"/>
      <c r="AD201" s="98"/>
      <c r="AE201" s="98"/>
      <c r="AF201" s="98"/>
      <c r="AG201" s="98"/>
      <c r="AH201" s="98"/>
    </row>
    <row r="202" spans="2:34" x14ac:dyDescent="0.25">
      <c r="B202" s="73"/>
      <c r="C202" s="74"/>
      <c r="D202" s="80"/>
      <c r="E202" s="81"/>
      <c r="F202" s="81"/>
      <c r="G202" s="81"/>
      <c r="H202" s="81"/>
      <c r="I202" s="82"/>
      <c r="J202" s="88"/>
      <c r="K202" s="89"/>
      <c r="L202" s="88"/>
      <c r="M202" s="89"/>
      <c r="N202" s="80"/>
      <c r="O202" s="82"/>
      <c r="P202" s="94"/>
      <c r="Q202" s="95"/>
      <c r="S202" s="99"/>
      <c r="T202" s="99"/>
      <c r="U202" s="99"/>
      <c r="V202" s="99"/>
      <c r="W202" s="99"/>
      <c r="X202" s="99"/>
      <c r="Y202" s="99"/>
      <c r="Z202" s="99"/>
      <c r="AA202" s="99"/>
      <c r="AB202" s="99"/>
      <c r="AC202" s="98"/>
      <c r="AD202" s="98"/>
      <c r="AE202" s="98"/>
      <c r="AF202" s="98"/>
      <c r="AG202" s="98"/>
      <c r="AH202" s="98"/>
    </row>
    <row r="203" spans="2:34" x14ac:dyDescent="0.25">
      <c r="B203" s="75"/>
      <c r="C203" s="76"/>
      <c r="D203" s="83"/>
      <c r="E203" s="84"/>
      <c r="F203" s="84"/>
      <c r="G203" s="84"/>
      <c r="H203" s="84"/>
      <c r="I203" s="85"/>
      <c r="J203" s="90"/>
      <c r="K203" s="91"/>
      <c r="L203" s="90"/>
      <c r="M203" s="91"/>
      <c r="N203" s="83"/>
      <c r="O203" s="85"/>
      <c r="P203" s="96"/>
      <c r="Q203" s="97"/>
      <c r="S203" s="99"/>
      <c r="T203" s="99"/>
      <c r="U203" s="99"/>
      <c r="V203" s="99"/>
      <c r="W203" s="99"/>
      <c r="X203" s="99"/>
      <c r="Y203" s="99"/>
      <c r="Z203" s="99"/>
      <c r="AA203" s="99"/>
      <c r="AB203" s="99"/>
      <c r="AC203" s="98"/>
      <c r="AD203" s="98"/>
      <c r="AE203" s="98"/>
      <c r="AF203" s="98"/>
      <c r="AG203" s="98"/>
      <c r="AH203" s="98"/>
    </row>
    <row r="204" spans="2:34" x14ac:dyDescent="0.25">
      <c r="B204" s="71"/>
      <c r="C204" s="72"/>
      <c r="D204" s="77"/>
      <c r="E204" s="78"/>
      <c r="F204" s="78"/>
      <c r="G204" s="78"/>
      <c r="H204" s="78"/>
      <c r="I204" s="79"/>
      <c r="J204" s="86"/>
      <c r="K204" s="87"/>
      <c r="L204" s="86"/>
      <c r="M204" s="87"/>
      <c r="N204" s="77"/>
      <c r="O204" s="79"/>
      <c r="P204" s="92"/>
      <c r="Q204" s="93"/>
      <c r="S204" s="99"/>
      <c r="T204" s="99"/>
      <c r="U204" s="99"/>
      <c r="V204" s="99"/>
      <c r="W204" s="99"/>
      <c r="X204" s="99"/>
      <c r="Y204" s="99"/>
      <c r="Z204" s="99"/>
      <c r="AA204" s="99"/>
      <c r="AB204" s="99"/>
      <c r="AC204" s="98"/>
      <c r="AD204" s="98"/>
      <c r="AE204" s="98"/>
      <c r="AF204" s="98"/>
      <c r="AG204" s="98"/>
      <c r="AH204" s="98"/>
    </row>
    <row r="205" spans="2:34" x14ac:dyDescent="0.25">
      <c r="B205" s="73"/>
      <c r="C205" s="74"/>
      <c r="D205" s="80"/>
      <c r="E205" s="81"/>
      <c r="F205" s="81"/>
      <c r="G205" s="81"/>
      <c r="H205" s="81"/>
      <c r="I205" s="82"/>
      <c r="J205" s="88"/>
      <c r="K205" s="89"/>
      <c r="L205" s="88"/>
      <c r="M205" s="89"/>
      <c r="N205" s="80"/>
      <c r="O205" s="82"/>
      <c r="P205" s="94"/>
      <c r="Q205" s="95"/>
      <c r="S205" s="99"/>
      <c r="T205" s="99"/>
      <c r="U205" s="99"/>
      <c r="V205" s="99"/>
      <c r="W205" s="99"/>
      <c r="X205" s="99"/>
      <c r="Y205" s="99"/>
      <c r="Z205" s="99"/>
      <c r="AA205" s="99"/>
      <c r="AB205" s="99"/>
      <c r="AC205" s="98"/>
      <c r="AD205" s="98"/>
      <c r="AE205" s="98"/>
      <c r="AF205" s="98"/>
      <c r="AG205" s="98"/>
      <c r="AH205" s="98"/>
    </row>
    <row r="206" spans="2:34" x14ac:dyDescent="0.25">
      <c r="B206" s="75"/>
      <c r="C206" s="76"/>
      <c r="D206" s="83"/>
      <c r="E206" s="84"/>
      <c r="F206" s="84"/>
      <c r="G206" s="84"/>
      <c r="H206" s="84"/>
      <c r="I206" s="85"/>
      <c r="J206" s="90"/>
      <c r="K206" s="91"/>
      <c r="L206" s="90"/>
      <c r="M206" s="91"/>
      <c r="N206" s="83"/>
      <c r="O206" s="85"/>
      <c r="P206" s="96"/>
      <c r="Q206" s="97"/>
      <c r="S206" s="99"/>
      <c r="T206" s="99"/>
      <c r="U206" s="99"/>
      <c r="V206" s="99"/>
      <c r="W206" s="99"/>
      <c r="X206" s="99"/>
      <c r="Y206" s="99"/>
      <c r="Z206" s="99"/>
      <c r="AA206" s="99"/>
      <c r="AB206" s="99"/>
      <c r="AC206" s="98"/>
      <c r="AD206" s="98"/>
      <c r="AE206" s="98"/>
      <c r="AF206" s="98"/>
      <c r="AG206" s="98"/>
      <c r="AH206" s="98"/>
    </row>
    <row r="207" spans="2:34" x14ac:dyDescent="0.25">
      <c r="B207" s="71"/>
      <c r="C207" s="72"/>
      <c r="D207" s="77"/>
      <c r="E207" s="78"/>
      <c r="F207" s="78"/>
      <c r="G207" s="78"/>
      <c r="H207" s="78"/>
      <c r="I207" s="79"/>
      <c r="J207" s="86"/>
      <c r="K207" s="87"/>
      <c r="L207" s="86"/>
      <c r="M207" s="87"/>
      <c r="N207" s="77"/>
      <c r="O207" s="79"/>
      <c r="P207" s="92"/>
      <c r="Q207" s="93"/>
      <c r="S207" s="99"/>
      <c r="T207" s="99"/>
      <c r="U207" s="99"/>
      <c r="V207" s="99"/>
      <c r="W207" s="99"/>
      <c r="X207" s="99"/>
      <c r="Y207" s="99"/>
      <c r="Z207" s="99"/>
      <c r="AA207" s="99"/>
      <c r="AB207" s="99"/>
      <c r="AC207" s="98"/>
      <c r="AD207" s="98"/>
      <c r="AE207" s="98"/>
      <c r="AF207" s="98"/>
      <c r="AG207" s="98"/>
      <c r="AH207" s="98"/>
    </row>
    <row r="208" spans="2:34" x14ac:dyDescent="0.25">
      <c r="B208" s="73"/>
      <c r="C208" s="74"/>
      <c r="D208" s="80"/>
      <c r="E208" s="81"/>
      <c r="F208" s="81"/>
      <c r="G208" s="81"/>
      <c r="H208" s="81"/>
      <c r="I208" s="82"/>
      <c r="J208" s="88"/>
      <c r="K208" s="89"/>
      <c r="L208" s="88"/>
      <c r="M208" s="89"/>
      <c r="N208" s="80"/>
      <c r="O208" s="82"/>
      <c r="P208" s="94"/>
      <c r="Q208" s="95"/>
      <c r="S208" s="99"/>
      <c r="T208" s="99"/>
      <c r="U208" s="99"/>
      <c r="V208" s="99"/>
      <c r="W208" s="99"/>
      <c r="X208" s="99"/>
      <c r="Y208" s="99"/>
      <c r="Z208" s="99"/>
      <c r="AA208" s="99"/>
      <c r="AB208" s="99"/>
      <c r="AC208" s="98"/>
      <c r="AD208" s="98"/>
      <c r="AE208" s="98"/>
      <c r="AF208" s="98"/>
      <c r="AG208" s="98"/>
      <c r="AH208" s="98"/>
    </row>
    <row r="209" spans="2:34" x14ac:dyDescent="0.25">
      <c r="B209" s="75"/>
      <c r="C209" s="76"/>
      <c r="D209" s="83"/>
      <c r="E209" s="84"/>
      <c r="F209" s="84"/>
      <c r="G209" s="84"/>
      <c r="H209" s="84"/>
      <c r="I209" s="85"/>
      <c r="J209" s="90"/>
      <c r="K209" s="91"/>
      <c r="L209" s="90"/>
      <c r="M209" s="91"/>
      <c r="N209" s="83"/>
      <c r="O209" s="85"/>
      <c r="P209" s="96"/>
      <c r="Q209" s="97"/>
      <c r="S209" s="99"/>
      <c r="T209" s="99"/>
      <c r="U209" s="99"/>
      <c r="V209" s="99"/>
      <c r="W209" s="99"/>
      <c r="X209" s="99"/>
      <c r="Y209" s="99"/>
      <c r="Z209" s="99"/>
      <c r="AA209" s="99"/>
      <c r="AB209" s="99"/>
      <c r="AC209" s="98"/>
      <c r="AD209" s="98"/>
      <c r="AE209" s="98"/>
      <c r="AF209" s="98"/>
      <c r="AG209" s="98"/>
      <c r="AH209" s="98"/>
    </row>
    <row r="210" spans="2:34" x14ac:dyDescent="0.25">
      <c r="B210" s="71"/>
      <c r="C210" s="72"/>
      <c r="D210" s="77"/>
      <c r="E210" s="78"/>
      <c r="F210" s="78"/>
      <c r="G210" s="78"/>
      <c r="H210" s="78"/>
      <c r="I210" s="79"/>
      <c r="J210" s="86"/>
      <c r="K210" s="87"/>
      <c r="L210" s="86"/>
      <c r="M210" s="87"/>
      <c r="N210" s="77"/>
      <c r="O210" s="79"/>
      <c r="P210" s="92"/>
      <c r="Q210" s="93"/>
      <c r="S210" s="99"/>
      <c r="T210" s="99"/>
      <c r="U210" s="99"/>
      <c r="V210" s="99"/>
      <c r="W210" s="99"/>
      <c r="X210" s="99"/>
      <c r="Y210" s="99"/>
      <c r="Z210" s="99"/>
      <c r="AA210" s="99"/>
      <c r="AB210" s="99"/>
      <c r="AC210" s="98"/>
      <c r="AD210" s="98"/>
      <c r="AE210" s="98"/>
      <c r="AF210" s="98"/>
      <c r="AG210" s="98"/>
      <c r="AH210" s="98"/>
    </row>
    <row r="211" spans="2:34" x14ac:dyDescent="0.25">
      <c r="B211" s="73"/>
      <c r="C211" s="74"/>
      <c r="D211" s="80"/>
      <c r="E211" s="81"/>
      <c r="F211" s="81"/>
      <c r="G211" s="81"/>
      <c r="H211" s="81"/>
      <c r="I211" s="82"/>
      <c r="J211" s="88"/>
      <c r="K211" s="89"/>
      <c r="L211" s="88"/>
      <c r="M211" s="89"/>
      <c r="N211" s="80"/>
      <c r="O211" s="82"/>
      <c r="P211" s="94"/>
      <c r="Q211" s="95"/>
      <c r="S211" s="99"/>
      <c r="T211" s="99"/>
      <c r="U211" s="99"/>
      <c r="V211" s="99"/>
      <c r="W211" s="99"/>
      <c r="X211" s="99"/>
      <c r="Y211" s="99"/>
      <c r="Z211" s="99"/>
      <c r="AA211" s="99"/>
      <c r="AB211" s="99"/>
      <c r="AC211" s="98"/>
      <c r="AD211" s="98"/>
      <c r="AE211" s="98"/>
      <c r="AF211" s="98"/>
      <c r="AG211" s="98"/>
      <c r="AH211" s="98"/>
    </row>
    <row r="212" spans="2:34" x14ac:dyDescent="0.25">
      <c r="B212" s="75"/>
      <c r="C212" s="76"/>
      <c r="D212" s="83"/>
      <c r="E212" s="84"/>
      <c r="F212" s="84"/>
      <c r="G212" s="84"/>
      <c r="H212" s="84"/>
      <c r="I212" s="85"/>
      <c r="J212" s="90"/>
      <c r="K212" s="91"/>
      <c r="L212" s="90"/>
      <c r="M212" s="91"/>
      <c r="N212" s="83"/>
      <c r="O212" s="85"/>
      <c r="P212" s="96"/>
      <c r="Q212" s="97"/>
      <c r="S212" s="99"/>
      <c r="T212" s="99"/>
      <c r="U212" s="99"/>
      <c r="V212" s="99"/>
      <c r="W212" s="99"/>
      <c r="X212" s="99"/>
      <c r="Y212" s="99"/>
      <c r="Z212" s="99"/>
      <c r="AA212" s="99"/>
      <c r="AB212" s="99"/>
      <c r="AC212" s="98"/>
      <c r="AD212" s="98"/>
      <c r="AE212" s="98"/>
      <c r="AF212" s="98"/>
      <c r="AG212" s="98"/>
      <c r="AH212" s="98"/>
    </row>
    <row r="213" spans="2:34" x14ac:dyDescent="0.25">
      <c r="B213" s="71"/>
      <c r="C213" s="72"/>
      <c r="D213" s="77"/>
      <c r="E213" s="78"/>
      <c r="F213" s="78"/>
      <c r="G213" s="78"/>
      <c r="H213" s="78"/>
      <c r="I213" s="79"/>
      <c r="J213" s="86"/>
      <c r="K213" s="87"/>
      <c r="L213" s="86"/>
      <c r="M213" s="87"/>
      <c r="N213" s="77"/>
      <c r="O213" s="79"/>
      <c r="P213" s="92"/>
      <c r="Q213" s="93"/>
      <c r="S213" s="99"/>
      <c r="T213" s="99"/>
      <c r="U213" s="99"/>
      <c r="V213" s="99"/>
      <c r="W213" s="99"/>
      <c r="X213" s="99"/>
      <c r="Y213" s="99"/>
      <c r="Z213" s="99"/>
      <c r="AA213" s="99"/>
      <c r="AB213" s="99"/>
      <c r="AC213" s="98"/>
      <c r="AD213" s="98"/>
      <c r="AE213" s="98"/>
      <c r="AF213" s="98"/>
      <c r="AG213" s="98"/>
      <c r="AH213" s="98"/>
    </row>
    <row r="214" spans="2:34" x14ac:dyDescent="0.25">
      <c r="B214" s="73"/>
      <c r="C214" s="74"/>
      <c r="D214" s="80"/>
      <c r="E214" s="81"/>
      <c r="F214" s="81"/>
      <c r="G214" s="81"/>
      <c r="H214" s="81"/>
      <c r="I214" s="82"/>
      <c r="J214" s="88"/>
      <c r="K214" s="89"/>
      <c r="L214" s="88"/>
      <c r="M214" s="89"/>
      <c r="N214" s="80"/>
      <c r="O214" s="82"/>
      <c r="P214" s="94"/>
      <c r="Q214" s="95"/>
      <c r="S214" s="99"/>
      <c r="T214" s="99"/>
      <c r="U214" s="99"/>
      <c r="V214" s="99"/>
      <c r="W214" s="99"/>
      <c r="X214" s="99"/>
      <c r="Y214" s="99"/>
      <c r="Z214" s="99"/>
      <c r="AA214" s="99"/>
      <c r="AB214" s="99"/>
      <c r="AC214" s="98"/>
      <c r="AD214" s="98"/>
      <c r="AE214" s="98"/>
      <c r="AF214" s="98"/>
      <c r="AG214" s="98"/>
      <c r="AH214" s="98"/>
    </row>
    <row r="215" spans="2:34" x14ac:dyDescent="0.25">
      <c r="B215" s="75"/>
      <c r="C215" s="76"/>
      <c r="D215" s="83"/>
      <c r="E215" s="84"/>
      <c r="F215" s="84"/>
      <c r="G215" s="84"/>
      <c r="H215" s="84"/>
      <c r="I215" s="85"/>
      <c r="J215" s="90"/>
      <c r="K215" s="91"/>
      <c r="L215" s="90"/>
      <c r="M215" s="91"/>
      <c r="N215" s="83"/>
      <c r="O215" s="85"/>
      <c r="P215" s="96"/>
      <c r="Q215" s="97"/>
      <c r="S215" s="99"/>
      <c r="T215" s="99"/>
      <c r="U215" s="99"/>
      <c r="V215" s="99"/>
      <c r="W215" s="99"/>
      <c r="X215" s="99"/>
      <c r="Y215" s="99"/>
      <c r="Z215" s="99"/>
      <c r="AA215" s="99"/>
      <c r="AB215" s="99"/>
      <c r="AC215" s="98"/>
      <c r="AD215" s="98"/>
      <c r="AE215" s="98"/>
      <c r="AF215" s="98"/>
      <c r="AG215" s="98"/>
      <c r="AH215" s="98"/>
    </row>
    <row r="216" spans="2:34" x14ac:dyDescent="0.25">
      <c r="B216" s="71"/>
      <c r="C216" s="72"/>
      <c r="D216" s="77"/>
      <c r="E216" s="78"/>
      <c r="F216" s="78"/>
      <c r="G216" s="78"/>
      <c r="H216" s="78"/>
      <c r="I216" s="79"/>
      <c r="J216" s="86"/>
      <c r="K216" s="87"/>
      <c r="L216" s="86"/>
      <c r="M216" s="87"/>
      <c r="N216" s="77"/>
      <c r="O216" s="79"/>
      <c r="P216" s="92"/>
      <c r="Q216" s="93"/>
      <c r="S216" s="99"/>
      <c r="T216" s="99"/>
      <c r="U216" s="99"/>
      <c r="V216" s="99"/>
      <c r="W216" s="99"/>
      <c r="X216" s="99"/>
      <c r="Y216" s="99"/>
      <c r="Z216" s="99"/>
      <c r="AA216" s="99"/>
      <c r="AB216" s="99"/>
      <c r="AC216" s="98"/>
      <c r="AD216" s="98"/>
      <c r="AE216" s="98"/>
      <c r="AF216" s="98"/>
      <c r="AG216" s="98"/>
      <c r="AH216" s="98"/>
    </row>
    <row r="217" spans="2:34" x14ac:dyDescent="0.25">
      <c r="B217" s="73"/>
      <c r="C217" s="74"/>
      <c r="D217" s="80"/>
      <c r="E217" s="81"/>
      <c r="F217" s="81"/>
      <c r="G217" s="81"/>
      <c r="H217" s="81"/>
      <c r="I217" s="82"/>
      <c r="J217" s="88"/>
      <c r="K217" s="89"/>
      <c r="L217" s="88"/>
      <c r="M217" s="89"/>
      <c r="N217" s="80"/>
      <c r="O217" s="82"/>
      <c r="P217" s="94"/>
      <c r="Q217" s="95"/>
      <c r="S217" s="99"/>
      <c r="T217" s="99"/>
      <c r="U217" s="99"/>
      <c r="V217" s="99"/>
      <c r="W217" s="99"/>
      <c r="X217" s="99"/>
      <c r="Y217" s="99"/>
      <c r="Z217" s="99"/>
      <c r="AA217" s="99"/>
      <c r="AB217" s="99"/>
      <c r="AC217" s="98"/>
      <c r="AD217" s="98"/>
      <c r="AE217" s="98"/>
      <c r="AF217" s="98"/>
      <c r="AG217" s="98"/>
      <c r="AH217" s="98"/>
    </row>
    <row r="218" spans="2:34" x14ac:dyDescent="0.25">
      <c r="B218" s="75"/>
      <c r="C218" s="76"/>
      <c r="D218" s="83"/>
      <c r="E218" s="84"/>
      <c r="F218" s="84"/>
      <c r="G218" s="84"/>
      <c r="H218" s="84"/>
      <c r="I218" s="85"/>
      <c r="J218" s="90"/>
      <c r="K218" s="91"/>
      <c r="L218" s="90"/>
      <c r="M218" s="91"/>
      <c r="N218" s="83"/>
      <c r="O218" s="85"/>
      <c r="P218" s="96"/>
      <c r="Q218" s="97"/>
      <c r="S218" s="99"/>
      <c r="T218" s="99"/>
      <c r="U218" s="99"/>
      <c r="V218" s="99"/>
      <c r="W218" s="99"/>
      <c r="X218" s="99"/>
      <c r="Y218" s="99"/>
      <c r="Z218" s="99"/>
      <c r="AA218" s="99"/>
      <c r="AB218" s="99"/>
      <c r="AC218" s="98"/>
      <c r="AD218" s="98"/>
      <c r="AE218" s="98"/>
      <c r="AF218" s="98"/>
      <c r="AG218" s="98"/>
      <c r="AH218" s="98"/>
    </row>
    <row r="219" spans="2:34" x14ac:dyDescent="0.25">
      <c r="B219" s="71"/>
      <c r="C219" s="72"/>
      <c r="D219" s="77"/>
      <c r="E219" s="78"/>
      <c r="F219" s="78"/>
      <c r="G219" s="78"/>
      <c r="H219" s="78"/>
      <c r="I219" s="79"/>
      <c r="J219" s="86"/>
      <c r="K219" s="87"/>
      <c r="L219" s="86"/>
      <c r="M219" s="87"/>
      <c r="N219" s="77"/>
      <c r="O219" s="79"/>
      <c r="P219" s="92"/>
      <c r="Q219" s="93"/>
      <c r="S219" s="99"/>
      <c r="T219" s="99"/>
      <c r="U219" s="99"/>
      <c r="V219" s="99"/>
      <c r="W219" s="99"/>
      <c r="X219" s="99"/>
      <c r="Y219" s="99"/>
      <c r="Z219" s="99"/>
      <c r="AA219" s="99"/>
      <c r="AB219" s="99"/>
      <c r="AC219" s="98"/>
      <c r="AD219" s="98"/>
      <c r="AE219" s="98"/>
      <c r="AF219" s="98"/>
      <c r="AG219" s="98"/>
      <c r="AH219" s="98"/>
    </row>
    <row r="220" spans="2:34" x14ac:dyDescent="0.25">
      <c r="B220" s="73"/>
      <c r="C220" s="74"/>
      <c r="D220" s="80"/>
      <c r="E220" s="81"/>
      <c r="F220" s="81"/>
      <c r="G220" s="81"/>
      <c r="H220" s="81"/>
      <c r="I220" s="82"/>
      <c r="J220" s="88"/>
      <c r="K220" s="89"/>
      <c r="L220" s="88"/>
      <c r="M220" s="89"/>
      <c r="N220" s="80"/>
      <c r="O220" s="82"/>
      <c r="P220" s="94"/>
      <c r="Q220" s="95"/>
      <c r="S220" s="99"/>
      <c r="T220" s="99"/>
      <c r="U220" s="99"/>
      <c r="V220" s="99"/>
      <c r="W220" s="99"/>
      <c r="X220" s="99"/>
      <c r="Y220" s="99"/>
      <c r="Z220" s="99"/>
      <c r="AA220" s="99"/>
      <c r="AB220" s="99"/>
      <c r="AC220" s="98"/>
      <c r="AD220" s="98"/>
      <c r="AE220" s="98"/>
      <c r="AF220" s="98"/>
      <c r="AG220" s="98"/>
      <c r="AH220" s="98"/>
    </row>
    <row r="221" spans="2:34" x14ac:dyDescent="0.25">
      <c r="B221" s="75"/>
      <c r="C221" s="76"/>
      <c r="D221" s="83"/>
      <c r="E221" s="84"/>
      <c r="F221" s="84"/>
      <c r="G221" s="84"/>
      <c r="H221" s="84"/>
      <c r="I221" s="85"/>
      <c r="J221" s="90"/>
      <c r="K221" s="91"/>
      <c r="L221" s="90"/>
      <c r="M221" s="91"/>
      <c r="N221" s="83"/>
      <c r="O221" s="85"/>
      <c r="P221" s="96"/>
      <c r="Q221" s="97"/>
      <c r="S221" s="99"/>
      <c r="T221" s="99"/>
      <c r="U221" s="99"/>
      <c r="V221" s="99"/>
      <c r="W221" s="99"/>
      <c r="X221" s="99"/>
      <c r="Y221" s="99"/>
      <c r="Z221" s="99"/>
      <c r="AA221" s="99"/>
      <c r="AB221" s="99"/>
      <c r="AC221" s="98"/>
      <c r="AD221" s="98"/>
      <c r="AE221" s="98"/>
      <c r="AF221" s="98"/>
      <c r="AG221" s="98"/>
      <c r="AH221" s="98"/>
    </row>
    <row r="222" spans="2:34" x14ac:dyDescent="0.25">
      <c r="B222" s="71"/>
      <c r="C222" s="72"/>
      <c r="D222" s="77"/>
      <c r="E222" s="78"/>
      <c r="F222" s="78"/>
      <c r="G222" s="78"/>
      <c r="H222" s="78"/>
      <c r="I222" s="79"/>
      <c r="J222" s="86"/>
      <c r="K222" s="87"/>
      <c r="L222" s="86"/>
      <c r="M222" s="87"/>
      <c r="N222" s="77"/>
      <c r="O222" s="79"/>
      <c r="P222" s="92"/>
      <c r="Q222" s="93"/>
      <c r="S222" s="99"/>
      <c r="T222" s="99"/>
      <c r="U222" s="99"/>
      <c r="V222" s="99"/>
      <c r="W222" s="99"/>
      <c r="X222" s="99"/>
      <c r="Y222" s="99"/>
      <c r="Z222" s="99"/>
      <c r="AA222" s="99"/>
      <c r="AB222" s="99"/>
      <c r="AC222" s="98"/>
      <c r="AD222" s="98"/>
      <c r="AE222" s="98"/>
      <c r="AF222" s="98"/>
      <c r="AG222" s="98"/>
      <c r="AH222" s="98"/>
    </row>
    <row r="223" spans="2:34" x14ac:dyDescent="0.25">
      <c r="B223" s="73"/>
      <c r="C223" s="74"/>
      <c r="D223" s="80"/>
      <c r="E223" s="81"/>
      <c r="F223" s="81"/>
      <c r="G223" s="81"/>
      <c r="H223" s="81"/>
      <c r="I223" s="82"/>
      <c r="J223" s="88"/>
      <c r="K223" s="89"/>
      <c r="L223" s="88"/>
      <c r="M223" s="89"/>
      <c r="N223" s="80"/>
      <c r="O223" s="82"/>
      <c r="P223" s="94"/>
      <c r="Q223" s="95"/>
      <c r="S223" s="99"/>
      <c r="T223" s="99"/>
      <c r="U223" s="99"/>
      <c r="V223" s="99"/>
      <c r="W223" s="99"/>
      <c r="X223" s="99"/>
      <c r="Y223" s="99"/>
      <c r="Z223" s="99"/>
      <c r="AA223" s="99"/>
      <c r="AB223" s="99"/>
      <c r="AC223" s="98"/>
      <c r="AD223" s="98"/>
      <c r="AE223" s="98"/>
      <c r="AF223" s="98"/>
      <c r="AG223" s="98"/>
      <c r="AH223" s="98"/>
    </row>
    <row r="224" spans="2:34" x14ac:dyDescent="0.25">
      <c r="B224" s="75"/>
      <c r="C224" s="76"/>
      <c r="D224" s="83"/>
      <c r="E224" s="84"/>
      <c r="F224" s="84"/>
      <c r="G224" s="84"/>
      <c r="H224" s="84"/>
      <c r="I224" s="85"/>
      <c r="J224" s="90"/>
      <c r="K224" s="91"/>
      <c r="L224" s="90"/>
      <c r="M224" s="91"/>
      <c r="N224" s="83"/>
      <c r="O224" s="85"/>
      <c r="P224" s="96"/>
      <c r="Q224" s="97"/>
      <c r="S224" s="99"/>
      <c r="T224" s="99"/>
      <c r="U224" s="99"/>
      <c r="V224" s="99"/>
      <c r="W224" s="99"/>
      <c r="X224" s="99"/>
      <c r="Y224" s="99"/>
      <c r="Z224" s="99"/>
      <c r="AA224" s="99"/>
      <c r="AB224" s="99"/>
      <c r="AC224" s="98"/>
      <c r="AD224" s="98"/>
      <c r="AE224" s="98"/>
      <c r="AF224" s="98"/>
      <c r="AG224" s="98"/>
      <c r="AH224" s="98"/>
    </row>
    <row r="225" spans="2:34" x14ac:dyDescent="0.25">
      <c r="B225" s="71"/>
      <c r="C225" s="72"/>
      <c r="D225" s="77"/>
      <c r="E225" s="78"/>
      <c r="F225" s="78"/>
      <c r="G225" s="78"/>
      <c r="H225" s="78"/>
      <c r="I225" s="79"/>
      <c r="J225" s="86"/>
      <c r="K225" s="87"/>
      <c r="L225" s="86"/>
      <c r="M225" s="87"/>
      <c r="N225" s="77"/>
      <c r="O225" s="79"/>
      <c r="P225" s="92"/>
      <c r="Q225" s="93"/>
      <c r="S225" s="99"/>
      <c r="T225" s="99"/>
      <c r="U225" s="99"/>
      <c r="V225" s="99"/>
      <c r="W225" s="99"/>
      <c r="X225" s="99"/>
      <c r="Y225" s="99"/>
      <c r="Z225" s="99"/>
      <c r="AA225" s="99"/>
      <c r="AB225" s="99"/>
      <c r="AC225" s="98"/>
      <c r="AD225" s="98"/>
      <c r="AE225" s="98"/>
      <c r="AF225" s="98"/>
      <c r="AG225" s="98"/>
      <c r="AH225" s="98"/>
    </row>
    <row r="226" spans="2:34" x14ac:dyDescent="0.25">
      <c r="B226" s="73"/>
      <c r="C226" s="74"/>
      <c r="D226" s="80"/>
      <c r="E226" s="81"/>
      <c r="F226" s="81"/>
      <c r="G226" s="81"/>
      <c r="H226" s="81"/>
      <c r="I226" s="82"/>
      <c r="J226" s="88"/>
      <c r="K226" s="89"/>
      <c r="L226" s="88"/>
      <c r="M226" s="89"/>
      <c r="N226" s="80"/>
      <c r="O226" s="82"/>
      <c r="P226" s="94"/>
      <c r="Q226" s="95"/>
      <c r="S226" s="99"/>
      <c r="T226" s="99"/>
      <c r="U226" s="99"/>
      <c r="V226" s="99"/>
      <c r="W226" s="99"/>
      <c r="X226" s="99"/>
      <c r="Y226" s="99"/>
      <c r="Z226" s="99"/>
      <c r="AA226" s="99"/>
      <c r="AB226" s="99"/>
      <c r="AC226" s="98"/>
      <c r="AD226" s="98"/>
      <c r="AE226" s="98"/>
      <c r="AF226" s="98"/>
      <c r="AG226" s="98"/>
      <c r="AH226" s="98"/>
    </row>
    <row r="227" spans="2:34" x14ac:dyDescent="0.25">
      <c r="B227" s="75"/>
      <c r="C227" s="76"/>
      <c r="D227" s="83"/>
      <c r="E227" s="84"/>
      <c r="F227" s="84"/>
      <c r="G227" s="84"/>
      <c r="H227" s="84"/>
      <c r="I227" s="85"/>
      <c r="J227" s="90"/>
      <c r="K227" s="91"/>
      <c r="L227" s="90"/>
      <c r="M227" s="91"/>
      <c r="N227" s="83"/>
      <c r="O227" s="85"/>
      <c r="P227" s="96"/>
      <c r="Q227" s="97"/>
      <c r="S227" s="99"/>
      <c r="T227" s="99"/>
      <c r="U227" s="99"/>
      <c r="V227" s="99"/>
      <c r="W227" s="99"/>
      <c r="X227" s="99"/>
      <c r="Y227" s="99"/>
      <c r="Z227" s="99"/>
      <c r="AA227" s="99"/>
      <c r="AB227" s="99"/>
      <c r="AC227" s="98"/>
      <c r="AD227" s="98"/>
      <c r="AE227" s="98"/>
      <c r="AF227" s="98"/>
      <c r="AG227" s="98"/>
      <c r="AH227" s="98"/>
    </row>
    <row r="228" spans="2:34" x14ac:dyDescent="0.25">
      <c r="B228" s="71"/>
      <c r="C228" s="72"/>
      <c r="D228" s="77"/>
      <c r="E228" s="78"/>
      <c r="F228" s="78"/>
      <c r="G228" s="78"/>
      <c r="H228" s="78"/>
      <c r="I228" s="79"/>
      <c r="J228" s="86"/>
      <c r="K228" s="87"/>
      <c r="L228" s="86"/>
      <c r="M228" s="87"/>
      <c r="N228" s="77"/>
      <c r="O228" s="79"/>
      <c r="P228" s="92"/>
      <c r="Q228" s="93"/>
      <c r="S228" s="99"/>
      <c r="T228" s="99"/>
      <c r="U228" s="99"/>
      <c r="V228" s="99"/>
      <c r="W228" s="99"/>
      <c r="X228" s="99"/>
      <c r="Y228" s="99"/>
      <c r="Z228" s="99"/>
      <c r="AA228" s="99"/>
      <c r="AB228" s="99"/>
      <c r="AC228" s="98"/>
      <c r="AD228" s="98"/>
      <c r="AE228" s="98"/>
      <c r="AF228" s="98"/>
      <c r="AG228" s="98"/>
      <c r="AH228" s="98"/>
    </row>
    <row r="229" spans="2:34" x14ac:dyDescent="0.25">
      <c r="B229" s="73"/>
      <c r="C229" s="74"/>
      <c r="D229" s="80"/>
      <c r="E229" s="81"/>
      <c r="F229" s="81"/>
      <c r="G229" s="81"/>
      <c r="H229" s="81"/>
      <c r="I229" s="82"/>
      <c r="J229" s="88"/>
      <c r="K229" s="89"/>
      <c r="L229" s="88"/>
      <c r="M229" s="89"/>
      <c r="N229" s="80"/>
      <c r="O229" s="82"/>
      <c r="P229" s="94"/>
      <c r="Q229" s="95"/>
      <c r="S229" s="99"/>
      <c r="T229" s="99"/>
      <c r="U229" s="99"/>
      <c r="V229" s="99"/>
      <c r="W229" s="99"/>
      <c r="X229" s="99"/>
      <c r="Y229" s="99"/>
      <c r="Z229" s="99"/>
      <c r="AA229" s="99"/>
      <c r="AB229" s="99"/>
      <c r="AC229" s="98"/>
      <c r="AD229" s="98"/>
      <c r="AE229" s="98"/>
      <c r="AF229" s="98"/>
      <c r="AG229" s="98"/>
      <c r="AH229" s="98"/>
    </row>
    <row r="230" spans="2:34" x14ac:dyDescent="0.25">
      <c r="B230" s="75"/>
      <c r="C230" s="76"/>
      <c r="D230" s="83"/>
      <c r="E230" s="84"/>
      <c r="F230" s="84"/>
      <c r="G230" s="84"/>
      <c r="H230" s="84"/>
      <c r="I230" s="85"/>
      <c r="J230" s="90"/>
      <c r="K230" s="91"/>
      <c r="L230" s="90"/>
      <c r="M230" s="91"/>
      <c r="N230" s="83"/>
      <c r="O230" s="85"/>
      <c r="P230" s="96"/>
      <c r="Q230" s="97"/>
      <c r="S230" s="99"/>
      <c r="T230" s="99"/>
      <c r="U230" s="99"/>
      <c r="V230" s="99"/>
      <c r="W230" s="99"/>
      <c r="X230" s="99"/>
      <c r="Y230" s="99"/>
      <c r="Z230" s="99"/>
      <c r="AA230" s="99"/>
      <c r="AB230" s="99"/>
      <c r="AC230" s="98"/>
      <c r="AD230" s="98"/>
      <c r="AE230" s="98"/>
      <c r="AF230" s="98"/>
      <c r="AG230" s="98"/>
      <c r="AH230" s="98"/>
    </row>
    <row r="231" spans="2:34" x14ac:dyDescent="0.25">
      <c r="B231" s="71"/>
      <c r="C231" s="72"/>
      <c r="D231" s="77"/>
      <c r="E231" s="78"/>
      <c r="F231" s="78"/>
      <c r="G231" s="78"/>
      <c r="H231" s="78"/>
      <c r="I231" s="79"/>
      <c r="J231" s="86"/>
      <c r="K231" s="87"/>
      <c r="L231" s="86"/>
      <c r="M231" s="87"/>
      <c r="N231" s="77"/>
      <c r="O231" s="79"/>
      <c r="P231" s="92"/>
      <c r="Q231" s="93"/>
      <c r="S231" s="99"/>
      <c r="T231" s="99"/>
      <c r="U231" s="99"/>
      <c r="V231" s="99"/>
      <c r="W231" s="99"/>
      <c r="X231" s="99"/>
      <c r="Y231" s="99"/>
      <c r="Z231" s="99"/>
      <c r="AA231" s="99"/>
      <c r="AB231" s="99"/>
      <c r="AC231" s="98"/>
      <c r="AD231" s="98"/>
      <c r="AE231" s="98"/>
      <c r="AF231" s="98"/>
      <c r="AG231" s="98"/>
      <c r="AH231" s="98"/>
    </row>
    <row r="232" spans="2:34" x14ac:dyDescent="0.25">
      <c r="B232" s="73"/>
      <c r="C232" s="74"/>
      <c r="D232" s="80"/>
      <c r="E232" s="81"/>
      <c r="F232" s="81"/>
      <c r="G232" s="81"/>
      <c r="H232" s="81"/>
      <c r="I232" s="82"/>
      <c r="J232" s="88"/>
      <c r="K232" s="89"/>
      <c r="L232" s="88"/>
      <c r="M232" s="89"/>
      <c r="N232" s="80"/>
      <c r="O232" s="82"/>
      <c r="P232" s="94"/>
      <c r="Q232" s="95"/>
      <c r="S232" s="99"/>
      <c r="T232" s="99"/>
      <c r="U232" s="99"/>
      <c r="V232" s="99"/>
      <c r="W232" s="99"/>
      <c r="X232" s="99"/>
      <c r="Y232" s="99"/>
      <c r="Z232" s="99"/>
      <c r="AA232" s="99"/>
      <c r="AB232" s="99"/>
      <c r="AC232" s="98"/>
      <c r="AD232" s="98"/>
      <c r="AE232" s="98"/>
      <c r="AF232" s="98"/>
      <c r="AG232" s="98"/>
      <c r="AH232" s="98"/>
    </row>
    <row r="233" spans="2:34" x14ac:dyDescent="0.25">
      <c r="B233" s="75"/>
      <c r="C233" s="76"/>
      <c r="D233" s="83"/>
      <c r="E233" s="84"/>
      <c r="F233" s="84"/>
      <c r="G233" s="84"/>
      <c r="H233" s="84"/>
      <c r="I233" s="85"/>
      <c r="J233" s="90"/>
      <c r="K233" s="91"/>
      <c r="L233" s="90"/>
      <c r="M233" s="91"/>
      <c r="N233" s="83"/>
      <c r="O233" s="85"/>
      <c r="P233" s="96"/>
      <c r="Q233" s="97"/>
      <c r="S233" s="99"/>
      <c r="T233" s="99"/>
      <c r="U233" s="99"/>
      <c r="V233" s="99"/>
      <c r="W233" s="99"/>
      <c r="X233" s="99"/>
      <c r="Y233" s="99"/>
      <c r="Z233" s="99"/>
      <c r="AA233" s="99"/>
      <c r="AB233" s="99"/>
      <c r="AC233" s="98"/>
      <c r="AD233" s="98"/>
      <c r="AE233" s="98"/>
      <c r="AF233" s="98"/>
      <c r="AG233" s="98"/>
      <c r="AH233" s="98"/>
    </row>
    <row r="234" spans="2:34" x14ac:dyDescent="0.25">
      <c r="B234" s="71"/>
      <c r="C234" s="72"/>
      <c r="D234" s="77"/>
      <c r="E234" s="78"/>
      <c r="F234" s="78"/>
      <c r="G234" s="78"/>
      <c r="H234" s="78"/>
      <c r="I234" s="79"/>
      <c r="J234" s="86"/>
      <c r="K234" s="87"/>
      <c r="L234" s="86"/>
      <c r="M234" s="87"/>
      <c r="N234" s="77"/>
      <c r="O234" s="79"/>
      <c r="P234" s="92"/>
      <c r="Q234" s="93"/>
      <c r="S234" s="99"/>
      <c r="T234" s="99"/>
      <c r="U234" s="99"/>
      <c r="V234" s="99"/>
      <c r="W234" s="99"/>
      <c r="X234" s="99"/>
      <c r="Y234" s="99"/>
      <c r="Z234" s="99"/>
      <c r="AA234" s="99"/>
      <c r="AB234" s="99"/>
      <c r="AC234" s="98"/>
      <c r="AD234" s="98"/>
      <c r="AE234" s="98"/>
      <c r="AF234" s="98"/>
      <c r="AG234" s="98"/>
      <c r="AH234" s="98"/>
    </row>
    <row r="235" spans="2:34" x14ac:dyDescent="0.25">
      <c r="B235" s="73"/>
      <c r="C235" s="74"/>
      <c r="D235" s="80"/>
      <c r="E235" s="81"/>
      <c r="F235" s="81"/>
      <c r="G235" s="81"/>
      <c r="H235" s="81"/>
      <c r="I235" s="82"/>
      <c r="J235" s="88"/>
      <c r="K235" s="89"/>
      <c r="L235" s="88"/>
      <c r="M235" s="89"/>
      <c r="N235" s="80"/>
      <c r="O235" s="82"/>
      <c r="P235" s="94"/>
      <c r="Q235" s="95"/>
      <c r="S235" s="99"/>
      <c r="T235" s="99"/>
      <c r="U235" s="99"/>
      <c r="V235" s="99"/>
      <c r="W235" s="99"/>
      <c r="X235" s="99"/>
      <c r="Y235" s="99"/>
      <c r="Z235" s="99"/>
      <c r="AA235" s="99"/>
      <c r="AB235" s="99"/>
      <c r="AC235" s="98"/>
      <c r="AD235" s="98"/>
      <c r="AE235" s="98"/>
      <c r="AF235" s="98"/>
      <c r="AG235" s="98"/>
      <c r="AH235" s="98"/>
    </row>
    <row r="236" spans="2:34" x14ac:dyDescent="0.25">
      <c r="B236" s="75"/>
      <c r="C236" s="76"/>
      <c r="D236" s="83"/>
      <c r="E236" s="84"/>
      <c r="F236" s="84"/>
      <c r="G236" s="84"/>
      <c r="H236" s="84"/>
      <c r="I236" s="85"/>
      <c r="J236" s="90"/>
      <c r="K236" s="91"/>
      <c r="L236" s="90"/>
      <c r="M236" s="91"/>
      <c r="N236" s="83"/>
      <c r="O236" s="85"/>
      <c r="P236" s="96"/>
      <c r="Q236" s="97"/>
      <c r="S236" s="99"/>
      <c r="T236" s="99"/>
      <c r="U236" s="99"/>
      <c r="V236" s="99"/>
      <c r="W236" s="99"/>
      <c r="X236" s="99"/>
      <c r="Y236" s="99"/>
      <c r="Z236" s="99"/>
      <c r="AA236" s="99"/>
      <c r="AB236" s="99"/>
      <c r="AC236" s="98"/>
      <c r="AD236" s="98"/>
      <c r="AE236" s="98"/>
      <c r="AF236" s="98"/>
      <c r="AG236" s="98"/>
      <c r="AH236" s="98"/>
    </row>
    <row r="237" spans="2:34" x14ac:dyDescent="0.25">
      <c r="B237" s="71"/>
      <c r="C237" s="72"/>
      <c r="D237" s="77"/>
      <c r="E237" s="78"/>
      <c r="F237" s="78"/>
      <c r="G237" s="78"/>
      <c r="H237" s="78"/>
      <c r="I237" s="79"/>
      <c r="J237" s="86"/>
      <c r="K237" s="87"/>
      <c r="L237" s="86"/>
      <c r="M237" s="87"/>
      <c r="N237" s="77"/>
      <c r="O237" s="79"/>
      <c r="P237" s="92"/>
      <c r="Q237" s="93"/>
      <c r="S237" s="99"/>
      <c r="T237" s="99"/>
      <c r="U237" s="99"/>
      <c r="V237" s="99"/>
      <c r="W237" s="99"/>
      <c r="X237" s="99"/>
      <c r="Y237" s="99"/>
      <c r="Z237" s="99"/>
      <c r="AA237" s="99"/>
      <c r="AB237" s="99"/>
      <c r="AC237" s="98"/>
      <c r="AD237" s="98"/>
      <c r="AE237" s="98"/>
      <c r="AF237" s="98"/>
      <c r="AG237" s="98"/>
      <c r="AH237" s="98"/>
    </row>
    <row r="238" spans="2:34" x14ac:dyDescent="0.25">
      <c r="B238" s="73"/>
      <c r="C238" s="74"/>
      <c r="D238" s="80"/>
      <c r="E238" s="81"/>
      <c r="F238" s="81"/>
      <c r="G238" s="81"/>
      <c r="H238" s="81"/>
      <c r="I238" s="82"/>
      <c r="J238" s="88"/>
      <c r="K238" s="89"/>
      <c r="L238" s="88"/>
      <c r="M238" s="89"/>
      <c r="N238" s="80"/>
      <c r="O238" s="82"/>
      <c r="P238" s="94"/>
      <c r="Q238" s="95"/>
      <c r="S238" s="99"/>
      <c r="T238" s="99"/>
      <c r="U238" s="99"/>
      <c r="V238" s="99"/>
      <c r="W238" s="99"/>
      <c r="X238" s="99"/>
      <c r="Y238" s="99"/>
      <c r="Z238" s="99"/>
      <c r="AA238" s="99"/>
      <c r="AB238" s="99"/>
      <c r="AC238" s="98"/>
      <c r="AD238" s="98"/>
      <c r="AE238" s="98"/>
      <c r="AF238" s="98"/>
      <c r="AG238" s="98"/>
      <c r="AH238" s="98"/>
    </row>
    <row r="239" spans="2:34" x14ac:dyDescent="0.25">
      <c r="B239" s="75"/>
      <c r="C239" s="76"/>
      <c r="D239" s="83"/>
      <c r="E239" s="84"/>
      <c r="F239" s="84"/>
      <c r="G239" s="84"/>
      <c r="H239" s="84"/>
      <c r="I239" s="85"/>
      <c r="J239" s="90"/>
      <c r="K239" s="91"/>
      <c r="L239" s="90"/>
      <c r="M239" s="91"/>
      <c r="N239" s="83"/>
      <c r="O239" s="85"/>
      <c r="P239" s="96"/>
      <c r="Q239" s="97"/>
      <c r="S239" s="99"/>
      <c r="T239" s="99"/>
      <c r="U239" s="99"/>
      <c r="V239" s="99"/>
      <c r="W239" s="99"/>
      <c r="X239" s="99"/>
      <c r="Y239" s="99"/>
      <c r="Z239" s="99"/>
      <c r="AA239" s="99"/>
      <c r="AB239" s="99"/>
      <c r="AC239" s="98"/>
      <c r="AD239" s="98"/>
      <c r="AE239" s="98"/>
      <c r="AF239" s="98"/>
      <c r="AG239" s="98"/>
      <c r="AH239" s="98"/>
    </row>
    <row r="240" spans="2:34" x14ac:dyDescent="0.25">
      <c r="B240" s="71"/>
      <c r="C240" s="72"/>
      <c r="D240" s="77"/>
      <c r="E240" s="78"/>
      <c r="F240" s="78"/>
      <c r="G240" s="78"/>
      <c r="H240" s="78"/>
      <c r="I240" s="79"/>
      <c r="J240" s="86"/>
      <c r="K240" s="87"/>
      <c r="L240" s="86"/>
      <c r="M240" s="87"/>
      <c r="N240" s="77"/>
      <c r="O240" s="79"/>
      <c r="P240" s="92"/>
      <c r="Q240" s="93"/>
      <c r="S240" s="99"/>
      <c r="T240" s="99"/>
      <c r="U240" s="99"/>
      <c r="V240" s="99"/>
      <c r="W240" s="99"/>
      <c r="X240" s="99"/>
      <c r="Y240" s="99"/>
      <c r="Z240" s="99"/>
      <c r="AA240" s="99"/>
      <c r="AB240" s="99"/>
      <c r="AC240" s="98"/>
      <c r="AD240" s="98"/>
      <c r="AE240" s="98"/>
      <c r="AF240" s="98"/>
      <c r="AG240" s="98"/>
      <c r="AH240" s="98"/>
    </row>
    <row r="241" spans="2:34" x14ac:dyDescent="0.25">
      <c r="B241" s="73"/>
      <c r="C241" s="74"/>
      <c r="D241" s="80"/>
      <c r="E241" s="81"/>
      <c r="F241" s="81"/>
      <c r="G241" s="81"/>
      <c r="H241" s="81"/>
      <c r="I241" s="82"/>
      <c r="J241" s="88"/>
      <c r="K241" s="89"/>
      <c r="L241" s="88"/>
      <c r="M241" s="89"/>
      <c r="N241" s="80"/>
      <c r="O241" s="82"/>
      <c r="P241" s="94"/>
      <c r="Q241" s="95"/>
      <c r="S241" s="99"/>
      <c r="T241" s="99"/>
      <c r="U241" s="99"/>
      <c r="V241" s="99"/>
      <c r="W241" s="99"/>
      <c r="X241" s="99"/>
      <c r="Y241" s="99"/>
      <c r="Z241" s="99"/>
      <c r="AA241" s="99"/>
      <c r="AB241" s="99"/>
      <c r="AC241" s="98"/>
      <c r="AD241" s="98"/>
      <c r="AE241" s="98"/>
      <c r="AF241" s="98"/>
      <c r="AG241" s="98"/>
      <c r="AH241" s="98"/>
    </row>
    <row r="242" spans="2:34" x14ac:dyDescent="0.25">
      <c r="B242" s="75"/>
      <c r="C242" s="76"/>
      <c r="D242" s="83"/>
      <c r="E242" s="84"/>
      <c r="F242" s="84"/>
      <c r="G242" s="84"/>
      <c r="H242" s="84"/>
      <c r="I242" s="85"/>
      <c r="J242" s="90"/>
      <c r="K242" s="91"/>
      <c r="L242" s="90"/>
      <c r="M242" s="91"/>
      <c r="N242" s="83"/>
      <c r="O242" s="85"/>
      <c r="P242" s="96"/>
      <c r="Q242" s="97"/>
      <c r="S242" s="99"/>
      <c r="T242" s="99"/>
      <c r="U242" s="99"/>
      <c r="V242" s="99"/>
      <c r="W242" s="99"/>
      <c r="X242" s="99"/>
      <c r="Y242" s="99"/>
      <c r="Z242" s="99"/>
      <c r="AA242" s="99"/>
      <c r="AB242" s="99"/>
      <c r="AC242" s="98"/>
      <c r="AD242" s="98"/>
      <c r="AE242" s="98"/>
      <c r="AF242" s="98"/>
      <c r="AG242" s="98"/>
      <c r="AH242" s="98"/>
    </row>
    <row r="243" spans="2:34" x14ac:dyDescent="0.25">
      <c r="B243" s="71"/>
      <c r="C243" s="72"/>
      <c r="D243" s="77"/>
      <c r="E243" s="78"/>
      <c r="F243" s="78"/>
      <c r="G243" s="78"/>
      <c r="H243" s="78"/>
      <c r="I243" s="79"/>
      <c r="J243" s="86"/>
      <c r="K243" s="87"/>
      <c r="L243" s="86"/>
      <c r="M243" s="87"/>
      <c r="N243" s="77"/>
      <c r="O243" s="79"/>
      <c r="P243" s="92"/>
      <c r="Q243" s="93"/>
      <c r="S243" s="99"/>
      <c r="T243" s="99"/>
      <c r="U243" s="99"/>
      <c r="V243" s="99"/>
      <c r="W243" s="99"/>
      <c r="X243" s="99"/>
      <c r="Y243" s="99"/>
      <c r="Z243" s="99"/>
      <c r="AA243" s="99"/>
      <c r="AB243" s="99"/>
      <c r="AC243" s="98"/>
      <c r="AD243" s="98"/>
      <c r="AE243" s="98"/>
      <c r="AF243" s="98"/>
      <c r="AG243" s="98"/>
      <c r="AH243" s="98"/>
    </row>
    <row r="244" spans="2:34" x14ac:dyDescent="0.25">
      <c r="B244" s="73"/>
      <c r="C244" s="74"/>
      <c r="D244" s="80"/>
      <c r="E244" s="81"/>
      <c r="F244" s="81"/>
      <c r="G244" s="81"/>
      <c r="H244" s="81"/>
      <c r="I244" s="82"/>
      <c r="J244" s="88"/>
      <c r="K244" s="89"/>
      <c r="L244" s="88"/>
      <c r="M244" s="89"/>
      <c r="N244" s="80"/>
      <c r="O244" s="82"/>
      <c r="P244" s="94"/>
      <c r="Q244" s="95"/>
      <c r="S244" s="99"/>
      <c r="T244" s="99"/>
      <c r="U244" s="99"/>
      <c r="V244" s="99"/>
      <c r="W244" s="99"/>
      <c r="X244" s="99"/>
      <c r="Y244" s="99"/>
      <c r="Z244" s="99"/>
      <c r="AA244" s="99"/>
      <c r="AB244" s="99"/>
      <c r="AC244" s="98"/>
      <c r="AD244" s="98"/>
      <c r="AE244" s="98"/>
      <c r="AF244" s="98"/>
      <c r="AG244" s="98"/>
      <c r="AH244" s="98"/>
    </row>
    <row r="245" spans="2:34" x14ac:dyDescent="0.25">
      <c r="B245" s="75"/>
      <c r="C245" s="76"/>
      <c r="D245" s="83"/>
      <c r="E245" s="84"/>
      <c r="F245" s="84"/>
      <c r="G245" s="84"/>
      <c r="H245" s="84"/>
      <c r="I245" s="85"/>
      <c r="J245" s="90"/>
      <c r="K245" s="91"/>
      <c r="L245" s="90"/>
      <c r="M245" s="91"/>
      <c r="N245" s="83"/>
      <c r="O245" s="85"/>
      <c r="P245" s="96"/>
      <c r="Q245" s="97"/>
      <c r="S245" s="99"/>
      <c r="T245" s="99"/>
      <c r="U245" s="99"/>
      <c r="V245" s="99"/>
      <c r="W245" s="99"/>
      <c r="X245" s="99"/>
      <c r="Y245" s="99"/>
      <c r="Z245" s="99"/>
      <c r="AA245" s="99"/>
      <c r="AB245" s="99"/>
      <c r="AC245" s="98"/>
      <c r="AD245" s="98"/>
      <c r="AE245" s="98"/>
      <c r="AF245" s="98"/>
      <c r="AG245" s="98"/>
      <c r="AH245" s="98"/>
    </row>
    <row r="246" spans="2:34" x14ac:dyDescent="0.25">
      <c r="B246" s="71"/>
      <c r="C246" s="72"/>
      <c r="D246" s="77"/>
      <c r="E246" s="78"/>
      <c r="F246" s="78"/>
      <c r="G246" s="78"/>
      <c r="H246" s="78"/>
      <c r="I246" s="79"/>
      <c r="J246" s="86"/>
      <c r="K246" s="87"/>
      <c r="L246" s="86"/>
      <c r="M246" s="87"/>
      <c r="N246" s="77"/>
      <c r="O246" s="79"/>
      <c r="P246" s="92"/>
      <c r="Q246" s="93"/>
      <c r="S246" s="99"/>
      <c r="T246" s="99"/>
      <c r="U246" s="99"/>
      <c r="V246" s="99"/>
      <c r="W246" s="99"/>
      <c r="X246" s="99"/>
      <c r="Y246" s="99"/>
      <c r="Z246" s="99"/>
      <c r="AA246" s="99"/>
      <c r="AB246" s="99"/>
      <c r="AC246" s="98"/>
      <c r="AD246" s="98"/>
      <c r="AE246" s="98"/>
      <c r="AF246" s="98"/>
      <c r="AG246" s="98"/>
      <c r="AH246" s="98"/>
    </row>
    <row r="247" spans="2:34" x14ac:dyDescent="0.25">
      <c r="B247" s="73"/>
      <c r="C247" s="74"/>
      <c r="D247" s="80"/>
      <c r="E247" s="81"/>
      <c r="F247" s="81"/>
      <c r="G247" s="81"/>
      <c r="H247" s="81"/>
      <c r="I247" s="82"/>
      <c r="J247" s="88"/>
      <c r="K247" s="89"/>
      <c r="L247" s="88"/>
      <c r="M247" s="89"/>
      <c r="N247" s="80"/>
      <c r="O247" s="82"/>
      <c r="P247" s="94"/>
      <c r="Q247" s="95"/>
      <c r="S247" s="99"/>
      <c r="T247" s="99"/>
      <c r="U247" s="99"/>
      <c r="V247" s="99"/>
      <c r="W247" s="99"/>
      <c r="X247" s="99"/>
      <c r="Y247" s="99"/>
      <c r="Z247" s="99"/>
      <c r="AA247" s="99"/>
      <c r="AB247" s="99"/>
      <c r="AC247" s="98"/>
      <c r="AD247" s="98"/>
      <c r="AE247" s="98"/>
      <c r="AF247" s="98"/>
      <c r="AG247" s="98"/>
      <c r="AH247" s="98"/>
    </row>
    <row r="248" spans="2:34" x14ac:dyDescent="0.25">
      <c r="B248" s="75"/>
      <c r="C248" s="76"/>
      <c r="D248" s="83"/>
      <c r="E248" s="84"/>
      <c r="F248" s="84"/>
      <c r="G248" s="84"/>
      <c r="H248" s="84"/>
      <c r="I248" s="85"/>
      <c r="J248" s="90"/>
      <c r="K248" s="91"/>
      <c r="L248" s="90"/>
      <c r="M248" s="91"/>
      <c r="N248" s="83"/>
      <c r="O248" s="85"/>
      <c r="P248" s="96"/>
      <c r="Q248" s="97"/>
      <c r="S248" s="99"/>
      <c r="T248" s="99"/>
      <c r="U248" s="99"/>
      <c r="V248" s="99"/>
      <c r="W248" s="99"/>
      <c r="X248" s="99"/>
      <c r="Y248" s="99"/>
      <c r="Z248" s="99"/>
      <c r="AA248" s="99"/>
      <c r="AB248" s="99"/>
      <c r="AC248" s="98"/>
      <c r="AD248" s="98"/>
      <c r="AE248" s="98"/>
      <c r="AF248" s="98"/>
      <c r="AG248" s="98"/>
      <c r="AH248" s="98"/>
    </row>
    <row r="249" spans="2:34" x14ac:dyDescent="0.25">
      <c r="B249" s="71"/>
      <c r="C249" s="72"/>
      <c r="D249" s="77"/>
      <c r="E249" s="78"/>
      <c r="F249" s="78"/>
      <c r="G249" s="78"/>
      <c r="H249" s="78"/>
      <c r="I249" s="79"/>
      <c r="J249" s="86"/>
      <c r="K249" s="87"/>
      <c r="L249" s="86"/>
      <c r="M249" s="87"/>
      <c r="N249" s="77"/>
      <c r="O249" s="79"/>
      <c r="P249" s="92"/>
      <c r="Q249" s="93"/>
      <c r="S249" s="99"/>
      <c r="T249" s="99"/>
      <c r="U249" s="99"/>
      <c r="V249" s="99"/>
      <c r="W249" s="99"/>
      <c r="X249" s="99"/>
      <c r="Y249" s="99"/>
      <c r="Z249" s="99"/>
      <c r="AA249" s="99"/>
      <c r="AB249" s="99"/>
      <c r="AC249" s="98"/>
      <c r="AD249" s="98"/>
      <c r="AE249" s="98"/>
      <c r="AF249" s="98"/>
      <c r="AG249" s="98"/>
      <c r="AH249" s="98"/>
    </row>
    <row r="250" spans="2:34" x14ac:dyDescent="0.25">
      <c r="B250" s="73"/>
      <c r="C250" s="74"/>
      <c r="D250" s="80"/>
      <c r="E250" s="81"/>
      <c r="F250" s="81"/>
      <c r="G250" s="81"/>
      <c r="H250" s="81"/>
      <c r="I250" s="82"/>
      <c r="J250" s="88"/>
      <c r="K250" s="89"/>
      <c r="L250" s="88"/>
      <c r="M250" s="89"/>
      <c r="N250" s="80"/>
      <c r="O250" s="82"/>
      <c r="P250" s="94"/>
      <c r="Q250" s="95"/>
      <c r="S250" s="99"/>
      <c r="T250" s="99"/>
      <c r="U250" s="99"/>
      <c r="V250" s="99"/>
      <c r="W250" s="99"/>
      <c r="X250" s="99"/>
      <c r="Y250" s="99"/>
      <c r="Z250" s="99"/>
      <c r="AA250" s="99"/>
      <c r="AB250" s="99"/>
      <c r="AC250" s="98"/>
      <c r="AD250" s="98"/>
      <c r="AE250" s="98"/>
      <c r="AF250" s="98"/>
      <c r="AG250" s="98"/>
      <c r="AH250" s="98"/>
    </row>
    <row r="251" spans="2:34" x14ac:dyDescent="0.25">
      <c r="B251" s="75"/>
      <c r="C251" s="76"/>
      <c r="D251" s="83"/>
      <c r="E251" s="84"/>
      <c r="F251" s="84"/>
      <c r="G251" s="84"/>
      <c r="H251" s="84"/>
      <c r="I251" s="85"/>
      <c r="J251" s="90"/>
      <c r="K251" s="91"/>
      <c r="L251" s="90"/>
      <c r="M251" s="91"/>
      <c r="N251" s="83"/>
      <c r="O251" s="85"/>
      <c r="P251" s="96"/>
      <c r="Q251" s="97"/>
      <c r="S251" s="99"/>
      <c r="T251" s="99"/>
      <c r="U251" s="99"/>
      <c r="V251" s="99"/>
      <c r="W251" s="99"/>
      <c r="X251" s="99"/>
      <c r="Y251" s="99"/>
      <c r="Z251" s="99"/>
      <c r="AA251" s="99"/>
      <c r="AB251" s="99"/>
      <c r="AC251" s="98"/>
      <c r="AD251" s="98"/>
      <c r="AE251" s="98"/>
      <c r="AF251" s="98"/>
      <c r="AG251" s="98"/>
      <c r="AH251" s="98"/>
    </row>
    <row r="252" spans="2:34" x14ac:dyDescent="0.25">
      <c r="B252" s="71"/>
      <c r="C252" s="72"/>
      <c r="D252" s="77"/>
      <c r="E252" s="78"/>
      <c r="F252" s="78"/>
      <c r="G252" s="78"/>
      <c r="H252" s="78"/>
      <c r="I252" s="79"/>
      <c r="J252" s="86"/>
      <c r="K252" s="87"/>
      <c r="L252" s="86"/>
      <c r="M252" s="87"/>
      <c r="N252" s="77"/>
      <c r="O252" s="79"/>
      <c r="P252" s="92"/>
      <c r="Q252" s="93"/>
      <c r="S252" s="99"/>
      <c r="T252" s="99"/>
      <c r="U252" s="99"/>
      <c r="V252" s="99"/>
      <c r="W252" s="99"/>
      <c r="X252" s="99"/>
      <c r="Y252" s="99"/>
      <c r="Z252" s="99"/>
      <c r="AA252" s="99"/>
      <c r="AB252" s="99"/>
      <c r="AC252" s="98"/>
      <c r="AD252" s="98"/>
      <c r="AE252" s="98"/>
      <c r="AF252" s="98"/>
      <c r="AG252" s="98"/>
      <c r="AH252" s="98"/>
    </row>
    <row r="253" spans="2:34" x14ac:dyDescent="0.25">
      <c r="B253" s="73"/>
      <c r="C253" s="74"/>
      <c r="D253" s="80"/>
      <c r="E253" s="81"/>
      <c r="F253" s="81"/>
      <c r="G253" s="81"/>
      <c r="H253" s="81"/>
      <c r="I253" s="82"/>
      <c r="J253" s="88"/>
      <c r="K253" s="89"/>
      <c r="L253" s="88"/>
      <c r="M253" s="89"/>
      <c r="N253" s="80"/>
      <c r="O253" s="82"/>
      <c r="P253" s="94"/>
      <c r="Q253" s="95"/>
      <c r="S253" s="99"/>
      <c r="T253" s="99"/>
      <c r="U253" s="99"/>
      <c r="V253" s="99"/>
      <c r="W253" s="99"/>
      <c r="X253" s="99"/>
      <c r="Y253" s="99"/>
      <c r="Z253" s="99"/>
      <c r="AA253" s="99"/>
      <c r="AB253" s="99"/>
      <c r="AC253" s="98"/>
      <c r="AD253" s="98"/>
      <c r="AE253" s="98"/>
      <c r="AF253" s="98"/>
      <c r="AG253" s="98"/>
      <c r="AH253" s="98"/>
    </row>
    <row r="254" spans="2:34" x14ac:dyDescent="0.25">
      <c r="B254" s="75"/>
      <c r="C254" s="76"/>
      <c r="D254" s="83"/>
      <c r="E254" s="84"/>
      <c r="F254" s="84"/>
      <c r="G254" s="84"/>
      <c r="H254" s="84"/>
      <c r="I254" s="85"/>
      <c r="J254" s="90"/>
      <c r="K254" s="91"/>
      <c r="L254" s="90"/>
      <c r="M254" s="91"/>
      <c r="N254" s="83"/>
      <c r="O254" s="85"/>
      <c r="P254" s="96"/>
      <c r="Q254" s="97"/>
      <c r="S254" s="99"/>
      <c r="T254" s="99"/>
      <c r="U254" s="99"/>
      <c r="V254" s="99"/>
      <c r="W254" s="99"/>
      <c r="X254" s="99"/>
      <c r="Y254" s="99"/>
      <c r="Z254" s="99"/>
      <c r="AA254" s="99"/>
      <c r="AB254" s="99"/>
      <c r="AC254" s="98"/>
      <c r="AD254" s="98"/>
      <c r="AE254" s="98"/>
      <c r="AF254" s="98"/>
      <c r="AG254" s="98"/>
      <c r="AH254" s="98"/>
    </row>
    <row r="255" spans="2:34" x14ac:dyDescent="0.25">
      <c r="B255" s="71"/>
      <c r="C255" s="72"/>
      <c r="D255" s="77"/>
      <c r="E255" s="78"/>
      <c r="F255" s="78"/>
      <c r="G255" s="78"/>
      <c r="H255" s="78"/>
      <c r="I255" s="79"/>
      <c r="J255" s="86"/>
      <c r="K255" s="87"/>
      <c r="L255" s="86"/>
      <c r="M255" s="87"/>
      <c r="N255" s="77"/>
      <c r="O255" s="79"/>
      <c r="P255" s="92"/>
      <c r="Q255" s="93"/>
      <c r="S255" s="99"/>
      <c r="T255" s="99"/>
      <c r="U255" s="99"/>
      <c r="V255" s="99"/>
      <c r="W255" s="99"/>
      <c r="X255" s="99"/>
      <c r="Y255" s="99"/>
      <c r="Z255" s="99"/>
      <c r="AA255" s="99"/>
      <c r="AB255" s="99"/>
      <c r="AC255" s="98"/>
      <c r="AD255" s="98"/>
      <c r="AE255" s="98"/>
      <c r="AF255" s="98"/>
      <c r="AG255" s="98"/>
      <c r="AH255" s="98"/>
    </row>
    <row r="256" spans="2:34" x14ac:dyDescent="0.25">
      <c r="B256" s="73"/>
      <c r="C256" s="74"/>
      <c r="D256" s="80"/>
      <c r="E256" s="81"/>
      <c r="F256" s="81"/>
      <c r="G256" s="81"/>
      <c r="H256" s="81"/>
      <c r="I256" s="82"/>
      <c r="J256" s="88"/>
      <c r="K256" s="89"/>
      <c r="L256" s="88"/>
      <c r="M256" s="89"/>
      <c r="N256" s="80"/>
      <c r="O256" s="82"/>
      <c r="P256" s="94"/>
      <c r="Q256" s="95"/>
      <c r="S256" s="99"/>
      <c r="T256" s="99"/>
      <c r="U256" s="99"/>
      <c r="V256" s="99"/>
      <c r="W256" s="99"/>
      <c r="X256" s="99"/>
      <c r="Y256" s="99"/>
      <c r="Z256" s="99"/>
      <c r="AA256" s="99"/>
      <c r="AB256" s="99"/>
      <c r="AC256" s="98"/>
      <c r="AD256" s="98"/>
      <c r="AE256" s="98"/>
      <c r="AF256" s="98"/>
      <c r="AG256" s="98"/>
      <c r="AH256" s="98"/>
    </row>
    <row r="257" spans="2:34" x14ac:dyDescent="0.25">
      <c r="B257" s="75"/>
      <c r="C257" s="76"/>
      <c r="D257" s="83"/>
      <c r="E257" s="84"/>
      <c r="F257" s="84"/>
      <c r="G257" s="84"/>
      <c r="H257" s="84"/>
      <c r="I257" s="85"/>
      <c r="J257" s="90"/>
      <c r="K257" s="91"/>
      <c r="L257" s="90"/>
      <c r="M257" s="91"/>
      <c r="N257" s="83"/>
      <c r="O257" s="85"/>
      <c r="P257" s="96"/>
      <c r="Q257" s="97"/>
      <c r="S257" s="99"/>
      <c r="T257" s="99"/>
      <c r="U257" s="99"/>
      <c r="V257" s="99"/>
      <c r="W257" s="99"/>
      <c r="X257" s="99"/>
      <c r="Y257" s="99"/>
      <c r="Z257" s="99"/>
      <c r="AA257" s="99"/>
      <c r="AB257" s="99"/>
      <c r="AC257" s="98"/>
      <c r="AD257" s="98"/>
      <c r="AE257" s="98"/>
      <c r="AF257" s="98"/>
      <c r="AG257" s="98"/>
      <c r="AH257" s="98"/>
    </row>
    <row r="258" spans="2:34" x14ac:dyDescent="0.25">
      <c r="B258" s="71"/>
      <c r="C258" s="72"/>
      <c r="D258" s="77"/>
      <c r="E258" s="78"/>
      <c r="F258" s="78"/>
      <c r="G258" s="78"/>
      <c r="H258" s="78"/>
      <c r="I258" s="79"/>
      <c r="J258" s="86"/>
      <c r="K258" s="87"/>
      <c r="L258" s="86"/>
      <c r="M258" s="87"/>
      <c r="N258" s="77"/>
      <c r="O258" s="79"/>
      <c r="P258" s="92"/>
      <c r="Q258" s="93"/>
      <c r="S258" s="99"/>
      <c r="T258" s="99"/>
      <c r="U258" s="99"/>
      <c r="V258" s="99"/>
      <c r="W258" s="99"/>
      <c r="X258" s="99"/>
      <c r="Y258" s="99"/>
      <c r="Z258" s="99"/>
      <c r="AA258" s="99"/>
      <c r="AB258" s="99"/>
      <c r="AC258" s="98"/>
      <c r="AD258" s="98"/>
      <c r="AE258" s="98"/>
      <c r="AF258" s="98"/>
      <c r="AG258" s="98"/>
      <c r="AH258" s="98"/>
    </row>
    <row r="259" spans="2:34" x14ac:dyDescent="0.25">
      <c r="B259" s="73"/>
      <c r="C259" s="74"/>
      <c r="D259" s="80"/>
      <c r="E259" s="81"/>
      <c r="F259" s="81"/>
      <c r="G259" s="81"/>
      <c r="H259" s="81"/>
      <c r="I259" s="82"/>
      <c r="J259" s="88"/>
      <c r="K259" s="89"/>
      <c r="L259" s="88"/>
      <c r="M259" s="89"/>
      <c r="N259" s="80"/>
      <c r="O259" s="82"/>
      <c r="P259" s="94"/>
      <c r="Q259" s="95"/>
      <c r="S259" s="99"/>
      <c r="T259" s="99"/>
      <c r="U259" s="99"/>
      <c r="V259" s="99"/>
      <c r="W259" s="99"/>
      <c r="X259" s="99"/>
      <c r="Y259" s="99"/>
      <c r="Z259" s="99"/>
      <c r="AA259" s="99"/>
      <c r="AB259" s="99"/>
      <c r="AC259" s="98"/>
      <c r="AD259" s="98"/>
      <c r="AE259" s="98"/>
      <c r="AF259" s="98"/>
      <c r="AG259" s="98"/>
      <c r="AH259" s="98"/>
    </row>
    <row r="260" spans="2:34" x14ac:dyDescent="0.25">
      <c r="B260" s="75"/>
      <c r="C260" s="76"/>
      <c r="D260" s="83"/>
      <c r="E260" s="84"/>
      <c r="F260" s="84"/>
      <c r="G260" s="84"/>
      <c r="H260" s="84"/>
      <c r="I260" s="85"/>
      <c r="J260" s="90"/>
      <c r="K260" s="91"/>
      <c r="L260" s="90"/>
      <c r="M260" s="91"/>
      <c r="N260" s="83"/>
      <c r="O260" s="85"/>
      <c r="P260" s="96"/>
      <c r="Q260" s="97"/>
      <c r="S260" s="99"/>
      <c r="T260" s="99"/>
      <c r="U260" s="99"/>
      <c r="V260" s="99"/>
      <c r="W260" s="99"/>
      <c r="X260" s="99"/>
      <c r="Y260" s="99"/>
      <c r="Z260" s="99"/>
      <c r="AA260" s="99"/>
      <c r="AB260" s="99"/>
      <c r="AC260" s="98"/>
      <c r="AD260" s="98"/>
      <c r="AE260" s="98"/>
      <c r="AF260" s="98"/>
      <c r="AG260" s="98"/>
      <c r="AH260" s="98"/>
    </row>
    <row r="261" spans="2:34" x14ac:dyDescent="0.25">
      <c r="B261" s="71"/>
      <c r="C261" s="72"/>
      <c r="D261" s="77"/>
      <c r="E261" s="78"/>
      <c r="F261" s="78"/>
      <c r="G261" s="78"/>
      <c r="H261" s="78"/>
      <c r="I261" s="79"/>
      <c r="J261" s="86"/>
      <c r="K261" s="87"/>
      <c r="L261" s="86"/>
      <c r="M261" s="87"/>
      <c r="N261" s="77"/>
      <c r="O261" s="79"/>
      <c r="P261" s="92"/>
      <c r="Q261" s="93"/>
      <c r="S261" s="99"/>
      <c r="T261" s="99"/>
      <c r="U261" s="99"/>
      <c r="V261" s="99"/>
      <c r="W261" s="99"/>
      <c r="X261" s="99"/>
      <c r="Y261" s="99"/>
      <c r="Z261" s="99"/>
      <c r="AA261" s="99"/>
      <c r="AB261" s="99"/>
      <c r="AC261" s="98"/>
      <c r="AD261" s="98"/>
      <c r="AE261" s="98"/>
      <c r="AF261" s="98"/>
      <c r="AG261" s="98"/>
      <c r="AH261" s="98"/>
    </row>
    <row r="262" spans="2:34" x14ac:dyDescent="0.25">
      <c r="B262" s="73"/>
      <c r="C262" s="74"/>
      <c r="D262" s="80"/>
      <c r="E262" s="81"/>
      <c r="F262" s="81"/>
      <c r="G262" s="81"/>
      <c r="H262" s="81"/>
      <c r="I262" s="82"/>
      <c r="J262" s="88"/>
      <c r="K262" s="89"/>
      <c r="L262" s="88"/>
      <c r="M262" s="89"/>
      <c r="N262" s="80"/>
      <c r="O262" s="82"/>
      <c r="P262" s="94"/>
      <c r="Q262" s="95"/>
      <c r="S262" s="99"/>
      <c r="T262" s="99"/>
      <c r="U262" s="99"/>
      <c r="V262" s="99"/>
      <c r="W262" s="99"/>
      <c r="X262" s="99"/>
      <c r="Y262" s="99"/>
      <c r="Z262" s="99"/>
      <c r="AA262" s="99"/>
      <c r="AB262" s="99"/>
      <c r="AC262" s="98"/>
      <c r="AD262" s="98"/>
      <c r="AE262" s="98"/>
      <c r="AF262" s="98"/>
      <c r="AG262" s="98"/>
      <c r="AH262" s="98"/>
    </row>
    <row r="263" spans="2:34" x14ac:dyDescent="0.25">
      <c r="B263" s="75"/>
      <c r="C263" s="76"/>
      <c r="D263" s="83"/>
      <c r="E263" s="84"/>
      <c r="F263" s="84"/>
      <c r="G263" s="84"/>
      <c r="H263" s="84"/>
      <c r="I263" s="85"/>
      <c r="J263" s="90"/>
      <c r="K263" s="91"/>
      <c r="L263" s="90"/>
      <c r="M263" s="91"/>
      <c r="N263" s="83"/>
      <c r="O263" s="85"/>
      <c r="P263" s="96"/>
      <c r="Q263" s="97"/>
      <c r="S263" s="99"/>
      <c r="T263" s="99"/>
      <c r="U263" s="99"/>
      <c r="V263" s="99"/>
      <c r="W263" s="99"/>
      <c r="X263" s="99"/>
      <c r="Y263" s="99"/>
      <c r="Z263" s="99"/>
      <c r="AA263" s="99"/>
      <c r="AB263" s="99"/>
      <c r="AC263" s="98"/>
      <c r="AD263" s="98"/>
      <c r="AE263" s="98"/>
      <c r="AF263" s="98"/>
      <c r="AG263" s="98"/>
      <c r="AH263" s="98"/>
    </row>
    <row r="264" spans="2:34" x14ac:dyDescent="0.25">
      <c r="B264" s="71"/>
      <c r="C264" s="72"/>
      <c r="D264" s="77"/>
      <c r="E264" s="78"/>
      <c r="F264" s="78"/>
      <c r="G264" s="78"/>
      <c r="H264" s="78"/>
      <c r="I264" s="79"/>
      <c r="J264" s="86"/>
      <c r="K264" s="87"/>
      <c r="L264" s="86"/>
      <c r="M264" s="87"/>
      <c r="N264" s="77"/>
      <c r="O264" s="79"/>
      <c r="P264" s="92"/>
      <c r="Q264" s="93"/>
      <c r="S264" s="99"/>
      <c r="T264" s="99"/>
      <c r="U264" s="99"/>
      <c r="V264" s="99"/>
      <c r="W264" s="99"/>
      <c r="X264" s="99"/>
      <c r="Y264" s="99"/>
      <c r="Z264" s="99"/>
      <c r="AA264" s="99"/>
      <c r="AB264" s="99"/>
      <c r="AC264" s="98"/>
      <c r="AD264" s="98"/>
      <c r="AE264" s="98"/>
      <c r="AF264" s="98"/>
      <c r="AG264" s="98"/>
      <c r="AH264" s="98"/>
    </row>
    <row r="265" spans="2:34" x14ac:dyDescent="0.25">
      <c r="B265" s="73"/>
      <c r="C265" s="74"/>
      <c r="D265" s="80"/>
      <c r="E265" s="81"/>
      <c r="F265" s="81"/>
      <c r="G265" s="81"/>
      <c r="H265" s="81"/>
      <c r="I265" s="82"/>
      <c r="J265" s="88"/>
      <c r="K265" s="89"/>
      <c r="L265" s="88"/>
      <c r="M265" s="89"/>
      <c r="N265" s="80"/>
      <c r="O265" s="82"/>
      <c r="P265" s="94"/>
      <c r="Q265" s="95"/>
      <c r="S265" s="99"/>
      <c r="T265" s="99"/>
      <c r="U265" s="99"/>
      <c r="V265" s="99"/>
      <c r="W265" s="99"/>
      <c r="X265" s="99"/>
      <c r="Y265" s="99"/>
      <c r="Z265" s="99"/>
      <c r="AA265" s="99"/>
      <c r="AB265" s="99"/>
      <c r="AC265" s="98"/>
      <c r="AD265" s="98"/>
      <c r="AE265" s="98"/>
      <c r="AF265" s="98"/>
      <c r="AG265" s="98"/>
      <c r="AH265" s="98"/>
    </row>
    <row r="266" spans="2:34" x14ac:dyDescent="0.25">
      <c r="B266" s="75"/>
      <c r="C266" s="76"/>
      <c r="D266" s="83"/>
      <c r="E266" s="84"/>
      <c r="F266" s="84"/>
      <c r="G266" s="84"/>
      <c r="H266" s="84"/>
      <c r="I266" s="85"/>
      <c r="J266" s="90"/>
      <c r="K266" s="91"/>
      <c r="L266" s="90"/>
      <c r="M266" s="91"/>
      <c r="N266" s="83"/>
      <c r="O266" s="85"/>
      <c r="P266" s="96"/>
      <c r="Q266" s="97"/>
      <c r="S266" s="99"/>
      <c r="T266" s="99"/>
      <c r="U266" s="99"/>
      <c r="V266" s="99"/>
      <c r="W266" s="99"/>
      <c r="X266" s="99"/>
      <c r="Y266" s="99"/>
      <c r="Z266" s="99"/>
      <c r="AA266" s="99"/>
      <c r="AB266" s="99"/>
      <c r="AC266" s="98"/>
      <c r="AD266" s="98"/>
      <c r="AE266" s="98"/>
      <c r="AF266" s="98"/>
      <c r="AG266" s="98"/>
      <c r="AH266" s="98"/>
    </row>
    <row r="267" spans="2:34" x14ac:dyDescent="0.25">
      <c r="B267" s="71"/>
      <c r="C267" s="72"/>
      <c r="D267" s="77"/>
      <c r="E267" s="78"/>
      <c r="F267" s="78"/>
      <c r="G267" s="78"/>
      <c r="H267" s="78"/>
      <c r="I267" s="79"/>
      <c r="J267" s="86"/>
      <c r="K267" s="87"/>
      <c r="L267" s="86"/>
      <c r="M267" s="87"/>
      <c r="N267" s="77"/>
      <c r="O267" s="79"/>
      <c r="P267" s="92"/>
      <c r="Q267" s="93"/>
      <c r="S267" s="99"/>
      <c r="T267" s="99"/>
      <c r="U267" s="99"/>
      <c r="V267" s="99"/>
      <c r="W267" s="99"/>
      <c r="X267" s="99"/>
      <c r="Y267" s="99"/>
      <c r="Z267" s="99"/>
      <c r="AA267" s="99"/>
      <c r="AB267" s="99"/>
      <c r="AC267" s="98"/>
      <c r="AD267" s="98"/>
      <c r="AE267" s="98"/>
      <c r="AF267" s="98"/>
      <c r="AG267" s="98"/>
      <c r="AH267" s="98"/>
    </row>
    <row r="268" spans="2:34" x14ac:dyDescent="0.25">
      <c r="B268" s="73"/>
      <c r="C268" s="74"/>
      <c r="D268" s="80"/>
      <c r="E268" s="81"/>
      <c r="F268" s="81"/>
      <c r="G268" s="81"/>
      <c r="H268" s="81"/>
      <c r="I268" s="82"/>
      <c r="J268" s="88"/>
      <c r="K268" s="89"/>
      <c r="L268" s="88"/>
      <c r="M268" s="89"/>
      <c r="N268" s="80"/>
      <c r="O268" s="82"/>
      <c r="P268" s="94"/>
      <c r="Q268" s="95"/>
      <c r="S268" s="99"/>
      <c r="T268" s="99"/>
      <c r="U268" s="99"/>
      <c r="V268" s="99"/>
      <c r="W268" s="99"/>
      <c r="X268" s="99"/>
      <c r="Y268" s="99"/>
      <c r="Z268" s="99"/>
      <c r="AA268" s="99"/>
      <c r="AB268" s="99"/>
      <c r="AC268" s="98"/>
      <c r="AD268" s="98"/>
      <c r="AE268" s="98"/>
      <c r="AF268" s="98"/>
      <c r="AG268" s="98"/>
      <c r="AH268" s="98"/>
    </row>
    <row r="269" spans="2:34" x14ac:dyDescent="0.25">
      <c r="B269" s="75"/>
      <c r="C269" s="76"/>
      <c r="D269" s="83"/>
      <c r="E269" s="84"/>
      <c r="F269" s="84"/>
      <c r="G269" s="84"/>
      <c r="H269" s="84"/>
      <c r="I269" s="85"/>
      <c r="J269" s="90"/>
      <c r="K269" s="91"/>
      <c r="L269" s="90"/>
      <c r="M269" s="91"/>
      <c r="N269" s="83"/>
      <c r="O269" s="85"/>
      <c r="P269" s="96"/>
      <c r="Q269" s="97"/>
      <c r="S269" s="99"/>
      <c r="T269" s="99"/>
      <c r="U269" s="99"/>
      <c r="V269" s="99"/>
      <c r="W269" s="99"/>
      <c r="X269" s="99"/>
      <c r="Y269" s="99"/>
      <c r="Z269" s="99"/>
      <c r="AA269" s="99"/>
      <c r="AB269" s="99"/>
      <c r="AC269" s="98"/>
      <c r="AD269" s="98"/>
      <c r="AE269" s="98"/>
      <c r="AF269" s="98"/>
      <c r="AG269" s="98"/>
      <c r="AH269" s="98"/>
    </row>
    <row r="270" spans="2:34" x14ac:dyDescent="0.25">
      <c r="B270" s="71"/>
      <c r="C270" s="72"/>
      <c r="D270" s="77"/>
      <c r="E270" s="78"/>
      <c r="F270" s="78"/>
      <c r="G270" s="78"/>
      <c r="H270" s="78"/>
      <c r="I270" s="79"/>
      <c r="J270" s="86"/>
      <c r="K270" s="87"/>
      <c r="L270" s="86"/>
      <c r="M270" s="87"/>
      <c r="N270" s="77"/>
      <c r="O270" s="79"/>
      <c r="P270" s="92"/>
      <c r="Q270" s="93"/>
      <c r="S270" s="99"/>
      <c r="T270" s="99"/>
      <c r="U270" s="99"/>
      <c r="V270" s="99"/>
      <c r="W270" s="99"/>
      <c r="X270" s="99"/>
      <c r="Y270" s="99"/>
      <c r="Z270" s="99"/>
      <c r="AA270" s="99"/>
      <c r="AB270" s="99"/>
      <c r="AC270" s="98"/>
      <c r="AD270" s="98"/>
      <c r="AE270" s="98"/>
      <c r="AF270" s="98"/>
      <c r="AG270" s="98"/>
      <c r="AH270" s="98"/>
    </row>
    <row r="271" spans="2:34" x14ac:dyDescent="0.25">
      <c r="B271" s="73"/>
      <c r="C271" s="74"/>
      <c r="D271" s="80"/>
      <c r="E271" s="81"/>
      <c r="F271" s="81"/>
      <c r="G271" s="81"/>
      <c r="H271" s="81"/>
      <c r="I271" s="82"/>
      <c r="J271" s="88"/>
      <c r="K271" s="89"/>
      <c r="L271" s="88"/>
      <c r="M271" s="89"/>
      <c r="N271" s="80"/>
      <c r="O271" s="82"/>
      <c r="P271" s="94"/>
      <c r="Q271" s="95"/>
      <c r="S271" s="99"/>
      <c r="T271" s="99"/>
      <c r="U271" s="99"/>
      <c r="V271" s="99"/>
      <c r="W271" s="99"/>
      <c r="X271" s="99"/>
      <c r="Y271" s="99"/>
      <c r="Z271" s="99"/>
      <c r="AA271" s="99"/>
      <c r="AB271" s="99"/>
      <c r="AC271" s="98"/>
      <c r="AD271" s="98"/>
      <c r="AE271" s="98"/>
      <c r="AF271" s="98"/>
      <c r="AG271" s="98"/>
      <c r="AH271" s="98"/>
    </row>
    <row r="272" spans="2:34" x14ac:dyDescent="0.25">
      <c r="B272" s="75"/>
      <c r="C272" s="76"/>
      <c r="D272" s="83"/>
      <c r="E272" s="84"/>
      <c r="F272" s="84"/>
      <c r="G272" s="84"/>
      <c r="H272" s="84"/>
      <c r="I272" s="85"/>
      <c r="J272" s="90"/>
      <c r="K272" s="91"/>
      <c r="L272" s="90"/>
      <c r="M272" s="91"/>
      <c r="N272" s="83"/>
      <c r="O272" s="85"/>
      <c r="P272" s="96"/>
      <c r="Q272" s="97"/>
      <c r="S272" s="99"/>
      <c r="T272" s="99"/>
      <c r="U272" s="99"/>
      <c r="V272" s="99"/>
      <c r="W272" s="99"/>
      <c r="X272" s="99"/>
      <c r="Y272" s="99"/>
      <c r="Z272" s="99"/>
      <c r="AA272" s="99"/>
      <c r="AB272" s="99"/>
      <c r="AC272" s="98"/>
      <c r="AD272" s="98"/>
      <c r="AE272" s="98"/>
      <c r="AF272" s="98"/>
      <c r="AG272" s="98"/>
      <c r="AH272" s="98"/>
    </row>
    <row r="273" spans="2:34" x14ac:dyDescent="0.25">
      <c r="B273" s="71"/>
      <c r="C273" s="72"/>
      <c r="D273" s="77"/>
      <c r="E273" s="78"/>
      <c r="F273" s="78"/>
      <c r="G273" s="78"/>
      <c r="H273" s="78"/>
      <c r="I273" s="79"/>
      <c r="J273" s="86"/>
      <c r="K273" s="87"/>
      <c r="L273" s="86"/>
      <c r="M273" s="87"/>
      <c r="N273" s="77"/>
      <c r="O273" s="79"/>
      <c r="P273" s="92"/>
      <c r="Q273" s="93"/>
      <c r="S273" s="99"/>
      <c r="T273" s="99"/>
      <c r="U273" s="99"/>
      <c r="V273" s="99"/>
      <c r="W273" s="99"/>
      <c r="X273" s="99"/>
      <c r="Y273" s="99"/>
      <c r="Z273" s="99"/>
      <c r="AA273" s="99"/>
      <c r="AB273" s="99"/>
      <c r="AC273" s="98"/>
      <c r="AD273" s="98"/>
      <c r="AE273" s="98"/>
      <c r="AF273" s="98"/>
      <c r="AG273" s="98"/>
      <c r="AH273" s="98"/>
    </row>
    <row r="274" spans="2:34" x14ac:dyDescent="0.25">
      <c r="B274" s="73"/>
      <c r="C274" s="74"/>
      <c r="D274" s="80"/>
      <c r="E274" s="81"/>
      <c r="F274" s="81"/>
      <c r="G274" s="81"/>
      <c r="H274" s="81"/>
      <c r="I274" s="82"/>
      <c r="J274" s="88"/>
      <c r="K274" s="89"/>
      <c r="L274" s="88"/>
      <c r="M274" s="89"/>
      <c r="N274" s="80"/>
      <c r="O274" s="82"/>
      <c r="P274" s="94"/>
      <c r="Q274" s="95"/>
      <c r="S274" s="99"/>
      <c r="T274" s="99"/>
      <c r="U274" s="99"/>
      <c r="V274" s="99"/>
      <c r="W274" s="99"/>
      <c r="X274" s="99"/>
      <c r="Y274" s="99"/>
      <c r="Z274" s="99"/>
      <c r="AA274" s="99"/>
      <c r="AB274" s="99"/>
      <c r="AC274" s="98"/>
      <c r="AD274" s="98"/>
      <c r="AE274" s="98"/>
      <c r="AF274" s="98"/>
      <c r="AG274" s="98"/>
      <c r="AH274" s="98"/>
    </row>
    <row r="275" spans="2:34" x14ac:dyDescent="0.25">
      <c r="B275" s="75"/>
      <c r="C275" s="76"/>
      <c r="D275" s="83"/>
      <c r="E275" s="84"/>
      <c r="F275" s="84"/>
      <c r="G275" s="84"/>
      <c r="H275" s="84"/>
      <c r="I275" s="85"/>
      <c r="J275" s="90"/>
      <c r="K275" s="91"/>
      <c r="L275" s="90"/>
      <c r="M275" s="91"/>
      <c r="N275" s="83"/>
      <c r="O275" s="85"/>
      <c r="P275" s="96"/>
      <c r="Q275" s="97"/>
      <c r="S275" s="99"/>
      <c r="T275" s="99"/>
      <c r="U275" s="99"/>
      <c r="V275" s="99"/>
      <c r="W275" s="99"/>
      <c r="X275" s="99"/>
      <c r="Y275" s="99"/>
      <c r="Z275" s="99"/>
      <c r="AA275" s="99"/>
      <c r="AB275" s="99"/>
      <c r="AC275" s="98"/>
      <c r="AD275" s="98"/>
      <c r="AE275" s="98"/>
      <c r="AF275" s="98"/>
      <c r="AG275" s="98"/>
      <c r="AH275" s="98"/>
    </row>
    <row r="276" spans="2:34" x14ac:dyDescent="0.25">
      <c r="B276" s="71"/>
      <c r="C276" s="72"/>
      <c r="D276" s="77"/>
      <c r="E276" s="78"/>
      <c r="F276" s="78"/>
      <c r="G276" s="78"/>
      <c r="H276" s="78"/>
      <c r="I276" s="79"/>
      <c r="J276" s="86"/>
      <c r="K276" s="87"/>
      <c r="L276" s="86"/>
      <c r="M276" s="87"/>
      <c r="N276" s="77"/>
      <c r="O276" s="79"/>
      <c r="P276" s="92"/>
      <c r="Q276" s="93"/>
      <c r="S276" s="99"/>
      <c r="T276" s="99"/>
      <c r="U276" s="99"/>
      <c r="V276" s="99"/>
      <c r="W276" s="99"/>
      <c r="X276" s="99"/>
      <c r="Y276" s="99"/>
      <c r="Z276" s="99"/>
      <c r="AA276" s="99"/>
      <c r="AB276" s="99"/>
      <c r="AC276" s="98"/>
      <c r="AD276" s="98"/>
      <c r="AE276" s="98"/>
      <c r="AF276" s="98"/>
      <c r="AG276" s="98"/>
      <c r="AH276" s="98"/>
    </row>
    <row r="277" spans="2:34" x14ac:dyDescent="0.25">
      <c r="B277" s="73"/>
      <c r="C277" s="74"/>
      <c r="D277" s="80"/>
      <c r="E277" s="81"/>
      <c r="F277" s="81"/>
      <c r="G277" s="81"/>
      <c r="H277" s="81"/>
      <c r="I277" s="82"/>
      <c r="J277" s="88"/>
      <c r="K277" s="89"/>
      <c r="L277" s="88"/>
      <c r="M277" s="89"/>
      <c r="N277" s="80"/>
      <c r="O277" s="82"/>
      <c r="P277" s="94"/>
      <c r="Q277" s="95"/>
      <c r="S277" s="99"/>
      <c r="T277" s="99"/>
      <c r="U277" s="99"/>
      <c r="V277" s="99"/>
      <c r="W277" s="99"/>
      <c r="X277" s="99"/>
      <c r="Y277" s="99"/>
      <c r="Z277" s="99"/>
      <c r="AA277" s="99"/>
      <c r="AB277" s="99"/>
      <c r="AC277" s="98"/>
      <c r="AD277" s="98"/>
      <c r="AE277" s="98"/>
      <c r="AF277" s="98"/>
      <c r="AG277" s="98"/>
      <c r="AH277" s="98"/>
    </row>
    <row r="278" spans="2:34" x14ac:dyDescent="0.25">
      <c r="B278" s="75"/>
      <c r="C278" s="76"/>
      <c r="D278" s="83"/>
      <c r="E278" s="84"/>
      <c r="F278" s="84"/>
      <c r="G278" s="84"/>
      <c r="H278" s="84"/>
      <c r="I278" s="85"/>
      <c r="J278" s="90"/>
      <c r="K278" s="91"/>
      <c r="L278" s="90"/>
      <c r="M278" s="91"/>
      <c r="N278" s="83"/>
      <c r="O278" s="85"/>
      <c r="P278" s="96"/>
      <c r="Q278" s="97"/>
      <c r="S278" s="99"/>
      <c r="T278" s="99"/>
      <c r="U278" s="99"/>
      <c r="V278" s="99"/>
      <c r="W278" s="99"/>
      <c r="X278" s="99"/>
      <c r="Y278" s="99"/>
      <c r="Z278" s="99"/>
      <c r="AA278" s="99"/>
      <c r="AB278" s="99"/>
      <c r="AC278" s="98"/>
      <c r="AD278" s="98"/>
      <c r="AE278" s="98"/>
      <c r="AF278" s="98"/>
      <c r="AG278" s="98"/>
      <c r="AH278" s="98"/>
    </row>
    <row r="279" spans="2:34" x14ac:dyDescent="0.25">
      <c r="B279" s="71"/>
      <c r="C279" s="72"/>
      <c r="D279" s="77"/>
      <c r="E279" s="78"/>
      <c r="F279" s="78"/>
      <c r="G279" s="78"/>
      <c r="H279" s="78"/>
      <c r="I279" s="79"/>
      <c r="J279" s="86"/>
      <c r="K279" s="87"/>
      <c r="L279" s="86"/>
      <c r="M279" s="87"/>
      <c r="N279" s="77"/>
      <c r="O279" s="79"/>
      <c r="P279" s="92"/>
      <c r="Q279" s="93"/>
      <c r="S279" s="99"/>
      <c r="T279" s="99"/>
      <c r="U279" s="99"/>
      <c r="V279" s="99"/>
      <c r="W279" s="99"/>
      <c r="X279" s="99"/>
      <c r="Y279" s="99"/>
      <c r="Z279" s="99"/>
      <c r="AA279" s="99"/>
      <c r="AB279" s="99"/>
      <c r="AC279" s="98"/>
      <c r="AD279" s="98"/>
      <c r="AE279" s="98"/>
      <c r="AF279" s="98"/>
      <c r="AG279" s="98"/>
      <c r="AH279" s="98"/>
    </row>
    <row r="280" spans="2:34" x14ac:dyDescent="0.25">
      <c r="B280" s="73"/>
      <c r="C280" s="74"/>
      <c r="D280" s="80"/>
      <c r="E280" s="81"/>
      <c r="F280" s="81"/>
      <c r="G280" s="81"/>
      <c r="H280" s="81"/>
      <c r="I280" s="82"/>
      <c r="J280" s="88"/>
      <c r="K280" s="89"/>
      <c r="L280" s="88"/>
      <c r="M280" s="89"/>
      <c r="N280" s="80"/>
      <c r="O280" s="82"/>
      <c r="P280" s="94"/>
      <c r="Q280" s="95"/>
      <c r="S280" s="99"/>
      <c r="T280" s="99"/>
      <c r="U280" s="99"/>
      <c r="V280" s="99"/>
      <c r="W280" s="99"/>
      <c r="X280" s="99"/>
      <c r="Y280" s="99"/>
      <c r="Z280" s="99"/>
      <c r="AA280" s="99"/>
      <c r="AB280" s="99"/>
      <c r="AC280" s="98"/>
      <c r="AD280" s="98"/>
      <c r="AE280" s="98"/>
      <c r="AF280" s="98"/>
      <c r="AG280" s="98"/>
      <c r="AH280" s="98"/>
    </row>
    <row r="281" spans="2:34" x14ac:dyDescent="0.25">
      <c r="B281" s="75"/>
      <c r="C281" s="76"/>
      <c r="D281" s="83"/>
      <c r="E281" s="84"/>
      <c r="F281" s="84"/>
      <c r="G281" s="84"/>
      <c r="H281" s="84"/>
      <c r="I281" s="85"/>
      <c r="J281" s="90"/>
      <c r="K281" s="91"/>
      <c r="L281" s="90"/>
      <c r="M281" s="91"/>
      <c r="N281" s="83"/>
      <c r="O281" s="85"/>
      <c r="P281" s="96"/>
      <c r="Q281" s="97"/>
      <c r="S281" s="99"/>
      <c r="T281" s="99"/>
      <c r="U281" s="99"/>
      <c r="V281" s="99"/>
      <c r="W281" s="99"/>
      <c r="X281" s="99"/>
      <c r="Y281" s="99"/>
      <c r="Z281" s="99"/>
      <c r="AA281" s="99"/>
      <c r="AB281" s="99"/>
      <c r="AC281" s="98"/>
      <c r="AD281" s="98"/>
      <c r="AE281" s="98"/>
      <c r="AF281" s="98"/>
      <c r="AG281" s="98"/>
      <c r="AH281" s="98"/>
    </row>
    <row r="282" spans="2:34" x14ac:dyDescent="0.25">
      <c r="B282" s="71"/>
      <c r="C282" s="72"/>
      <c r="D282" s="77"/>
      <c r="E282" s="78"/>
      <c r="F282" s="78"/>
      <c r="G282" s="78"/>
      <c r="H282" s="78"/>
      <c r="I282" s="79"/>
      <c r="J282" s="86"/>
      <c r="K282" s="87"/>
      <c r="L282" s="86"/>
      <c r="M282" s="87"/>
      <c r="N282" s="77"/>
      <c r="O282" s="79"/>
      <c r="P282" s="92"/>
      <c r="Q282" s="93"/>
      <c r="S282" s="99"/>
      <c r="T282" s="99"/>
      <c r="U282" s="99"/>
      <c r="V282" s="99"/>
      <c r="W282" s="99"/>
      <c r="X282" s="99"/>
      <c r="Y282" s="99"/>
      <c r="Z282" s="99"/>
      <c r="AA282" s="99"/>
      <c r="AB282" s="99"/>
      <c r="AC282" s="98"/>
      <c r="AD282" s="98"/>
      <c r="AE282" s="98"/>
      <c r="AF282" s="98"/>
      <c r="AG282" s="98"/>
      <c r="AH282" s="98"/>
    </row>
    <row r="283" spans="2:34" x14ac:dyDescent="0.25">
      <c r="B283" s="73"/>
      <c r="C283" s="74"/>
      <c r="D283" s="80"/>
      <c r="E283" s="81"/>
      <c r="F283" s="81"/>
      <c r="G283" s="81"/>
      <c r="H283" s="81"/>
      <c r="I283" s="82"/>
      <c r="J283" s="88"/>
      <c r="K283" s="89"/>
      <c r="L283" s="88"/>
      <c r="M283" s="89"/>
      <c r="N283" s="80"/>
      <c r="O283" s="82"/>
      <c r="P283" s="94"/>
      <c r="Q283" s="95"/>
      <c r="S283" s="99"/>
      <c r="T283" s="99"/>
      <c r="U283" s="99"/>
      <c r="V283" s="99"/>
      <c r="W283" s="99"/>
      <c r="X283" s="99"/>
      <c r="Y283" s="99"/>
      <c r="Z283" s="99"/>
      <c r="AA283" s="99"/>
      <c r="AB283" s="99"/>
      <c r="AC283" s="98"/>
      <c r="AD283" s="98"/>
      <c r="AE283" s="98"/>
      <c r="AF283" s="98"/>
      <c r="AG283" s="98"/>
      <c r="AH283" s="98"/>
    </row>
    <row r="284" spans="2:34" x14ac:dyDescent="0.25">
      <c r="B284" s="75"/>
      <c r="C284" s="76"/>
      <c r="D284" s="83"/>
      <c r="E284" s="84"/>
      <c r="F284" s="84"/>
      <c r="G284" s="84"/>
      <c r="H284" s="84"/>
      <c r="I284" s="85"/>
      <c r="J284" s="90"/>
      <c r="K284" s="91"/>
      <c r="L284" s="90"/>
      <c r="M284" s="91"/>
      <c r="N284" s="83"/>
      <c r="O284" s="85"/>
      <c r="P284" s="96"/>
      <c r="Q284" s="97"/>
      <c r="S284" s="99"/>
      <c r="T284" s="99"/>
      <c r="U284" s="99"/>
      <c r="V284" s="99"/>
      <c r="W284" s="99"/>
      <c r="X284" s="99"/>
      <c r="Y284" s="99"/>
      <c r="Z284" s="99"/>
      <c r="AA284" s="99"/>
      <c r="AB284" s="99"/>
      <c r="AC284" s="98"/>
      <c r="AD284" s="98"/>
      <c r="AE284" s="98"/>
      <c r="AF284" s="98"/>
      <c r="AG284" s="98"/>
      <c r="AH284" s="98"/>
    </row>
    <row r="285" spans="2:34" x14ac:dyDescent="0.25">
      <c r="B285" s="71"/>
      <c r="C285" s="72"/>
      <c r="D285" s="77"/>
      <c r="E285" s="78"/>
      <c r="F285" s="78"/>
      <c r="G285" s="78"/>
      <c r="H285" s="78"/>
      <c r="I285" s="79"/>
      <c r="J285" s="86"/>
      <c r="K285" s="87"/>
      <c r="L285" s="86"/>
      <c r="M285" s="87"/>
      <c r="N285" s="77"/>
      <c r="O285" s="79"/>
      <c r="P285" s="92"/>
      <c r="Q285" s="93"/>
      <c r="S285" s="99"/>
      <c r="T285" s="99"/>
      <c r="U285" s="99"/>
      <c r="V285" s="99"/>
      <c r="W285" s="99"/>
      <c r="X285" s="99"/>
      <c r="Y285" s="99"/>
      <c r="Z285" s="99"/>
      <c r="AA285" s="99"/>
      <c r="AB285" s="99"/>
      <c r="AC285" s="98"/>
      <c r="AD285" s="98"/>
      <c r="AE285" s="98"/>
      <c r="AF285" s="98"/>
      <c r="AG285" s="98"/>
      <c r="AH285" s="98"/>
    </row>
    <row r="286" spans="2:34" x14ac:dyDescent="0.25">
      <c r="B286" s="73"/>
      <c r="C286" s="74"/>
      <c r="D286" s="80"/>
      <c r="E286" s="81"/>
      <c r="F286" s="81"/>
      <c r="G286" s="81"/>
      <c r="H286" s="81"/>
      <c r="I286" s="82"/>
      <c r="J286" s="88"/>
      <c r="K286" s="89"/>
      <c r="L286" s="88"/>
      <c r="M286" s="89"/>
      <c r="N286" s="80"/>
      <c r="O286" s="82"/>
      <c r="P286" s="94"/>
      <c r="Q286" s="95"/>
      <c r="S286" s="99"/>
      <c r="T286" s="99"/>
      <c r="U286" s="99"/>
      <c r="V286" s="99"/>
      <c r="W286" s="99"/>
      <c r="X286" s="99"/>
      <c r="Y286" s="99"/>
      <c r="Z286" s="99"/>
      <c r="AA286" s="99"/>
      <c r="AB286" s="99"/>
      <c r="AC286" s="98"/>
      <c r="AD286" s="98"/>
      <c r="AE286" s="98"/>
      <c r="AF286" s="98"/>
      <c r="AG286" s="98"/>
      <c r="AH286" s="98"/>
    </row>
    <row r="287" spans="2:34" x14ac:dyDescent="0.25">
      <c r="B287" s="75"/>
      <c r="C287" s="76"/>
      <c r="D287" s="83"/>
      <c r="E287" s="84"/>
      <c r="F287" s="84"/>
      <c r="G287" s="84"/>
      <c r="H287" s="84"/>
      <c r="I287" s="85"/>
      <c r="J287" s="90"/>
      <c r="K287" s="91"/>
      <c r="L287" s="90"/>
      <c r="M287" s="91"/>
      <c r="N287" s="83"/>
      <c r="O287" s="85"/>
      <c r="P287" s="96"/>
      <c r="Q287" s="97"/>
      <c r="S287" s="99"/>
      <c r="T287" s="99"/>
      <c r="U287" s="99"/>
      <c r="V287" s="99"/>
      <c r="W287" s="99"/>
      <c r="X287" s="99"/>
      <c r="Y287" s="99"/>
      <c r="Z287" s="99"/>
      <c r="AA287" s="99"/>
      <c r="AB287" s="99"/>
      <c r="AC287" s="98"/>
      <c r="AD287" s="98"/>
      <c r="AE287" s="98"/>
      <c r="AF287" s="98"/>
      <c r="AG287" s="98"/>
      <c r="AH287" s="98"/>
    </row>
    <row r="288" spans="2:34" x14ac:dyDescent="0.25">
      <c r="B288" s="71"/>
      <c r="C288" s="72"/>
      <c r="D288" s="77"/>
      <c r="E288" s="78"/>
      <c r="F288" s="78"/>
      <c r="G288" s="78"/>
      <c r="H288" s="78"/>
      <c r="I288" s="79"/>
      <c r="J288" s="86"/>
      <c r="K288" s="87"/>
      <c r="L288" s="86"/>
      <c r="M288" s="87"/>
      <c r="N288" s="77"/>
      <c r="O288" s="79"/>
      <c r="P288" s="92"/>
      <c r="Q288" s="93"/>
      <c r="S288" s="99"/>
      <c r="T288" s="99"/>
      <c r="U288" s="99"/>
      <c r="V288" s="99"/>
      <c r="W288" s="99"/>
      <c r="X288" s="99"/>
      <c r="Y288" s="99"/>
      <c r="Z288" s="99"/>
      <c r="AA288" s="99"/>
      <c r="AB288" s="99"/>
      <c r="AC288" s="98"/>
      <c r="AD288" s="98"/>
      <c r="AE288" s="98"/>
      <c r="AF288" s="98"/>
      <c r="AG288" s="98"/>
      <c r="AH288" s="98"/>
    </row>
    <row r="289" spans="2:34" x14ac:dyDescent="0.25">
      <c r="B289" s="73"/>
      <c r="C289" s="74"/>
      <c r="D289" s="80"/>
      <c r="E289" s="81"/>
      <c r="F289" s="81"/>
      <c r="G289" s="81"/>
      <c r="H289" s="81"/>
      <c r="I289" s="82"/>
      <c r="J289" s="88"/>
      <c r="K289" s="89"/>
      <c r="L289" s="88"/>
      <c r="M289" s="89"/>
      <c r="N289" s="80"/>
      <c r="O289" s="82"/>
      <c r="P289" s="94"/>
      <c r="Q289" s="95"/>
      <c r="S289" s="99"/>
      <c r="T289" s="99"/>
      <c r="U289" s="99"/>
      <c r="V289" s="99"/>
      <c r="W289" s="99"/>
      <c r="X289" s="99"/>
      <c r="Y289" s="99"/>
      <c r="Z289" s="99"/>
      <c r="AA289" s="99"/>
      <c r="AB289" s="99"/>
      <c r="AC289" s="98"/>
      <c r="AD289" s="98"/>
      <c r="AE289" s="98"/>
      <c r="AF289" s="98"/>
      <c r="AG289" s="98"/>
      <c r="AH289" s="98"/>
    </row>
    <row r="290" spans="2:34" x14ac:dyDescent="0.25">
      <c r="B290" s="75"/>
      <c r="C290" s="76"/>
      <c r="D290" s="83"/>
      <c r="E290" s="84"/>
      <c r="F290" s="84"/>
      <c r="G290" s="84"/>
      <c r="H290" s="84"/>
      <c r="I290" s="85"/>
      <c r="J290" s="90"/>
      <c r="K290" s="91"/>
      <c r="L290" s="90"/>
      <c r="M290" s="91"/>
      <c r="N290" s="83"/>
      <c r="O290" s="85"/>
      <c r="P290" s="96"/>
      <c r="Q290" s="97"/>
      <c r="S290" s="99"/>
      <c r="T290" s="99"/>
      <c r="U290" s="99"/>
      <c r="V290" s="99"/>
      <c r="W290" s="99"/>
      <c r="X290" s="99"/>
      <c r="Y290" s="99"/>
      <c r="Z290" s="99"/>
      <c r="AA290" s="99"/>
      <c r="AB290" s="99"/>
      <c r="AC290" s="98"/>
      <c r="AD290" s="98"/>
      <c r="AE290" s="98"/>
      <c r="AF290" s="98"/>
      <c r="AG290" s="98"/>
      <c r="AH290" s="98"/>
    </row>
    <row r="291" spans="2:34" x14ac:dyDescent="0.25">
      <c r="B291" s="71"/>
      <c r="C291" s="72"/>
      <c r="D291" s="77"/>
      <c r="E291" s="78"/>
      <c r="F291" s="78"/>
      <c r="G291" s="78"/>
      <c r="H291" s="78"/>
      <c r="I291" s="79"/>
      <c r="J291" s="86"/>
      <c r="K291" s="87"/>
      <c r="L291" s="86"/>
      <c r="M291" s="87"/>
      <c r="N291" s="77"/>
      <c r="O291" s="79"/>
      <c r="P291" s="92"/>
      <c r="Q291" s="93"/>
      <c r="S291" s="99"/>
      <c r="T291" s="99"/>
      <c r="U291" s="99"/>
      <c r="V291" s="99"/>
      <c r="W291" s="99"/>
      <c r="X291" s="99"/>
      <c r="Y291" s="99"/>
      <c r="Z291" s="99"/>
      <c r="AA291" s="99"/>
      <c r="AB291" s="99"/>
      <c r="AC291" s="98"/>
      <c r="AD291" s="98"/>
      <c r="AE291" s="98"/>
      <c r="AF291" s="98"/>
      <c r="AG291" s="98"/>
      <c r="AH291" s="98"/>
    </row>
    <row r="292" spans="2:34" x14ac:dyDescent="0.25">
      <c r="B292" s="73"/>
      <c r="C292" s="74"/>
      <c r="D292" s="80"/>
      <c r="E292" s="81"/>
      <c r="F292" s="81"/>
      <c r="G292" s="81"/>
      <c r="H292" s="81"/>
      <c r="I292" s="82"/>
      <c r="J292" s="88"/>
      <c r="K292" s="89"/>
      <c r="L292" s="88"/>
      <c r="M292" s="89"/>
      <c r="N292" s="80"/>
      <c r="O292" s="82"/>
      <c r="P292" s="94"/>
      <c r="Q292" s="95"/>
      <c r="S292" s="99"/>
      <c r="T292" s="99"/>
      <c r="U292" s="99"/>
      <c r="V292" s="99"/>
      <c r="W292" s="99"/>
      <c r="X292" s="99"/>
      <c r="Y292" s="99"/>
      <c r="Z292" s="99"/>
      <c r="AA292" s="99"/>
      <c r="AB292" s="99"/>
      <c r="AC292" s="98"/>
      <c r="AD292" s="98"/>
      <c r="AE292" s="98"/>
      <c r="AF292" s="98"/>
      <c r="AG292" s="98"/>
      <c r="AH292" s="98"/>
    </row>
    <row r="293" spans="2:34" x14ac:dyDescent="0.25">
      <c r="B293" s="75"/>
      <c r="C293" s="76"/>
      <c r="D293" s="83"/>
      <c r="E293" s="84"/>
      <c r="F293" s="84"/>
      <c r="G293" s="84"/>
      <c r="H293" s="84"/>
      <c r="I293" s="85"/>
      <c r="J293" s="90"/>
      <c r="K293" s="91"/>
      <c r="L293" s="90"/>
      <c r="M293" s="91"/>
      <c r="N293" s="83"/>
      <c r="O293" s="85"/>
      <c r="P293" s="96"/>
      <c r="Q293" s="97"/>
      <c r="S293" s="99"/>
      <c r="T293" s="99"/>
      <c r="U293" s="99"/>
      <c r="V293" s="99"/>
      <c r="W293" s="99"/>
      <c r="X293" s="99"/>
      <c r="Y293" s="99"/>
      <c r="Z293" s="99"/>
      <c r="AA293" s="99"/>
      <c r="AB293" s="99"/>
      <c r="AC293" s="98"/>
      <c r="AD293" s="98"/>
      <c r="AE293" s="98"/>
      <c r="AF293" s="98"/>
      <c r="AG293" s="98"/>
      <c r="AH293" s="98"/>
    </row>
    <row r="294" spans="2:34" x14ac:dyDescent="0.25">
      <c r="B294" s="71"/>
      <c r="C294" s="72"/>
      <c r="D294" s="77"/>
      <c r="E294" s="78"/>
      <c r="F294" s="78"/>
      <c r="G294" s="78"/>
      <c r="H294" s="78"/>
      <c r="I294" s="79"/>
      <c r="J294" s="86"/>
      <c r="K294" s="87"/>
      <c r="L294" s="86"/>
      <c r="M294" s="87"/>
      <c r="N294" s="77"/>
      <c r="O294" s="79"/>
      <c r="P294" s="92"/>
      <c r="Q294" s="93"/>
      <c r="S294" s="99"/>
      <c r="T294" s="99"/>
      <c r="U294" s="99"/>
      <c r="V294" s="99"/>
      <c r="W294" s="99"/>
      <c r="X294" s="99"/>
      <c r="Y294" s="99"/>
      <c r="Z294" s="99"/>
      <c r="AA294" s="99"/>
      <c r="AB294" s="99"/>
      <c r="AC294" s="98"/>
      <c r="AD294" s="98"/>
      <c r="AE294" s="98"/>
      <c r="AF294" s="98"/>
      <c r="AG294" s="98"/>
      <c r="AH294" s="98"/>
    </row>
    <row r="295" spans="2:34" x14ac:dyDescent="0.25">
      <c r="B295" s="73"/>
      <c r="C295" s="74"/>
      <c r="D295" s="80"/>
      <c r="E295" s="81"/>
      <c r="F295" s="81"/>
      <c r="G295" s="81"/>
      <c r="H295" s="81"/>
      <c r="I295" s="82"/>
      <c r="J295" s="88"/>
      <c r="K295" s="89"/>
      <c r="L295" s="88"/>
      <c r="M295" s="89"/>
      <c r="N295" s="80"/>
      <c r="O295" s="82"/>
      <c r="P295" s="94"/>
      <c r="Q295" s="95"/>
      <c r="S295" s="99"/>
      <c r="T295" s="99"/>
      <c r="U295" s="99"/>
      <c r="V295" s="99"/>
      <c r="W295" s="99"/>
      <c r="X295" s="99"/>
      <c r="Y295" s="99"/>
      <c r="Z295" s="99"/>
      <c r="AA295" s="99"/>
      <c r="AB295" s="99"/>
      <c r="AC295" s="98"/>
      <c r="AD295" s="98"/>
      <c r="AE295" s="98"/>
      <c r="AF295" s="98"/>
      <c r="AG295" s="98"/>
      <c r="AH295" s="98"/>
    </row>
    <row r="296" spans="2:34" x14ac:dyDescent="0.25">
      <c r="B296" s="75"/>
      <c r="C296" s="76"/>
      <c r="D296" s="83"/>
      <c r="E296" s="84"/>
      <c r="F296" s="84"/>
      <c r="G296" s="84"/>
      <c r="H296" s="84"/>
      <c r="I296" s="85"/>
      <c r="J296" s="90"/>
      <c r="K296" s="91"/>
      <c r="L296" s="90"/>
      <c r="M296" s="91"/>
      <c r="N296" s="83"/>
      <c r="O296" s="85"/>
      <c r="P296" s="96"/>
      <c r="Q296" s="97"/>
      <c r="S296" s="99"/>
      <c r="T296" s="99"/>
      <c r="U296" s="99"/>
      <c r="V296" s="99"/>
      <c r="W296" s="99"/>
      <c r="X296" s="99"/>
      <c r="Y296" s="99"/>
      <c r="Z296" s="99"/>
      <c r="AA296" s="99"/>
      <c r="AB296" s="99"/>
      <c r="AC296" s="98"/>
      <c r="AD296" s="98"/>
      <c r="AE296" s="98"/>
      <c r="AF296" s="98"/>
      <c r="AG296" s="98"/>
      <c r="AH296" s="98"/>
    </row>
    <row r="297" spans="2:34" x14ac:dyDescent="0.25">
      <c r="B297" s="71"/>
      <c r="C297" s="72"/>
      <c r="D297" s="77"/>
      <c r="E297" s="78"/>
      <c r="F297" s="78"/>
      <c r="G297" s="78"/>
      <c r="H297" s="78"/>
      <c r="I297" s="79"/>
      <c r="J297" s="86"/>
      <c r="K297" s="87"/>
      <c r="L297" s="86"/>
      <c r="M297" s="87"/>
      <c r="N297" s="77"/>
      <c r="O297" s="79"/>
      <c r="P297" s="92"/>
      <c r="Q297" s="93"/>
      <c r="S297" s="99"/>
      <c r="T297" s="99"/>
      <c r="U297" s="99"/>
      <c r="V297" s="99"/>
      <c r="W297" s="99"/>
      <c r="X297" s="99"/>
      <c r="Y297" s="99"/>
      <c r="Z297" s="99"/>
      <c r="AA297" s="99"/>
      <c r="AB297" s="99"/>
      <c r="AC297" s="98"/>
      <c r="AD297" s="98"/>
      <c r="AE297" s="98"/>
      <c r="AF297" s="98"/>
      <c r="AG297" s="98"/>
      <c r="AH297" s="98"/>
    </row>
    <row r="298" spans="2:34" x14ac:dyDescent="0.25">
      <c r="B298" s="73"/>
      <c r="C298" s="74"/>
      <c r="D298" s="80"/>
      <c r="E298" s="81"/>
      <c r="F298" s="81"/>
      <c r="G298" s="81"/>
      <c r="H298" s="81"/>
      <c r="I298" s="82"/>
      <c r="J298" s="88"/>
      <c r="K298" s="89"/>
      <c r="L298" s="88"/>
      <c r="M298" s="89"/>
      <c r="N298" s="80"/>
      <c r="O298" s="82"/>
      <c r="P298" s="94"/>
      <c r="Q298" s="95"/>
      <c r="S298" s="99"/>
      <c r="T298" s="99"/>
      <c r="U298" s="99"/>
      <c r="V298" s="99"/>
      <c r="W298" s="99"/>
      <c r="X298" s="99"/>
      <c r="Y298" s="99"/>
      <c r="Z298" s="99"/>
      <c r="AA298" s="99"/>
      <c r="AB298" s="99"/>
      <c r="AC298" s="98"/>
      <c r="AD298" s="98"/>
      <c r="AE298" s="98"/>
      <c r="AF298" s="98"/>
      <c r="AG298" s="98"/>
      <c r="AH298" s="98"/>
    </row>
    <row r="299" spans="2:34" x14ac:dyDescent="0.25">
      <c r="B299" s="75"/>
      <c r="C299" s="76"/>
      <c r="D299" s="83"/>
      <c r="E299" s="84"/>
      <c r="F299" s="84"/>
      <c r="G299" s="84"/>
      <c r="H299" s="84"/>
      <c r="I299" s="85"/>
      <c r="J299" s="90"/>
      <c r="K299" s="91"/>
      <c r="L299" s="90"/>
      <c r="M299" s="91"/>
      <c r="N299" s="83"/>
      <c r="O299" s="85"/>
      <c r="P299" s="96"/>
      <c r="Q299" s="97"/>
      <c r="S299" s="99"/>
      <c r="T299" s="99"/>
      <c r="U299" s="99"/>
      <c r="V299" s="99"/>
      <c r="W299" s="99"/>
      <c r="X299" s="99"/>
      <c r="Y299" s="99"/>
      <c r="Z299" s="99"/>
      <c r="AA299" s="99"/>
      <c r="AB299" s="99"/>
      <c r="AC299" s="98"/>
      <c r="AD299" s="98"/>
      <c r="AE299" s="98"/>
      <c r="AF299" s="98"/>
      <c r="AG299" s="98"/>
      <c r="AH299" s="98"/>
    </row>
    <row r="300" spans="2:34" x14ac:dyDescent="0.25">
      <c r="B300" s="71"/>
      <c r="C300" s="72"/>
      <c r="D300" s="77"/>
      <c r="E300" s="78"/>
      <c r="F300" s="78"/>
      <c r="G300" s="78"/>
      <c r="H300" s="78"/>
      <c r="I300" s="79"/>
      <c r="J300" s="86"/>
      <c r="K300" s="87"/>
      <c r="L300" s="86"/>
      <c r="M300" s="87"/>
      <c r="N300" s="77"/>
      <c r="O300" s="79"/>
      <c r="P300" s="92"/>
      <c r="Q300" s="93"/>
      <c r="S300" s="99"/>
      <c r="T300" s="99"/>
      <c r="U300" s="99"/>
      <c r="V300" s="99"/>
      <c r="W300" s="99"/>
      <c r="X300" s="99"/>
      <c r="Y300" s="99"/>
      <c r="Z300" s="99"/>
      <c r="AA300" s="99"/>
      <c r="AB300" s="99"/>
      <c r="AC300" s="98"/>
      <c r="AD300" s="98"/>
      <c r="AE300" s="98"/>
      <c r="AF300" s="98"/>
      <c r="AG300" s="98"/>
      <c r="AH300" s="98"/>
    </row>
    <row r="301" spans="2:34" x14ac:dyDescent="0.25">
      <c r="B301" s="73"/>
      <c r="C301" s="74"/>
      <c r="D301" s="80"/>
      <c r="E301" s="81"/>
      <c r="F301" s="81"/>
      <c r="G301" s="81"/>
      <c r="H301" s="81"/>
      <c r="I301" s="82"/>
      <c r="J301" s="88"/>
      <c r="K301" s="89"/>
      <c r="L301" s="88"/>
      <c r="M301" s="89"/>
      <c r="N301" s="80"/>
      <c r="O301" s="82"/>
      <c r="P301" s="94"/>
      <c r="Q301" s="95"/>
      <c r="S301" s="99"/>
      <c r="T301" s="99"/>
      <c r="U301" s="99"/>
      <c r="V301" s="99"/>
      <c r="W301" s="99"/>
      <c r="X301" s="99"/>
      <c r="Y301" s="99"/>
      <c r="Z301" s="99"/>
      <c r="AA301" s="99"/>
      <c r="AB301" s="99"/>
      <c r="AC301" s="98"/>
      <c r="AD301" s="98"/>
      <c r="AE301" s="98"/>
      <c r="AF301" s="98"/>
      <c r="AG301" s="98"/>
      <c r="AH301" s="98"/>
    </row>
    <row r="302" spans="2:34" x14ac:dyDescent="0.25">
      <c r="B302" s="75"/>
      <c r="C302" s="76"/>
      <c r="D302" s="83"/>
      <c r="E302" s="84"/>
      <c r="F302" s="84"/>
      <c r="G302" s="84"/>
      <c r="H302" s="84"/>
      <c r="I302" s="85"/>
      <c r="J302" s="90"/>
      <c r="K302" s="91"/>
      <c r="L302" s="90"/>
      <c r="M302" s="91"/>
      <c r="N302" s="83"/>
      <c r="O302" s="85"/>
      <c r="P302" s="96"/>
      <c r="Q302" s="97"/>
      <c r="S302" s="99"/>
      <c r="T302" s="99"/>
      <c r="U302" s="99"/>
      <c r="V302" s="99"/>
      <c r="W302" s="99"/>
      <c r="X302" s="99"/>
      <c r="Y302" s="99"/>
      <c r="Z302" s="99"/>
      <c r="AA302" s="99"/>
      <c r="AB302" s="99"/>
      <c r="AC302" s="98"/>
      <c r="AD302" s="98"/>
      <c r="AE302" s="98"/>
      <c r="AF302" s="98"/>
      <c r="AG302" s="98"/>
      <c r="AH302" s="98"/>
    </row>
    <row r="303" spans="2:34" x14ac:dyDescent="0.25">
      <c r="B303" s="71"/>
      <c r="C303" s="72"/>
      <c r="D303" s="77"/>
      <c r="E303" s="78"/>
      <c r="F303" s="78"/>
      <c r="G303" s="78"/>
      <c r="H303" s="78"/>
      <c r="I303" s="79"/>
      <c r="J303" s="86"/>
      <c r="K303" s="87"/>
      <c r="L303" s="86"/>
      <c r="M303" s="87"/>
      <c r="N303" s="77"/>
      <c r="O303" s="79"/>
      <c r="P303" s="92"/>
      <c r="Q303" s="93"/>
      <c r="S303" s="99"/>
      <c r="T303" s="99"/>
      <c r="U303" s="99"/>
      <c r="V303" s="99"/>
      <c r="W303" s="99"/>
      <c r="X303" s="99"/>
      <c r="Y303" s="99"/>
      <c r="Z303" s="99"/>
      <c r="AA303" s="99"/>
      <c r="AB303" s="99"/>
      <c r="AC303" s="98"/>
      <c r="AD303" s="98"/>
      <c r="AE303" s="98"/>
      <c r="AF303" s="98"/>
      <c r="AG303" s="98"/>
      <c r="AH303" s="98"/>
    </row>
    <row r="304" spans="2:34" x14ac:dyDescent="0.25">
      <c r="B304" s="73"/>
      <c r="C304" s="74"/>
      <c r="D304" s="80"/>
      <c r="E304" s="81"/>
      <c r="F304" s="81"/>
      <c r="G304" s="81"/>
      <c r="H304" s="81"/>
      <c r="I304" s="82"/>
      <c r="J304" s="88"/>
      <c r="K304" s="89"/>
      <c r="L304" s="88"/>
      <c r="M304" s="89"/>
      <c r="N304" s="80"/>
      <c r="O304" s="82"/>
      <c r="P304" s="94"/>
      <c r="Q304" s="95"/>
      <c r="S304" s="99"/>
      <c r="T304" s="99"/>
      <c r="U304" s="99"/>
      <c r="V304" s="99"/>
      <c r="W304" s="99"/>
      <c r="X304" s="99"/>
      <c r="Y304" s="99"/>
      <c r="Z304" s="99"/>
      <c r="AA304" s="99"/>
      <c r="AB304" s="99"/>
      <c r="AC304" s="98"/>
      <c r="AD304" s="98"/>
      <c r="AE304" s="98"/>
      <c r="AF304" s="98"/>
      <c r="AG304" s="98"/>
      <c r="AH304" s="98"/>
    </row>
    <row r="305" spans="2:34" x14ac:dyDescent="0.25">
      <c r="B305" s="75"/>
      <c r="C305" s="76"/>
      <c r="D305" s="83"/>
      <c r="E305" s="84"/>
      <c r="F305" s="84"/>
      <c r="G305" s="84"/>
      <c r="H305" s="84"/>
      <c r="I305" s="85"/>
      <c r="J305" s="90"/>
      <c r="K305" s="91"/>
      <c r="L305" s="90"/>
      <c r="M305" s="91"/>
      <c r="N305" s="83"/>
      <c r="O305" s="85"/>
      <c r="P305" s="96"/>
      <c r="Q305" s="97"/>
      <c r="S305" s="99"/>
      <c r="T305" s="99"/>
      <c r="U305" s="99"/>
      <c r="V305" s="99"/>
      <c r="W305" s="99"/>
      <c r="X305" s="99"/>
      <c r="Y305" s="99"/>
      <c r="Z305" s="99"/>
      <c r="AA305" s="99"/>
      <c r="AB305" s="99"/>
      <c r="AC305" s="98"/>
      <c r="AD305" s="98"/>
      <c r="AE305" s="98"/>
      <c r="AF305" s="98"/>
      <c r="AG305" s="98"/>
      <c r="AH305" s="98"/>
    </row>
    <row r="306" spans="2:34" x14ac:dyDescent="0.25">
      <c r="B306" s="71"/>
      <c r="C306" s="72"/>
      <c r="D306" s="77"/>
      <c r="E306" s="78"/>
      <c r="F306" s="78"/>
      <c r="G306" s="78"/>
      <c r="H306" s="78"/>
      <c r="I306" s="79"/>
      <c r="J306" s="86"/>
      <c r="K306" s="87"/>
      <c r="L306" s="86"/>
      <c r="M306" s="87"/>
      <c r="N306" s="77"/>
      <c r="O306" s="79"/>
      <c r="P306" s="92"/>
      <c r="Q306" s="93"/>
      <c r="S306" s="99"/>
      <c r="T306" s="99"/>
      <c r="U306" s="99"/>
      <c r="V306" s="99"/>
      <c r="W306" s="99"/>
      <c r="X306" s="99"/>
      <c r="Y306" s="99"/>
      <c r="Z306" s="99"/>
      <c r="AA306" s="99"/>
      <c r="AB306" s="99"/>
      <c r="AC306" s="98"/>
      <c r="AD306" s="98"/>
      <c r="AE306" s="98"/>
      <c r="AF306" s="98"/>
      <c r="AG306" s="98"/>
      <c r="AH306" s="98"/>
    </row>
    <row r="307" spans="2:34" x14ac:dyDescent="0.25">
      <c r="B307" s="73"/>
      <c r="C307" s="74"/>
      <c r="D307" s="80"/>
      <c r="E307" s="81"/>
      <c r="F307" s="81"/>
      <c r="G307" s="81"/>
      <c r="H307" s="81"/>
      <c r="I307" s="82"/>
      <c r="J307" s="88"/>
      <c r="K307" s="89"/>
      <c r="L307" s="88"/>
      <c r="M307" s="89"/>
      <c r="N307" s="80"/>
      <c r="O307" s="82"/>
      <c r="P307" s="94"/>
      <c r="Q307" s="95"/>
      <c r="S307" s="99"/>
      <c r="T307" s="99"/>
      <c r="U307" s="99"/>
      <c r="V307" s="99"/>
      <c r="W307" s="99"/>
      <c r="X307" s="99"/>
      <c r="Y307" s="99"/>
      <c r="Z307" s="99"/>
      <c r="AA307" s="99"/>
      <c r="AB307" s="99"/>
      <c r="AC307" s="98"/>
      <c r="AD307" s="98"/>
      <c r="AE307" s="98"/>
      <c r="AF307" s="98"/>
      <c r="AG307" s="98"/>
      <c r="AH307" s="98"/>
    </row>
    <row r="308" spans="2:34" x14ac:dyDescent="0.25">
      <c r="B308" s="75"/>
      <c r="C308" s="76"/>
      <c r="D308" s="83"/>
      <c r="E308" s="84"/>
      <c r="F308" s="84"/>
      <c r="G308" s="84"/>
      <c r="H308" s="84"/>
      <c r="I308" s="85"/>
      <c r="J308" s="90"/>
      <c r="K308" s="91"/>
      <c r="L308" s="90"/>
      <c r="M308" s="91"/>
      <c r="N308" s="83"/>
      <c r="O308" s="85"/>
      <c r="P308" s="96"/>
      <c r="Q308" s="97"/>
      <c r="S308" s="99"/>
      <c r="T308" s="99"/>
      <c r="U308" s="99"/>
      <c r="V308" s="99"/>
      <c r="W308" s="99"/>
      <c r="X308" s="99"/>
      <c r="Y308" s="99"/>
      <c r="Z308" s="99"/>
      <c r="AA308" s="99"/>
      <c r="AB308" s="99"/>
      <c r="AC308" s="98"/>
      <c r="AD308" s="98"/>
      <c r="AE308" s="98"/>
      <c r="AF308" s="98"/>
      <c r="AG308" s="98"/>
      <c r="AH308" s="98"/>
    </row>
    <row r="309" spans="2:34" x14ac:dyDescent="0.25">
      <c r="B309" s="71"/>
      <c r="C309" s="72"/>
      <c r="D309" s="77"/>
      <c r="E309" s="78"/>
      <c r="F309" s="78"/>
      <c r="G309" s="78"/>
      <c r="H309" s="78"/>
      <c r="I309" s="79"/>
      <c r="J309" s="86"/>
      <c r="K309" s="87"/>
      <c r="L309" s="86"/>
      <c r="M309" s="87"/>
      <c r="N309" s="77"/>
      <c r="O309" s="79"/>
      <c r="P309" s="92"/>
      <c r="Q309" s="93"/>
      <c r="S309" s="99"/>
      <c r="T309" s="99"/>
      <c r="U309" s="99"/>
      <c r="V309" s="99"/>
      <c r="W309" s="99"/>
      <c r="X309" s="99"/>
      <c r="Y309" s="99"/>
      <c r="Z309" s="99"/>
      <c r="AA309" s="99"/>
      <c r="AB309" s="99"/>
      <c r="AC309" s="98"/>
      <c r="AD309" s="98"/>
      <c r="AE309" s="98"/>
      <c r="AF309" s="98"/>
      <c r="AG309" s="98"/>
      <c r="AH309" s="98"/>
    </row>
    <row r="310" spans="2:34" x14ac:dyDescent="0.25">
      <c r="B310" s="73"/>
      <c r="C310" s="74"/>
      <c r="D310" s="80"/>
      <c r="E310" s="81"/>
      <c r="F310" s="81"/>
      <c r="G310" s="81"/>
      <c r="H310" s="81"/>
      <c r="I310" s="82"/>
      <c r="J310" s="88"/>
      <c r="K310" s="89"/>
      <c r="L310" s="88"/>
      <c r="M310" s="89"/>
      <c r="N310" s="80"/>
      <c r="O310" s="82"/>
      <c r="P310" s="94"/>
      <c r="Q310" s="95"/>
      <c r="S310" s="99"/>
      <c r="T310" s="99"/>
      <c r="U310" s="99"/>
      <c r="V310" s="99"/>
      <c r="W310" s="99"/>
      <c r="X310" s="99"/>
      <c r="Y310" s="99"/>
      <c r="Z310" s="99"/>
      <c r="AA310" s="99"/>
      <c r="AB310" s="99"/>
      <c r="AC310" s="98"/>
      <c r="AD310" s="98"/>
      <c r="AE310" s="98"/>
      <c r="AF310" s="98"/>
      <c r="AG310" s="98"/>
      <c r="AH310" s="98"/>
    </row>
    <row r="311" spans="2:34" x14ac:dyDescent="0.25">
      <c r="B311" s="75"/>
      <c r="C311" s="76"/>
      <c r="D311" s="83"/>
      <c r="E311" s="84"/>
      <c r="F311" s="84"/>
      <c r="G311" s="84"/>
      <c r="H311" s="84"/>
      <c r="I311" s="85"/>
      <c r="J311" s="90"/>
      <c r="K311" s="91"/>
      <c r="L311" s="90"/>
      <c r="M311" s="91"/>
      <c r="N311" s="83"/>
      <c r="O311" s="85"/>
      <c r="P311" s="96"/>
      <c r="Q311" s="97"/>
      <c r="S311" s="99"/>
      <c r="T311" s="99"/>
      <c r="U311" s="99"/>
      <c r="V311" s="99"/>
      <c r="W311" s="99"/>
      <c r="X311" s="99"/>
      <c r="Y311" s="99"/>
      <c r="Z311" s="99"/>
      <c r="AA311" s="99"/>
      <c r="AB311" s="99"/>
      <c r="AC311" s="98"/>
      <c r="AD311" s="98"/>
      <c r="AE311" s="98"/>
      <c r="AF311" s="98"/>
      <c r="AG311" s="98"/>
      <c r="AH311" s="98"/>
    </row>
    <row r="312" spans="2:34" x14ac:dyDescent="0.25">
      <c r="B312" s="71"/>
      <c r="C312" s="72"/>
      <c r="D312" s="77"/>
      <c r="E312" s="78"/>
      <c r="F312" s="78"/>
      <c r="G312" s="78"/>
      <c r="H312" s="78"/>
      <c r="I312" s="79"/>
      <c r="J312" s="86"/>
      <c r="K312" s="87"/>
      <c r="L312" s="86"/>
      <c r="M312" s="87"/>
      <c r="N312" s="77"/>
      <c r="O312" s="79"/>
      <c r="P312" s="92"/>
      <c r="Q312" s="93"/>
      <c r="S312" s="99"/>
      <c r="T312" s="99"/>
      <c r="U312" s="99"/>
      <c r="V312" s="99"/>
      <c r="W312" s="99"/>
      <c r="X312" s="99"/>
      <c r="Y312" s="99"/>
      <c r="Z312" s="99"/>
      <c r="AA312" s="99"/>
      <c r="AB312" s="99"/>
      <c r="AC312" s="98"/>
      <c r="AD312" s="98"/>
      <c r="AE312" s="98"/>
      <c r="AF312" s="98"/>
      <c r="AG312" s="98"/>
      <c r="AH312" s="98"/>
    </row>
    <row r="313" spans="2:34" x14ac:dyDescent="0.25">
      <c r="B313" s="73"/>
      <c r="C313" s="74"/>
      <c r="D313" s="80"/>
      <c r="E313" s="81"/>
      <c r="F313" s="81"/>
      <c r="G313" s="81"/>
      <c r="H313" s="81"/>
      <c r="I313" s="82"/>
      <c r="J313" s="88"/>
      <c r="K313" s="89"/>
      <c r="L313" s="88"/>
      <c r="M313" s="89"/>
      <c r="N313" s="80"/>
      <c r="O313" s="82"/>
      <c r="P313" s="94"/>
      <c r="Q313" s="95"/>
      <c r="S313" s="99"/>
      <c r="T313" s="99"/>
      <c r="U313" s="99"/>
      <c r="V313" s="99"/>
      <c r="W313" s="99"/>
      <c r="X313" s="99"/>
      <c r="Y313" s="99"/>
      <c r="Z313" s="99"/>
      <c r="AA313" s="99"/>
      <c r="AB313" s="99"/>
      <c r="AC313" s="98"/>
      <c r="AD313" s="98"/>
      <c r="AE313" s="98"/>
      <c r="AF313" s="98"/>
      <c r="AG313" s="98"/>
      <c r="AH313" s="98"/>
    </row>
    <row r="314" spans="2:34" x14ac:dyDescent="0.25">
      <c r="B314" s="75"/>
      <c r="C314" s="76"/>
      <c r="D314" s="83"/>
      <c r="E314" s="84"/>
      <c r="F314" s="84"/>
      <c r="G314" s="84"/>
      <c r="H314" s="84"/>
      <c r="I314" s="85"/>
      <c r="J314" s="90"/>
      <c r="K314" s="91"/>
      <c r="L314" s="90"/>
      <c r="M314" s="91"/>
      <c r="N314" s="83"/>
      <c r="O314" s="85"/>
      <c r="P314" s="96"/>
      <c r="Q314" s="97"/>
      <c r="S314" s="99"/>
      <c r="T314" s="99"/>
      <c r="U314" s="99"/>
      <c r="V314" s="99"/>
      <c r="W314" s="99"/>
      <c r="X314" s="99"/>
      <c r="Y314" s="99"/>
      <c r="Z314" s="99"/>
      <c r="AA314" s="99"/>
      <c r="AB314" s="99"/>
      <c r="AC314" s="98"/>
      <c r="AD314" s="98"/>
      <c r="AE314" s="98"/>
      <c r="AF314" s="98"/>
      <c r="AG314" s="98"/>
      <c r="AH314" s="98"/>
    </row>
    <row r="315" spans="2:34" x14ac:dyDescent="0.25">
      <c r="B315" s="71"/>
      <c r="C315" s="72"/>
      <c r="D315" s="77"/>
      <c r="E315" s="78"/>
      <c r="F315" s="78"/>
      <c r="G315" s="78"/>
      <c r="H315" s="78"/>
      <c r="I315" s="79"/>
      <c r="J315" s="86"/>
      <c r="K315" s="87"/>
      <c r="L315" s="86"/>
      <c r="M315" s="87"/>
      <c r="N315" s="77"/>
      <c r="O315" s="79"/>
      <c r="P315" s="92"/>
      <c r="Q315" s="93"/>
      <c r="S315" s="99"/>
      <c r="T315" s="99"/>
      <c r="U315" s="99"/>
      <c r="V315" s="99"/>
      <c r="W315" s="99"/>
      <c r="X315" s="99"/>
      <c r="Y315" s="99"/>
      <c r="Z315" s="99"/>
      <c r="AA315" s="99"/>
      <c r="AB315" s="99"/>
      <c r="AC315" s="98"/>
      <c r="AD315" s="98"/>
      <c r="AE315" s="98"/>
      <c r="AF315" s="98"/>
      <c r="AG315" s="98"/>
      <c r="AH315" s="98"/>
    </row>
    <row r="316" spans="2:34" x14ac:dyDescent="0.25">
      <c r="B316" s="73"/>
      <c r="C316" s="74"/>
      <c r="D316" s="80"/>
      <c r="E316" s="81"/>
      <c r="F316" s="81"/>
      <c r="G316" s="81"/>
      <c r="H316" s="81"/>
      <c r="I316" s="82"/>
      <c r="J316" s="88"/>
      <c r="K316" s="89"/>
      <c r="L316" s="88"/>
      <c r="M316" s="89"/>
      <c r="N316" s="80"/>
      <c r="O316" s="82"/>
      <c r="P316" s="94"/>
      <c r="Q316" s="95"/>
      <c r="S316" s="99"/>
      <c r="T316" s="99"/>
      <c r="U316" s="99"/>
      <c r="V316" s="99"/>
      <c r="W316" s="99"/>
      <c r="X316" s="99"/>
      <c r="Y316" s="99"/>
      <c r="Z316" s="99"/>
      <c r="AA316" s="99"/>
      <c r="AB316" s="99"/>
      <c r="AC316" s="98"/>
      <c r="AD316" s="98"/>
      <c r="AE316" s="98"/>
      <c r="AF316" s="98"/>
      <c r="AG316" s="98"/>
      <c r="AH316" s="98"/>
    </row>
    <row r="317" spans="2:34" x14ac:dyDescent="0.25">
      <c r="B317" s="75"/>
      <c r="C317" s="76"/>
      <c r="D317" s="83"/>
      <c r="E317" s="84"/>
      <c r="F317" s="84"/>
      <c r="G317" s="84"/>
      <c r="H317" s="84"/>
      <c r="I317" s="85"/>
      <c r="J317" s="90"/>
      <c r="K317" s="91"/>
      <c r="L317" s="90"/>
      <c r="M317" s="91"/>
      <c r="N317" s="83"/>
      <c r="O317" s="85"/>
      <c r="P317" s="96"/>
      <c r="Q317" s="97"/>
      <c r="S317" s="99"/>
      <c r="T317" s="99"/>
      <c r="U317" s="99"/>
      <c r="V317" s="99"/>
      <c r="W317" s="99"/>
      <c r="X317" s="99"/>
      <c r="Y317" s="99"/>
      <c r="Z317" s="99"/>
      <c r="AA317" s="99"/>
      <c r="AB317" s="99"/>
      <c r="AC317" s="98"/>
      <c r="AD317" s="98"/>
      <c r="AE317" s="98"/>
      <c r="AF317" s="98"/>
      <c r="AG317" s="98"/>
      <c r="AH317" s="98"/>
    </row>
    <row r="318" spans="2:34" x14ac:dyDescent="0.25">
      <c r="B318" s="71"/>
      <c r="C318" s="72"/>
      <c r="D318" s="77"/>
      <c r="E318" s="78"/>
      <c r="F318" s="78"/>
      <c r="G318" s="78"/>
      <c r="H318" s="78"/>
      <c r="I318" s="79"/>
      <c r="J318" s="86"/>
      <c r="K318" s="87"/>
      <c r="L318" s="86"/>
      <c r="M318" s="87"/>
      <c r="N318" s="77"/>
      <c r="O318" s="79"/>
      <c r="P318" s="92"/>
      <c r="Q318" s="93"/>
      <c r="S318" s="99"/>
      <c r="T318" s="99"/>
      <c r="U318" s="99"/>
      <c r="V318" s="99"/>
      <c r="W318" s="99"/>
      <c r="X318" s="99"/>
      <c r="Y318" s="99"/>
      <c r="Z318" s="99"/>
      <c r="AA318" s="99"/>
      <c r="AB318" s="99"/>
      <c r="AC318" s="98"/>
      <c r="AD318" s="98"/>
      <c r="AE318" s="98"/>
      <c r="AF318" s="98"/>
      <c r="AG318" s="98"/>
      <c r="AH318" s="98"/>
    </row>
    <row r="319" spans="2:34" x14ac:dyDescent="0.25">
      <c r="B319" s="73"/>
      <c r="C319" s="74"/>
      <c r="D319" s="80"/>
      <c r="E319" s="81"/>
      <c r="F319" s="81"/>
      <c r="G319" s="81"/>
      <c r="H319" s="81"/>
      <c r="I319" s="82"/>
      <c r="J319" s="88"/>
      <c r="K319" s="89"/>
      <c r="L319" s="88"/>
      <c r="M319" s="89"/>
      <c r="N319" s="80"/>
      <c r="O319" s="82"/>
      <c r="P319" s="94"/>
      <c r="Q319" s="95"/>
      <c r="S319" s="99"/>
      <c r="T319" s="99"/>
      <c r="U319" s="99"/>
      <c r="V319" s="99"/>
      <c r="W319" s="99"/>
      <c r="X319" s="99"/>
      <c r="Y319" s="99"/>
      <c r="Z319" s="99"/>
      <c r="AA319" s="99"/>
      <c r="AB319" s="99"/>
      <c r="AC319" s="98"/>
      <c r="AD319" s="98"/>
      <c r="AE319" s="98"/>
      <c r="AF319" s="98"/>
      <c r="AG319" s="98"/>
      <c r="AH319" s="98"/>
    </row>
    <row r="320" spans="2:34" x14ac:dyDescent="0.25">
      <c r="B320" s="75"/>
      <c r="C320" s="76"/>
      <c r="D320" s="83"/>
      <c r="E320" s="84"/>
      <c r="F320" s="84"/>
      <c r="G320" s="84"/>
      <c r="H320" s="84"/>
      <c r="I320" s="85"/>
      <c r="J320" s="90"/>
      <c r="K320" s="91"/>
      <c r="L320" s="90"/>
      <c r="M320" s="91"/>
      <c r="N320" s="83"/>
      <c r="O320" s="85"/>
      <c r="P320" s="96"/>
      <c r="Q320" s="97"/>
      <c r="S320" s="99"/>
      <c r="T320" s="99"/>
      <c r="U320" s="99"/>
      <c r="V320" s="99"/>
      <c r="W320" s="99"/>
      <c r="X320" s="99"/>
      <c r="Y320" s="99"/>
      <c r="Z320" s="99"/>
      <c r="AA320" s="99"/>
      <c r="AB320" s="99"/>
      <c r="AC320" s="98"/>
      <c r="AD320" s="98"/>
      <c r="AE320" s="98"/>
      <c r="AF320" s="98"/>
      <c r="AG320" s="98"/>
      <c r="AH320" s="98"/>
    </row>
    <row r="321" spans="2:34" x14ac:dyDescent="0.25">
      <c r="B321" s="71"/>
      <c r="C321" s="72"/>
      <c r="D321" s="77"/>
      <c r="E321" s="78"/>
      <c r="F321" s="78"/>
      <c r="G321" s="78"/>
      <c r="H321" s="78"/>
      <c r="I321" s="79"/>
      <c r="J321" s="86"/>
      <c r="K321" s="87"/>
      <c r="L321" s="86"/>
      <c r="M321" s="87"/>
      <c r="N321" s="77"/>
      <c r="O321" s="79"/>
      <c r="P321" s="92"/>
      <c r="Q321" s="93"/>
      <c r="S321" s="99"/>
      <c r="T321" s="99"/>
      <c r="U321" s="99"/>
      <c r="V321" s="99"/>
      <c r="W321" s="99"/>
      <c r="X321" s="99"/>
      <c r="Y321" s="99"/>
      <c r="Z321" s="99"/>
      <c r="AA321" s="99"/>
      <c r="AB321" s="99"/>
      <c r="AC321" s="98"/>
      <c r="AD321" s="98"/>
      <c r="AE321" s="98"/>
      <c r="AF321" s="98"/>
      <c r="AG321" s="98"/>
      <c r="AH321" s="98"/>
    </row>
    <row r="322" spans="2:34" x14ac:dyDescent="0.25">
      <c r="B322" s="73"/>
      <c r="C322" s="74"/>
      <c r="D322" s="80"/>
      <c r="E322" s="81"/>
      <c r="F322" s="81"/>
      <c r="G322" s="81"/>
      <c r="H322" s="81"/>
      <c r="I322" s="82"/>
      <c r="J322" s="88"/>
      <c r="K322" s="89"/>
      <c r="L322" s="88"/>
      <c r="M322" s="89"/>
      <c r="N322" s="80"/>
      <c r="O322" s="82"/>
      <c r="P322" s="94"/>
      <c r="Q322" s="95"/>
      <c r="S322" s="99"/>
      <c r="T322" s="99"/>
      <c r="U322" s="99"/>
      <c r="V322" s="99"/>
      <c r="W322" s="99"/>
      <c r="X322" s="99"/>
      <c r="Y322" s="99"/>
      <c r="Z322" s="99"/>
      <c r="AA322" s="99"/>
      <c r="AB322" s="99"/>
      <c r="AC322" s="98"/>
      <c r="AD322" s="98"/>
      <c r="AE322" s="98"/>
      <c r="AF322" s="98"/>
      <c r="AG322" s="98"/>
      <c r="AH322" s="98"/>
    </row>
    <row r="323" spans="2:34" x14ac:dyDescent="0.25">
      <c r="B323" s="75"/>
      <c r="C323" s="76"/>
      <c r="D323" s="83"/>
      <c r="E323" s="84"/>
      <c r="F323" s="84"/>
      <c r="G323" s="84"/>
      <c r="H323" s="84"/>
      <c r="I323" s="85"/>
      <c r="J323" s="90"/>
      <c r="K323" s="91"/>
      <c r="L323" s="90"/>
      <c r="M323" s="91"/>
      <c r="N323" s="83"/>
      <c r="O323" s="85"/>
      <c r="P323" s="96"/>
      <c r="Q323" s="97"/>
      <c r="S323" s="99"/>
      <c r="T323" s="99"/>
      <c r="U323" s="99"/>
      <c r="V323" s="99"/>
      <c r="W323" s="99"/>
      <c r="X323" s="99"/>
      <c r="Y323" s="99"/>
      <c r="Z323" s="99"/>
      <c r="AA323" s="99"/>
      <c r="AB323" s="99"/>
      <c r="AC323" s="98"/>
      <c r="AD323" s="98"/>
      <c r="AE323" s="98"/>
      <c r="AF323" s="98"/>
      <c r="AG323" s="98"/>
      <c r="AH323" s="98"/>
    </row>
    <row r="324" spans="2:34" x14ac:dyDescent="0.25">
      <c r="B324" s="71"/>
      <c r="C324" s="72"/>
      <c r="D324" s="77"/>
      <c r="E324" s="78"/>
      <c r="F324" s="78"/>
      <c r="G324" s="78"/>
      <c r="H324" s="78"/>
      <c r="I324" s="79"/>
      <c r="J324" s="86"/>
      <c r="K324" s="87"/>
      <c r="L324" s="86"/>
      <c r="M324" s="87"/>
      <c r="N324" s="77"/>
      <c r="O324" s="79"/>
      <c r="P324" s="92"/>
      <c r="Q324" s="93"/>
      <c r="S324" s="99"/>
      <c r="T324" s="99"/>
      <c r="U324" s="99"/>
      <c r="V324" s="99"/>
      <c r="W324" s="99"/>
      <c r="X324" s="99"/>
      <c r="Y324" s="99"/>
      <c r="Z324" s="99"/>
      <c r="AA324" s="99"/>
      <c r="AB324" s="99"/>
      <c r="AC324" s="98"/>
      <c r="AD324" s="98"/>
      <c r="AE324" s="98"/>
      <c r="AF324" s="98"/>
      <c r="AG324" s="98"/>
      <c r="AH324" s="98"/>
    </row>
    <row r="325" spans="2:34" x14ac:dyDescent="0.25">
      <c r="B325" s="73"/>
      <c r="C325" s="74"/>
      <c r="D325" s="80"/>
      <c r="E325" s="81"/>
      <c r="F325" s="81"/>
      <c r="G325" s="81"/>
      <c r="H325" s="81"/>
      <c r="I325" s="82"/>
      <c r="J325" s="88"/>
      <c r="K325" s="89"/>
      <c r="L325" s="88"/>
      <c r="M325" s="89"/>
      <c r="N325" s="80"/>
      <c r="O325" s="82"/>
      <c r="P325" s="94"/>
      <c r="Q325" s="95"/>
      <c r="S325" s="99"/>
      <c r="T325" s="99"/>
      <c r="U325" s="99"/>
      <c r="V325" s="99"/>
      <c r="W325" s="99"/>
      <c r="X325" s="99"/>
      <c r="Y325" s="99"/>
      <c r="Z325" s="99"/>
      <c r="AA325" s="99"/>
      <c r="AB325" s="99"/>
      <c r="AC325" s="98"/>
      <c r="AD325" s="98"/>
      <c r="AE325" s="98"/>
      <c r="AF325" s="98"/>
      <c r="AG325" s="98"/>
      <c r="AH325" s="98"/>
    </row>
    <row r="326" spans="2:34" x14ac:dyDescent="0.25">
      <c r="B326" s="75"/>
      <c r="C326" s="76"/>
      <c r="D326" s="83"/>
      <c r="E326" s="84"/>
      <c r="F326" s="84"/>
      <c r="G326" s="84"/>
      <c r="H326" s="84"/>
      <c r="I326" s="85"/>
      <c r="J326" s="90"/>
      <c r="K326" s="91"/>
      <c r="L326" s="90"/>
      <c r="M326" s="91"/>
      <c r="N326" s="83"/>
      <c r="O326" s="85"/>
      <c r="P326" s="96"/>
      <c r="Q326" s="97"/>
      <c r="S326" s="99"/>
      <c r="T326" s="99"/>
      <c r="U326" s="99"/>
      <c r="V326" s="99"/>
      <c r="W326" s="99"/>
      <c r="X326" s="99"/>
      <c r="Y326" s="99"/>
      <c r="Z326" s="99"/>
      <c r="AA326" s="99"/>
      <c r="AB326" s="99"/>
      <c r="AC326" s="98"/>
      <c r="AD326" s="98"/>
      <c r="AE326" s="98"/>
      <c r="AF326" s="98"/>
      <c r="AG326" s="98"/>
      <c r="AH326" s="98"/>
    </row>
    <row r="327" spans="2:34" x14ac:dyDescent="0.25">
      <c r="B327" s="71"/>
      <c r="C327" s="72"/>
      <c r="D327" s="77"/>
      <c r="E327" s="78"/>
      <c r="F327" s="78"/>
      <c r="G327" s="78"/>
      <c r="H327" s="78"/>
      <c r="I327" s="79"/>
      <c r="J327" s="86"/>
      <c r="K327" s="87"/>
      <c r="L327" s="86"/>
      <c r="M327" s="87"/>
      <c r="N327" s="77"/>
      <c r="O327" s="79"/>
      <c r="P327" s="92"/>
      <c r="Q327" s="93"/>
      <c r="S327" s="99"/>
      <c r="T327" s="99"/>
      <c r="U327" s="99"/>
      <c r="V327" s="99"/>
      <c r="W327" s="99"/>
      <c r="X327" s="99"/>
      <c r="Y327" s="99"/>
      <c r="Z327" s="99"/>
      <c r="AA327" s="99"/>
      <c r="AB327" s="99"/>
      <c r="AC327" s="98"/>
      <c r="AD327" s="98"/>
      <c r="AE327" s="98"/>
      <c r="AF327" s="98"/>
      <c r="AG327" s="98"/>
      <c r="AH327" s="98"/>
    </row>
    <row r="328" spans="2:34" x14ac:dyDescent="0.25">
      <c r="B328" s="73"/>
      <c r="C328" s="74"/>
      <c r="D328" s="80"/>
      <c r="E328" s="81"/>
      <c r="F328" s="81"/>
      <c r="G328" s="81"/>
      <c r="H328" s="81"/>
      <c r="I328" s="82"/>
      <c r="J328" s="88"/>
      <c r="K328" s="89"/>
      <c r="L328" s="88"/>
      <c r="M328" s="89"/>
      <c r="N328" s="80"/>
      <c r="O328" s="82"/>
      <c r="P328" s="94"/>
      <c r="Q328" s="95"/>
      <c r="S328" s="99"/>
      <c r="T328" s="99"/>
      <c r="U328" s="99"/>
      <c r="V328" s="99"/>
      <c r="W328" s="99"/>
      <c r="X328" s="99"/>
      <c r="Y328" s="99"/>
      <c r="Z328" s="99"/>
      <c r="AA328" s="99"/>
      <c r="AB328" s="99"/>
      <c r="AC328" s="98"/>
      <c r="AD328" s="98"/>
      <c r="AE328" s="98"/>
      <c r="AF328" s="98"/>
      <c r="AG328" s="98"/>
      <c r="AH328" s="98"/>
    </row>
    <row r="329" spans="2:34" x14ac:dyDescent="0.25">
      <c r="B329" s="75"/>
      <c r="C329" s="76"/>
      <c r="D329" s="83"/>
      <c r="E329" s="84"/>
      <c r="F329" s="84"/>
      <c r="G329" s="84"/>
      <c r="H329" s="84"/>
      <c r="I329" s="85"/>
      <c r="J329" s="90"/>
      <c r="K329" s="91"/>
      <c r="L329" s="90"/>
      <c r="M329" s="91"/>
      <c r="N329" s="83"/>
      <c r="O329" s="85"/>
      <c r="P329" s="96"/>
      <c r="Q329" s="97"/>
      <c r="S329" s="99"/>
      <c r="T329" s="99"/>
      <c r="U329" s="99"/>
      <c r="V329" s="99"/>
      <c r="W329" s="99"/>
      <c r="X329" s="99"/>
      <c r="Y329" s="99"/>
      <c r="Z329" s="99"/>
      <c r="AA329" s="99"/>
      <c r="AB329" s="99"/>
      <c r="AC329" s="98"/>
      <c r="AD329" s="98"/>
      <c r="AE329" s="98"/>
      <c r="AF329" s="98"/>
      <c r="AG329" s="98"/>
      <c r="AH329" s="98"/>
    </row>
    <row r="330" spans="2:34" x14ac:dyDescent="0.25">
      <c r="B330" s="71"/>
      <c r="C330" s="72"/>
      <c r="D330" s="77"/>
      <c r="E330" s="78"/>
      <c r="F330" s="78"/>
      <c r="G330" s="78"/>
      <c r="H330" s="78"/>
      <c r="I330" s="79"/>
      <c r="J330" s="86"/>
      <c r="K330" s="87"/>
      <c r="L330" s="86"/>
      <c r="M330" s="87"/>
      <c r="N330" s="77"/>
      <c r="O330" s="79"/>
      <c r="P330" s="92"/>
      <c r="Q330" s="93"/>
      <c r="S330" s="99"/>
      <c r="T330" s="99"/>
      <c r="U330" s="99"/>
      <c r="V330" s="99"/>
      <c r="W330" s="99"/>
      <c r="X330" s="99"/>
      <c r="Y330" s="99"/>
      <c r="Z330" s="99"/>
      <c r="AA330" s="99"/>
      <c r="AB330" s="99"/>
      <c r="AC330" s="98"/>
      <c r="AD330" s="98"/>
      <c r="AE330" s="98"/>
      <c r="AF330" s="98"/>
      <c r="AG330" s="98"/>
      <c r="AH330" s="98"/>
    </row>
    <row r="331" spans="2:34" x14ac:dyDescent="0.25">
      <c r="B331" s="73"/>
      <c r="C331" s="74"/>
      <c r="D331" s="80"/>
      <c r="E331" s="81"/>
      <c r="F331" s="81"/>
      <c r="G331" s="81"/>
      <c r="H331" s="81"/>
      <c r="I331" s="82"/>
      <c r="J331" s="88"/>
      <c r="K331" s="89"/>
      <c r="L331" s="88"/>
      <c r="M331" s="89"/>
      <c r="N331" s="80"/>
      <c r="O331" s="82"/>
      <c r="P331" s="94"/>
      <c r="Q331" s="95"/>
      <c r="S331" s="99"/>
      <c r="T331" s="99"/>
      <c r="U331" s="99"/>
      <c r="V331" s="99"/>
      <c r="W331" s="99"/>
      <c r="X331" s="99"/>
      <c r="Y331" s="99"/>
      <c r="Z331" s="99"/>
      <c r="AA331" s="99"/>
      <c r="AB331" s="99"/>
      <c r="AC331" s="98"/>
      <c r="AD331" s="98"/>
      <c r="AE331" s="98"/>
      <c r="AF331" s="98"/>
      <c r="AG331" s="98"/>
      <c r="AH331" s="98"/>
    </row>
    <row r="332" spans="2:34" x14ac:dyDescent="0.25">
      <c r="B332" s="75"/>
      <c r="C332" s="76"/>
      <c r="D332" s="83"/>
      <c r="E332" s="84"/>
      <c r="F332" s="84"/>
      <c r="G332" s="84"/>
      <c r="H332" s="84"/>
      <c r="I332" s="85"/>
      <c r="J332" s="90"/>
      <c r="K332" s="91"/>
      <c r="L332" s="90"/>
      <c r="M332" s="91"/>
      <c r="N332" s="83"/>
      <c r="O332" s="85"/>
      <c r="P332" s="96"/>
      <c r="Q332" s="97"/>
      <c r="S332" s="99"/>
      <c r="T332" s="99"/>
      <c r="U332" s="99"/>
      <c r="V332" s="99"/>
      <c r="W332" s="99"/>
      <c r="X332" s="99"/>
      <c r="Y332" s="99"/>
      <c r="Z332" s="99"/>
      <c r="AA332" s="99"/>
      <c r="AB332" s="99"/>
      <c r="AC332" s="98"/>
      <c r="AD332" s="98"/>
      <c r="AE332" s="98"/>
      <c r="AF332" s="98"/>
      <c r="AG332" s="98"/>
      <c r="AH332" s="98"/>
    </row>
    <row r="333" spans="2:34" x14ac:dyDescent="0.25">
      <c r="B333" s="71"/>
      <c r="C333" s="72"/>
      <c r="D333" s="77"/>
      <c r="E333" s="78"/>
      <c r="F333" s="78"/>
      <c r="G333" s="78"/>
      <c r="H333" s="78"/>
      <c r="I333" s="79"/>
      <c r="J333" s="86"/>
      <c r="K333" s="87"/>
      <c r="L333" s="86"/>
      <c r="M333" s="87"/>
      <c r="N333" s="77"/>
      <c r="O333" s="79"/>
      <c r="P333" s="92"/>
      <c r="Q333" s="93"/>
      <c r="S333" s="99"/>
      <c r="T333" s="99"/>
      <c r="U333" s="99"/>
      <c r="V333" s="99"/>
      <c r="W333" s="99"/>
      <c r="X333" s="99"/>
      <c r="Y333" s="99"/>
      <c r="Z333" s="99"/>
      <c r="AA333" s="99"/>
      <c r="AB333" s="99"/>
      <c r="AC333" s="98"/>
      <c r="AD333" s="98"/>
      <c r="AE333" s="98"/>
      <c r="AF333" s="98"/>
      <c r="AG333" s="98"/>
      <c r="AH333" s="98"/>
    </row>
    <row r="334" spans="2:34" x14ac:dyDescent="0.25">
      <c r="B334" s="73"/>
      <c r="C334" s="74"/>
      <c r="D334" s="80"/>
      <c r="E334" s="81"/>
      <c r="F334" s="81"/>
      <c r="G334" s="81"/>
      <c r="H334" s="81"/>
      <c r="I334" s="82"/>
      <c r="J334" s="88"/>
      <c r="K334" s="89"/>
      <c r="L334" s="88"/>
      <c r="M334" s="89"/>
      <c r="N334" s="80"/>
      <c r="O334" s="82"/>
      <c r="P334" s="94"/>
      <c r="Q334" s="95"/>
      <c r="S334" s="99"/>
      <c r="T334" s="99"/>
      <c r="U334" s="99"/>
      <c r="V334" s="99"/>
      <c r="W334" s="99"/>
      <c r="X334" s="99"/>
      <c r="Y334" s="99"/>
      <c r="Z334" s="99"/>
      <c r="AA334" s="99"/>
      <c r="AB334" s="99"/>
      <c r="AC334" s="98"/>
      <c r="AD334" s="98"/>
      <c r="AE334" s="98"/>
      <c r="AF334" s="98"/>
      <c r="AG334" s="98"/>
      <c r="AH334" s="98"/>
    </row>
    <row r="335" spans="2:34" x14ac:dyDescent="0.25">
      <c r="B335" s="75"/>
      <c r="C335" s="76"/>
      <c r="D335" s="83"/>
      <c r="E335" s="84"/>
      <c r="F335" s="84"/>
      <c r="G335" s="84"/>
      <c r="H335" s="84"/>
      <c r="I335" s="85"/>
      <c r="J335" s="90"/>
      <c r="K335" s="91"/>
      <c r="L335" s="90"/>
      <c r="M335" s="91"/>
      <c r="N335" s="83"/>
      <c r="O335" s="85"/>
      <c r="P335" s="96"/>
      <c r="Q335" s="97"/>
      <c r="S335" s="99"/>
      <c r="T335" s="99"/>
      <c r="U335" s="99"/>
      <c r="V335" s="99"/>
      <c r="W335" s="99"/>
      <c r="X335" s="99"/>
      <c r="Y335" s="99"/>
      <c r="Z335" s="99"/>
      <c r="AA335" s="99"/>
      <c r="AB335" s="99"/>
      <c r="AC335" s="98"/>
      <c r="AD335" s="98"/>
      <c r="AE335" s="98"/>
      <c r="AF335" s="98"/>
      <c r="AG335" s="98"/>
      <c r="AH335" s="98"/>
    </row>
    <row r="336" spans="2:34" x14ac:dyDescent="0.25">
      <c r="B336" s="71"/>
      <c r="C336" s="72"/>
      <c r="D336" s="77"/>
      <c r="E336" s="78"/>
      <c r="F336" s="78"/>
      <c r="G336" s="78"/>
      <c r="H336" s="78"/>
      <c r="I336" s="79"/>
      <c r="J336" s="86"/>
      <c r="K336" s="87"/>
      <c r="L336" s="86"/>
      <c r="M336" s="87"/>
      <c r="N336" s="77"/>
      <c r="O336" s="79"/>
      <c r="P336" s="92"/>
      <c r="Q336" s="93"/>
      <c r="S336" s="99"/>
      <c r="T336" s="99"/>
      <c r="U336" s="99"/>
      <c r="V336" s="99"/>
      <c r="W336" s="99"/>
      <c r="X336" s="99"/>
      <c r="Y336" s="99"/>
      <c r="Z336" s="99"/>
      <c r="AA336" s="99"/>
      <c r="AB336" s="99"/>
      <c r="AC336" s="98"/>
      <c r="AD336" s="98"/>
      <c r="AE336" s="98"/>
      <c r="AF336" s="98"/>
      <c r="AG336" s="98"/>
      <c r="AH336" s="98"/>
    </row>
    <row r="337" spans="2:34" x14ac:dyDescent="0.25">
      <c r="B337" s="73"/>
      <c r="C337" s="74"/>
      <c r="D337" s="80"/>
      <c r="E337" s="81"/>
      <c r="F337" s="81"/>
      <c r="G337" s="81"/>
      <c r="H337" s="81"/>
      <c r="I337" s="82"/>
      <c r="J337" s="88"/>
      <c r="K337" s="89"/>
      <c r="L337" s="88"/>
      <c r="M337" s="89"/>
      <c r="N337" s="80"/>
      <c r="O337" s="82"/>
      <c r="P337" s="94"/>
      <c r="Q337" s="95"/>
      <c r="S337" s="99"/>
      <c r="T337" s="99"/>
      <c r="U337" s="99"/>
      <c r="V337" s="99"/>
      <c r="W337" s="99"/>
      <c r="X337" s="99"/>
      <c r="Y337" s="99"/>
      <c r="Z337" s="99"/>
      <c r="AA337" s="99"/>
      <c r="AB337" s="99"/>
      <c r="AC337" s="98"/>
      <c r="AD337" s="98"/>
      <c r="AE337" s="98"/>
      <c r="AF337" s="98"/>
      <c r="AG337" s="98"/>
      <c r="AH337" s="98"/>
    </row>
    <row r="338" spans="2:34" x14ac:dyDescent="0.25">
      <c r="B338" s="75"/>
      <c r="C338" s="76"/>
      <c r="D338" s="83"/>
      <c r="E338" s="84"/>
      <c r="F338" s="84"/>
      <c r="G338" s="84"/>
      <c r="H338" s="84"/>
      <c r="I338" s="85"/>
      <c r="J338" s="90"/>
      <c r="K338" s="91"/>
      <c r="L338" s="90"/>
      <c r="M338" s="91"/>
      <c r="N338" s="83"/>
      <c r="O338" s="85"/>
      <c r="P338" s="96"/>
      <c r="Q338" s="97"/>
      <c r="S338" s="99"/>
      <c r="T338" s="99"/>
      <c r="U338" s="99"/>
      <c r="V338" s="99"/>
      <c r="W338" s="99"/>
      <c r="X338" s="99"/>
      <c r="Y338" s="99"/>
      <c r="Z338" s="99"/>
      <c r="AA338" s="99"/>
      <c r="AB338" s="99"/>
      <c r="AC338" s="98"/>
      <c r="AD338" s="98"/>
      <c r="AE338" s="98"/>
      <c r="AF338" s="98"/>
      <c r="AG338" s="98"/>
      <c r="AH338" s="98"/>
    </row>
    <row r="339" spans="2:34" x14ac:dyDescent="0.25">
      <c r="B339" s="71"/>
      <c r="C339" s="72"/>
      <c r="D339" s="77"/>
      <c r="E339" s="78"/>
      <c r="F339" s="78"/>
      <c r="G339" s="78"/>
      <c r="H339" s="78"/>
      <c r="I339" s="79"/>
      <c r="J339" s="86"/>
      <c r="K339" s="87"/>
      <c r="L339" s="86"/>
      <c r="M339" s="87"/>
      <c r="N339" s="77"/>
      <c r="O339" s="79"/>
      <c r="P339" s="92"/>
      <c r="Q339" s="93"/>
      <c r="S339" s="99"/>
      <c r="T339" s="99"/>
      <c r="U339" s="99"/>
      <c r="V339" s="99"/>
      <c r="W339" s="99"/>
      <c r="X339" s="99"/>
      <c r="Y339" s="99"/>
      <c r="Z339" s="99"/>
      <c r="AA339" s="99"/>
      <c r="AB339" s="99"/>
      <c r="AC339" s="98"/>
      <c r="AD339" s="98"/>
      <c r="AE339" s="98"/>
      <c r="AF339" s="98"/>
      <c r="AG339" s="98"/>
      <c r="AH339" s="98"/>
    </row>
    <row r="340" spans="2:34" x14ac:dyDescent="0.25">
      <c r="B340" s="73"/>
      <c r="C340" s="74"/>
      <c r="D340" s="80"/>
      <c r="E340" s="81"/>
      <c r="F340" s="81"/>
      <c r="G340" s="81"/>
      <c r="H340" s="81"/>
      <c r="I340" s="82"/>
      <c r="J340" s="88"/>
      <c r="K340" s="89"/>
      <c r="L340" s="88"/>
      <c r="M340" s="89"/>
      <c r="N340" s="80"/>
      <c r="O340" s="82"/>
      <c r="P340" s="94"/>
      <c r="Q340" s="95"/>
      <c r="S340" s="99"/>
      <c r="T340" s="99"/>
      <c r="U340" s="99"/>
      <c r="V340" s="99"/>
      <c r="W340" s="99"/>
      <c r="X340" s="99"/>
      <c r="Y340" s="99"/>
      <c r="Z340" s="99"/>
      <c r="AA340" s="99"/>
      <c r="AB340" s="99"/>
      <c r="AC340" s="98"/>
      <c r="AD340" s="98"/>
      <c r="AE340" s="98"/>
      <c r="AF340" s="98"/>
      <c r="AG340" s="98"/>
      <c r="AH340" s="98"/>
    </row>
    <row r="341" spans="2:34" x14ac:dyDescent="0.25">
      <c r="B341" s="75"/>
      <c r="C341" s="76"/>
      <c r="D341" s="83"/>
      <c r="E341" s="84"/>
      <c r="F341" s="84"/>
      <c r="G341" s="84"/>
      <c r="H341" s="84"/>
      <c r="I341" s="85"/>
      <c r="J341" s="90"/>
      <c r="K341" s="91"/>
      <c r="L341" s="90"/>
      <c r="M341" s="91"/>
      <c r="N341" s="83"/>
      <c r="O341" s="85"/>
      <c r="P341" s="96"/>
      <c r="Q341" s="97"/>
      <c r="S341" s="99"/>
      <c r="T341" s="99"/>
      <c r="U341" s="99"/>
      <c r="V341" s="99"/>
      <c r="W341" s="99"/>
      <c r="X341" s="99"/>
      <c r="Y341" s="99"/>
      <c r="Z341" s="99"/>
      <c r="AA341" s="99"/>
      <c r="AB341" s="99"/>
      <c r="AC341" s="98"/>
      <c r="AD341" s="98"/>
      <c r="AE341" s="98"/>
      <c r="AF341" s="98"/>
      <c r="AG341" s="98"/>
      <c r="AH341" s="98"/>
    </row>
    <row r="342" spans="2:34" x14ac:dyDescent="0.25">
      <c r="B342" s="71"/>
      <c r="C342" s="72"/>
      <c r="D342" s="77"/>
      <c r="E342" s="78"/>
      <c r="F342" s="78"/>
      <c r="G342" s="78"/>
      <c r="H342" s="78"/>
      <c r="I342" s="79"/>
      <c r="J342" s="86"/>
      <c r="K342" s="87"/>
      <c r="L342" s="86"/>
      <c r="M342" s="87"/>
      <c r="N342" s="77"/>
      <c r="O342" s="79"/>
      <c r="P342" s="92"/>
      <c r="Q342" s="93"/>
      <c r="S342" s="99"/>
      <c r="T342" s="99"/>
      <c r="U342" s="99"/>
      <c r="V342" s="99"/>
      <c r="W342" s="99"/>
      <c r="X342" s="99"/>
      <c r="Y342" s="99"/>
      <c r="Z342" s="99"/>
      <c r="AA342" s="99"/>
      <c r="AB342" s="99"/>
      <c r="AC342" s="98"/>
      <c r="AD342" s="98"/>
      <c r="AE342" s="98"/>
      <c r="AF342" s="98"/>
      <c r="AG342" s="98"/>
      <c r="AH342" s="98"/>
    </row>
    <row r="343" spans="2:34" x14ac:dyDescent="0.25">
      <c r="B343" s="73"/>
      <c r="C343" s="74"/>
      <c r="D343" s="80"/>
      <c r="E343" s="81"/>
      <c r="F343" s="81"/>
      <c r="G343" s="81"/>
      <c r="H343" s="81"/>
      <c r="I343" s="82"/>
      <c r="J343" s="88"/>
      <c r="K343" s="89"/>
      <c r="L343" s="88"/>
      <c r="M343" s="89"/>
      <c r="N343" s="80"/>
      <c r="O343" s="82"/>
      <c r="P343" s="94"/>
      <c r="Q343" s="95"/>
      <c r="S343" s="99"/>
      <c r="T343" s="99"/>
      <c r="U343" s="99"/>
      <c r="V343" s="99"/>
      <c r="W343" s="99"/>
      <c r="X343" s="99"/>
      <c r="Y343" s="99"/>
      <c r="Z343" s="99"/>
      <c r="AA343" s="99"/>
      <c r="AB343" s="99"/>
      <c r="AC343" s="98"/>
      <c r="AD343" s="98"/>
      <c r="AE343" s="98"/>
      <c r="AF343" s="98"/>
      <c r="AG343" s="98"/>
      <c r="AH343" s="98"/>
    </row>
    <row r="344" spans="2:34" x14ac:dyDescent="0.25">
      <c r="B344" s="75"/>
      <c r="C344" s="76"/>
      <c r="D344" s="83"/>
      <c r="E344" s="84"/>
      <c r="F344" s="84"/>
      <c r="G344" s="84"/>
      <c r="H344" s="84"/>
      <c r="I344" s="85"/>
      <c r="J344" s="90"/>
      <c r="K344" s="91"/>
      <c r="L344" s="90"/>
      <c r="M344" s="91"/>
      <c r="N344" s="83"/>
      <c r="O344" s="85"/>
      <c r="P344" s="96"/>
      <c r="Q344" s="97"/>
      <c r="S344" s="99"/>
      <c r="T344" s="99"/>
      <c r="U344" s="99"/>
      <c r="V344" s="99"/>
      <c r="W344" s="99"/>
      <c r="X344" s="99"/>
      <c r="Y344" s="99"/>
      <c r="Z344" s="99"/>
      <c r="AA344" s="99"/>
      <c r="AB344" s="99"/>
      <c r="AC344" s="98"/>
      <c r="AD344" s="98"/>
      <c r="AE344" s="98"/>
      <c r="AF344" s="98"/>
      <c r="AG344" s="98"/>
      <c r="AH344" s="98"/>
    </row>
    <row r="345" spans="2:34" x14ac:dyDescent="0.25">
      <c r="B345" s="71"/>
      <c r="C345" s="72"/>
      <c r="D345" s="77"/>
      <c r="E345" s="78"/>
      <c r="F345" s="78"/>
      <c r="G345" s="78"/>
      <c r="H345" s="78"/>
      <c r="I345" s="79"/>
      <c r="J345" s="86"/>
      <c r="K345" s="87"/>
      <c r="L345" s="86"/>
      <c r="M345" s="87"/>
      <c r="N345" s="77"/>
      <c r="O345" s="79"/>
      <c r="P345" s="92"/>
      <c r="Q345" s="93"/>
      <c r="S345" s="99"/>
      <c r="T345" s="99"/>
      <c r="U345" s="99"/>
      <c r="V345" s="99"/>
      <c r="W345" s="99"/>
      <c r="X345" s="99"/>
      <c r="Y345" s="99"/>
      <c r="Z345" s="99"/>
      <c r="AA345" s="99"/>
      <c r="AB345" s="99"/>
      <c r="AC345" s="98"/>
      <c r="AD345" s="98"/>
      <c r="AE345" s="98"/>
      <c r="AF345" s="98"/>
      <c r="AG345" s="98"/>
      <c r="AH345" s="98"/>
    </row>
    <row r="346" spans="2:34" x14ac:dyDescent="0.25">
      <c r="B346" s="73"/>
      <c r="C346" s="74"/>
      <c r="D346" s="80"/>
      <c r="E346" s="81"/>
      <c r="F346" s="81"/>
      <c r="G346" s="81"/>
      <c r="H346" s="81"/>
      <c r="I346" s="82"/>
      <c r="J346" s="88"/>
      <c r="K346" s="89"/>
      <c r="L346" s="88"/>
      <c r="M346" s="89"/>
      <c r="N346" s="80"/>
      <c r="O346" s="82"/>
      <c r="P346" s="94"/>
      <c r="Q346" s="95"/>
      <c r="S346" s="99"/>
      <c r="T346" s="99"/>
      <c r="U346" s="99"/>
      <c r="V346" s="99"/>
      <c r="W346" s="99"/>
      <c r="X346" s="99"/>
      <c r="Y346" s="99"/>
      <c r="Z346" s="99"/>
      <c r="AA346" s="99"/>
      <c r="AB346" s="99"/>
      <c r="AC346" s="98"/>
      <c r="AD346" s="98"/>
      <c r="AE346" s="98"/>
      <c r="AF346" s="98"/>
      <c r="AG346" s="98"/>
      <c r="AH346" s="98"/>
    </row>
    <row r="347" spans="2:34" x14ac:dyDescent="0.25">
      <c r="B347" s="75"/>
      <c r="C347" s="76"/>
      <c r="D347" s="83"/>
      <c r="E347" s="84"/>
      <c r="F347" s="84"/>
      <c r="G347" s="84"/>
      <c r="H347" s="84"/>
      <c r="I347" s="85"/>
      <c r="J347" s="90"/>
      <c r="K347" s="91"/>
      <c r="L347" s="90"/>
      <c r="M347" s="91"/>
      <c r="N347" s="83"/>
      <c r="O347" s="85"/>
      <c r="P347" s="96"/>
      <c r="Q347" s="97"/>
      <c r="S347" s="99"/>
      <c r="T347" s="99"/>
      <c r="U347" s="99"/>
      <c r="V347" s="99"/>
      <c r="W347" s="99"/>
      <c r="X347" s="99"/>
      <c r="Y347" s="99"/>
      <c r="Z347" s="99"/>
      <c r="AA347" s="99"/>
      <c r="AB347" s="99"/>
      <c r="AC347" s="98"/>
      <c r="AD347" s="98"/>
      <c r="AE347" s="98"/>
      <c r="AF347" s="98"/>
      <c r="AG347" s="98"/>
      <c r="AH347" s="98"/>
    </row>
    <row r="348" spans="2:34" x14ac:dyDescent="0.25">
      <c r="B348" s="71"/>
      <c r="C348" s="72"/>
      <c r="D348" s="77"/>
      <c r="E348" s="78"/>
      <c r="F348" s="78"/>
      <c r="G348" s="78"/>
      <c r="H348" s="78"/>
      <c r="I348" s="79"/>
      <c r="J348" s="86"/>
      <c r="K348" s="87"/>
      <c r="L348" s="86"/>
      <c r="M348" s="87"/>
      <c r="N348" s="77"/>
      <c r="O348" s="79"/>
      <c r="P348" s="92"/>
      <c r="Q348" s="93"/>
      <c r="S348" s="99"/>
      <c r="T348" s="99"/>
      <c r="U348" s="99"/>
      <c r="V348" s="99"/>
      <c r="W348" s="99"/>
      <c r="X348" s="99"/>
      <c r="Y348" s="99"/>
      <c r="Z348" s="99"/>
      <c r="AA348" s="99"/>
      <c r="AB348" s="99"/>
      <c r="AC348" s="98"/>
      <c r="AD348" s="98"/>
      <c r="AE348" s="98"/>
      <c r="AF348" s="98"/>
      <c r="AG348" s="98"/>
      <c r="AH348" s="98"/>
    </row>
    <row r="349" spans="2:34" x14ac:dyDescent="0.25">
      <c r="B349" s="73"/>
      <c r="C349" s="74"/>
      <c r="D349" s="80"/>
      <c r="E349" s="81"/>
      <c r="F349" s="81"/>
      <c r="G349" s="81"/>
      <c r="H349" s="81"/>
      <c r="I349" s="82"/>
      <c r="J349" s="88"/>
      <c r="K349" s="89"/>
      <c r="L349" s="88"/>
      <c r="M349" s="89"/>
      <c r="N349" s="80"/>
      <c r="O349" s="82"/>
      <c r="P349" s="94"/>
      <c r="Q349" s="95"/>
      <c r="S349" s="99"/>
      <c r="T349" s="99"/>
      <c r="U349" s="99"/>
      <c r="V349" s="99"/>
      <c r="W349" s="99"/>
      <c r="X349" s="99"/>
      <c r="Y349" s="99"/>
      <c r="Z349" s="99"/>
      <c r="AA349" s="99"/>
      <c r="AB349" s="99"/>
      <c r="AC349" s="98"/>
      <c r="AD349" s="98"/>
      <c r="AE349" s="98"/>
      <c r="AF349" s="98"/>
      <c r="AG349" s="98"/>
      <c r="AH349" s="98"/>
    </row>
    <row r="350" spans="2:34" x14ac:dyDescent="0.25">
      <c r="B350" s="75"/>
      <c r="C350" s="76"/>
      <c r="D350" s="83"/>
      <c r="E350" s="84"/>
      <c r="F350" s="84"/>
      <c r="G350" s="84"/>
      <c r="H350" s="84"/>
      <c r="I350" s="85"/>
      <c r="J350" s="90"/>
      <c r="K350" s="91"/>
      <c r="L350" s="90"/>
      <c r="M350" s="91"/>
      <c r="N350" s="83"/>
      <c r="O350" s="85"/>
      <c r="P350" s="96"/>
      <c r="Q350" s="97"/>
      <c r="S350" s="99"/>
      <c r="T350" s="99"/>
      <c r="U350" s="99"/>
      <c r="V350" s="99"/>
      <c r="W350" s="99"/>
      <c r="X350" s="99"/>
      <c r="Y350" s="99"/>
      <c r="Z350" s="99"/>
      <c r="AA350" s="99"/>
      <c r="AB350" s="99"/>
      <c r="AC350" s="98"/>
      <c r="AD350" s="98"/>
      <c r="AE350" s="98"/>
      <c r="AF350" s="98"/>
      <c r="AG350" s="98"/>
      <c r="AH350" s="98"/>
    </row>
    <row r="351" spans="2:34" x14ac:dyDescent="0.25">
      <c r="B351" s="71"/>
      <c r="C351" s="72"/>
      <c r="D351" s="77"/>
      <c r="E351" s="78"/>
      <c r="F351" s="78"/>
      <c r="G351" s="78"/>
      <c r="H351" s="78"/>
      <c r="I351" s="79"/>
      <c r="J351" s="86"/>
      <c r="K351" s="87"/>
      <c r="L351" s="86"/>
      <c r="M351" s="87"/>
      <c r="N351" s="77"/>
      <c r="O351" s="79"/>
      <c r="P351" s="92"/>
      <c r="Q351" s="93"/>
      <c r="S351" s="99"/>
      <c r="T351" s="99"/>
      <c r="U351" s="99"/>
      <c r="V351" s="99"/>
      <c r="W351" s="99"/>
      <c r="X351" s="99"/>
      <c r="Y351" s="99"/>
      <c r="Z351" s="99"/>
      <c r="AA351" s="99"/>
      <c r="AB351" s="99"/>
      <c r="AC351" s="98"/>
      <c r="AD351" s="98"/>
      <c r="AE351" s="98"/>
      <c r="AF351" s="98"/>
      <c r="AG351" s="98"/>
      <c r="AH351" s="98"/>
    </row>
    <row r="352" spans="2:34" x14ac:dyDescent="0.25">
      <c r="B352" s="73"/>
      <c r="C352" s="74"/>
      <c r="D352" s="80"/>
      <c r="E352" s="81"/>
      <c r="F352" s="81"/>
      <c r="G352" s="81"/>
      <c r="H352" s="81"/>
      <c r="I352" s="82"/>
      <c r="J352" s="88"/>
      <c r="K352" s="89"/>
      <c r="L352" s="88"/>
      <c r="M352" s="89"/>
      <c r="N352" s="80"/>
      <c r="O352" s="82"/>
      <c r="P352" s="94"/>
      <c r="Q352" s="95"/>
      <c r="S352" s="99"/>
      <c r="T352" s="99"/>
      <c r="U352" s="99"/>
      <c r="V352" s="99"/>
      <c r="W352" s="99"/>
      <c r="X352" s="99"/>
      <c r="Y352" s="99"/>
      <c r="Z352" s="99"/>
      <c r="AA352" s="99"/>
      <c r="AB352" s="99"/>
      <c r="AC352" s="98"/>
      <c r="AD352" s="98"/>
      <c r="AE352" s="98"/>
      <c r="AF352" s="98"/>
      <c r="AG352" s="98"/>
      <c r="AH352" s="98"/>
    </row>
    <row r="353" spans="2:34" x14ac:dyDescent="0.25">
      <c r="B353" s="75"/>
      <c r="C353" s="76"/>
      <c r="D353" s="83"/>
      <c r="E353" s="84"/>
      <c r="F353" s="84"/>
      <c r="G353" s="84"/>
      <c r="H353" s="84"/>
      <c r="I353" s="85"/>
      <c r="J353" s="90"/>
      <c r="K353" s="91"/>
      <c r="L353" s="90"/>
      <c r="M353" s="91"/>
      <c r="N353" s="83"/>
      <c r="O353" s="85"/>
      <c r="P353" s="96"/>
      <c r="Q353" s="97"/>
      <c r="S353" s="99"/>
      <c r="T353" s="99"/>
      <c r="U353" s="99"/>
      <c r="V353" s="99"/>
      <c r="W353" s="99"/>
      <c r="X353" s="99"/>
      <c r="Y353" s="99"/>
      <c r="Z353" s="99"/>
      <c r="AA353" s="99"/>
      <c r="AB353" s="99"/>
      <c r="AC353" s="98"/>
      <c r="AD353" s="98"/>
      <c r="AE353" s="98"/>
      <c r="AF353" s="98"/>
      <c r="AG353" s="98"/>
      <c r="AH353" s="98"/>
    </row>
    <row r="354" spans="2:34" x14ac:dyDescent="0.25">
      <c r="B354" s="71"/>
      <c r="C354" s="72"/>
      <c r="D354" s="77"/>
      <c r="E354" s="78"/>
      <c r="F354" s="78"/>
      <c r="G354" s="78"/>
      <c r="H354" s="78"/>
      <c r="I354" s="79"/>
      <c r="J354" s="86"/>
      <c r="K354" s="87"/>
      <c r="L354" s="86"/>
      <c r="M354" s="87"/>
      <c r="N354" s="77"/>
      <c r="O354" s="79"/>
      <c r="P354" s="92"/>
      <c r="Q354" s="93"/>
      <c r="S354" s="99"/>
      <c r="T354" s="99"/>
      <c r="U354" s="99"/>
      <c r="V354" s="99"/>
      <c r="W354" s="99"/>
      <c r="X354" s="99"/>
      <c r="Y354" s="99"/>
      <c r="Z354" s="99"/>
      <c r="AA354" s="99"/>
      <c r="AB354" s="99"/>
      <c r="AC354" s="98"/>
      <c r="AD354" s="98"/>
      <c r="AE354" s="98"/>
      <c r="AF354" s="98"/>
      <c r="AG354" s="98"/>
      <c r="AH354" s="98"/>
    </row>
    <row r="355" spans="2:34" x14ac:dyDescent="0.25">
      <c r="B355" s="73"/>
      <c r="C355" s="74"/>
      <c r="D355" s="80"/>
      <c r="E355" s="81"/>
      <c r="F355" s="81"/>
      <c r="G355" s="81"/>
      <c r="H355" s="81"/>
      <c r="I355" s="82"/>
      <c r="J355" s="88"/>
      <c r="K355" s="89"/>
      <c r="L355" s="88"/>
      <c r="M355" s="89"/>
      <c r="N355" s="80"/>
      <c r="O355" s="82"/>
      <c r="P355" s="94"/>
      <c r="Q355" s="95"/>
      <c r="S355" s="99"/>
      <c r="T355" s="99"/>
      <c r="U355" s="99"/>
      <c r="V355" s="99"/>
      <c r="W355" s="99"/>
      <c r="X355" s="99"/>
      <c r="Y355" s="99"/>
      <c r="Z355" s="99"/>
      <c r="AA355" s="99"/>
      <c r="AB355" s="99"/>
      <c r="AC355" s="98"/>
      <c r="AD355" s="98"/>
      <c r="AE355" s="98"/>
      <c r="AF355" s="98"/>
      <c r="AG355" s="98"/>
      <c r="AH355" s="98"/>
    </row>
    <row r="356" spans="2:34" x14ac:dyDescent="0.25">
      <c r="B356" s="75"/>
      <c r="C356" s="76"/>
      <c r="D356" s="83"/>
      <c r="E356" s="84"/>
      <c r="F356" s="84"/>
      <c r="G356" s="84"/>
      <c r="H356" s="84"/>
      <c r="I356" s="85"/>
      <c r="J356" s="90"/>
      <c r="K356" s="91"/>
      <c r="L356" s="90"/>
      <c r="M356" s="91"/>
      <c r="N356" s="83"/>
      <c r="O356" s="85"/>
      <c r="P356" s="96"/>
      <c r="Q356" s="97"/>
      <c r="S356" s="99"/>
      <c r="T356" s="99"/>
      <c r="U356" s="99"/>
      <c r="V356" s="99"/>
      <c r="W356" s="99"/>
      <c r="X356" s="99"/>
      <c r="Y356" s="99"/>
      <c r="Z356" s="99"/>
      <c r="AA356" s="99"/>
      <c r="AB356" s="99"/>
      <c r="AC356" s="98"/>
      <c r="AD356" s="98"/>
      <c r="AE356" s="98"/>
      <c r="AF356" s="98"/>
      <c r="AG356" s="98"/>
      <c r="AH356" s="98"/>
    </row>
    <row r="357" spans="2:34" x14ac:dyDescent="0.25">
      <c r="B357" s="71"/>
      <c r="C357" s="72"/>
      <c r="D357" s="77"/>
      <c r="E357" s="78"/>
      <c r="F357" s="78"/>
      <c r="G357" s="78"/>
      <c r="H357" s="78"/>
      <c r="I357" s="79"/>
      <c r="J357" s="86"/>
      <c r="K357" s="87"/>
      <c r="L357" s="86"/>
      <c r="M357" s="87"/>
      <c r="N357" s="77"/>
      <c r="O357" s="79"/>
      <c r="P357" s="92"/>
      <c r="Q357" s="93"/>
      <c r="S357" s="99"/>
      <c r="T357" s="99"/>
      <c r="U357" s="99"/>
      <c r="V357" s="99"/>
      <c r="W357" s="99"/>
      <c r="X357" s="99"/>
      <c r="Y357" s="99"/>
      <c r="Z357" s="99"/>
      <c r="AA357" s="99"/>
      <c r="AB357" s="99"/>
      <c r="AC357" s="98"/>
      <c r="AD357" s="98"/>
      <c r="AE357" s="98"/>
      <c r="AF357" s="98"/>
      <c r="AG357" s="98"/>
      <c r="AH357" s="98"/>
    </row>
    <row r="358" spans="2:34" x14ac:dyDescent="0.25">
      <c r="B358" s="73"/>
      <c r="C358" s="74"/>
      <c r="D358" s="80"/>
      <c r="E358" s="81"/>
      <c r="F358" s="81"/>
      <c r="G358" s="81"/>
      <c r="H358" s="81"/>
      <c r="I358" s="82"/>
      <c r="J358" s="88"/>
      <c r="K358" s="89"/>
      <c r="L358" s="88"/>
      <c r="M358" s="89"/>
      <c r="N358" s="80"/>
      <c r="O358" s="82"/>
      <c r="P358" s="94"/>
      <c r="Q358" s="95"/>
      <c r="S358" s="99"/>
      <c r="T358" s="99"/>
      <c r="U358" s="99"/>
      <c r="V358" s="99"/>
      <c r="W358" s="99"/>
      <c r="X358" s="99"/>
      <c r="Y358" s="99"/>
      <c r="Z358" s="99"/>
      <c r="AA358" s="99"/>
      <c r="AB358" s="99"/>
      <c r="AC358" s="98"/>
      <c r="AD358" s="98"/>
      <c r="AE358" s="98"/>
      <c r="AF358" s="98"/>
      <c r="AG358" s="98"/>
      <c r="AH358" s="98"/>
    </row>
    <row r="359" spans="2:34" x14ac:dyDescent="0.25">
      <c r="B359" s="75"/>
      <c r="C359" s="76"/>
      <c r="D359" s="83"/>
      <c r="E359" s="84"/>
      <c r="F359" s="84"/>
      <c r="G359" s="84"/>
      <c r="H359" s="84"/>
      <c r="I359" s="85"/>
      <c r="J359" s="90"/>
      <c r="K359" s="91"/>
      <c r="L359" s="90"/>
      <c r="M359" s="91"/>
      <c r="N359" s="83"/>
      <c r="O359" s="85"/>
      <c r="P359" s="96"/>
      <c r="Q359" s="97"/>
      <c r="S359" s="99"/>
      <c r="T359" s="99"/>
      <c r="U359" s="99"/>
      <c r="V359" s="99"/>
      <c r="W359" s="99"/>
      <c r="X359" s="99"/>
      <c r="Y359" s="99"/>
      <c r="Z359" s="99"/>
      <c r="AA359" s="99"/>
      <c r="AB359" s="99"/>
      <c r="AC359" s="98"/>
      <c r="AD359" s="98"/>
      <c r="AE359" s="98"/>
      <c r="AF359" s="98"/>
      <c r="AG359" s="98"/>
      <c r="AH359" s="98"/>
    </row>
    <row r="360" spans="2:34" x14ac:dyDescent="0.25">
      <c r="B360" s="71"/>
      <c r="C360" s="72"/>
      <c r="D360" s="77"/>
      <c r="E360" s="78"/>
      <c r="F360" s="78"/>
      <c r="G360" s="78"/>
      <c r="H360" s="78"/>
      <c r="I360" s="79"/>
      <c r="J360" s="86"/>
      <c r="K360" s="87"/>
      <c r="L360" s="86"/>
      <c r="M360" s="87"/>
      <c r="N360" s="77"/>
      <c r="O360" s="79"/>
      <c r="P360" s="92"/>
      <c r="Q360" s="93"/>
      <c r="S360" s="99"/>
      <c r="T360" s="99"/>
      <c r="U360" s="99"/>
      <c r="V360" s="99"/>
      <c r="W360" s="99"/>
      <c r="X360" s="99"/>
      <c r="Y360" s="99"/>
      <c r="Z360" s="99"/>
      <c r="AA360" s="99"/>
      <c r="AB360" s="99"/>
      <c r="AC360" s="98"/>
      <c r="AD360" s="98"/>
      <c r="AE360" s="98"/>
      <c r="AF360" s="98"/>
      <c r="AG360" s="98"/>
      <c r="AH360" s="98"/>
    </row>
    <row r="361" spans="2:34" x14ac:dyDescent="0.25">
      <c r="B361" s="73"/>
      <c r="C361" s="74"/>
      <c r="D361" s="80"/>
      <c r="E361" s="81"/>
      <c r="F361" s="81"/>
      <c r="G361" s="81"/>
      <c r="H361" s="81"/>
      <c r="I361" s="82"/>
      <c r="J361" s="88"/>
      <c r="K361" s="89"/>
      <c r="L361" s="88"/>
      <c r="M361" s="89"/>
      <c r="N361" s="80"/>
      <c r="O361" s="82"/>
      <c r="P361" s="94"/>
      <c r="Q361" s="95"/>
      <c r="S361" s="99"/>
      <c r="T361" s="99"/>
      <c r="U361" s="99"/>
      <c r="V361" s="99"/>
      <c r="W361" s="99"/>
      <c r="X361" s="99"/>
      <c r="Y361" s="99"/>
      <c r="Z361" s="99"/>
      <c r="AA361" s="99"/>
      <c r="AB361" s="99"/>
      <c r="AC361" s="98"/>
      <c r="AD361" s="98"/>
      <c r="AE361" s="98"/>
      <c r="AF361" s="98"/>
      <c r="AG361" s="98"/>
      <c r="AH361" s="98"/>
    </row>
    <row r="362" spans="2:34" x14ac:dyDescent="0.25">
      <c r="B362" s="75"/>
      <c r="C362" s="76"/>
      <c r="D362" s="83"/>
      <c r="E362" s="84"/>
      <c r="F362" s="84"/>
      <c r="G362" s="84"/>
      <c r="H362" s="84"/>
      <c r="I362" s="85"/>
      <c r="J362" s="90"/>
      <c r="K362" s="91"/>
      <c r="L362" s="90"/>
      <c r="M362" s="91"/>
      <c r="N362" s="83"/>
      <c r="O362" s="85"/>
      <c r="P362" s="96"/>
      <c r="Q362" s="97"/>
      <c r="S362" s="99"/>
      <c r="T362" s="99"/>
      <c r="U362" s="99"/>
      <c r="V362" s="99"/>
      <c r="W362" s="99"/>
      <c r="X362" s="99"/>
      <c r="Y362" s="99"/>
      <c r="Z362" s="99"/>
      <c r="AA362" s="99"/>
      <c r="AB362" s="99"/>
      <c r="AC362" s="98"/>
      <c r="AD362" s="98"/>
      <c r="AE362" s="98"/>
      <c r="AF362" s="98"/>
      <c r="AG362" s="98"/>
      <c r="AH362" s="98"/>
    </row>
    <row r="363" spans="2:34" x14ac:dyDescent="0.25">
      <c r="B363" s="71"/>
      <c r="C363" s="72"/>
      <c r="D363" s="77"/>
      <c r="E363" s="78"/>
      <c r="F363" s="78"/>
      <c r="G363" s="78"/>
      <c r="H363" s="78"/>
      <c r="I363" s="79"/>
      <c r="J363" s="86"/>
      <c r="K363" s="87"/>
      <c r="L363" s="86"/>
      <c r="M363" s="87"/>
      <c r="N363" s="77"/>
      <c r="O363" s="79"/>
      <c r="P363" s="92"/>
      <c r="Q363" s="93"/>
      <c r="S363" s="99"/>
      <c r="T363" s="99"/>
      <c r="U363" s="99"/>
      <c r="V363" s="99"/>
      <c r="W363" s="99"/>
      <c r="X363" s="99"/>
      <c r="Y363" s="99"/>
      <c r="Z363" s="99"/>
      <c r="AA363" s="99"/>
      <c r="AB363" s="99"/>
      <c r="AC363" s="98"/>
      <c r="AD363" s="98"/>
      <c r="AE363" s="98"/>
      <c r="AF363" s="98"/>
      <c r="AG363" s="98"/>
      <c r="AH363" s="98"/>
    </row>
    <row r="364" spans="2:34" x14ac:dyDescent="0.25">
      <c r="B364" s="73"/>
      <c r="C364" s="74"/>
      <c r="D364" s="80"/>
      <c r="E364" s="81"/>
      <c r="F364" s="81"/>
      <c r="G364" s="81"/>
      <c r="H364" s="81"/>
      <c r="I364" s="82"/>
      <c r="J364" s="88"/>
      <c r="K364" s="89"/>
      <c r="L364" s="88"/>
      <c r="M364" s="89"/>
      <c r="N364" s="80"/>
      <c r="O364" s="82"/>
      <c r="P364" s="94"/>
      <c r="Q364" s="95"/>
      <c r="S364" s="99"/>
      <c r="T364" s="99"/>
      <c r="U364" s="99"/>
      <c r="V364" s="99"/>
      <c r="W364" s="99"/>
      <c r="X364" s="99"/>
      <c r="Y364" s="99"/>
      <c r="Z364" s="99"/>
      <c r="AA364" s="99"/>
      <c r="AB364" s="99"/>
      <c r="AC364" s="98"/>
      <c r="AD364" s="98"/>
      <c r="AE364" s="98"/>
      <c r="AF364" s="98"/>
      <c r="AG364" s="98"/>
      <c r="AH364" s="98"/>
    </row>
    <row r="365" spans="2:34" x14ac:dyDescent="0.25">
      <c r="B365" s="75"/>
      <c r="C365" s="76"/>
      <c r="D365" s="83"/>
      <c r="E365" s="84"/>
      <c r="F365" s="84"/>
      <c r="G365" s="84"/>
      <c r="H365" s="84"/>
      <c r="I365" s="85"/>
      <c r="J365" s="90"/>
      <c r="K365" s="91"/>
      <c r="L365" s="90"/>
      <c r="M365" s="91"/>
      <c r="N365" s="83"/>
      <c r="O365" s="85"/>
      <c r="P365" s="96"/>
      <c r="Q365" s="97"/>
      <c r="S365" s="99"/>
      <c r="T365" s="99"/>
      <c r="U365" s="99"/>
      <c r="V365" s="99"/>
      <c r="W365" s="99"/>
      <c r="X365" s="99"/>
      <c r="Y365" s="99"/>
      <c r="Z365" s="99"/>
      <c r="AA365" s="99"/>
      <c r="AB365" s="99"/>
      <c r="AC365" s="98"/>
      <c r="AD365" s="98"/>
      <c r="AE365" s="98"/>
      <c r="AF365" s="98"/>
      <c r="AG365" s="98"/>
      <c r="AH365" s="98"/>
    </row>
    <row r="366" spans="2:34" x14ac:dyDescent="0.25">
      <c r="B366" s="71"/>
      <c r="C366" s="72"/>
      <c r="D366" s="77"/>
      <c r="E366" s="78"/>
      <c r="F366" s="78"/>
      <c r="G366" s="78"/>
      <c r="H366" s="78"/>
      <c r="I366" s="79"/>
      <c r="J366" s="86"/>
      <c r="K366" s="87"/>
      <c r="L366" s="86"/>
      <c r="M366" s="87"/>
      <c r="N366" s="77"/>
      <c r="O366" s="79"/>
      <c r="P366" s="92"/>
      <c r="Q366" s="93"/>
      <c r="S366" s="99"/>
      <c r="T366" s="99"/>
      <c r="U366" s="99"/>
      <c r="V366" s="99"/>
      <c r="W366" s="99"/>
      <c r="X366" s="99"/>
      <c r="Y366" s="99"/>
      <c r="Z366" s="99"/>
      <c r="AA366" s="99"/>
      <c r="AB366" s="99"/>
      <c r="AC366" s="98"/>
      <c r="AD366" s="98"/>
      <c r="AE366" s="98"/>
      <c r="AF366" s="98"/>
      <c r="AG366" s="98"/>
      <c r="AH366" s="98"/>
    </row>
    <row r="367" spans="2:34" x14ac:dyDescent="0.25">
      <c r="B367" s="73"/>
      <c r="C367" s="74"/>
      <c r="D367" s="80"/>
      <c r="E367" s="81"/>
      <c r="F367" s="81"/>
      <c r="G367" s="81"/>
      <c r="H367" s="81"/>
      <c r="I367" s="82"/>
      <c r="J367" s="88"/>
      <c r="K367" s="89"/>
      <c r="L367" s="88"/>
      <c r="M367" s="89"/>
      <c r="N367" s="80"/>
      <c r="O367" s="82"/>
      <c r="P367" s="94"/>
      <c r="Q367" s="95"/>
      <c r="S367" s="99"/>
      <c r="T367" s="99"/>
      <c r="U367" s="99"/>
      <c r="V367" s="99"/>
      <c r="W367" s="99"/>
      <c r="X367" s="99"/>
      <c r="Y367" s="99"/>
      <c r="Z367" s="99"/>
      <c r="AA367" s="99"/>
      <c r="AB367" s="99"/>
      <c r="AC367" s="98"/>
      <c r="AD367" s="98"/>
      <c r="AE367" s="98"/>
      <c r="AF367" s="98"/>
      <c r="AG367" s="98"/>
      <c r="AH367" s="98"/>
    </row>
    <row r="368" spans="2:34" x14ac:dyDescent="0.25">
      <c r="B368" s="75"/>
      <c r="C368" s="76"/>
      <c r="D368" s="83"/>
      <c r="E368" s="84"/>
      <c r="F368" s="84"/>
      <c r="G368" s="84"/>
      <c r="H368" s="84"/>
      <c r="I368" s="85"/>
      <c r="J368" s="90"/>
      <c r="K368" s="91"/>
      <c r="L368" s="90"/>
      <c r="M368" s="91"/>
      <c r="N368" s="83"/>
      <c r="O368" s="85"/>
      <c r="P368" s="96"/>
      <c r="Q368" s="97"/>
      <c r="S368" s="99"/>
      <c r="T368" s="99"/>
      <c r="U368" s="99"/>
      <c r="V368" s="99"/>
      <c r="W368" s="99"/>
      <c r="X368" s="99"/>
      <c r="Y368" s="99"/>
      <c r="Z368" s="99"/>
      <c r="AA368" s="99"/>
      <c r="AB368" s="99"/>
      <c r="AC368" s="98"/>
      <c r="AD368" s="98"/>
      <c r="AE368" s="98"/>
      <c r="AF368" s="98"/>
      <c r="AG368" s="98"/>
      <c r="AH368" s="98"/>
    </row>
    <row r="369" spans="2:34" x14ac:dyDescent="0.25">
      <c r="B369" s="71"/>
      <c r="C369" s="72"/>
      <c r="D369" s="77"/>
      <c r="E369" s="78"/>
      <c r="F369" s="78"/>
      <c r="G369" s="78"/>
      <c r="H369" s="78"/>
      <c r="I369" s="79"/>
      <c r="J369" s="86"/>
      <c r="K369" s="87"/>
      <c r="L369" s="86"/>
      <c r="M369" s="87"/>
      <c r="N369" s="77"/>
      <c r="O369" s="79"/>
      <c r="P369" s="92"/>
      <c r="Q369" s="93"/>
      <c r="S369" s="99"/>
      <c r="T369" s="99"/>
      <c r="U369" s="99"/>
      <c r="V369" s="99"/>
      <c r="W369" s="99"/>
      <c r="X369" s="99"/>
      <c r="Y369" s="99"/>
      <c r="Z369" s="99"/>
      <c r="AA369" s="99"/>
      <c r="AB369" s="99"/>
      <c r="AC369" s="98"/>
      <c r="AD369" s="98"/>
      <c r="AE369" s="98"/>
      <c r="AF369" s="98"/>
      <c r="AG369" s="98"/>
      <c r="AH369" s="98"/>
    </row>
    <row r="370" spans="2:34" x14ac:dyDescent="0.25">
      <c r="B370" s="73"/>
      <c r="C370" s="74"/>
      <c r="D370" s="80"/>
      <c r="E370" s="81"/>
      <c r="F370" s="81"/>
      <c r="G370" s="81"/>
      <c r="H370" s="81"/>
      <c r="I370" s="82"/>
      <c r="J370" s="88"/>
      <c r="K370" s="89"/>
      <c r="L370" s="88"/>
      <c r="M370" s="89"/>
      <c r="N370" s="80"/>
      <c r="O370" s="82"/>
      <c r="P370" s="94"/>
      <c r="Q370" s="95"/>
      <c r="S370" s="99"/>
      <c r="T370" s="99"/>
      <c r="U370" s="99"/>
      <c r="V370" s="99"/>
      <c r="W370" s="99"/>
      <c r="X370" s="99"/>
      <c r="Y370" s="99"/>
      <c r="Z370" s="99"/>
      <c r="AA370" s="99"/>
      <c r="AB370" s="99"/>
      <c r="AC370" s="98"/>
      <c r="AD370" s="98"/>
      <c r="AE370" s="98"/>
      <c r="AF370" s="98"/>
      <c r="AG370" s="98"/>
      <c r="AH370" s="98"/>
    </row>
    <row r="371" spans="2:34" x14ac:dyDescent="0.25">
      <c r="B371" s="75"/>
      <c r="C371" s="76"/>
      <c r="D371" s="83"/>
      <c r="E371" s="84"/>
      <c r="F371" s="84"/>
      <c r="G371" s="84"/>
      <c r="H371" s="84"/>
      <c r="I371" s="85"/>
      <c r="J371" s="90"/>
      <c r="K371" s="91"/>
      <c r="L371" s="90"/>
      <c r="M371" s="91"/>
      <c r="N371" s="83"/>
      <c r="O371" s="85"/>
      <c r="P371" s="96"/>
      <c r="Q371" s="97"/>
      <c r="S371" s="99"/>
      <c r="T371" s="99"/>
      <c r="U371" s="99"/>
      <c r="V371" s="99"/>
      <c r="W371" s="99"/>
      <c r="X371" s="99"/>
      <c r="Y371" s="99"/>
      <c r="Z371" s="99"/>
      <c r="AA371" s="99"/>
      <c r="AB371" s="99"/>
      <c r="AC371" s="98"/>
      <c r="AD371" s="98"/>
      <c r="AE371" s="98"/>
      <c r="AF371" s="98"/>
      <c r="AG371" s="98"/>
      <c r="AH371" s="98"/>
    </row>
    <row r="372" spans="2:34" x14ac:dyDescent="0.25">
      <c r="B372" s="71"/>
      <c r="C372" s="72"/>
      <c r="D372" s="77"/>
      <c r="E372" s="78"/>
      <c r="F372" s="78"/>
      <c r="G372" s="78"/>
      <c r="H372" s="78"/>
      <c r="I372" s="79"/>
      <c r="J372" s="86"/>
      <c r="K372" s="87"/>
      <c r="L372" s="86"/>
      <c r="M372" s="87"/>
      <c r="N372" s="77"/>
      <c r="O372" s="79"/>
      <c r="P372" s="92"/>
      <c r="Q372" s="93"/>
      <c r="S372" s="99"/>
      <c r="T372" s="99"/>
      <c r="U372" s="99"/>
      <c r="V372" s="99"/>
      <c r="W372" s="99"/>
      <c r="X372" s="99"/>
      <c r="Y372" s="99"/>
      <c r="Z372" s="99"/>
      <c r="AA372" s="99"/>
      <c r="AB372" s="99"/>
      <c r="AC372" s="98"/>
      <c r="AD372" s="98"/>
      <c r="AE372" s="98"/>
      <c r="AF372" s="98"/>
      <c r="AG372" s="98"/>
      <c r="AH372" s="98"/>
    </row>
    <row r="373" spans="2:34" x14ac:dyDescent="0.25">
      <c r="B373" s="73"/>
      <c r="C373" s="74"/>
      <c r="D373" s="80"/>
      <c r="E373" s="81"/>
      <c r="F373" s="81"/>
      <c r="G373" s="81"/>
      <c r="H373" s="81"/>
      <c r="I373" s="82"/>
      <c r="J373" s="88"/>
      <c r="K373" s="89"/>
      <c r="L373" s="88"/>
      <c r="M373" s="89"/>
      <c r="N373" s="80"/>
      <c r="O373" s="82"/>
      <c r="P373" s="94"/>
      <c r="Q373" s="95"/>
      <c r="S373" s="99"/>
      <c r="T373" s="99"/>
      <c r="U373" s="99"/>
      <c r="V373" s="99"/>
      <c r="W373" s="99"/>
      <c r="X373" s="99"/>
      <c r="Y373" s="99"/>
      <c r="Z373" s="99"/>
      <c r="AA373" s="99"/>
      <c r="AB373" s="99"/>
      <c r="AC373" s="98"/>
      <c r="AD373" s="98"/>
      <c r="AE373" s="98"/>
      <c r="AF373" s="98"/>
      <c r="AG373" s="98"/>
      <c r="AH373" s="98"/>
    </row>
    <row r="374" spans="2:34" x14ac:dyDescent="0.25">
      <c r="B374" s="75"/>
      <c r="C374" s="76"/>
      <c r="D374" s="83"/>
      <c r="E374" s="84"/>
      <c r="F374" s="84"/>
      <c r="G374" s="84"/>
      <c r="H374" s="84"/>
      <c r="I374" s="85"/>
      <c r="J374" s="90"/>
      <c r="K374" s="91"/>
      <c r="L374" s="90"/>
      <c r="M374" s="91"/>
      <c r="N374" s="83"/>
      <c r="O374" s="85"/>
      <c r="P374" s="96"/>
      <c r="Q374" s="97"/>
      <c r="S374" s="99"/>
      <c r="T374" s="99"/>
      <c r="U374" s="99"/>
      <c r="V374" s="99"/>
      <c r="W374" s="99"/>
      <c r="X374" s="99"/>
      <c r="Y374" s="99"/>
      <c r="Z374" s="99"/>
      <c r="AA374" s="99"/>
      <c r="AB374" s="99"/>
      <c r="AC374" s="98"/>
      <c r="AD374" s="98"/>
      <c r="AE374" s="98"/>
      <c r="AF374" s="98"/>
      <c r="AG374" s="98"/>
      <c r="AH374" s="98"/>
    </row>
    <row r="375" spans="2:34" x14ac:dyDescent="0.25">
      <c r="B375" s="71"/>
      <c r="C375" s="72"/>
      <c r="D375" s="77"/>
      <c r="E375" s="78"/>
      <c r="F375" s="78"/>
      <c r="G375" s="78"/>
      <c r="H375" s="78"/>
      <c r="I375" s="79"/>
      <c r="J375" s="86"/>
      <c r="K375" s="87"/>
      <c r="L375" s="86"/>
      <c r="M375" s="87"/>
      <c r="N375" s="77"/>
      <c r="O375" s="79"/>
      <c r="P375" s="92"/>
      <c r="Q375" s="93"/>
      <c r="S375" s="99"/>
      <c r="T375" s="99"/>
      <c r="U375" s="99"/>
      <c r="V375" s="99"/>
      <c r="W375" s="99"/>
      <c r="X375" s="99"/>
      <c r="Y375" s="99"/>
      <c r="Z375" s="99"/>
      <c r="AA375" s="99"/>
      <c r="AB375" s="99"/>
      <c r="AC375" s="98"/>
      <c r="AD375" s="98"/>
      <c r="AE375" s="98"/>
      <c r="AF375" s="98"/>
      <c r="AG375" s="98"/>
      <c r="AH375" s="98"/>
    </row>
    <row r="376" spans="2:34" x14ac:dyDescent="0.25">
      <c r="B376" s="73"/>
      <c r="C376" s="74"/>
      <c r="D376" s="80"/>
      <c r="E376" s="81"/>
      <c r="F376" s="81"/>
      <c r="G376" s="81"/>
      <c r="H376" s="81"/>
      <c r="I376" s="82"/>
      <c r="J376" s="88"/>
      <c r="K376" s="89"/>
      <c r="L376" s="88"/>
      <c r="M376" s="89"/>
      <c r="N376" s="80"/>
      <c r="O376" s="82"/>
      <c r="P376" s="94"/>
      <c r="Q376" s="95"/>
      <c r="S376" s="99"/>
      <c r="T376" s="99"/>
      <c r="U376" s="99"/>
      <c r="V376" s="99"/>
      <c r="W376" s="99"/>
      <c r="X376" s="99"/>
      <c r="Y376" s="99"/>
      <c r="Z376" s="99"/>
      <c r="AA376" s="99"/>
      <c r="AB376" s="99"/>
      <c r="AC376" s="98"/>
      <c r="AD376" s="98"/>
      <c r="AE376" s="98"/>
      <c r="AF376" s="98"/>
      <c r="AG376" s="98"/>
      <c r="AH376" s="98"/>
    </row>
    <row r="377" spans="2:34" x14ac:dyDescent="0.25">
      <c r="B377" s="75"/>
      <c r="C377" s="76"/>
      <c r="D377" s="83"/>
      <c r="E377" s="84"/>
      <c r="F377" s="84"/>
      <c r="G377" s="84"/>
      <c r="H377" s="84"/>
      <c r="I377" s="85"/>
      <c r="J377" s="90"/>
      <c r="K377" s="91"/>
      <c r="L377" s="90"/>
      <c r="M377" s="91"/>
      <c r="N377" s="83"/>
      <c r="O377" s="85"/>
      <c r="P377" s="96"/>
      <c r="Q377" s="97"/>
      <c r="S377" s="99"/>
      <c r="T377" s="99"/>
      <c r="U377" s="99"/>
      <c r="V377" s="99"/>
      <c r="W377" s="99"/>
      <c r="X377" s="99"/>
      <c r="Y377" s="99"/>
      <c r="Z377" s="99"/>
      <c r="AA377" s="99"/>
      <c r="AB377" s="99"/>
      <c r="AC377" s="98"/>
      <c r="AD377" s="98"/>
      <c r="AE377" s="98"/>
      <c r="AF377" s="98"/>
      <c r="AG377" s="98"/>
      <c r="AH377" s="98"/>
    </row>
    <row r="378" spans="2:34" x14ac:dyDescent="0.25">
      <c r="B378" s="71"/>
      <c r="C378" s="72"/>
      <c r="D378" s="77"/>
      <c r="E378" s="78"/>
      <c r="F378" s="78"/>
      <c r="G378" s="78"/>
      <c r="H378" s="78"/>
      <c r="I378" s="79"/>
      <c r="J378" s="86"/>
      <c r="K378" s="87"/>
      <c r="L378" s="86"/>
      <c r="M378" s="87"/>
      <c r="N378" s="77"/>
      <c r="O378" s="79"/>
      <c r="P378" s="92"/>
      <c r="Q378" s="93"/>
      <c r="S378" s="99"/>
      <c r="T378" s="99"/>
      <c r="U378" s="99"/>
      <c r="V378" s="99"/>
      <c r="W378" s="99"/>
      <c r="X378" s="99"/>
      <c r="Y378" s="99"/>
      <c r="Z378" s="99"/>
      <c r="AA378" s="99"/>
      <c r="AB378" s="99"/>
      <c r="AC378" s="98"/>
      <c r="AD378" s="98"/>
      <c r="AE378" s="98"/>
      <c r="AF378" s="98"/>
      <c r="AG378" s="98"/>
      <c r="AH378" s="98"/>
    </row>
    <row r="379" spans="2:34" x14ac:dyDescent="0.25">
      <c r="B379" s="73"/>
      <c r="C379" s="74"/>
      <c r="D379" s="80"/>
      <c r="E379" s="81"/>
      <c r="F379" s="81"/>
      <c r="G379" s="81"/>
      <c r="H379" s="81"/>
      <c r="I379" s="82"/>
      <c r="J379" s="88"/>
      <c r="K379" s="89"/>
      <c r="L379" s="88"/>
      <c r="M379" s="89"/>
      <c r="N379" s="80"/>
      <c r="O379" s="82"/>
      <c r="P379" s="94"/>
      <c r="Q379" s="95"/>
      <c r="S379" s="99"/>
      <c r="T379" s="99"/>
      <c r="U379" s="99"/>
      <c r="V379" s="99"/>
      <c r="W379" s="99"/>
      <c r="X379" s="99"/>
      <c r="Y379" s="99"/>
      <c r="Z379" s="99"/>
      <c r="AA379" s="99"/>
      <c r="AB379" s="99"/>
      <c r="AC379" s="98"/>
      <c r="AD379" s="98"/>
      <c r="AE379" s="98"/>
      <c r="AF379" s="98"/>
      <c r="AG379" s="98"/>
      <c r="AH379" s="98"/>
    </row>
    <row r="380" spans="2:34" x14ac:dyDescent="0.25">
      <c r="B380" s="75"/>
      <c r="C380" s="76"/>
      <c r="D380" s="83"/>
      <c r="E380" s="84"/>
      <c r="F380" s="84"/>
      <c r="G380" s="84"/>
      <c r="H380" s="84"/>
      <c r="I380" s="85"/>
      <c r="J380" s="90"/>
      <c r="K380" s="91"/>
      <c r="L380" s="90"/>
      <c r="M380" s="91"/>
      <c r="N380" s="83"/>
      <c r="O380" s="85"/>
      <c r="P380" s="96"/>
      <c r="Q380" s="97"/>
      <c r="S380" s="99"/>
      <c r="T380" s="99"/>
      <c r="U380" s="99"/>
      <c r="V380" s="99"/>
      <c r="W380" s="99"/>
      <c r="X380" s="99"/>
      <c r="Y380" s="99"/>
      <c r="Z380" s="99"/>
      <c r="AA380" s="99"/>
      <c r="AB380" s="99"/>
      <c r="AC380" s="98"/>
      <c r="AD380" s="98"/>
      <c r="AE380" s="98"/>
      <c r="AF380" s="98"/>
      <c r="AG380" s="98"/>
      <c r="AH380" s="98"/>
    </row>
    <row r="381" spans="2:34" x14ac:dyDescent="0.25">
      <c r="B381" s="71"/>
      <c r="C381" s="72"/>
      <c r="D381" s="77"/>
      <c r="E381" s="78"/>
      <c r="F381" s="78"/>
      <c r="G381" s="78"/>
      <c r="H381" s="78"/>
      <c r="I381" s="79"/>
      <c r="J381" s="86"/>
      <c r="K381" s="87"/>
      <c r="L381" s="86"/>
      <c r="M381" s="87"/>
      <c r="N381" s="77"/>
      <c r="O381" s="79"/>
      <c r="P381" s="92"/>
      <c r="Q381" s="93"/>
      <c r="S381" s="99"/>
      <c r="T381" s="99"/>
      <c r="U381" s="99"/>
      <c r="V381" s="99"/>
      <c r="W381" s="99"/>
      <c r="X381" s="99"/>
      <c r="Y381" s="99"/>
      <c r="Z381" s="99"/>
      <c r="AA381" s="99"/>
      <c r="AB381" s="99"/>
      <c r="AC381" s="98"/>
      <c r="AD381" s="98"/>
      <c r="AE381" s="98"/>
      <c r="AF381" s="98"/>
      <c r="AG381" s="98"/>
      <c r="AH381" s="98"/>
    </row>
    <row r="382" spans="2:34" x14ac:dyDescent="0.25">
      <c r="B382" s="73"/>
      <c r="C382" s="74"/>
      <c r="D382" s="80"/>
      <c r="E382" s="81"/>
      <c r="F382" s="81"/>
      <c r="G382" s="81"/>
      <c r="H382" s="81"/>
      <c r="I382" s="82"/>
      <c r="J382" s="88"/>
      <c r="K382" s="89"/>
      <c r="L382" s="88"/>
      <c r="M382" s="89"/>
      <c r="N382" s="80"/>
      <c r="O382" s="82"/>
      <c r="P382" s="94"/>
      <c r="Q382" s="95"/>
      <c r="S382" s="99"/>
      <c r="T382" s="99"/>
      <c r="U382" s="99"/>
      <c r="V382" s="99"/>
      <c r="W382" s="99"/>
      <c r="X382" s="99"/>
      <c r="Y382" s="99"/>
      <c r="Z382" s="99"/>
      <c r="AA382" s="99"/>
      <c r="AB382" s="99"/>
      <c r="AC382" s="98"/>
      <c r="AD382" s="98"/>
      <c r="AE382" s="98"/>
      <c r="AF382" s="98"/>
      <c r="AG382" s="98"/>
      <c r="AH382" s="98"/>
    </row>
    <row r="383" spans="2:34" x14ac:dyDescent="0.25">
      <c r="B383" s="75"/>
      <c r="C383" s="76"/>
      <c r="D383" s="83"/>
      <c r="E383" s="84"/>
      <c r="F383" s="84"/>
      <c r="G383" s="84"/>
      <c r="H383" s="84"/>
      <c r="I383" s="85"/>
      <c r="J383" s="90"/>
      <c r="K383" s="91"/>
      <c r="L383" s="90"/>
      <c r="M383" s="91"/>
      <c r="N383" s="83"/>
      <c r="O383" s="85"/>
      <c r="P383" s="96"/>
      <c r="Q383" s="97"/>
      <c r="S383" s="99"/>
      <c r="T383" s="99"/>
      <c r="U383" s="99"/>
      <c r="V383" s="99"/>
      <c r="W383" s="99"/>
      <c r="X383" s="99"/>
      <c r="Y383" s="99"/>
      <c r="Z383" s="99"/>
      <c r="AA383" s="99"/>
      <c r="AB383" s="99"/>
      <c r="AC383" s="98"/>
      <c r="AD383" s="98"/>
      <c r="AE383" s="98"/>
      <c r="AF383" s="98"/>
      <c r="AG383" s="98"/>
      <c r="AH383" s="98"/>
    </row>
    <row r="384" spans="2:34" x14ac:dyDescent="0.25">
      <c r="B384" s="71"/>
      <c r="C384" s="72"/>
      <c r="D384" s="77"/>
      <c r="E384" s="78"/>
      <c r="F384" s="78"/>
      <c r="G384" s="78"/>
      <c r="H384" s="78"/>
      <c r="I384" s="79"/>
      <c r="J384" s="86"/>
      <c r="K384" s="87"/>
      <c r="L384" s="86"/>
      <c r="M384" s="87"/>
      <c r="N384" s="77"/>
      <c r="O384" s="79"/>
      <c r="P384" s="92"/>
      <c r="Q384" s="93"/>
      <c r="S384" s="99"/>
      <c r="T384" s="99"/>
      <c r="U384" s="99"/>
      <c r="V384" s="99"/>
      <c r="W384" s="99"/>
      <c r="X384" s="99"/>
      <c r="Y384" s="99"/>
      <c r="Z384" s="99"/>
      <c r="AA384" s="99"/>
      <c r="AB384" s="99"/>
      <c r="AC384" s="98"/>
      <c r="AD384" s="98"/>
      <c r="AE384" s="98"/>
      <c r="AF384" s="98"/>
      <c r="AG384" s="98"/>
      <c r="AH384" s="98"/>
    </row>
    <row r="385" spans="2:34" x14ac:dyDescent="0.25">
      <c r="B385" s="73"/>
      <c r="C385" s="74"/>
      <c r="D385" s="80"/>
      <c r="E385" s="81"/>
      <c r="F385" s="81"/>
      <c r="G385" s="81"/>
      <c r="H385" s="81"/>
      <c r="I385" s="82"/>
      <c r="J385" s="88"/>
      <c r="K385" s="89"/>
      <c r="L385" s="88"/>
      <c r="M385" s="89"/>
      <c r="N385" s="80"/>
      <c r="O385" s="82"/>
      <c r="P385" s="94"/>
      <c r="Q385" s="95"/>
      <c r="S385" s="99"/>
      <c r="T385" s="99"/>
      <c r="U385" s="99"/>
      <c r="V385" s="99"/>
      <c r="W385" s="99"/>
      <c r="X385" s="99"/>
      <c r="Y385" s="99"/>
      <c r="Z385" s="99"/>
      <c r="AA385" s="99"/>
      <c r="AB385" s="99"/>
      <c r="AC385" s="98"/>
      <c r="AD385" s="98"/>
      <c r="AE385" s="98"/>
      <c r="AF385" s="98"/>
      <c r="AG385" s="98"/>
      <c r="AH385" s="98"/>
    </row>
    <row r="386" spans="2:34" x14ac:dyDescent="0.25">
      <c r="B386" s="75"/>
      <c r="C386" s="76"/>
      <c r="D386" s="83"/>
      <c r="E386" s="84"/>
      <c r="F386" s="84"/>
      <c r="G386" s="84"/>
      <c r="H386" s="84"/>
      <c r="I386" s="85"/>
      <c r="J386" s="90"/>
      <c r="K386" s="91"/>
      <c r="L386" s="90"/>
      <c r="M386" s="91"/>
      <c r="N386" s="83"/>
      <c r="O386" s="85"/>
      <c r="P386" s="96"/>
      <c r="Q386" s="97"/>
      <c r="S386" s="99"/>
      <c r="T386" s="99"/>
      <c r="U386" s="99"/>
      <c r="V386" s="99"/>
      <c r="W386" s="99"/>
      <c r="X386" s="99"/>
      <c r="Y386" s="99"/>
      <c r="Z386" s="99"/>
      <c r="AA386" s="99"/>
      <c r="AB386" s="99"/>
      <c r="AC386" s="98"/>
      <c r="AD386" s="98"/>
      <c r="AE386" s="98"/>
      <c r="AF386" s="98"/>
      <c r="AG386" s="98"/>
      <c r="AH386" s="98"/>
    </row>
    <row r="387" spans="2:34" x14ac:dyDescent="0.25">
      <c r="B387" s="71"/>
      <c r="C387" s="72"/>
      <c r="D387" s="77"/>
      <c r="E387" s="78"/>
      <c r="F387" s="78"/>
      <c r="G387" s="78"/>
      <c r="H387" s="78"/>
      <c r="I387" s="79"/>
      <c r="J387" s="86"/>
      <c r="K387" s="87"/>
      <c r="L387" s="86"/>
      <c r="M387" s="87"/>
      <c r="N387" s="77"/>
      <c r="O387" s="79"/>
      <c r="P387" s="92"/>
      <c r="Q387" s="93"/>
      <c r="S387" s="99"/>
      <c r="T387" s="99"/>
      <c r="U387" s="99"/>
      <c r="V387" s="99"/>
      <c r="W387" s="99"/>
      <c r="X387" s="99"/>
      <c r="Y387" s="99"/>
      <c r="Z387" s="99"/>
      <c r="AA387" s="99"/>
      <c r="AB387" s="99"/>
      <c r="AC387" s="98"/>
      <c r="AD387" s="98"/>
      <c r="AE387" s="98"/>
      <c r="AF387" s="98"/>
      <c r="AG387" s="98"/>
      <c r="AH387" s="98"/>
    </row>
    <row r="388" spans="2:34" x14ac:dyDescent="0.25">
      <c r="B388" s="73"/>
      <c r="C388" s="74"/>
      <c r="D388" s="80"/>
      <c r="E388" s="81"/>
      <c r="F388" s="81"/>
      <c r="G388" s="81"/>
      <c r="H388" s="81"/>
      <c r="I388" s="82"/>
      <c r="J388" s="88"/>
      <c r="K388" s="89"/>
      <c r="L388" s="88"/>
      <c r="M388" s="89"/>
      <c r="N388" s="80"/>
      <c r="O388" s="82"/>
      <c r="P388" s="94"/>
      <c r="Q388" s="95"/>
      <c r="S388" s="99"/>
      <c r="T388" s="99"/>
      <c r="U388" s="99"/>
      <c r="V388" s="99"/>
      <c r="W388" s="99"/>
      <c r="X388" s="99"/>
      <c r="Y388" s="99"/>
      <c r="Z388" s="99"/>
      <c r="AA388" s="99"/>
      <c r="AB388" s="99"/>
      <c r="AC388" s="98"/>
      <c r="AD388" s="98"/>
      <c r="AE388" s="98"/>
      <c r="AF388" s="98"/>
      <c r="AG388" s="98"/>
      <c r="AH388" s="98"/>
    </row>
    <row r="389" spans="2:34" x14ac:dyDescent="0.25">
      <c r="B389" s="75"/>
      <c r="C389" s="76"/>
      <c r="D389" s="83"/>
      <c r="E389" s="84"/>
      <c r="F389" s="84"/>
      <c r="G389" s="84"/>
      <c r="H389" s="84"/>
      <c r="I389" s="85"/>
      <c r="J389" s="90"/>
      <c r="K389" s="91"/>
      <c r="L389" s="90"/>
      <c r="M389" s="91"/>
      <c r="N389" s="83"/>
      <c r="O389" s="85"/>
      <c r="P389" s="96"/>
      <c r="Q389" s="97"/>
      <c r="S389" s="99"/>
      <c r="T389" s="99"/>
      <c r="U389" s="99"/>
      <c r="V389" s="99"/>
      <c r="W389" s="99"/>
      <c r="X389" s="99"/>
      <c r="Y389" s="99"/>
      <c r="Z389" s="99"/>
      <c r="AA389" s="99"/>
      <c r="AB389" s="99"/>
      <c r="AC389" s="98"/>
      <c r="AD389" s="98"/>
      <c r="AE389" s="98"/>
      <c r="AF389" s="98"/>
      <c r="AG389" s="98"/>
      <c r="AH389" s="98"/>
    </row>
    <row r="390" spans="2:34" x14ac:dyDescent="0.25">
      <c r="B390" s="71"/>
      <c r="C390" s="72"/>
      <c r="D390" s="77"/>
      <c r="E390" s="78"/>
      <c r="F390" s="78"/>
      <c r="G390" s="78"/>
      <c r="H390" s="78"/>
      <c r="I390" s="79"/>
      <c r="J390" s="86"/>
      <c r="K390" s="87"/>
      <c r="L390" s="86"/>
      <c r="M390" s="87"/>
      <c r="N390" s="77"/>
      <c r="O390" s="79"/>
      <c r="P390" s="92"/>
      <c r="Q390" s="93"/>
      <c r="S390" s="99"/>
      <c r="T390" s="99"/>
      <c r="U390" s="99"/>
      <c r="V390" s="99"/>
      <c r="W390" s="99"/>
      <c r="X390" s="99"/>
      <c r="Y390" s="99"/>
      <c r="Z390" s="99"/>
      <c r="AA390" s="99"/>
      <c r="AB390" s="99"/>
      <c r="AC390" s="98"/>
      <c r="AD390" s="98"/>
      <c r="AE390" s="98"/>
      <c r="AF390" s="98"/>
      <c r="AG390" s="98"/>
      <c r="AH390" s="98"/>
    </row>
    <row r="391" spans="2:34" x14ac:dyDescent="0.25">
      <c r="B391" s="73"/>
      <c r="C391" s="74"/>
      <c r="D391" s="80"/>
      <c r="E391" s="81"/>
      <c r="F391" s="81"/>
      <c r="G391" s="81"/>
      <c r="H391" s="81"/>
      <c r="I391" s="82"/>
      <c r="J391" s="88"/>
      <c r="K391" s="89"/>
      <c r="L391" s="88"/>
      <c r="M391" s="89"/>
      <c r="N391" s="80"/>
      <c r="O391" s="82"/>
      <c r="P391" s="94"/>
      <c r="Q391" s="95"/>
      <c r="S391" s="99"/>
      <c r="T391" s="99"/>
      <c r="U391" s="99"/>
      <c r="V391" s="99"/>
      <c r="W391" s="99"/>
      <c r="X391" s="99"/>
      <c r="Y391" s="99"/>
      <c r="Z391" s="99"/>
      <c r="AA391" s="99"/>
      <c r="AB391" s="99"/>
      <c r="AC391" s="98"/>
      <c r="AD391" s="98"/>
      <c r="AE391" s="98"/>
      <c r="AF391" s="98"/>
      <c r="AG391" s="98"/>
      <c r="AH391" s="98"/>
    </row>
    <row r="392" spans="2:34" x14ac:dyDescent="0.25">
      <c r="B392" s="75"/>
      <c r="C392" s="76"/>
      <c r="D392" s="83"/>
      <c r="E392" s="84"/>
      <c r="F392" s="84"/>
      <c r="G392" s="84"/>
      <c r="H392" s="84"/>
      <c r="I392" s="85"/>
      <c r="J392" s="90"/>
      <c r="K392" s="91"/>
      <c r="L392" s="90"/>
      <c r="M392" s="91"/>
      <c r="N392" s="83"/>
      <c r="O392" s="85"/>
      <c r="P392" s="96"/>
      <c r="Q392" s="97"/>
      <c r="S392" s="99"/>
      <c r="T392" s="99"/>
      <c r="U392" s="99"/>
      <c r="V392" s="99"/>
      <c r="W392" s="99"/>
      <c r="X392" s="99"/>
      <c r="Y392" s="99"/>
      <c r="Z392" s="99"/>
      <c r="AA392" s="99"/>
      <c r="AB392" s="99"/>
      <c r="AC392" s="98"/>
      <c r="AD392" s="98"/>
      <c r="AE392" s="98"/>
      <c r="AF392" s="98"/>
      <c r="AG392" s="98"/>
      <c r="AH392" s="98"/>
    </row>
    <row r="393" spans="2:34" x14ac:dyDescent="0.25">
      <c r="B393" s="71"/>
      <c r="C393" s="72"/>
      <c r="D393" s="77"/>
      <c r="E393" s="78"/>
      <c r="F393" s="78"/>
      <c r="G393" s="78"/>
      <c r="H393" s="78"/>
      <c r="I393" s="79"/>
      <c r="J393" s="86"/>
      <c r="K393" s="87"/>
      <c r="L393" s="86"/>
      <c r="M393" s="87"/>
      <c r="N393" s="77"/>
      <c r="O393" s="79"/>
      <c r="P393" s="92"/>
      <c r="Q393" s="93"/>
      <c r="S393" s="99"/>
      <c r="T393" s="99"/>
      <c r="U393" s="99"/>
      <c r="V393" s="99"/>
      <c r="W393" s="99"/>
      <c r="X393" s="99"/>
      <c r="Y393" s="99"/>
      <c r="Z393" s="99"/>
      <c r="AA393" s="99"/>
      <c r="AB393" s="99"/>
      <c r="AC393" s="98"/>
      <c r="AD393" s="98"/>
      <c r="AE393" s="98"/>
      <c r="AF393" s="98"/>
      <c r="AG393" s="98"/>
      <c r="AH393" s="98"/>
    </row>
    <row r="394" spans="2:34" x14ac:dyDescent="0.25">
      <c r="B394" s="73"/>
      <c r="C394" s="74"/>
      <c r="D394" s="80"/>
      <c r="E394" s="81"/>
      <c r="F394" s="81"/>
      <c r="G394" s="81"/>
      <c r="H394" s="81"/>
      <c r="I394" s="82"/>
      <c r="J394" s="88"/>
      <c r="K394" s="89"/>
      <c r="L394" s="88"/>
      <c r="M394" s="89"/>
      <c r="N394" s="80"/>
      <c r="O394" s="82"/>
      <c r="P394" s="94"/>
      <c r="Q394" s="95"/>
      <c r="S394" s="99"/>
      <c r="T394" s="99"/>
      <c r="U394" s="99"/>
      <c r="V394" s="99"/>
      <c r="W394" s="99"/>
      <c r="X394" s="99"/>
      <c r="Y394" s="99"/>
      <c r="Z394" s="99"/>
      <c r="AA394" s="99"/>
      <c r="AB394" s="99"/>
      <c r="AC394" s="98"/>
      <c r="AD394" s="98"/>
      <c r="AE394" s="98"/>
      <c r="AF394" s="98"/>
      <c r="AG394" s="98"/>
      <c r="AH394" s="98"/>
    </row>
    <row r="395" spans="2:34" x14ac:dyDescent="0.25">
      <c r="B395" s="75"/>
      <c r="C395" s="76"/>
      <c r="D395" s="83"/>
      <c r="E395" s="84"/>
      <c r="F395" s="84"/>
      <c r="G395" s="84"/>
      <c r="H395" s="84"/>
      <c r="I395" s="85"/>
      <c r="J395" s="90"/>
      <c r="K395" s="91"/>
      <c r="L395" s="90"/>
      <c r="M395" s="91"/>
      <c r="N395" s="83"/>
      <c r="O395" s="85"/>
      <c r="P395" s="96"/>
      <c r="Q395" s="97"/>
      <c r="S395" s="99"/>
      <c r="T395" s="99"/>
      <c r="U395" s="99"/>
      <c r="V395" s="99"/>
      <c r="W395" s="99"/>
      <c r="X395" s="99"/>
      <c r="Y395" s="99"/>
      <c r="Z395" s="99"/>
      <c r="AA395" s="99"/>
      <c r="AB395" s="99"/>
      <c r="AC395" s="98"/>
      <c r="AD395" s="98"/>
      <c r="AE395" s="98"/>
      <c r="AF395" s="98"/>
      <c r="AG395" s="98"/>
      <c r="AH395" s="98"/>
    </row>
    <row r="396" spans="2:34" x14ac:dyDescent="0.25">
      <c r="B396" s="71"/>
      <c r="C396" s="72"/>
      <c r="D396" s="77"/>
      <c r="E396" s="78"/>
      <c r="F396" s="78"/>
      <c r="G396" s="78"/>
      <c r="H396" s="78"/>
      <c r="I396" s="79"/>
      <c r="J396" s="86"/>
      <c r="K396" s="87"/>
      <c r="L396" s="86"/>
      <c r="M396" s="87"/>
      <c r="N396" s="77"/>
      <c r="O396" s="79"/>
      <c r="P396" s="92"/>
      <c r="Q396" s="93"/>
      <c r="S396" s="99"/>
      <c r="T396" s="99"/>
      <c r="U396" s="99"/>
      <c r="V396" s="99"/>
      <c r="W396" s="99"/>
      <c r="X396" s="99"/>
      <c r="Y396" s="99"/>
      <c r="Z396" s="99"/>
      <c r="AA396" s="99"/>
      <c r="AB396" s="99"/>
      <c r="AC396" s="98"/>
      <c r="AD396" s="98"/>
      <c r="AE396" s="98"/>
      <c r="AF396" s="98"/>
      <c r="AG396" s="98"/>
      <c r="AH396" s="98"/>
    </row>
    <row r="397" spans="2:34" x14ac:dyDescent="0.25">
      <c r="B397" s="73"/>
      <c r="C397" s="74"/>
      <c r="D397" s="80"/>
      <c r="E397" s="81"/>
      <c r="F397" s="81"/>
      <c r="G397" s="81"/>
      <c r="H397" s="81"/>
      <c r="I397" s="82"/>
      <c r="J397" s="88"/>
      <c r="K397" s="89"/>
      <c r="L397" s="88"/>
      <c r="M397" s="89"/>
      <c r="N397" s="80"/>
      <c r="O397" s="82"/>
      <c r="P397" s="94"/>
      <c r="Q397" s="95"/>
      <c r="S397" s="99"/>
      <c r="T397" s="99"/>
      <c r="U397" s="99"/>
      <c r="V397" s="99"/>
      <c r="W397" s="99"/>
      <c r="X397" s="99"/>
      <c r="Y397" s="99"/>
      <c r="Z397" s="99"/>
      <c r="AA397" s="99"/>
      <c r="AB397" s="99"/>
      <c r="AC397" s="98"/>
      <c r="AD397" s="98"/>
      <c r="AE397" s="98"/>
      <c r="AF397" s="98"/>
      <c r="AG397" s="98"/>
      <c r="AH397" s="98"/>
    </row>
    <row r="398" spans="2:34" x14ac:dyDescent="0.25">
      <c r="B398" s="75"/>
      <c r="C398" s="76"/>
      <c r="D398" s="83"/>
      <c r="E398" s="84"/>
      <c r="F398" s="84"/>
      <c r="G398" s="84"/>
      <c r="H398" s="84"/>
      <c r="I398" s="85"/>
      <c r="J398" s="90"/>
      <c r="K398" s="91"/>
      <c r="L398" s="90"/>
      <c r="M398" s="91"/>
      <c r="N398" s="83"/>
      <c r="O398" s="85"/>
      <c r="P398" s="96"/>
      <c r="Q398" s="97"/>
      <c r="S398" s="99"/>
      <c r="T398" s="99"/>
      <c r="U398" s="99"/>
      <c r="V398" s="99"/>
      <c r="W398" s="99"/>
      <c r="X398" s="99"/>
      <c r="Y398" s="99"/>
      <c r="Z398" s="99"/>
      <c r="AA398" s="99"/>
      <c r="AB398" s="99"/>
      <c r="AC398" s="98"/>
      <c r="AD398" s="98"/>
      <c r="AE398" s="98"/>
      <c r="AF398" s="98"/>
      <c r="AG398" s="98"/>
      <c r="AH398" s="98"/>
    </row>
    <row r="399" spans="2:34" x14ac:dyDescent="0.25">
      <c r="B399" s="71"/>
      <c r="C399" s="72"/>
      <c r="D399" s="77"/>
      <c r="E399" s="78"/>
      <c r="F399" s="78"/>
      <c r="G399" s="78"/>
      <c r="H399" s="78"/>
      <c r="I399" s="79"/>
      <c r="J399" s="86"/>
      <c r="K399" s="87"/>
      <c r="L399" s="86"/>
      <c r="M399" s="87"/>
      <c r="N399" s="77"/>
      <c r="O399" s="79"/>
      <c r="P399" s="92"/>
      <c r="Q399" s="93"/>
      <c r="S399" s="99"/>
      <c r="T399" s="99"/>
      <c r="U399" s="99"/>
      <c r="V399" s="99"/>
      <c r="W399" s="99"/>
      <c r="X399" s="99"/>
      <c r="Y399" s="99"/>
      <c r="Z399" s="99"/>
      <c r="AA399" s="99"/>
      <c r="AB399" s="99"/>
      <c r="AC399" s="98"/>
      <c r="AD399" s="98"/>
      <c r="AE399" s="98"/>
      <c r="AF399" s="98"/>
      <c r="AG399" s="98"/>
      <c r="AH399" s="98"/>
    </row>
    <row r="400" spans="2:34" x14ac:dyDescent="0.25">
      <c r="B400" s="73"/>
      <c r="C400" s="74"/>
      <c r="D400" s="80"/>
      <c r="E400" s="81"/>
      <c r="F400" s="81"/>
      <c r="G400" s="81"/>
      <c r="H400" s="81"/>
      <c r="I400" s="82"/>
      <c r="J400" s="88"/>
      <c r="K400" s="89"/>
      <c r="L400" s="88"/>
      <c r="M400" s="89"/>
      <c r="N400" s="80"/>
      <c r="O400" s="82"/>
      <c r="P400" s="94"/>
      <c r="Q400" s="95"/>
      <c r="S400" s="99"/>
      <c r="T400" s="99"/>
      <c r="U400" s="99"/>
      <c r="V400" s="99"/>
      <c r="W400" s="99"/>
      <c r="X400" s="99"/>
      <c r="Y400" s="99"/>
      <c r="Z400" s="99"/>
      <c r="AA400" s="99"/>
      <c r="AB400" s="99"/>
      <c r="AC400" s="98"/>
      <c r="AD400" s="98"/>
      <c r="AE400" s="98"/>
      <c r="AF400" s="98"/>
      <c r="AG400" s="98"/>
      <c r="AH400" s="98"/>
    </row>
    <row r="401" spans="2:34" x14ac:dyDescent="0.25">
      <c r="B401" s="75"/>
      <c r="C401" s="76"/>
      <c r="D401" s="83"/>
      <c r="E401" s="84"/>
      <c r="F401" s="84"/>
      <c r="G401" s="84"/>
      <c r="H401" s="84"/>
      <c r="I401" s="85"/>
      <c r="J401" s="90"/>
      <c r="K401" s="91"/>
      <c r="L401" s="90"/>
      <c r="M401" s="91"/>
      <c r="N401" s="83"/>
      <c r="O401" s="85"/>
      <c r="P401" s="96"/>
      <c r="Q401" s="97"/>
      <c r="S401" s="99"/>
      <c r="T401" s="99"/>
      <c r="U401" s="99"/>
      <c r="V401" s="99"/>
      <c r="W401" s="99"/>
      <c r="X401" s="99"/>
      <c r="Y401" s="99"/>
      <c r="Z401" s="99"/>
      <c r="AA401" s="99"/>
      <c r="AB401" s="99"/>
      <c r="AC401" s="98"/>
      <c r="AD401" s="98"/>
      <c r="AE401" s="98"/>
      <c r="AF401" s="98"/>
      <c r="AG401" s="98"/>
      <c r="AH401" s="98"/>
    </row>
    <row r="402" spans="2:34" x14ac:dyDescent="0.25">
      <c r="B402" s="71"/>
      <c r="C402" s="72"/>
      <c r="D402" s="77"/>
      <c r="E402" s="78"/>
      <c r="F402" s="78"/>
      <c r="G402" s="78"/>
      <c r="H402" s="78"/>
      <c r="I402" s="79"/>
      <c r="J402" s="86"/>
      <c r="K402" s="87"/>
      <c r="L402" s="86"/>
      <c r="M402" s="87"/>
      <c r="N402" s="77"/>
      <c r="O402" s="79"/>
      <c r="P402" s="92"/>
      <c r="Q402" s="93"/>
      <c r="S402" s="99"/>
      <c r="T402" s="99"/>
      <c r="U402" s="99"/>
      <c r="V402" s="99"/>
      <c r="W402" s="99"/>
      <c r="X402" s="99"/>
      <c r="Y402" s="99"/>
      <c r="Z402" s="99"/>
      <c r="AA402" s="99"/>
      <c r="AB402" s="99"/>
      <c r="AC402" s="98"/>
      <c r="AD402" s="98"/>
      <c r="AE402" s="98"/>
      <c r="AF402" s="98"/>
      <c r="AG402" s="98"/>
      <c r="AH402" s="98"/>
    </row>
    <row r="403" spans="2:34" x14ac:dyDescent="0.25">
      <c r="B403" s="73"/>
      <c r="C403" s="74"/>
      <c r="D403" s="80"/>
      <c r="E403" s="81"/>
      <c r="F403" s="81"/>
      <c r="G403" s="81"/>
      <c r="H403" s="81"/>
      <c r="I403" s="82"/>
      <c r="J403" s="88"/>
      <c r="K403" s="89"/>
      <c r="L403" s="88"/>
      <c r="M403" s="89"/>
      <c r="N403" s="80"/>
      <c r="O403" s="82"/>
      <c r="P403" s="94"/>
      <c r="Q403" s="95"/>
      <c r="S403" s="99"/>
      <c r="T403" s="99"/>
      <c r="U403" s="99"/>
      <c r="V403" s="99"/>
      <c r="W403" s="99"/>
      <c r="X403" s="99"/>
      <c r="Y403" s="99"/>
      <c r="Z403" s="99"/>
      <c r="AA403" s="99"/>
      <c r="AB403" s="99"/>
      <c r="AC403" s="98"/>
      <c r="AD403" s="98"/>
      <c r="AE403" s="98"/>
      <c r="AF403" s="98"/>
      <c r="AG403" s="98"/>
      <c r="AH403" s="98"/>
    </row>
    <row r="404" spans="2:34" x14ac:dyDescent="0.25">
      <c r="B404" s="75"/>
      <c r="C404" s="76"/>
      <c r="D404" s="83"/>
      <c r="E404" s="84"/>
      <c r="F404" s="84"/>
      <c r="G404" s="84"/>
      <c r="H404" s="84"/>
      <c r="I404" s="85"/>
      <c r="J404" s="90"/>
      <c r="K404" s="91"/>
      <c r="L404" s="90"/>
      <c r="M404" s="91"/>
      <c r="N404" s="83"/>
      <c r="O404" s="85"/>
      <c r="P404" s="96"/>
      <c r="Q404" s="97"/>
      <c r="S404" s="99"/>
      <c r="T404" s="99"/>
      <c r="U404" s="99"/>
      <c r="V404" s="99"/>
      <c r="W404" s="99"/>
      <c r="X404" s="99"/>
      <c r="Y404" s="99"/>
      <c r="Z404" s="99"/>
      <c r="AA404" s="99"/>
      <c r="AB404" s="99"/>
      <c r="AC404" s="98"/>
      <c r="AD404" s="98"/>
      <c r="AE404" s="98"/>
      <c r="AF404" s="98"/>
      <c r="AG404" s="98"/>
      <c r="AH404" s="98"/>
    </row>
    <row r="405" spans="2:34" x14ac:dyDescent="0.25">
      <c r="B405" s="71"/>
      <c r="C405" s="72"/>
      <c r="D405" s="77"/>
      <c r="E405" s="78"/>
      <c r="F405" s="78"/>
      <c r="G405" s="78"/>
      <c r="H405" s="78"/>
      <c r="I405" s="79"/>
      <c r="J405" s="86"/>
      <c r="K405" s="87"/>
      <c r="L405" s="86"/>
      <c r="M405" s="87"/>
      <c r="N405" s="77"/>
      <c r="O405" s="79"/>
      <c r="P405" s="92"/>
      <c r="Q405" s="93"/>
      <c r="S405" s="99"/>
      <c r="T405" s="99"/>
      <c r="U405" s="99"/>
      <c r="V405" s="99"/>
      <c r="W405" s="99"/>
      <c r="X405" s="99"/>
      <c r="Y405" s="99"/>
      <c r="Z405" s="99"/>
      <c r="AA405" s="99"/>
      <c r="AB405" s="99"/>
      <c r="AC405" s="98"/>
      <c r="AD405" s="98"/>
      <c r="AE405" s="98"/>
      <c r="AF405" s="98"/>
      <c r="AG405" s="98"/>
      <c r="AH405" s="98"/>
    </row>
    <row r="406" spans="2:34" x14ac:dyDescent="0.25">
      <c r="B406" s="73"/>
      <c r="C406" s="74"/>
      <c r="D406" s="80"/>
      <c r="E406" s="81"/>
      <c r="F406" s="81"/>
      <c r="G406" s="81"/>
      <c r="H406" s="81"/>
      <c r="I406" s="82"/>
      <c r="J406" s="88"/>
      <c r="K406" s="89"/>
      <c r="L406" s="88"/>
      <c r="M406" s="89"/>
      <c r="N406" s="80"/>
      <c r="O406" s="82"/>
      <c r="P406" s="94"/>
      <c r="Q406" s="95"/>
      <c r="S406" s="99"/>
      <c r="T406" s="99"/>
      <c r="U406" s="99"/>
      <c r="V406" s="99"/>
      <c r="W406" s="99"/>
      <c r="X406" s="99"/>
      <c r="Y406" s="99"/>
      <c r="Z406" s="99"/>
      <c r="AA406" s="99"/>
      <c r="AB406" s="99"/>
      <c r="AC406" s="98"/>
      <c r="AD406" s="98"/>
      <c r="AE406" s="98"/>
      <c r="AF406" s="98"/>
      <c r="AG406" s="98"/>
      <c r="AH406" s="98"/>
    </row>
    <row r="407" spans="2:34" x14ac:dyDescent="0.25">
      <c r="B407" s="75"/>
      <c r="C407" s="76"/>
      <c r="D407" s="83"/>
      <c r="E407" s="84"/>
      <c r="F407" s="84"/>
      <c r="G407" s="84"/>
      <c r="H407" s="84"/>
      <c r="I407" s="85"/>
      <c r="J407" s="90"/>
      <c r="K407" s="91"/>
      <c r="L407" s="90"/>
      <c r="M407" s="91"/>
      <c r="N407" s="83"/>
      <c r="O407" s="85"/>
      <c r="P407" s="96"/>
      <c r="Q407" s="97"/>
      <c r="S407" s="99"/>
      <c r="T407" s="99"/>
      <c r="U407" s="99"/>
      <c r="V407" s="99"/>
      <c r="W407" s="99"/>
      <c r="X407" s="99"/>
      <c r="Y407" s="99"/>
      <c r="Z407" s="99"/>
      <c r="AA407" s="99"/>
      <c r="AB407" s="99"/>
      <c r="AC407" s="98"/>
      <c r="AD407" s="98"/>
      <c r="AE407" s="98"/>
      <c r="AF407" s="98"/>
      <c r="AG407" s="98"/>
      <c r="AH407" s="98"/>
    </row>
    <row r="408" spans="2:34" x14ac:dyDescent="0.25">
      <c r="B408" s="71"/>
      <c r="C408" s="72"/>
      <c r="D408" s="77"/>
      <c r="E408" s="78"/>
      <c r="F408" s="78"/>
      <c r="G408" s="78"/>
      <c r="H408" s="78"/>
      <c r="I408" s="79"/>
      <c r="J408" s="86"/>
      <c r="K408" s="87"/>
      <c r="L408" s="86"/>
      <c r="M408" s="87"/>
      <c r="N408" s="77"/>
      <c r="O408" s="79"/>
      <c r="P408" s="92"/>
      <c r="Q408" s="93"/>
      <c r="S408" s="99"/>
      <c r="T408" s="99"/>
      <c r="U408" s="99"/>
      <c r="V408" s="99"/>
      <c r="W408" s="99"/>
      <c r="X408" s="99"/>
      <c r="Y408" s="99"/>
      <c r="Z408" s="99"/>
      <c r="AA408" s="99"/>
      <c r="AB408" s="99"/>
      <c r="AC408" s="98"/>
      <c r="AD408" s="98"/>
      <c r="AE408" s="98"/>
      <c r="AF408" s="98"/>
      <c r="AG408" s="98"/>
      <c r="AH408" s="98"/>
    </row>
    <row r="409" spans="2:34" x14ac:dyDescent="0.25">
      <c r="B409" s="73"/>
      <c r="C409" s="74"/>
      <c r="D409" s="80"/>
      <c r="E409" s="81"/>
      <c r="F409" s="81"/>
      <c r="G409" s="81"/>
      <c r="H409" s="81"/>
      <c r="I409" s="82"/>
      <c r="J409" s="88"/>
      <c r="K409" s="89"/>
      <c r="L409" s="88"/>
      <c r="M409" s="89"/>
      <c r="N409" s="80"/>
      <c r="O409" s="82"/>
      <c r="P409" s="94"/>
      <c r="Q409" s="95"/>
      <c r="S409" s="99"/>
      <c r="T409" s="99"/>
      <c r="U409" s="99"/>
      <c r="V409" s="99"/>
      <c r="W409" s="99"/>
      <c r="X409" s="99"/>
      <c r="Y409" s="99"/>
      <c r="Z409" s="99"/>
      <c r="AA409" s="99"/>
      <c r="AB409" s="99"/>
      <c r="AC409" s="98"/>
      <c r="AD409" s="98"/>
      <c r="AE409" s="98"/>
      <c r="AF409" s="98"/>
      <c r="AG409" s="98"/>
      <c r="AH409" s="98"/>
    </row>
    <row r="410" spans="2:34" x14ac:dyDescent="0.25">
      <c r="B410" s="75"/>
      <c r="C410" s="76"/>
      <c r="D410" s="83"/>
      <c r="E410" s="84"/>
      <c r="F410" s="84"/>
      <c r="G410" s="84"/>
      <c r="H410" s="84"/>
      <c r="I410" s="85"/>
      <c r="J410" s="90"/>
      <c r="K410" s="91"/>
      <c r="L410" s="90"/>
      <c r="M410" s="91"/>
      <c r="N410" s="83"/>
      <c r="O410" s="85"/>
      <c r="P410" s="96"/>
      <c r="Q410" s="97"/>
      <c r="S410" s="99"/>
      <c r="T410" s="99"/>
      <c r="U410" s="99"/>
      <c r="V410" s="99"/>
      <c r="W410" s="99"/>
      <c r="X410" s="99"/>
      <c r="Y410" s="99"/>
      <c r="Z410" s="99"/>
      <c r="AA410" s="99"/>
      <c r="AB410" s="99"/>
      <c r="AC410" s="98"/>
      <c r="AD410" s="98"/>
      <c r="AE410" s="98"/>
      <c r="AF410" s="98"/>
      <c r="AG410" s="98"/>
      <c r="AH410" s="98"/>
    </row>
    <row r="411" spans="2:34" x14ac:dyDescent="0.25">
      <c r="B411" s="71"/>
      <c r="C411" s="72"/>
      <c r="D411" s="77"/>
      <c r="E411" s="78"/>
      <c r="F411" s="78"/>
      <c r="G411" s="78"/>
      <c r="H411" s="78"/>
      <c r="I411" s="79"/>
      <c r="J411" s="86"/>
      <c r="K411" s="87"/>
      <c r="L411" s="86"/>
      <c r="M411" s="87"/>
      <c r="N411" s="77"/>
      <c r="O411" s="79"/>
      <c r="P411" s="92"/>
      <c r="Q411" s="93"/>
      <c r="S411" s="99"/>
      <c r="T411" s="99"/>
      <c r="U411" s="99"/>
      <c r="V411" s="99"/>
      <c r="W411" s="99"/>
      <c r="X411" s="99"/>
      <c r="Y411" s="99"/>
      <c r="Z411" s="99"/>
      <c r="AA411" s="99"/>
      <c r="AB411" s="99"/>
      <c r="AC411" s="98"/>
      <c r="AD411" s="98"/>
      <c r="AE411" s="98"/>
      <c r="AF411" s="98"/>
      <c r="AG411" s="98"/>
      <c r="AH411" s="98"/>
    </row>
    <row r="412" spans="2:34" x14ac:dyDescent="0.25">
      <c r="B412" s="73"/>
      <c r="C412" s="74"/>
      <c r="D412" s="80"/>
      <c r="E412" s="81"/>
      <c r="F412" s="81"/>
      <c r="G412" s="81"/>
      <c r="H412" s="81"/>
      <c r="I412" s="82"/>
      <c r="J412" s="88"/>
      <c r="K412" s="89"/>
      <c r="L412" s="88"/>
      <c r="M412" s="89"/>
      <c r="N412" s="80"/>
      <c r="O412" s="82"/>
      <c r="P412" s="94"/>
      <c r="Q412" s="95"/>
      <c r="S412" s="99"/>
      <c r="T412" s="99"/>
      <c r="U412" s="99"/>
      <c r="V412" s="99"/>
      <c r="W412" s="99"/>
      <c r="X412" s="99"/>
      <c r="Y412" s="99"/>
      <c r="Z412" s="99"/>
      <c r="AA412" s="99"/>
      <c r="AB412" s="99"/>
      <c r="AC412" s="98"/>
      <c r="AD412" s="98"/>
      <c r="AE412" s="98"/>
      <c r="AF412" s="98"/>
      <c r="AG412" s="98"/>
      <c r="AH412" s="98"/>
    </row>
    <row r="413" spans="2:34" x14ac:dyDescent="0.25">
      <c r="B413" s="75"/>
      <c r="C413" s="76"/>
      <c r="D413" s="83"/>
      <c r="E413" s="84"/>
      <c r="F413" s="84"/>
      <c r="G413" s="84"/>
      <c r="H413" s="84"/>
      <c r="I413" s="85"/>
      <c r="J413" s="90"/>
      <c r="K413" s="91"/>
      <c r="L413" s="90"/>
      <c r="M413" s="91"/>
      <c r="N413" s="83"/>
      <c r="O413" s="85"/>
      <c r="P413" s="96"/>
      <c r="Q413" s="97"/>
      <c r="S413" s="99"/>
      <c r="T413" s="99"/>
      <c r="U413" s="99"/>
      <c r="V413" s="99"/>
      <c r="W413" s="99"/>
      <c r="X413" s="99"/>
      <c r="Y413" s="99"/>
      <c r="Z413" s="99"/>
      <c r="AA413" s="99"/>
      <c r="AB413" s="99"/>
      <c r="AC413" s="98"/>
      <c r="AD413" s="98"/>
      <c r="AE413" s="98"/>
      <c r="AF413" s="98"/>
      <c r="AG413" s="98"/>
      <c r="AH413" s="98"/>
    </row>
    <row r="414" spans="2:34" x14ac:dyDescent="0.25">
      <c r="B414" s="71"/>
      <c r="C414" s="72"/>
      <c r="D414" s="77"/>
      <c r="E414" s="78"/>
      <c r="F414" s="78"/>
      <c r="G414" s="78"/>
      <c r="H414" s="78"/>
      <c r="I414" s="79"/>
      <c r="J414" s="86"/>
      <c r="K414" s="87"/>
      <c r="L414" s="86"/>
      <c r="M414" s="87"/>
      <c r="N414" s="77"/>
      <c r="O414" s="79"/>
      <c r="P414" s="92"/>
      <c r="Q414" s="93"/>
      <c r="S414" s="99"/>
      <c r="T414" s="99"/>
      <c r="U414" s="99"/>
      <c r="V414" s="99"/>
      <c r="W414" s="99"/>
      <c r="X414" s="99"/>
      <c r="Y414" s="99"/>
      <c r="Z414" s="99"/>
      <c r="AA414" s="99"/>
      <c r="AB414" s="99"/>
      <c r="AC414" s="98"/>
      <c r="AD414" s="98"/>
      <c r="AE414" s="98"/>
      <c r="AF414" s="98"/>
      <c r="AG414" s="98"/>
      <c r="AH414" s="98"/>
    </row>
    <row r="415" spans="2:34" x14ac:dyDescent="0.25">
      <c r="B415" s="73"/>
      <c r="C415" s="74"/>
      <c r="D415" s="80"/>
      <c r="E415" s="81"/>
      <c r="F415" s="81"/>
      <c r="G415" s="81"/>
      <c r="H415" s="81"/>
      <c r="I415" s="82"/>
      <c r="J415" s="88"/>
      <c r="K415" s="89"/>
      <c r="L415" s="88"/>
      <c r="M415" s="89"/>
      <c r="N415" s="80"/>
      <c r="O415" s="82"/>
      <c r="P415" s="94"/>
      <c r="Q415" s="95"/>
      <c r="S415" s="99"/>
      <c r="T415" s="99"/>
      <c r="U415" s="99"/>
      <c r="V415" s="99"/>
      <c r="W415" s="99"/>
      <c r="X415" s="99"/>
      <c r="Y415" s="99"/>
      <c r="Z415" s="99"/>
      <c r="AA415" s="99"/>
      <c r="AB415" s="99"/>
      <c r="AC415" s="98"/>
      <c r="AD415" s="98"/>
      <c r="AE415" s="98"/>
      <c r="AF415" s="98"/>
      <c r="AG415" s="98"/>
      <c r="AH415" s="98"/>
    </row>
    <row r="416" spans="2:34" x14ac:dyDescent="0.25">
      <c r="B416" s="75"/>
      <c r="C416" s="76"/>
      <c r="D416" s="83"/>
      <c r="E416" s="84"/>
      <c r="F416" s="84"/>
      <c r="G416" s="84"/>
      <c r="H416" s="84"/>
      <c r="I416" s="85"/>
      <c r="J416" s="90"/>
      <c r="K416" s="91"/>
      <c r="L416" s="90"/>
      <c r="M416" s="91"/>
      <c r="N416" s="83"/>
      <c r="O416" s="85"/>
      <c r="P416" s="96"/>
      <c r="Q416" s="97"/>
      <c r="S416" s="99"/>
      <c r="T416" s="99"/>
      <c r="U416" s="99"/>
      <c r="V416" s="99"/>
      <c r="W416" s="99"/>
      <c r="X416" s="99"/>
      <c r="Y416" s="99"/>
      <c r="Z416" s="99"/>
      <c r="AA416" s="99"/>
      <c r="AB416" s="99"/>
      <c r="AC416" s="98"/>
      <c r="AD416" s="98"/>
      <c r="AE416" s="98"/>
      <c r="AF416" s="98"/>
      <c r="AG416" s="98"/>
      <c r="AH416" s="98"/>
    </row>
    <row r="417" spans="2:34" x14ac:dyDescent="0.25">
      <c r="B417" s="71"/>
      <c r="C417" s="72"/>
      <c r="D417" s="77"/>
      <c r="E417" s="78"/>
      <c r="F417" s="78"/>
      <c r="G417" s="78"/>
      <c r="H417" s="78"/>
      <c r="I417" s="79"/>
      <c r="J417" s="86"/>
      <c r="K417" s="87"/>
      <c r="L417" s="86"/>
      <c r="M417" s="87"/>
      <c r="N417" s="77"/>
      <c r="O417" s="79"/>
      <c r="P417" s="92"/>
      <c r="Q417" s="93"/>
      <c r="S417" s="99"/>
      <c r="T417" s="99"/>
      <c r="U417" s="99"/>
      <c r="V417" s="99"/>
      <c r="W417" s="99"/>
      <c r="X417" s="99"/>
      <c r="Y417" s="99"/>
      <c r="Z417" s="99"/>
      <c r="AA417" s="99"/>
      <c r="AB417" s="99"/>
      <c r="AC417" s="98"/>
      <c r="AD417" s="98"/>
      <c r="AE417" s="98"/>
      <c r="AF417" s="98"/>
      <c r="AG417" s="98"/>
      <c r="AH417" s="98"/>
    </row>
    <row r="418" spans="2:34" x14ac:dyDescent="0.25">
      <c r="B418" s="73"/>
      <c r="C418" s="74"/>
      <c r="D418" s="80"/>
      <c r="E418" s="81"/>
      <c r="F418" s="81"/>
      <c r="G418" s="81"/>
      <c r="H418" s="81"/>
      <c r="I418" s="82"/>
      <c r="J418" s="88"/>
      <c r="K418" s="89"/>
      <c r="L418" s="88"/>
      <c r="M418" s="89"/>
      <c r="N418" s="80"/>
      <c r="O418" s="82"/>
      <c r="P418" s="94"/>
      <c r="Q418" s="95"/>
      <c r="S418" s="99"/>
      <c r="T418" s="99"/>
      <c r="U418" s="99"/>
      <c r="V418" s="99"/>
      <c r="W418" s="99"/>
      <c r="X418" s="99"/>
      <c r="Y418" s="99"/>
      <c r="Z418" s="99"/>
      <c r="AA418" s="99"/>
      <c r="AB418" s="99"/>
      <c r="AC418" s="98"/>
      <c r="AD418" s="98"/>
      <c r="AE418" s="98"/>
      <c r="AF418" s="98"/>
      <c r="AG418" s="98"/>
      <c r="AH418" s="98"/>
    </row>
    <row r="419" spans="2:34" x14ac:dyDescent="0.25">
      <c r="B419" s="75"/>
      <c r="C419" s="76"/>
      <c r="D419" s="83"/>
      <c r="E419" s="84"/>
      <c r="F419" s="84"/>
      <c r="G419" s="84"/>
      <c r="H419" s="84"/>
      <c r="I419" s="85"/>
      <c r="J419" s="90"/>
      <c r="K419" s="91"/>
      <c r="L419" s="90"/>
      <c r="M419" s="91"/>
      <c r="N419" s="83"/>
      <c r="O419" s="85"/>
      <c r="P419" s="96"/>
      <c r="Q419" s="97"/>
      <c r="S419" s="99"/>
      <c r="T419" s="99"/>
      <c r="U419" s="99"/>
      <c r="V419" s="99"/>
      <c r="W419" s="99"/>
      <c r="X419" s="99"/>
      <c r="Y419" s="99"/>
      <c r="Z419" s="99"/>
      <c r="AA419" s="99"/>
      <c r="AB419" s="99"/>
      <c r="AC419" s="98"/>
      <c r="AD419" s="98"/>
      <c r="AE419" s="98"/>
      <c r="AF419" s="98"/>
      <c r="AG419" s="98"/>
      <c r="AH419" s="98"/>
    </row>
    <row r="420" spans="2:34" x14ac:dyDescent="0.25">
      <c r="B420" s="71"/>
      <c r="C420" s="72"/>
      <c r="D420" s="77"/>
      <c r="E420" s="78"/>
      <c r="F420" s="78"/>
      <c r="G420" s="78"/>
      <c r="H420" s="78"/>
      <c r="I420" s="79"/>
      <c r="J420" s="86"/>
      <c r="K420" s="87"/>
      <c r="L420" s="86"/>
      <c r="M420" s="87"/>
      <c r="N420" s="77"/>
      <c r="O420" s="79"/>
      <c r="P420" s="92"/>
      <c r="Q420" s="93"/>
      <c r="S420" s="99"/>
      <c r="T420" s="99"/>
      <c r="U420" s="99"/>
      <c r="V420" s="99"/>
      <c r="W420" s="99"/>
      <c r="X420" s="99"/>
      <c r="Y420" s="99"/>
      <c r="Z420" s="99"/>
      <c r="AA420" s="99"/>
      <c r="AB420" s="99"/>
      <c r="AC420" s="98"/>
      <c r="AD420" s="98"/>
      <c r="AE420" s="98"/>
      <c r="AF420" s="98"/>
      <c r="AG420" s="98"/>
      <c r="AH420" s="98"/>
    </row>
    <row r="421" spans="2:34" x14ac:dyDescent="0.25">
      <c r="B421" s="73"/>
      <c r="C421" s="74"/>
      <c r="D421" s="80"/>
      <c r="E421" s="81"/>
      <c r="F421" s="81"/>
      <c r="G421" s="81"/>
      <c r="H421" s="81"/>
      <c r="I421" s="82"/>
      <c r="J421" s="88"/>
      <c r="K421" s="89"/>
      <c r="L421" s="88"/>
      <c r="M421" s="89"/>
      <c r="N421" s="80"/>
      <c r="O421" s="82"/>
      <c r="P421" s="94"/>
      <c r="Q421" s="95"/>
      <c r="S421" s="99"/>
      <c r="T421" s="99"/>
      <c r="U421" s="99"/>
      <c r="V421" s="99"/>
      <c r="W421" s="99"/>
      <c r="X421" s="99"/>
      <c r="Y421" s="99"/>
      <c r="Z421" s="99"/>
      <c r="AA421" s="99"/>
      <c r="AB421" s="99"/>
      <c r="AC421" s="98"/>
      <c r="AD421" s="98"/>
      <c r="AE421" s="98"/>
      <c r="AF421" s="98"/>
      <c r="AG421" s="98"/>
      <c r="AH421" s="98"/>
    </row>
    <row r="422" spans="2:34" x14ac:dyDescent="0.25">
      <c r="B422" s="75"/>
      <c r="C422" s="76"/>
      <c r="D422" s="83"/>
      <c r="E422" s="84"/>
      <c r="F422" s="84"/>
      <c r="G422" s="84"/>
      <c r="H422" s="84"/>
      <c r="I422" s="85"/>
      <c r="J422" s="90"/>
      <c r="K422" s="91"/>
      <c r="L422" s="90"/>
      <c r="M422" s="91"/>
      <c r="N422" s="83"/>
      <c r="O422" s="85"/>
      <c r="P422" s="96"/>
      <c r="Q422" s="97"/>
      <c r="S422" s="99"/>
      <c r="T422" s="99"/>
      <c r="U422" s="99"/>
      <c r="V422" s="99"/>
      <c r="W422" s="99"/>
      <c r="X422" s="99"/>
      <c r="Y422" s="99"/>
      <c r="Z422" s="99"/>
      <c r="AA422" s="99"/>
      <c r="AB422" s="99"/>
      <c r="AC422" s="98"/>
      <c r="AD422" s="98"/>
      <c r="AE422" s="98"/>
      <c r="AF422" s="98"/>
      <c r="AG422" s="98"/>
      <c r="AH422" s="98"/>
    </row>
    <row r="423" spans="2:34" x14ac:dyDescent="0.25">
      <c r="B423" s="71"/>
      <c r="C423" s="72"/>
      <c r="D423" s="77"/>
      <c r="E423" s="78"/>
      <c r="F423" s="78"/>
      <c r="G423" s="78"/>
      <c r="H423" s="78"/>
      <c r="I423" s="79"/>
      <c r="J423" s="86"/>
      <c r="K423" s="87"/>
      <c r="L423" s="86"/>
      <c r="M423" s="87"/>
      <c r="N423" s="77"/>
      <c r="O423" s="79"/>
      <c r="P423" s="92"/>
      <c r="Q423" s="93"/>
      <c r="S423" s="99"/>
      <c r="T423" s="99"/>
      <c r="U423" s="99"/>
      <c r="V423" s="99"/>
      <c r="W423" s="99"/>
      <c r="X423" s="99"/>
      <c r="Y423" s="99"/>
      <c r="Z423" s="99"/>
      <c r="AA423" s="99"/>
      <c r="AB423" s="99"/>
      <c r="AC423" s="98"/>
      <c r="AD423" s="98"/>
      <c r="AE423" s="98"/>
      <c r="AF423" s="98"/>
      <c r="AG423" s="98"/>
      <c r="AH423" s="98"/>
    </row>
    <row r="424" spans="2:34" x14ac:dyDescent="0.25">
      <c r="B424" s="73"/>
      <c r="C424" s="74"/>
      <c r="D424" s="80"/>
      <c r="E424" s="81"/>
      <c r="F424" s="81"/>
      <c r="G424" s="81"/>
      <c r="H424" s="81"/>
      <c r="I424" s="82"/>
      <c r="J424" s="88"/>
      <c r="K424" s="89"/>
      <c r="L424" s="88"/>
      <c r="M424" s="89"/>
      <c r="N424" s="80"/>
      <c r="O424" s="82"/>
      <c r="P424" s="94"/>
      <c r="Q424" s="95"/>
      <c r="S424" s="99"/>
      <c r="T424" s="99"/>
      <c r="U424" s="99"/>
      <c r="V424" s="99"/>
      <c r="W424" s="99"/>
      <c r="X424" s="99"/>
      <c r="Y424" s="99"/>
      <c r="Z424" s="99"/>
      <c r="AA424" s="99"/>
      <c r="AB424" s="99"/>
      <c r="AC424" s="98"/>
      <c r="AD424" s="98"/>
      <c r="AE424" s="98"/>
      <c r="AF424" s="98"/>
      <c r="AG424" s="98"/>
      <c r="AH424" s="98"/>
    </row>
    <row r="425" spans="2:34" x14ac:dyDescent="0.25">
      <c r="B425" s="75"/>
      <c r="C425" s="76"/>
      <c r="D425" s="83"/>
      <c r="E425" s="84"/>
      <c r="F425" s="84"/>
      <c r="G425" s="84"/>
      <c r="H425" s="84"/>
      <c r="I425" s="85"/>
      <c r="J425" s="90"/>
      <c r="K425" s="91"/>
      <c r="L425" s="90"/>
      <c r="M425" s="91"/>
      <c r="N425" s="83"/>
      <c r="O425" s="85"/>
      <c r="P425" s="96"/>
      <c r="Q425" s="97"/>
      <c r="S425" s="99"/>
      <c r="T425" s="99"/>
      <c r="U425" s="99"/>
      <c r="V425" s="99"/>
      <c r="W425" s="99"/>
      <c r="X425" s="99"/>
      <c r="Y425" s="99"/>
      <c r="Z425" s="99"/>
      <c r="AA425" s="99"/>
      <c r="AB425" s="99"/>
      <c r="AC425" s="98"/>
      <c r="AD425" s="98"/>
      <c r="AE425" s="98"/>
      <c r="AF425" s="98"/>
      <c r="AG425" s="98"/>
      <c r="AH425" s="98"/>
    </row>
    <row r="426" spans="2:34" x14ac:dyDescent="0.25">
      <c r="B426" s="71"/>
      <c r="C426" s="72"/>
      <c r="D426" s="77"/>
      <c r="E426" s="78"/>
      <c r="F426" s="78"/>
      <c r="G426" s="78"/>
      <c r="H426" s="78"/>
      <c r="I426" s="79"/>
      <c r="J426" s="86"/>
      <c r="K426" s="87"/>
      <c r="L426" s="86"/>
      <c r="M426" s="87"/>
      <c r="N426" s="77"/>
      <c r="O426" s="79"/>
      <c r="P426" s="92"/>
      <c r="Q426" s="93"/>
      <c r="S426" s="99"/>
      <c r="T426" s="99"/>
      <c r="U426" s="99"/>
      <c r="V426" s="99"/>
      <c r="W426" s="99"/>
      <c r="X426" s="99"/>
      <c r="Y426" s="99"/>
      <c r="Z426" s="99"/>
      <c r="AA426" s="99"/>
      <c r="AB426" s="99"/>
      <c r="AC426" s="98"/>
      <c r="AD426" s="98"/>
      <c r="AE426" s="98"/>
      <c r="AF426" s="98"/>
      <c r="AG426" s="98"/>
      <c r="AH426" s="98"/>
    </row>
    <row r="427" spans="2:34" x14ac:dyDescent="0.25">
      <c r="B427" s="73"/>
      <c r="C427" s="74"/>
      <c r="D427" s="80"/>
      <c r="E427" s="81"/>
      <c r="F427" s="81"/>
      <c r="G427" s="81"/>
      <c r="H427" s="81"/>
      <c r="I427" s="82"/>
      <c r="J427" s="88"/>
      <c r="K427" s="89"/>
      <c r="L427" s="88"/>
      <c r="M427" s="89"/>
      <c r="N427" s="80"/>
      <c r="O427" s="82"/>
      <c r="P427" s="94"/>
      <c r="Q427" s="95"/>
      <c r="S427" s="99"/>
      <c r="T427" s="99"/>
      <c r="U427" s="99"/>
      <c r="V427" s="99"/>
      <c r="W427" s="99"/>
      <c r="X427" s="99"/>
      <c r="Y427" s="99"/>
      <c r="Z427" s="99"/>
      <c r="AA427" s="99"/>
      <c r="AB427" s="99"/>
      <c r="AC427" s="98"/>
      <c r="AD427" s="98"/>
      <c r="AE427" s="98"/>
      <c r="AF427" s="98"/>
      <c r="AG427" s="98"/>
      <c r="AH427" s="98"/>
    </row>
    <row r="428" spans="2:34" x14ac:dyDescent="0.25">
      <c r="B428" s="75"/>
      <c r="C428" s="76"/>
      <c r="D428" s="83"/>
      <c r="E428" s="84"/>
      <c r="F428" s="84"/>
      <c r="G428" s="84"/>
      <c r="H428" s="84"/>
      <c r="I428" s="85"/>
      <c r="J428" s="90"/>
      <c r="K428" s="91"/>
      <c r="L428" s="90"/>
      <c r="M428" s="91"/>
      <c r="N428" s="83"/>
      <c r="O428" s="85"/>
      <c r="P428" s="96"/>
      <c r="Q428" s="97"/>
      <c r="S428" s="99"/>
      <c r="T428" s="99"/>
      <c r="U428" s="99"/>
      <c r="V428" s="99"/>
      <c r="W428" s="99"/>
      <c r="X428" s="99"/>
      <c r="Y428" s="99"/>
      <c r="Z428" s="99"/>
      <c r="AA428" s="99"/>
      <c r="AB428" s="99"/>
      <c r="AC428" s="98"/>
      <c r="AD428" s="98"/>
      <c r="AE428" s="98"/>
      <c r="AF428" s="98"/>
      <c r="AG428" s="98"/>
      <c r="AH428" s="98"/>
    </row>
    <row r="429" spans="2:34" x14ac:dyDescent="0.25">
      <c r="B429" s="71"/>
      <c r="C429" s="72"/>
      <c r="D429" s="77"/>
      <c r="E429" s="78"/>
      <c r="F429" s="78"/>
      <c r="G429" s="78"/>
      <c r="H429" s="78"/>
      <c r="I429" s="79"/>
      <c r="J429" s="86"/>
      <c r="K429" s="87"/>
      <c r="L429" s="86"/>
      <c r="M429" s="87"/>
      <c r="N429" s="77"/>
      <c r="O429" s="79"/>
      <c r="P429" s="92"/>
      <c r="Q429" s="93"/>
      <c r="S429" s="99"/>
      <c r="T429" s="99"/>
      <c r="U429" s="99"/>
      <c r="V429" s="99"/>
      <c r="W429" s="99"/>
      <c r="X429" s="99"/>
      <c r="Y429" s="99"/>
      <c r="Z429" s="99"/>
      <c r="AA429" s="99"/>
      <c r="AB429" s="99"/>
      <c r="AC429" s="98"/>
      <c r="AD429" s="98"/>
      <c r="AE429" s="98"/>
      <c r="AF429" s="98"/>
      <c r="AG429" s="98"/>
      <c r="AH429" s="98"/>
    </row>
    <row r="430" spans="2:34" x14ac:dyDescent="0.25">
      <c r="B430" s="73"/>
      <c r="C430" s="74"/>
      <c r="D430" s="80"/>
      <c r="E430" s="81"/>
      <c r="F430" s="81"/>
      <c r="G430" s="81"/>
      <c r="H430" s="81"/>
      <c r="I430" s="82"/>
      <c r="J430" s="88"/>
      <c r="K430" s="89"/>
      <c r="L430" s="88"/>
      <c r="M430" s="89"/>
      <c r="N430" s="80"/>
      <c r="O430" s="82"/>
      <c r="P430" s="94"/>
      <c r="Q430" s="95"/>
      <c r="S430" s="99"/>
      <c r="T430" s="99"/>
      <c r="U430" s="99"/>
      <c r="V430" s="99"/>
      <c r="W430" s="99"/>
      <c r="X430" s="99"/>
      <c r="Y430" s="99"/>
      <c r="Z430" s="99"/>
      <c r="AA430" s="99"/>
      <c r="AB430" s="99"/>
      <c r="AC430" s="98"/>
      <c r="AD430" s="98"/>
      <c r="AE430" s="98"/>
      <c r="AF430" s="98"/>
      <c r="AG430" s="98"/>
      <c r="AH430" s="98"/>
    </row>
    <row r="431" spans="2:34" x14ac:dyDescent="0.25">
      <c r="B431" s="75"/>
      <c r="C431" s="76"/>
      <c r="D431" s="83"/>
      <c r="E431" s="84"/>
      <c r="F431" s="84"/>
      <c r="G431" s="84"/>
      <c r="H431" s="84"/>
      <c r="I431" s="85"/>
      <c r="J431" s="90"/>
      <c r="K431" s="91"/>
      <c r="L431" s="90"/>
      <c r="M431" s="91"/>
      <c r="N431" s="83"/>
      <c r="O431" s="85"/>
      <c r="P431" s="96"/>
      <c r="Q431" s="97"/>
      <c r="S431" s="99"/>
      <c r="T431" s="99"/>
      <c r="U431" s="99"/>
      <c r="V431" s="99"/>
      <c r="W431" s="99"/>
      <c r="X431" s="99"/>
      <c r="Y431" s="99"/>
      <c r="Z431" s="99"/>
      <c r="AA431" s="99"/>
      <c r="AB431" s="99"/>
      <c r="AC431" s="98"/>
      <c r="AD431" s="98"/>
      <c r="AE431" s="98"/>
      <c r="AF431" s="98"/>
      <c r="AG431" s="98"/>
      <c r="AH431" s="98"/>
    </row>
    <row r="432" spans="2:34" x14ac:dyDescent="0.25">
      <c r="B432" s="71"/>
      <c r="C432" s="72"/>
      <c r="D432" s="77"/>
      <c r="E432" s="78"/>
      <c r="F432" s="78"/>
      <c r="G432" s="78"/>
      <c r="H432" s="78"/>
      <c r="I432" s="79"/>
      <c r="J432" s="86"/>
      <c r="K432" s="87"/>
      <c r="L432" s="86"/>
      <c r="M432" s="87"/>
      <c r="N432" s="77"/>
      <c r="O432" s="79"/>
      <c r="P432" s="92"/>
      <c r="Q432" s="93"/>
      <c r="S432" s="99"/>
      <c r="T432" s="99"/>
      <c r="U432" s="99"/>
      <c r="V432" s="99"/>
      <c r="W432" s="99"/>
      <c r="X432" s="99"/>
      <c r="Y432" s="99"/>
      <c r="Z432" s="99"/>
      <c r="AA432" s="99"/>
      <c r="AB432" s="99"/>
      <c r="AC432" s="98"/>
      <c r="AD432" s="98"/>
      <c r="AE432" s="98"/>
      <c r="AF432" s="98"/>
      <c r="AG432" s="98"/>
      <c r="AH432" s="98"/>
    </row>
    <row r="433" spans="2:34" x14ac:dyDescent="0.25">
      <c r="B433" s="73"/>
      <c r="C433" s="74"/>
      <c r="D433" s="80"/>
      <c r="E433" s="81"/>
      <c r="F433" s="81"/>
      <c r="G433" s="81"/>
      <c r="H433" s="81"/>
      <c r="I433" s="82"/>
      <c r="J433" s="88"/>
      <c r="K433" s="89"/>
      <c r="L433" s="88"/>
      <c r="M433" s="89"/>
      <c r="N433" s="80"/>
      <c r="O433" s="82"/>
      <c r="P433" s="94"/>
      <c r="Q433" s="95"/>
      <c r="S433" s="99"/>
      <c r="T433" s="99"/>
      <c r="U433" s="99"/>
      <c r="V433" s="99"/>
      <c r="W433" s="99"/>
      <c r="X433" s="99"/>
      <c r="Y433" s="99"/>
      <c r="Z433" s="99"/>
      <c r="AA433" s="99"/>
      <c r="AB433" s="99"/>
      <c r="AC433" s="98"/>
      <c r="AD433" s="98"/>
      <c r="AE433" s="98"/>
      <c r="AF433" s="98"/>
      <c r="AG433" s="98"/>
      <c r="AH433" s="98"/>
    </row>
    <row r="434" spans="2:34" x14ac:dyDescent="0.25">
      <c r="B434" s="75"/>
      <c r="C434" s="76"/>
      <c r="D434" s="83"/>
      <c r="E434" s="84"/>
      <c r="F434" s="84"/>
      <c r="G434" s="84"/>
      <c r="H434" s="84"/>
      <c r="I434" s="85"/>
      <c r="J434" s="90"/>
      <c r="K434" s="91"/>
      <c r="L434" s="90"/>
      <c r="M434" s="91"/>
      <c r="N434" s="83"/>
      <c r="O434" s="85"/>
      <c r="P434" s="96"/>
      <c r="Q434" s="97"/>
      <c r="S434" s="99"/>
      <c r="T434" s="99"/>
      <c r="U434" s="99"/>
      <c r="V434" s="99"/>
      <c r="W434" s="99"/>
      <c r="X434" s="99"/>
      <c r="Y434" s="99"/>
      <c r="Z434" s="99"/>
      <c r="AA434" s="99"/>
      <c r="AB434" s="99"/>
      <c r="AC434" s="98"/>
      <c r="AD434" s="98"/>
      <c r="AE434" s="98"/>
      <c r="AF434" s="98"/>
      <c r="AG434" s="98"/>
      <c r="AH434" s="98"/>
    </row>
    <row r="435" spans="2:34" x14ac:dyDescent="0.25">
      <c r="B435" s="71"/>
      <c r="C435" s="72"/>
      <c r="D435" s="77"/>
      <c r="E435" s="78"/>
      <c r="F435" s="78"/>
      <c r="G435" s="78"/>
      <c r="H435" s="78"/>
      <c r="I435" s="79"/>
      <c r="J435" s="86"/>
      <c r="K435" s="87"/>
      <c r="L435" s="86"/>
      <c r="M435" s="87"/>
      <c r="N435" s="77"/>
      <c r="O435" s="79"/>
      <c r="P435" s="92"/>
      <c r="Q435" s="93"/>
      <c r="S435" s="99"/>
      <c r="T435" s="99"/>
      <c r="U435" s="99"/>
      <c r="V435" s="99"/>
      <c r="W435" s="99"/>
      <c r="X435" s="99"/>
      <c r="Y435" s="99"/>
      <c r="Z435" s="99"/>
      <c r="AA435" s="99"/>
      <c r="AB435" s="99"/>
      <c r="AC435" s="98"/>
      <c r="AD435" s="98"/>
      <c r="AE435" s="98"/>
      <c r="AF435" s="98"/>
      <c r="AG435" s="98"/>
      <c r="AH435" s="98"/>
    </row>
    <row r="436" spans="2:34" x14ac:dyDescent="0.25">
      <c r="B436" s="73"/>
      <c r="C436" s="74"/>
      <c r="D436" s="80"/>
      <c r="E436" s="81"/>
      <c r="F436" s="81"/>
      <c r="G436" s="81"/>
      <c r="H436" s="81"/>
      <c r="I436" s="82"/>
      <c r="J436" s="88"/>
      <c r="K436" s="89"/>
      <c r="L436" s="88"/>
      <c r="M436" s="89"/>
      <c r="N436" s="80"/>
      <c r="O436" s="82"/>
      <c r="P436" s="94"/>
      <c r="Q436" s="95"/>
      <c r="S436" s="99"/>
      <c r="T436" s="99"/>
      <c r="U436" s="99"/>
      <c r="V436" s="99"/>
      <c r="W436" s="99"/>
      <c r="X436" s="99"/>
      <c r="Y436" s="99"/>
      <c r="Z436" s="99"/>
      <c r="AA436" s="99"/>
      <c r="AB436" s="99"/>
      <c r="AC436" s="98"/>
      <c r="AD436" s="98"/>
      <c r="AE436" s="98"/>
      <c r="AF436" s="98"/>
      <c r="AG436" s="98"/>
      <c r="AH436" s="98"/>
    </row>
    <row r="437" spans="2:34" x14ac:dyDescent="0.25">
      <c r="B437" s="75"/>
      <c r="C437" s="76"/>
      <c r="D437" s="83"/>
      <c r="E437" s="84"/>
      <c r="F437" s="84"/>
      <c r="G437" s="84"/>
      <c r="H437" s="84"/>
      <c r="I437" s="85"/>
      <c r="J437" s="90"/>
      <c r="K437" s="91"/>
      <c r="L437" s="90"/>
      <c r="M437" s="91"/>
      <c r="N437" s="83"/>
      <c r="O437" s="85"/>
      <c r="P437" s="96"/>
      <c r="Q437" s="97"/>
      <c r="S437" s="99"/>
      <c r="T437" s="99"/>
      <c r="U437" s="99"/>
      <c r="V437" s="99"/>
      <c r="W437" s="99"/>
      <c r="X437" s="99"/>
      <c r="Y437" s="99"/>
      <c r="Z437" s="99"/>
      <c r="AA437" s="99"/>
      <c r="AB437" s="99"/>
      <c r="AC437" s="98"/>
      <c r="AD437" s="98"/>
      <c r="AE437" s="98"/>
      <c r="AF437" s="98"/>
      <c r="AG437" s="98"/>
      <c r="AH437" s="98"/>
    </row>
    <row r="438" spans="2:34" x14ac:dyDescent="0.25">
      <c r="B438" s="71"/>
      <c r="C438" s="72"/>
      <c r="D438" s="77"/>
      <c r="E438" s="78"/>
      <c r="F438" s="78"/>
      <c r="G438" s="78"/>
      <c r="H438" s="78"/>
      <c r="I438" s="79"/>
      <c r="J438" s="86"/>
      <c r="K438" s="87"/>
      <c r="L438" s="86"/>
      <c r="M438" s="87"/>
      <c r="N438" s="77"/>
      <c r="O438" s="79"/>
      <c r="P438" s="92"/>
      <c r="Q438" s="93"/>
      <c r="S438" s="99"/>
      <c r="T438" s="99"/>
      <c r="U438" s="99"/>
      <c r="V438" s="99"/>
      <c r="W438" s="99"/>
      <c r="X438" s="99"/>
      <c r="Y438" s="99"/>
      <c r="Z438" s="99"/>
      <c r="AA438" s="99"/>
      <c r="AB438" s="99"/>
      <c r="AC438" s="98"/>
      <c r="AD438" s="98"/>
      <c r="AE438" s="98"/>
      <c r="AF438" s="98"/>
      <c r="AG438" s="98"/>
      <c r="AH438" s="98"/>
    </row>
    <row r="439" spans="2:34" x14ac:dyDescent="0.25">
      <c r="B439" s="73"/>
      <c r="C439" s="74"/>
      <c r="D439" s="80"/>
      <c r="E439" s="81"/>
      <c r="F439" s="81"/>
      <c r="G439" s="81"/>
      <c r="H439" s="81"/>
      <c r="I439" s="82"/>
      <c r="J439" s="88"/>
      <c r="K439" s="89"/>
      <c r="L439" s="88"/>
      <c r="M439" s="89"/>
      <c r="N439" s="80"/>
      <c r="O439" s="82"/>
      <c r="P439" s="94"/>
      <c r="Q439" s="95"/>
      <c r="S439" s="99"/>
      <c r="T439" s="99"/>
      <c r="U439" s="99"/>
      <c r="V439" s="99"/>
      <c r="W439" s="99"/>
      <c r="X439" s="99"/>
      <c r="Y439" s="99"/>
      <c r="Z439" s="99"/>
      <c r="AA439" s="99"/>
      <c r="AB439" s="99"/>
      <c r="AC439" s="98"/>
      <c r="AD439" s="98"/>
      <c r="AE439" s="98"/>
      <c r="AF439" s="98"/>
      <c r="AG439" s="98"/>
      <c r="AH439" s="98"/>
    </row>
    <row r="440" spans="2:34" x14ac:dyDescent="0.25">
      <c r="B440" s="75"/>
      <c r="C440" s="76"/>
      <c r="D440" s="83"/>
      <c r="E440" s="84"/>
      <c r="F440" s="84"/>
      <c r="G440" s="84"/>
      <c r="H440" s="84"/>
      <c r="I440" s="85"/>
      <c r="J440" s="90"/>
      <c r="K440" s="91"/>
      <c r="L440" s="90"/>
      <c r="M440" s="91"/>
      <c r="N440" s="83"/>
      <c r="O440" s="85"/>
      <c r="P440" s="96"/>
      <c r="Q440" s="97"/>
      <c r="S440" s="99"/>
      <c r="T440" s="99"/>
      <c r="U440" s="99"/>
      <c r="V440" s="99"/>
      <c r="W440" s="99"/>
      <c r="X440" s="99"/>
      <c r="Y440" s="99"/>
      <c r="Z440" s="99"/>
      <c r="AA440" s="99"/>
      <c r="AB440" s="99"/>
      <c r="AC440" s="98"/>
      <c r="AD440" s="98"/>
      <c r="AE440" s="98"/>
      <c r="AF440" s="98"/>
      <c r="AG440" s="98"/>
      <c r="AH440" s="98"/>
    </row>
    <row r="441" spans="2:34" x14ac:dyDescent="0.25">
      <c r="B441" s="71"/>
      <c r="C441" s="72"/>
      <c r="D441" s="77"/>
      <c r="E441" s="78"/>
      <c r="F441" s="78"/>
      <c r="G441" s="78"/>
      <c r="H441" s="78"/>
      <c r="I441" s="79"/>
      <c r="J441" s="86"/>
      <c r="K441" s="87"/>
      <c r="L441" s="86"/>
      <c r="M441" s="87"/>
      <c r="N441" s="77"/>
      <c r="O441" s="79"/>
      <c r="P441" s="92"/>
      <c r="Q441" s="93"/>
      <c r="S441" s="99"/>
      <c r="T441" s="99"/>
      <c r="U441" s="99"/>
      <c r="V441" s="99"/>
      <c r="W441" s="99"/>
      <c r="X441" s="99"/>
      <c r="Y441" s="99"/>
      <c r="Z441" s="99"/>
      <c r="AA441" s="99"/>
      <c r="AB441" s="99"/>
      <c r="AC441" s="98"/>
      <c r="AD441" s="98"/>
      <c r="AE441" s="98"/>
      <c r="AF441" s="98"/>
      <c r="AG441" s="98"/>
      <c r="AH441" s="98"/>
    </row>
    <row r="442" spans="2:34" x14ac:dyDescent="0.25">
      <c r="B442" s="73"/>
      <c r="C442" s="74"/>
      <c r="D442" s="80"/>
      <c r="E442" s="81"/>
      <c r="F442" s="81"/>
      <c r="G442" s="81"/>
      <c r="H442" s="81"/>
      <c r="I442" s="82"/>
      <c r="J442" s="88"/>
      <c r="K442" s="89"/>
      <c r="L442" s="88"/>
      <c r="M442" s="89"/>
      <c r="N442" s="80"/>
      <c r="O442" s="82"/>
      <c r="P442" s="94"/>
      <c r="Q442" s="95"/>
      <c r="S442" s="99"/>
      <c r="T442" s="99"/>
      <c r="U442" s="99"/>
      <c r="V442" s="99"/>
      <c r="W442" s="99"/>
      <c r="X442" s="99"/>
      <c r="Y442" s="99"/>
      <c r="Z442" s="99"/>
      <c r="AA442" s="99"/>
      <c r="AB442" s="99"/>
      <c r="AC442" s="98"/>
      <c r="AD442" s="98"/>
      <c r="AE442" s="98"/>
      <c r="AF442" s="98"/>
      <c r="AG442" s="98"/>
      <c r="AH442" s="98"/>
    </row>
    <row r="443" spans="2:34" x14ac:dyDescent="0.25">
      <c r="B443" s="75"/>
      <c r="C443" s="76"/>
      <c r="D443" s="83"/>
      <c r="E443" s="84"/>
      <c r="F443" s="84"/>
      <c r="G443" s="84"/>
      <c r="H443" s="84"/>
      <c r="I443" s="85"/>
      <c r="J443" s="90"/>
      <c r="K443" s="91"/>
      <c r="L443" s="90"/>
      <c r="M443" s="91"/>
      <c r="N443" s="83"/>
      <c r="O443" s="85"/>
      <c r="P443" s="96"/>
      <c r="Q443" s="97"/>
      <c r="S443" s="99"/>
      <c r="T443" s="99"/>
      <c r="U443" s="99"/>
      <c r="V443" s="99"/>
      <c r="W443" s="99"/>
      <c r="X443" s="99"/>
      <c r="Y443" s="99"/>
      <c r="Z443" s="99"/>
      <c r="AA443" s="99"/>
      <c r="AB443" s="99"/>
      <c r="AC443" s="98"/>
      <c r="AD443" s="98"/>
      <c r="AE443" s="98"/>
      <c r="AF443" s="98"/>
      <c r="AG443" s="98"/>
      <c r="AH443" s="98"/>
    </row>
    <row r="444" spans="2:34" x14ac:dyDescent="0.25">
      <c r="B444" s="71"/>
      <c r="C444" s="72"/>
      <c r="D444" s="77"/>
      <c r="E444" s="78"/>
      <c r="F444" s="78"/>
      <c r="G444" s="78"/>
      <c r="H444" s="78"/>
      <c r="I444" s="79"/>
      <c r="J444" s="86"/>
      <c r="K444" s="87"/>
      <c r="L444" s="86"/>
      <c r="M444" s="87"/>
      <c r="N444" s="77"/>
      <c r="O444" s="79"/>
      <c r="P444" s="92"/>
      <c r="Q444" s="93"/>
      <c r="S444" s="99"/>
      <c r="T444" s="99"/>
      <c r="U444" s="99"/>
      <c r="V444" s="99"/>
      <c r="W444" s="99"/>
      <c r="X444" s="99"/>
      <c r="Y444" s="99"/>
      <c r="Z444" s="99"/>
      <c r="AA444" s="99"/>
      <c r="AB444" s="99"/>
      <c r="AC444" s="98"/>
      <c r="AD444" s="98"/>
      <c r="AE444" s="98"/>
      <c r="AF444" s="98"/>
      <c r="AG444" s="98"/>
      <c r="AH444" s="98"/>
    </row>
    <row r="445" spans="2:34" x14ac:dyDescent="0.25">
      <c r="B445" s="73"/>
      <c r="C445" s="74"/>
      <c r="D445" s="80"/>
      <c r="E445" s="81"/>
      <c r="F445" s="81"/>
      <c r="G445" s="81"/>
      <c r="H445" s="81"/>
      <c r="I445" s="82"/>
      <c r="J445" s="88"/>
      <c r="K445" s="89"/>
      <c r="L445" s="88"/>
      <c r="M445" s="89"/>
      <c r="N445" s="80"/>
      <c r="O445" s="82"/>
      <c r="P445" s="94"/>
      <c r="Q445" s="95"/>
      <c r="S445" s="99"/>
      <c r="T445" s="99"/>
      <c r="U445" s="99"/>
      <c r="V445" s="99"/>
      <c r="W445" s="99"/>
      <c r="X445" s="99"/>
      <c r="Y445" s="99"/>
      <c r="Z445" s="99"/>
      <c r="AA445" s="99"/>
      <c r="AB445" s="99"/>
      <c r="AC445" s="98"/>
      <c r="AD445" s="98"/>
      <c r="AE445" s="98"/>
      <c r="AF445" s="98"/>
      <c r="AG445" s="98"/>
      <c r="AH445" s="98"/>
    </row>
    <row r="446" spans="2:34" x14ac:dyDescent="0.25">
      <c r="B446" s="75"/>
      <c r="C446" s="76"/>
      <c r="D446" s="83"/>
      <c r="E446" s="84"/>
      <c r="F446" s="84"/>
      <c r="G446" s="84"/>
      <c r="H446" s="84"/>
      <c r="I446" s="85"/>
      <c r="J446" s="90"/>
      <c r="K446" s="91"/>
      <c r="L446" s="90"/>
      <c r="M446" s="91"/>
      <c r="N446" s="83"/>
      <c r="O446" s="85"/>
      <c r="P446" s="96"/>
      <c r="Q446" s="97"/>
      <c r="S446" s="99"/>
      <c r="T446" s="99"/>
      <c r="U446" s="99"/>
      <c r="V446" s="99"/>
      <c r="W446" s="99"/>
      <c r="X446" s="99"/>
      <c r="Y446" s="99"/>
      <c r="Z446" s="99"/>
      <c r="AA446" s="99"/>
      <c r="AB446" s="99"/>
      <c r="AC446" s="98"/>
      <c r="AD446" s="98"/>
      <c r="AE446" s="98"/>
      <c r="AF446" s="98"/>
      <c r="AG446" s="98"/>
      <c r="AH446" s="98"/>
    </row>
    <row r="447" spans="2:34" x14ac:dyDescent="0.25">
      <c r="B447" s="71"/>
      <c r="C447" s="72"/>
      <c r="D447" s="77"/>
      <c r="E447" s="78"/>
      <c r="F447" s="78"/>
      <c r="G447" s="78"/>
      <c r="H447" s="78"/>
      <c r="I447" s="79"/>
      <c r="J447" s="86"/>
      <c r="K447" s="87"/>
      <c r="L447" s="86"/>
      <c r="M447" s="87"/>
      <c r="N447" s="77"/>
      <c r="O447" s="79"/>
      <c r="P447" s="92"/>
      <c r="Q447" s="93"/>
      <c r="S447" s="99"/>
      <c r="T447" s="99"/>
      <c r="U447" s="99"/>
      <c r="V447" s="99"/>
      <c r="W447" s="99"/>
      <c r="X447" s="99"/>
      <c r="Y447" s="99"/>
      <c r="Z447" s="99"/>
      <c r="AA447" s="99"/>
      <c r="AB447" s="99"/>
      <c r="AC447" s="98"/>
      <c r="AD447" s="98"/>
      <c r="AE447" s="98"/>
      <c r="AF447" s="98"/>
      <c r="AG447" s="98"/>
      <c r="AH447" s="98"/>
    </row>
    <row r="448" spans="2:34" x14ac:dyDescent="0.25">
      <c r="B448" s="73"/>
      <c r="C448" s="74"/>
      <c r="D448" s="80"/>
      <c r="E448" s="81"/>
      <c r="F448" s="81"/>
      <c r="G448" s="81"/>
      <c r="H448" s="81"/>
      <c r="I448" s="82"/>
      <c r="J448" s="88"/>
      <c r="K448" s="89"/>
      <c r="L448" s="88"/>
      <c r="M448" s="89"/>
      <c r="N448" s="80"/>
      <c r="O448" s="82"/>
      <c r="P448" s="94"/>
      <c r="Q448" s="95"/>
      <c r="S448" s="99"/>
      <c r="T448" s="99"/>
      <c r="U448" s="99"/>
      <c r="V448" s="99"/>
      <c r="W448" s="99"/>
      <c r="X448" s="99"/>
      <c r="Y448" s="99"/>
      <c r="Z448" s="99"/>
      <c r="AA448" s="99"/>
      <c r="AB448" s="99"/>
      <c r="AC448" s="98"/>
      <c r="AD448" s="98"/>
      <c r="AE448" s="98"/>
      <c r="AF448" s="98"/>
      <c r="AG448" s="98"/>
      <c r="AH448" s="98"/>
    </row>
    <row r="449" spans="2:34" x14ac:dyDescent="0.25">
      <c r="B449" s="75"/>
      <c r="C449" s="76"/>
      <c r="D449" s="83"/>
      <c r="E449" s="84"/>
      <c r="F449" s="84"/>
      <c r="G449" s="84"/>
      <c r="H449" s="84"/>
      <c r="I449" s="85"/>
      <c r="J449" s="90"/>
      <c r="K449" s="91"/>
      <c r="L449" s="90"/>
      <c r="M449" s="91"/>
      <c r="N449" s="83"/>
      <c r="O449" s="85"/>
      <c r="P449" s="96"/>
      <c r="Q449" s="97"/>
      <c r="S449" s="99"/>
      <c r="T449" s="99"/>
      <c r="U449" s="99"/>
      <c r="V449" s="99"/>
      <c r="W449" s="99"/>
      <c r="X449" s="99"/>
      <c r="Y449" s="99"/>
      <c r="Z449" s="99"/>
      <c r="AA449" s="99"/>
      <c r="AB449" s="99"/>
      <c r="AC449" s="98"/>
      <c r="AD449" s="98"/>
      <c r="AE449" s="98"/>
      <c r="AF449" s="98"/>
      <c r="AG449" s="98"/>
      <c r="AH449" s="98"/>
    </row>
    <row r="450" spans="2:34" x14ac:dyDescent="0.25">
      <c r="B450" s="71"/>
      <c r="C450" s="72"/>
      <c r="D450" s="77"/>
      <c r="E450" s="78"/>
      <c r="F450" s="78"/>
      <c r="G450" s="78"/>
      <c r="H450" s="78"/>
      <c r="I450" s="79"/>
      <c r="J450" s="86"/>
      <c r="K450" s="87"/>
      <c r="L450" s="86"/>
      <c r="M450" s="87"/>
      <c r="N450" s="77"/>
      <c r="O450" s="79"/>
      <c r="P450" s="92"/>
      <c r="Q450" s="93"/>
      <c r="S450" s="99"/>
      <c r="T450" s="99"/>
      <c r="U450" s="99"/>
      <c r="V450" s="99"/>
      <c r="W450" s="99"/>
      <c r="X450" s="99"/>
      <c r="Y450" s="99"/>
      <c r="Z450" s="99"/>
      <c r="AA450" s="99"/>
      <c r="AB450" s="99"/>
      <c r="AC450" s="98"/>
      <c r="AD450" s="98"/>
      <c r="AE450" s="98"/>
      <c r="AF450" s="98"/>
      <c r="AG450" s="98"/>
      <c r="AH450" s="98"/>
    </row>
    <row r="451" spans="2:34" x14ac:dyDescent="0.25">
      <c r="B451" s="73"/>
      <c r="C451" s="74"/>
      <c r="D451" s="80"/>
      <c r="E451" s="81"/>
      <c r="F451" s="81"/>
      <c r="G451" s="81"/>
      <c r="H451" s="81"/>
      <c r="I451" s="82"/>
      <c r="J451" s="88"/>
      <c r="K451" s="89"/>
      <c r="L451" s="88"/>
      <c r="M451" s="89"/>
      <c r="N451" s="80"/>
      <c r="O451" s="82"/>
      <c r="P451" s="94"/>
      <c r="Q451" s="95"/>
      <c r="S451" s="99"/>
      <c r="T451" s="99"/>
      <c r="U451" s="99"/>
      <c r="V451" s="99"/>
      <c r="W451" s="99"/>
      <c r="X451" s="99"/>
      <c r="Y451" s="99"/>
      <c r="Z451" s="99"/>
      <c r="AA451" s="99"/>
      <c r="AB451" s="99"/>
      <c r="AC451" s="98"/>
      <c r="AD451" s="98"/>
      <c r="AE451" s="98"/>
      <c r="AF451" s="98"/>
      <c r="AG451" s="98"/>
      <c r="AH451" s="98"/>
    </row>
    <row r="452" spans="2:34" x14ac:dyDescent="0.25">
      <c r="B452" s="75"/>
      <c r="C452" s="76"/>
      <c r="D452" s="83"/>
      <c r="E452" s="84"/>
      <c r="F452" s="84"/>
      <c r="G452" s="84"/>
      <c r="H452" s="84"/>
      <c r="I452" s="85"/>
      <c r="J452" s="90"/>
      <c r="K452" s="91"/>
      <c r="L452" s="90"/>
      <c r="M452" s="91"/>
      <c r="N452" s="83"/>
      <c r="O452" s="85"/>
      <c r="P452" s="96"/>
      <c r="Q452" s="97"/>
      <c r="S452" s="99"/>
      <c r="T452" s="99"/>
      <c r="U452" s="99"/>
      <c r="V452" s="99"/>
      <c r="W452" s="99"/>
      <c r="X452" s="99"/>
      <c r="Y452" s="99"/>
      <c r="Z452" s="99"/>
      <c r="AA452" s="99"/>
      <c r="AB452" s="99"/>
      <c r="AC452" s="98"/>
      <c r="AD452" s="98"/>
      <c r="AE452" s="98"/>
      <c r="AF452" s="98"/>
      <c r="AG452" s="98"/>
      <c r="AH452" s="98"/>
    </row>
    <row r="453" spans="2:34" x14ac:dyDescent="0.25">
      <c r="B453" s="71"/>
      <c r="C453" s="72"/>
      <c r="D453" s="77"/>
      <c r="E453" s="78"/>
      <c r="F453" s="78"/>
      <c r="G453" s="78"/>
      <c r="H453" s="78"/>
      <c r="I453" s="79"/>
      <c r="J453" s="86"/>
      <c r="K453" s="87"/>
      <c r="L453" s="86"/>
      <c r="M453" s="87"/>
      <c r="N453" s="77"/>
      <c r="O453" s="79"/>
      <c r="P453" s="92"/>
      <c r="Q453" s="93"/>
      <c r="S453" s="99"/>
      <c r="T453" s="99"/>
      <c r="U453" s="99"/>
      <c r="V453" s="99"/>
      <c r="W453" s="99"/>
      <c r="X453" s="99"/>
      <c r="Y453" s="99"/>
      <c r="Z453" s="99"/>
      <c r="AA453" s="99"/>
      <c r="AB453" s="99"/>
      <c r="AC453" s="98"/>
      <c r="AD453" s="98"/>
      <c r="AE453" s="98"/>
      <c r="AF453" s="98"/>
      <c r="AG453" s="98"/>
      <c r="AH453" s="98"/>
    </row>
    <row r="454" spans="2:34" x14ac:dyDescent="0.25">
      <c r="B454" s="73"/>
      <c r="C454" s="74"/>
      <c r="D454" s="80"/>
      <c r="E454" s="81"/>
      <c r="F454" s="81"/>
      <c r="G454" s="81"/>
      <c r="H454" s="81"/>
      <c r="I454" s="82"/>
      <c r="J454" s="88"/>
      <c r="K454" s="89"/>
      <c r="L454" s="88"/>
      <c r="M454" s="89"/>
      <c r="N454" s="80"/>
      <c r="O454" s="82"/>
      <c r="P454" s="94"/>
      <c r="Q454" s="95"/>
      <c r="S454" s="99"/>
      <c r="T454" s="99"/>
      <c r="U454" s="99"/>
      <c r="V454" s="99"/>
      <c r="W454" s="99"/>
      <c r="X454" s="99"/>
      <c r="Y454" s="99"/>
      <c r="Z454" s="99"/>
      <c r="AA454" s="99"/>
      <c r="AB454" s="99"/>
      <c r="AC454" s="98"/>
      <c r="AD454" s="98"/>
      <c r="AE454" s="98"/>
      <c r="AF454" s="98"/>
      <c r="AG454" s="98"/>
      <c r="AH454" s="98"/>
    </row>
    <row r="455" spans="2:34" x14ac:dyDescent="0.25">
      <c r="B455" s="75"/>
      <c r="C455" s="76"/>
      <c r="D455" s="83"/>
      <c r="E455" s="84"/>
      <c r="F455" s="84"/>
      <c r="G455" s="84"/>
      <c r="H455" s="84"/>
      <c r="I455" s="85"/>
      <c r="J455" s="90"/>
      <c r="K455" s="91"/>
      <c r="L455" s="90"/>
      <c r="M455" s="91"/>
      <c r="N455" s="83"/>
      <c r="O455" s="85"/>
      <c r="P455" s="96"/>
      <c r="Q455" s="97"/>
      <c r="S455" s="99"/>
      <c r="T455" s="99"/>
      <c r="U455" s="99"/>
      <c r="V455" s="99"/>
      <c r="W455" s="99"/>
      <c r="X455" s="99"/>
      <c r="Y455" s="99"/>
      <c r="Z455" s="99"/>
      <c r="AA455" s="99"/>
      <c r="AB455" s="99"/>
      <c r="AC455" s="98"/>
      <c r="AD455" s="98"/>
      <c r="AE455" s="98"/>
      <c r="AF455" s="98"/>
      <c r="AG455" s="98"/>
      <c r="AH455" s="98"/>
    </row>
    <row r="456" spans="2:34" x14ac:dyDescent="0.25">
      <c r="B456" s="71"/>
      <c r="C456" s="72"/>
      <c r="D456" s="77"/>
      <c r="E456" s="78"/>
      <c r="F456" s="78"/>
      <c r="G456" s="78"/>
      <c r="H456" s="78"/>
      <c r="I456" s="79"/>
      <c r="J456" s="86"/>
      <c r="K456" s="87"/>
      <c r="L456" s="86"/>
      <c r="M456" s="87"/>
      <c r="N456" s="77"/>
      <c r="O456" s="79"/>
      <c r="P456" s="92"/>
      <c r="Q456" s="93"/>
      <c r="S456" s="99"/>
      <c r="T456" s="99"/>
      <c r="U456" s="99"/>
      <c r="V456" s="99"/>
      <c r="W456" s="99"/>
      <c r="X456" s="99"/>
      <c r="Y456" s="99"/>
      <c r="Z456" s="99"/>
      <c r="AA456" s="99"/>
      <c r="AB456" s="99"/>
      <c r="AC456" s="98"/>
      <c r="AD456" s="98"/>
      <c r="AE456" s="98"/>
      <c r="AF456" s="98"/>
      <c r="AG456" s="98"/>
      <c r="AH456" s="98"/>
    </row>
    <row r="457" spans="2:34" x14ac:dyDescent="0.25">
      <c r="B457" s="73"/>
      <c r="C457" s="74"/>
      <c r="D457" s="80"/>
      <c r="E457" s="81"/>
      <c r="F457" s="81"/>
      <c r="G457" s="81"/>
      <c r="H457" s="81"/>
      <c r="I457" s="82"/>
      <c r="J457" s="88"/>
      <c r="K457" s="89"/>
      <c r="L457" s="88"/>
      <c r="M457" s="89"/>
      <c r="N457" s="80"/>
      <c r="O457" s="82"/>
      <c r="P457" s="94"/>
      <c r="Q457" s="95"/>
      <c r="S457" s="99"/>
      <c r="T457" s="99"/>
      <c r="U457" s="99"/>
      <c r="V457" s="99"/>
      <c r="W457" s="99"/>
      <c r="X457" s="99"/>
      <c r="Y457" s="99"/>
      <c r="Z457" s="99"/>
      <c r="AA457" s="99"/>
      <c r="AB457" s="99"/>
      <c r="AC457" s="98"/>
      <c r="AD457" s="98"/>
      <c r="AE457" s="98"/>
      <c r="AF457" s="98"/>
      <c r="AG457" s="98"/>
      <c r="AH457" s="98"/>
    </row>
    <row r="458" spans="2:34" x14ac:dyDescent="0.25">
      <c r="B458" s="75"/>
      <c r="C458" s="76"/>
      <c r="D458" s="83"/>
      <c r="E458" s="84"/>
      <c r="F458" s="84"/>
      <c r="G458" s="84"/>
      <c r="H458" s="84"/>
      <c r="I458" s="85"/>
      <c r="J458" s="90"/>
      <c r="K458" s="91"/>
      <c r="L458" s="90"/>
      <c r="M458" s="91"/>
      <c r="N458" s="83"/>
      <c r="O458" s="85"/>
      <c r="P458" s="96"/>
      <c r="Q458" s="97"/>
      <c r="S458" s="99"/>
      <c r="T458" s="99"/>
      <c r="U458" s="99"/>
      <c r="V458" s="99"/>
      <c r="W458" s="99"/>
      <c r="X458" s="99"/>
      <c r="Y458" s="99"/>
      <c r="Z458" s="99"/>
      <c r="AA458" s="99"/>
      <c r="AB458" s="99"/>
      <c r="AC458" s="98"/>
      <c r="AD458" s="98"/>
      <c r="AE458" s="98"/>
      <c r="AF458" s="98"/>
      <c r="AG458" s="98"/>
      <c r="AH458" s="98"/>
    </row>
    <row r="459" spans="2:34" x14ac:dyDescent="0.25">
      <c r="B459" s="71"/>
      <c r="C459" s="72"/>
      <c r="D459" s="77"/>
      <c r="E459" s="78"/>
      <c r="F459" s="78"/>
      <c r="G459" s="78"/>
      <c r="H459" s="78"/>
      <c r="I459" s="79"/>
      <c r="J459" s="86"/>
      <c r="K459" s="87"/>
      <c r="L459" s="86"/>
      <c r="M459" s="87"/>
      <c r="N459" s="77"/>
      <c r="O459" s="79"/>
      <c r="P459" s="92"/>
      <c r="Q459" s="93"/>
      <c r="S459" s="99"/>
      <c r="T459" s="99"/>
      <c r="U459" s="99"/>
      <c r="V459" s="99"/>
      <c r="W459" s="99"/>
      <c r="X459" s="99"/>
      <c r="Y459" s="99"/>
      <c r="Z459" s="99"/>
      <c r="AA459" s="99"/>
      <c r="AB459" s="99"/>
      <c r="AC459" s="98"/>
      <c r="AD459" s="98"/>
      <c r="AE459" s="98"/>
      <c r="AF459" s="98"/>
      <c r="AG459" s="98"/>
      <c r="AH459" s="98"/>
    </row>
    <row r="460" spans="2:34" x14ac:dyDescent="0.25">
      <c r="B460" s="73"/>
      <c r="C460" s="74"/>
      <c r="D460" s="80"/>
      <c r="E460" s="81"/>
      <c r="F460" s="81"/>
      <c r="G460" s="81"/>
      <c r="H460" s="81"/>
      <c r="I460" s="82"/>
      <c r="J460" s="88"/>
      <c r="K460" s="89"/>
      <c r="L460" s="88"/>
      <c r="M460" s="89"/>
      <c r="N460" s="80"/>
      <c r="O460" s="82"/>
      <c r="P460" s="94"/>
      <c r="Q460" s="95"/>
      <c r="S460" s="99"/>
      <c r="T460" s="99"/>
      <c r="U460" s="99"/>
      <c r="V460" s="99"/>
      <c r="W460" s="99"/>
      <c r="X460" s="99"/>
      <c r="Y460" s="99"/>
      <c r="Z460" s="99"/>
      <c r="AA460" s="99"/>
      <c r="AB460" s="99"/>
      <c r="AC460" s="98"/>
      <c r="AD460" s="98"/>
      <c r="AE460" s="98"/>
      <c r="AF460" s="98"/>
      <c r="AG460" s="98"/>
      <c r="AH460" s="98"/>
    </row>
    <row r="461" spans="2:34" x14ac:dyDescent="0.25">
      <c r="B461" s="75"/>
      <c r="C461" s="76"/>
      <c r="D461" s="83"/>
      <c r="E461" s="84"/>
      <c r="F461" s="84"/>
      <c r="G461" s="84"/>
      <c r="H461" s="84"/>
      <c r="I461" s="85"/>
      <c r="J461" s="90"/>
      <c r="K461" s="91"/>
      <c r="L461" s="90"/>
      <c r="M461" s="91"/>
      <c r="N461" s="83"/>
      <c r="O461" s="85"/>
      <c r="P461" s="96"/>
      <c r="Q461" s="97"/>
      <c r="S461" s="99"/>
      <c r="T461" s="99"/>
      <c r="U461" s="99"/>
      <c r="V461" s="99"/>
      <c r="W461" s="99"/>
      <c r="X461" s="99"/>
      <c r="Y461" s="99"/>
      <c r="Z461" s="99"/>
      <c r="AA461" s="99"/>
      <c r="AB461" s="99"/>
      <c r="AC461" s="98"/>
      <c r="AD461" s="98"/>
      <c r="AE461" s="98"/>
      <c r="AF461" s="98"/>
      <c r="AG461" s="98"/>
      <c r="AH461" s="98"/>
    </row>
    <row r="462" spans="2:34" x14ac:dyDescent="0.25">
      <c r="B462" s="71"/>
      <c r="C462" s="72"/>
      <c r="D462" s="77"/>
      <c r="E462" s="78"/>
      <c r="F462" s="78"/>
      <c r="G462" s="78"/>
      <c r="H462" s="78"/>
      <c r="I462" s="79"/>
      <c r="J462" s="86"/>
      <c r="K462" s="87"/>
      <c r="L462" s="86"/>
      <c r="M462" s="87"/>
      <c r="N462" s="77"/>
      <c r="O462" s="79"/>
      <c r="P462" s="92"/>
      <c r="Q462" s="93"/>
      <c r="S462" s="99"/>
      <c r="T462" s="99"/>
      <c r="U462" s="99"/>
      <c r="V462" s="99"/>
      <c r="W462" s="99"/>
      <c r="X462" s="99"/>
      <c r="Y462" s="99"/>
      <c r="Z462" s="99"/>
      <c r="AA462" s="99"/>
      <c r="AB462" s="99"/>
      <c r="AC462" s="98"/>
      <c r="AD462" s="98"/>
      <c r="AE462" s="98"/>
      <c r="AF462" s="98"/>
      <c r="AG462" s="98"/>
      <c r="AH462" s="98"/>
    </row>
    <row r="463" spans="2:34" x14ac:dyDescent="0.25">
      <c r="B463" s="73"/>
      <c r="C463" s="74"/>
      <c r="D463" s="80"/>
      <c r="E463" s="81"/>
      <c r="F463" s="81"/>
      <c r="G463" s="81"/>
      <c r="H463" s="81"/>
      <c r="I463" s="82"/>
      <c r="J463" s="88"/>
      <c r="K463" s="89"/>
      <c r="L463" s="88"/>
      <c r="M463" s="89"/>
      <c r="N463" s="80"/>
      <c r="O463" s="82"/>
      <c r="P463" s="94"/>
      <c r="Q463" s="95"/>
      <c r="S463" s="99"/>
      <c r="T463" s="99"/>
      <c r="U463" s="99"/>
      <c r="V463" s="99"/>
      <c r="W463" s="99"/>
      <c r="X463" s="99"/>
      <c r="Y463" s="99"/>
      <c r="Z463" s="99"/>
      <c r="AA463" s="99"/>
      <c r="AB463" s="99"/>
      <c r="AC463" s="98"/>
      <c r="AD463" s="98"/>
      <c r="AE463" s="98"/>
      <c r="AF463" s="98"/>
      <c r="AG463" s="98"/>
      <c r="AH463" s="98"/>
    </row>
    <row r="464" spans="2:34" x14ac:dyDescent="0.25">
      <c r="B464" s="75"/>
      <c r="C464" s="76"/>
      <c r="D464" s="83"/>
      <c r="E464" s="84"/>
      <c r="F464" s="84"/>
      <c r="G464" s="84"/>
      <c r="H464" s="84"/>
      <c r="I464" s="85"/>
      <c r="J464" s="90"/>
      <c r="K464" s="91"/>
      <c r="L464" s="90"/>
      <c r="M464" s="91"/>
      <c r="N464" s="83"/>
      <c r="O464" s="85"/>
      <c r="P464" s="96"/>
      <c r="Q464" s="97"/>
      <c r="S464" s="99"/>
      <c r="T464" s="99"/>
      <c r="U464" s="99"/>
      <c r="V464" s="99"/>
      <c r="W464" s="99"/>
      <c r="X464" s="99"/>
      <c r="Y464" s="99"/>
      <c r="Z464" s="99"/>
      <c r="AA464" s="99"/>
      <c r="AB464" s="99"/>
      <c r="AC464" s="98"/>
      <c r="AD464" s="98"/>
      <c r="AE464" s="98"/>
      <c r="AF464" s="98"/>
      <c r="AG464" s="98"/>
      <c r="AH464" s="98"/>
    </row>
    <row r="465" spans="2:34" x14ac:dyDescent="0.25">
      <c r="B465" s="71"/>
      <c r="C465" s="72"/>
      <c r="D465" s="77"/>
      <c r="E465" s="78"/>
      <c r="F465" s="78"/>
      <c r="G465" s="78"/>
      <c r="H465" s="78"/>
      <c r="I465" s="79"/>
      <c r="J465" s="86"/>
      <c r="K465" s="87"/>
      <c r="L465" s="86"/>
      <c r="M465" s="87"/>
      <c r="N465" s="77"/>
      <c r="O465" s="79"/>
      <c r="P465" s="92"/>
      <c r="Q465" s="93"/>
      <c r="S465" s="99"/>
      <c r="T465" s="99"/>
      <c r="U465" s="99"/>
      <c r="V465" s="99"/>
      <c r="W465" s="99"/>
      <c r="X465" s="99"/>
      <c r="Y465" s="99"/>
      <c r="Z465" s="99"/>
      <c r="AA465" s="99"/>
      <c r="AB465" s="99"/>
      <c r="AC465" s="98"/>
      <c r="AD465" s="98"/>
      <c r="AE465" s="98"/>
      <c r="AF465" s="98"/>
      <c r="AG465" s="98"/>
      <c r="AH465" s="98"/>
    </row>
    <row r="466" spans="2:34" x14ac:dyDescent="0.25">
      <c r="B466" s="73"/>
      <c r="C466" s="74"/>
      <c r="D466" s="80"/>
      <c r="E466" s="81"/>
      <c r="F466" s="81"/>
      <c r="G466" s="81"/>
      <c r="H466" s="81"/>
      <c r="I466" s="82"/>
      <c r="J466" s="88"/>
      <c r="K466" s="89"/>
      <c r="L466" s="88"/>
      <c r="M466" s="89"/>
      <c r="N466" s="80"/>
      <c r="O466" s="82"/>
      <c r="P466" s="94"/>
      <c r="Q466" s="95"/>
      <c r="S466" s="99"/>
      <c r="T466" s="99"/>
      <c r="U466" s="99"/>
      <c r="V466" s="99"/>
      <c r="W466" s="99"/>
      <c r="X466" s="99"/>
      <c r="Y466" s="99"/>
      <c r="Z466" s="99"/>
      <c r="AA466" s="99"/>
      <c r="AB466" s="99"/>
      <c r="AC466" s="98"/>
      <c r="AD466" s="98"/>
      <c r="AE466" s="98"/>
      <c r="AF466" s="98"/>
      <c r="AG466" s="98"/>
      <c r="AH466" s="98"/>
    </row>
    <row r="467" spans="2:34" x14ac:dyDescent="0.25">
      <c r="B467" s="75"/>
      <c r="C467" s="76"/>
      <c r="D467" s="83"/>
      <c r="E467" s="84"/>
      <c r="F467" s="84"/>
      <c r="G467" s="84"/>
      <c r="H467" s="84"/>
      <c r="I467" s="85"/>
      <c r="J467" s="90"/>
      <c r="K467" s="91"/>
      <c r="L467" s="90"/>
      <c r="M467" s="91"/>
      <c r="N467" s="83"/>
      <c r="O467" s="85"/>
      <c r="P467" s="96"/>
      <c r="Q467" s="97"/>
      <c r="S467" s="99"/>
      <c r="T467" s="99"/>
      <c r="U467" s="99"/>
      <c r="V467" s="99"/>
      <c r="W467" s="99"/>
      <c r="X467" s="99"/>
      <c r="Y467" s="99"/>
      <c r="Z467" s="99"/>
      <c r="AA467" s="99"/>
      <c r="AB467" s="99"/>
      <c r="AC467" s="98"/>
      <c r="AD467" s="98"/>
      <c r="AE467" s="98"/>
      <c r="AF467" s="98"/>
      <c r="AG467" s="98"/>
      <c r="AH467" s="98"/>
    </row>
    <row r="468" spans="2:34" x14ac:dyDescent="0.25">
      <c r="B468" s="71"/>
      <c r="C468" s="72"/>
      <c r="D468" s="77"/>
      <c r="E468" s="78"/>
      <c r="F468" s="78"/>
      <c r="G468" s="78"/>
      <c r="H468" s="78"/>
      <c r="I468" s="79"/>
      <c r="J468" s="86"/>
      <c r="K468" s="87"/>
      <c r="L468" s="86"/>
      <c r="M468" s="87"/>
      <c r="N468" s="77"/>
      <c r="O468" s="79"/>
      <c r="P468" s="92"/>
      <c r="Q468" s="93"/>
      <c r="S468" s="99"/>
      <c r="T468" s="99"/>
      <c r="U468" s="99"/>
      <c r="V468" s="99"/>
      <c r="W468" s="99"/>
      <c r="X468" s="99"/>
      <c r="Y468" s="99"/>
      <c r="Z468" s="99"/>
      <c r="AA468" s="99"/>
      <c r="AB468" s="99"/>
      <c r="AC468" s="98"/>
      <c r="AD468" s="98"/>
      <c r="AE468" s="98"/>
      <c r="AF468" s="98"/>
      <c r="AG468" s="98"/>
      <c r="AH468" s="98"/>
    </row>
    <row r="469" spans="2:34" x14ac:dyDescent="0.25">
      <c r="B469" s="73"/>
      <c r="C469" s="74"/>
      <c r="D469" s="80"/>
      <c r="E469" s="81"/>
      <c r="F469" s="81"/>
      <c r="G469" s="81"/>
      <c r="H469" s="81"/>
      <c r="I469" s="82"/>
      <c r="J469" s="88"/>
      <c r="K469" s="89"/>
      <c r="L469" s="88"/>
      <c r="M469" s="89"/>
      <c r="N469" s="80"/>
      <c r="O469" s="82"/>
      <c r="P469" s="94"/>
      <c r="Q469" s="95"/>
      <c r="S469" s="99"/>
      <c r="T469" s="99"/>
      <c r="U469" s="99"/>
      <c r="V469" s="99"/>
      <c r="W469" s="99"/>
      <c r="X469" s="99"/>
      <c r="Y469" s="99"/>
      <c r="Z469" s="99"/>
      <c r="AA469" s="99"/>
      <c r="AB469" s="99"/>
      <c r="AC469" s="98"/>
      <c r="AD469" s="98"/>
      <c r="AE469" s="98"/>
      <c r="AF469" s="98"/>
      <c r="AG469" s="98"/>
      <c r="AH469" s="98"/>
    </row>
    <row r="470" spans="2:34" x14ac:dyDescent="0.25">
      <c r="B470" s="75"/>
      <c r="C470" s="76"/>
      <c r="D470" s="83"/>
      <c r="E470" s="84"/>
      <c r="F470" s="84"/>
      <c r="G470" s="84"/>
      <c r="H470" s="84"/>
      <c r="I470" s="85"/>
      <c r="J470" s="90"/>
      <c r="K470" s="91"/>
      <c r="L470" s="90"/>
      <c r="M470" s="91"/>
      <c r="N470" s="83"/>
      <c r="O470" s="85"/>
      <c r="P470" s="96"/>
      <c r="Q470" s="97"/>
      <c r="S470" s="99"/>
      <c r="T470" s="99"/>
      <c r="U470" s="99"/>
      <c r="V470" s="99"/>
      <c r="W470" s="99"/>
      <c r="X470" s="99"/>
      <c r="Y470" s="99"/>
      <c r="Z470" s="99"/>
      <c r="AA470" s="99"/>
      <c r="AB470" s="99"/>
      <c r="AC470" s="98"/>
      <c r="AD470" s="98"/>
      <c r="AE470" s="98"/>
      <c r="AF470" s="98"/>
      <c r="AG470" s="98"/>
      <c r="AH470" s="98"/>
    </row>
    <row r="471" spans="2:34" x14ac:dyDescent="0.25">
      <c r="B471" s="71"/>
      <c r="C471" s="72"/>
      <c r="D471" s="77"/>
      <c r="E471" s="78"/>
      <c r="F471" s="78"/>
      <c r="G471" s="78"/>
      <c r="H471" s="78"/>
      <c r="I471" s="79"/>
      <c r="J471" s="86"/>
      <c r="K471" s="87"/>
      <c r="L471" s="86"/>
      <c r="M471" s="87"/>
      <c r="N471" s="77"/>
      <c r="O471" s="79"/>
      <c r="P471" s="92"/>
      <c r="Q471" s="93"/>
      <c r="S471" s="99"/>
      <c r="T471" s="99"/>
      <c r="U471" s="99"/>
      <c r="V471" s="99"/>
      <c r="W471" s="99"/>
      <c r="X471" s="99"/>
      <c r="Y471" s="99"/>
      <c r="Z471" s="99"/>
      <c r="AA471" s="99"/>
      <c r="AB471" s="99"/>
      <c r="AC471" s="98"/>
      <c r="AD471" s="98"/>
      <c r="AE471" s="98"/>
      <c r="AF471" s="98"/>
      <c r="AG471" s="98"/>
      <c r="AH471" s="98"/>
    </row>
    <row r="472" spans="2:34" x14ac:dyDescent="0.25">
      <c r="B472" s="73"/>
      <c r="C472" s="74"/>
      <c r="D472" s="80"/>
      <c r="E472" s="81"/>
      <c r="F472" s="81"/>
      <c r="G472" s="81"/>
      <c r="H472" s="81"/>
      <c r="I472" s="82"/>
      <c r="J472" s="88"/>
      <c r="K472" s="89"/>
      <c r="L472" s="88"/>
      <c r="M472" s="89"/>
      <c r="N472" s="80"/>
      <c r="O472" s="82"/>
      <c r="P472" s="94"/>
      <c r="Q472" s="95"/>
      <c r="S472" s="99"/>
      <c r="T472" s="99"/>
      <c r="U472" s="99"/>
      <c r="V472" s="99"/>
      <c r="W472" s="99"/>
      <c r="X472" s="99"/>
      <c r="Y472" s="99"/>
      <c r="Z472" s="99"/>
      <c r="AA472" s="99"/>
      <c r="AB472" s="99"/>
      <c r="AC472" s="98"/>
      <c r="AD472" s="98"/>
      <c r="AE472" s="98"/>
      <c r="AF472" s="98"/>
      <c r="AG472" s="98"/>
      <c r="AH472" s="98"/>
    </row>
    <row r="473" spans="2:34" x14ac:dyDescent="0.25">
      <c r="B473" s="75"/>
      <c r="C473" s="76"/>
      <c r="D473" s="83"/>
      <c r="E473" s="84"/>
      <c r="F473" s="84"/>
      <c r="G473" s="84"/>
      <c r="H473" s="84"/>
      <c r="I473" s="85"/>
      <c r="J473" s="90"/>
      <c r="K473" s="91"/>
      <c r="L473" s="90"/>
      <c r="M473" s="91"/>
      <c r="N473" s="83"/>
      <c r="O473" s="85"/>
      <c r="P473" s="96"/>
      <c r="Q473" s="97"/>
      <c r="S473" s="99"/>
      <c r="T473" s="99"/>
      <c r="U473" s="99"/>
      <c r="V473" s="99"/>
      <c r="W473" s="99"/>
      <c r="X473" s="99"/>
      <c r="Y473" s="99"/>
      <c r="Z473" s="99"/>
      <c r="AA473" s="99"/>
      <c r="AB473" s="99"/>
      <c r="AC473" s="98"/>
      <c r="AD473" s="98"/>
      <c r="AE473" s="98"/>
      <c r="AF473" s="98"/>
      <c r="AG473" s="98"/>
      <c r="AH473" s="98"/>
    </row>
    <row r="474" spans="2:34" x14ac:dyDescent="0.25">
      <c r="B474" s="71"/>
      <c r="C474" s="72"/>
      <c r="D474" s="77"/>
      <c r="E474" s="78"/>
      <c r="F474" s="78"/>
      <c r="G474" s="78"/>
      <c r="H474" s="78"/>
      <c r="I474" s="79"/>
      <c r="J474" s="86"/>
      <c r="K474" s="87"/>
      <c r="L474" s="86"/>
      <c r="M474" s="87"/>
      <c r="N474" s="77"/>
      <c r="O474" s="79"/>
      <c r="P474" s="92"/>
      <c r="Q474" s="93"/>
      <c r="S474" s="99"/>
      <c r="T474" s="99"/>
      <c r="U474" s="99"/>
      <c r="V474" s="99"/>
      <c r="W474" s="99"/>
      <c r="X474" s="99"/>
      <c r="Y474" s="99"/>
      <c r="Z474" s="99"/>
      <c r="AA474" s="99"/>
      <c r="AB474" s="99"/>
      <c r="AC474" s="98"/>
      <c r="AD474" s="98"/>
      <c r="AE474" s="98"/>
      <c r="AF474" s="98"/>
      <c r="AG474" s="98"/>
      <c r="AH474" s="98"/>
    </row>
    <row r="475" spans="2:34" x14ac:dyDescent="0.25">
      <c r="B475" s="73"/>
      <c r="C475" s="74"/>
      <c r="D475" s="80"/>
      <c r="E475" s="81"/>
      <c r="F475" s="81"/>
      <c r="G475" s="81"/>
      <c r="H475" s="81"/>
      <c r="I475" s="82"/>
      <c r="J475" s="88"/>
      <c r="K475" s="89"/>
      <c r="L475" s="88"/>
      <c r="M475" s="89"/>
      <c r="N475" s="80"/>
      <c r="O475" s="82"/>
      <c r="P475" s="94"/>
      <c r="Q475" s="95"/>
      <c r="S475" s="99"/>
      <c r="T475" s="99"/>
      <c r="U475" s="99"/>
      <c r="V475" s="99"/>
      <c r="W475" s="99"/>
      <c r="X475" s="99"/>
      <c r="Y475" s="99"/>
      <c r="Z475" s="99"/>
      <c r="AA475" s="99"/>
      <c r="AB475" s="99"/>
      <c r="AC475" s="98"/>
      <c r="AD475" s="98"/>
      <c r="AE475" s="98"/>
      <c r="AF475" s="98"/>
      <c r="AG475" s="98"/>
      <c r="AH475" s="98"/>
    </row>
    <row r="476" spans="2:34" x14ac:dyDescent="0.25">
      <c r="B476" s="75"/>
      <c r="C476" s="76"/>
      <c r="D476" s="83"/>
      <c r="E476" s="84"/>
      <c r="F476" s="84"/>
      <c r="G476" s="84"/>
      <c r="H476" s="84"/>
      <c r="I476" s="85"/>
      <c r="J476" s="90"/>
      <c r="K476" s="91"/>
      <c r="L476" s="90"/>
      <c r="M476" s="91"/>
      <c r="N476" s="83"/>
      <c r="O476" s="85"/>
      <c r="P476" s="96"/>
      <c r="Q476" s="97"/>
      <c r="S476" s="99"/>
      <c r="T476" s="99"/>
      <c r="U476" s="99"/>
      <c r="V476" s="99"/>
      <c r="W476" s="99"/>
      <c r="X476" s="99"/>
      <c r="Y476" s="99"/>
      <c r="Z476" s="99"/>
      <c r="AA476" s="99"/>
      <c r="AB476" s="99"/>
      <c r="AC476" s="98"/>
      <c r="AD476" s="98"/>
      <c r="AE476" s="98"/>
      <c r="AF476" s="98"/>
      <c r="AG476" s="98"/>
      <c r="AH476" s="98"/>
    </row>
    <row r="477" spans="2:34" x14ac:dyDescent="0.25">
      <c r="B477" s="71"/>
      <c r="C477" s="72"/>
      <c r="D477" s="77"/>
      <c r="E477" s="78"/>
      <c r="F477" s="78"/>
      <c r="G477" s="78"/>
      <c r="H477" s="78"/>
      <c r="I477" s="79"/>
      <c r="J477" s="86"/>
      <c r="K477" s="87"/>
      <c r="L477" s="86"/>
      <c r="M477" s="87"/>
      <c r="N477" s="77"/>
      <c r="O477" s="79"/>
      <c r="P477" s="92"/>
      <c r="Q477" s="93"/>
      <c r="S477" s="99"/>
      <c r="T477" s="99"/>
      <c r="U477" s="99"/>
      <c r="V477" s="99"/>
      <c r="W477" s="99"/>
      <c r="X477" s="99"/>
      <c r="Y477" s="99"/>
      <c r="Z477" s="99"/>
      <c r="AA477" s="99"/>
      <c r="AB477" s="99"/>
      <c r="AC477" s="98"/>
      <c r="AD477" s="98"/>
      <c r="AE477" s="98"/>
      <c r="AF477" s="98"/>
      <c r="AG477" s="98"/>
      <c r="AH477" s="98"/>
    </row>
    <row r="478" spans="2:34" x14ac:dyDescent="0.25">
      <c r="B478" s="73"/>
      <c r="C478" s="74"/>
      <c r="D478" s="80"/>
      <c r="E478" s="81"/>
      <c r="F478" s="81"/>
      <c r="G478" s="81"/>
      <c r="H478" s="81"/>
      <c r="I478" s="82"/>
      <c r="J478" s="88"/>
      <c r="K478" s="89"/>
      <c r="L478" s="88"/>
      <c r="M478" s="89"/>
      <c r="N478" s="80"/>
      <c r="O478" s="82"/>
      <c r="P478" s="94"/>
      <c r="Q478" s="95"/>
      <c r="S478" s="99"/>
      <c r="T478" s="99"/>
      <c r="U478" s="99"/>
      <c r="V478" s="99"/>
      <c r="W478" s="99"/>
      <c r="X478" s="99"/>
      <c r="Y478" s="99"/>
      <c r="Z478" s="99"/>
      <c r="AA478" s="99"/>
      <c r="AB478" s="99"/>
      <c r="AC478" s="98"/>
      <c r="AD478" s="98"/>
      <c r="AE478" s="98"/>
      <c r="AF478" s="98"/>
      <c r="AG478" s="98"/>
      <c r="AH478" s="98"/>
    </row>
    <row r="479" spans="2:34" x14ac:dyDescent="0.25">
      <c r="B479" s="75"/>
      <c r="C479" s="76"/>
      <c r="D479" s="83"/>
      <c r="E479" s="84"/>
      <c r="F479" s="84"/>
      <c r="G479" s="84"/>
      <c r="H479" s="84"/>
      <c r="I479" s="85"/>
      <c r="J479" s="90"/>
      <c r="K479" s="91"/>
      <c r="L479" s="90"/>
      <c r="M479" s="91"/>
      <c r="N479" s="83"/>
      <c r="O479" s="85"/>
      <c r="P479" s="96"/>
      <c r="Q479" s="97"/>
      <c r="S479" s="99"/>
      <c r="T479" s="99"/>
      <c r="U479" s="99"/>
      <c r="V479" s="99"/>
      <c r="W479" s="99"/>
      <c r="X479" s="99"/>
      <c r="Y479" s="99"/>
      <c r="Z479" s="99"/>
      <c r="AA479" s="99"/>
      <c r="AB479" s="99"/>
      <c r="AC479" s="98"/>
      <c r="AD479" s="98"/>
      <c r="AE479" s="98"/>
      <c r="AF479" s="98"/>
      <c r="AG479" s="98"/>
      <c r="AH479" s="98"/>
    </row>
    <row r="480" spans="2:34" x14ac:dyDescent="0.25">
      <c r="B480" s="71"/>
      <c r="C480" s="72"/>
      <c r="D480" s="77"/>
      <c r="E480" s="78"/>
      <c r="F480" s="78"/>
      <c r="G480" s="78"/>
      <c r="H480" s="78"/>
      <c r="I480" s="79"/>
      <c r="J480" s="86"/>
      <c r="K480" s="87"/>
      <c r="L480" s="86"/>
      <c r="M480" s="87"/>
      <c r="N480" s="77"/>
      <c r="O480" s="79"/>
      <c r="P480" s="92"/>
      <c r="Q480" s="93"/>
      <c r="S480" s="99"/>
      <c r="T480" s="99"/>
      <c r="U480" s="99"/>
      <c r="V480" s="99"/>
      <c r="W480" s="99"/>
      <c r="X480" s="99"/>
      <c r="Y480" s="99"/>
      <c r="Z480" s="99"/>
      <c r="AA480" s="99"/>
      <c r="AB480" s="99"/>
      <c r="AC480" s="98"/>
      <c r="AD480" s="98"/>
      <c r="AE480" s="98"/>
      <c r="AF480" s="98"/>
      <c r="AG480" s="98"/>
      <c r="AH480" s="98"/>
    </row>
    <row r="481" spans="2:34" x14ac:dyDescent="0.25">
      <c r="B481" s="73"/>
      <c r="C481" s="74"/>
      <c r="D481" s="80"/>
      <c r="E481" s="81"/>
      <c r="F481" s="81"/>
      <c r="G481" s="81"/>
      <c r="H481" s="81"/>
      <c r="I481" s="82"/>
      <c r="J481" s="88"/>
      <c r="K481" s="89"/>
      <c r="L481" s="88"/>
      <c r="M481" s="89"/>
      <c r="N481" s="80"/>
      <c r="O481" s="82"/>
      <c r="P481" s="94"/>
      <c r="Q481" s="95"/>
      <c r="S481" s="99"/>
      <c r="T481" s="99"/>
      <c r="U481" s="99"/>
      <c r="V481" s="99"/>
      <c r="W481" s="99"/>
      <c r="X481" s="99"/>
      <c r="Y481" s="99"/>
      <c r="Z481" s="99"/>
      <c r="AA481" s="99"/>
      <c r="AB481" s="99"/>
      <c r="AC481" s="98"/>
      <c r="AD481" s="98"/>
      <c r="AE481" s="98"/>
      <c r="AF481" s="98"/>
      <c r="AG481" s="98"/>
      <c r="AH481" s="98"/>
    </row>
    <row r="482" spans="2:34" x14ac:dyDescent="0.25">
      <c r="B482" s="75"/>
      <c r="C482" s="76"/>
      <c r="D482" s="83"/>
      <c r="E482" s="84"/>
      <c r="F482" s="84"/>
      <c r="G482" s="84"/>
      <c r="H482" s="84"/>
      <c r="I482" s="85"/>
      <c r="J482" s="90"/>
      <c r="K482" s="91"/>
      <c r="L482" s="90"/>
      <c r="M482" s="91"/>
      <c r="N482" s="83"/>
      <c r="O482" s="85"/>
      <c r="P482" s="96"/>
      <c r="Q482" s="97"/>
      <c r="S482" s="99"/>
      <c r="T482" s="99"/>
      <c r="U482" s="99"/>
      <c r="V482" s="99"/>
      <c r="W482" s="99"/>
      <c r="X482" s="99"/>
      <c r="Y482" s="99"/>
      <c r="Z482" s="99"/>
      <c r="AA482" s="99"/>
      <c r="AB482" s="99"/>
      <c r="AC482" s="98"/>
      <c r="AD482" s="98"/>
      <c r="AE482" s="98"/>
      <c r="AF482" s="98"/>
      <c r="AG482" s="98"/>
      <c r="AH482" s="98"/>
    </row>
    <row r="483" spans="2:34" x14ac:dyDescent="0.25">
      <c r="B483" s="71"/>
      <c r="C483" s="72"/>
      <c r="D483" s="77"/>
      <c r="E483" s="78"/>
      <c r="F483" s="78"/>
      <c r="G483" s="78"/>
      <c r="H483" s="78"/>
      <c r="I483" s="79"/>
      <c r="J483" s="86"/>
      <c r="K483" s="87"/>
      <c r="L483" s="86"/>
      <c r="M483" s="87"/>
      <c r="N483" s="77"/>
      <c r="O483" s="79"/>
      <c r="P483" s="92"/>
      <c r="Q483" s="93"/>
      <c r="S483" s="99"/>
      <c r="T483" s="99"/>
      <c r="U483" s="99"/>
      <c r="V483" s="99"/>
      <c r="W483" s="99"/>
      <c r="X483" s="99"/>
      <c r="Y483" s="99"/>
      <c r="Z483" s="99"/>
      <c r="AA483" s="99"/>
      <c r="AB483" s="99"/>
      <c r="AC483" s="98"/>
      <c r="AD483" s="98"/>
      <c r="AE483" s="98"/>
      <c r="AF483" s="98"/>
      <c r="AG483" s="98"/>
      <c r="AH483" s="98"/>
    </row>
    <row r="484" spans="2:34" x14ac:dyDescent="0.25">
      <c r="B484" s="73"/>
      <c r="C484" s="74"/>
      <c r="D484" s="80"/>
      <c r="E484" s="81"/>
      <c r="F484" s="81"/>
      <c r="G484" s="81"/>
      <c r="H484" s="81"/>
      <c r="I484" s="82"/>
      <c r="J484" s="88"/>
      <c r="K484" s="89"/>
      <c r="L484" s="88"/>
      <c r="M484" s="89"/>
      <c r="N484" s="80"/>
      <c r="O484" s="82"/>
      <c r="P484" s="94"/>
      <c r="Q484" s="95"/>
      <c r="S484" s="99"/>
      <c r="T484" s="99"/>
      <c r="U484" s="99"/>
      <c r="V484" s="99"/>
      <c r="W484" s="99"/>
      <c r="X484" s="99"/>
      <c r="Y484" s="99"/>
      <c r="Z484" s="99"/>
      <c r="AA484" s="99"/>
      <c r="AB484" s="99"/>
      <c r="AC484" s="98"/>
      <c r="AD484" s="98"/>
      <c r="AE484" s="98"/>
      <c r="AF484" s="98"/>
      <c r="AG484" s="98"/>
      <c r="AH484" s="98"/>
    </row>
    <row r="485" spans="2:34" x14ac:dyDescent="0.25">
      <c r="B485" s="75"/>
      <c r="C485" s="76"/>
      <c r="D485" s="83"/>
      <c r="E485" s="84"/>
      <c r="F485" s="84"/>
      <c r="G485" s="84"/>
      <c r="H485" s="84"/>
      <c r="I485" s="85"/>
      <c r="J485" s="90"/>
      <c r="K485" s="91"/>
      <c r="L485" s="90"/>
      <c r="M485" s="91"/>
      <c r="N485" s="83"/>
      <c r="O485" s="85"/>
      <c r="P485" s="96"/>
      <c r="Q485" s="97"/>
      <c r="S485" s="99"/>
      <c r="T485" s="99"/>
      <c r="U485" s="99"/>
      <c r="V485" s="99"/>
      <c r="W485" s="99"/>
      <c r="X485" s="99"/>
      <c r="Y485" s="99"/>
      <c r="Z485" s="99"/>
      <c r="AA485" s="99"/>
      <c r="AB485" s="99"/>
      <c r="AC485" s="98"/>
      <c r="AD485" s="98"/>
      <c r="AE485" s="98"/>
      <c r="AF485" s="98"/>
      <c r="AG485" s="98"/>
      <c r="AH485" s="98"/>
    </row>
    <row r="486" spans="2:34" x14ac:dyDescent="0.25">
      <c r="B486" s="71"/>
      <c r="C486" s="72"/>
      <c r="D486" s="77"/>
      <c r="E486" s="78"/>
      <c r="F486" s="78"/>
      <c r="G486" s="78"/>
      <c r="H486" s="78"/>
      <c r="I486" s="79"/>
      <c r="J486" s="86"/>
      <c r="K486" s="87"/>
      <c r="L486" s="86"/>
      <c r="M486" s="87"/>
      <c r="N486" s="77"/>
      <c r="O486" s="79"/>
      <c r="P486" s="92"/>
      <c r="Q486" s="93"/>
      <c r="S486" s="99"/>
      <c r="T486" s="99"/>
      <c r="U486" s="99"/>
      <c r="V486" s="99"/>
      <c r="W486" s="99"/>
      <c r="X486" s="99"/>
      <c r="Y486" s="99"/>
      <c r="Z486" s="99"/>
      <c r="AA486" s="99"/>
      <c r="AB486" s="99"/>
      <c r="AC486" s="98"/>
      <c r="AD486" s="98"/>
      <c r="AE486" s="98"/>
      <c r="AF486" s="98"/>
      <c r="AG486" s="98"/>
      <c r="AH486" s="98"/>
    </row>
    <row r="487" spans="2:34" x14ac:dyDescent="0.25">
      <c r="B487" s="73"/>
      <c r="C487" s="74"/>
      <c r="D487" s="80"/>
      <c r="E487" s="81"/>
      <c r="F487" s="81"/>
      <c r="G487" s="81"/>
      <c r="H487" s="81"/>
      <c r="I487" s="82"/>
      <c r="J487" s="88"/>
      <c r="K487" s="89"/>
      <c r="L487" s="88"/>
      <c r="M487" s="89"/>
      <c r="N487" s="80"/>
      <c r="O487" s="82"/>
      <c r="P487" s="94"/>
      <c r="Q487" s="95"/>
      <c r="S487" s="99"/>
      <c r="T487" s="99"/>
      <c r="U487" s="99"/>
      <c r="V487" s="99"/>
      <c r="W487" s="99"/>
      <c r="X487" s="99"/>
      <c r="Y487" s="99"/>
      <c r="Z487" s="99"/>
      <c r="AA487" s="99"/>
      <c r="AB487" s="99"/>
      <c r="AC487" s="98"/>
      <c r="AD487" s="98"/>
      <c r="AE487" s="98"/>
      <c r="AF487" s="98"/>
      <c r="AG487" s="98"/>
      <c r="AH487" s="98"/>
    </row>
    <row r="488" spans="2:34" x14ac:dyDescent="0.25">
      <c r="B488" s="75"/>
      <c r="C488" s="76"/>
      <c r="D488" s="83"/>
      <c r="E488" s="84"/>
      <c r="F488" s="84"/>
      <c r="G488" s="84"/>
      <c r="H488" s="84"/>
      <c r="I488" s="85"/>
      <c r="J488" s="90"/>
      <c r="K488" s="91"/>
      <c r="L488" s="90"/>
      <c r="M488" s="91"/>
      <c r="N488" s="83"/>
      <c r="O488" s="85"/>
      <c r="P488" s="96"/>
      <c r="Q488" s="97"/>
      <c r="S488" s="99"/>
      <c r="T488" s="99"/>
      <c r="U488" s="99"/>
      <c r="V488" s="99"/>
      <c r="W488" s="99"/>
      <c r="X488" s="99"/>
      <c r="Y488" s="99"/>
      <c r="Z488" s="99"/>
      <c r="AA488" s="99"/>
      <c r="AB488" s="99"/>
      <c r="AC488" s="98"/>
      <c r="AD488" s="98"/>
      <c r="AE488" s="98"/>
      <c r="AF488" s="98"/>
      <c r="AG488" s="98"/>
      <c r="AH488" s="98"/>
    </row>
    <row r="489" spans="2:34" x14ac:dyDescent="0.25">
      <c r="B489" s="71"/>
      <c r="C489" s="72"/>
      <c r="D489" s="77"/>
      <c r="E489" s="78"/>
      <c r="F489" s="78"/>
      <c r="G489" s="78"/>
      <c r="H489" s="78"/>
      <c r="I489" s="79"/>
      <c r="J489" s="86"/>
      <c r="K489" s="87"/>
      <c r="L489" s="86"/>
      <c r="M489" s="87"/>
      <c r="N489" s="77"/>
      <c r="O489" s="79"/>
      <c r="P489" s="92"/>
      <c r="Q489" s="93"/>
      <c r="S489" s="99"/>
      <c r="T489" s="99"/>
      <c r="U489" s="99"/>
      <c r="V489" s="99"/>
      <c r="W489" s="99"/>
      <c r="X489" s="99"/>
      <c r="Y489" s="99"/>
      <c r="Z489" s="99"/>
      <c r="AA489" s="99"/>
      <c r="AB489" s="99"/>
      <c r="AC489" s="98"/>
      <c r="AD489" s="98"/>
      <c r="AE489" s="98"/>
      <c r="AF489" s="98"/>
      <c r="AG489" s="98"/>
      <c r="AH489" s="98"/>
    </row>
    <row r="490" spans="2:34" x14ac:dyDescent="0.25">
      <c r="B490" s="73"/>
      <c r="C490" s="74"/>
      <c r="D490" s="80"/>
      <c r="E490" s="81"/>
      <c r="F490" s="81"/>
      <c r="G490" s="81"/>
      <c r="H490" s="81"/>
      <c r="I490" s="82"/>
      <c r="J490" s="88"/>
      <c r="K490" s="89"/>
      <c r="L490" s="88"/>
      <c r="M490" s="89"/>
      <c r="N490" s="80"/>
      <c r="O490" s="82"/>
      <c r="P490" s="94"/>
      <c r="Q490" s="95"/>
      <c r="S490" s="99"/>
      <c r="T490" s="99"/>
      <c r="U490" s="99"/>
      <c r="V490" s="99"/>
      <c r="W490" s="99"/>
      <c r="X490" s="99"/>
      <c r="Y490" s="99"/>
      <c r="Z490" s="99"/>
      <c r="AA490" s="99"/>
      <c r="AB490" s="99"/>
      <c r="AC490" s="98"/>
      <c r="AD490" s="98"/>
      <c r="AE490" s="98"/>
      <c r="AF490" s="98"/>
      <c r="AG490" s="98"/>
      <c r="AH490" s="98"/>
    </row>
    <row r="491" spans="2:34" x14ac:dyDescent="0.25">
      <c r="B491" s="75"/>
      <c r="C491" s="76"/>
      <c r="D491" s="83"/>
      <c r="E491" s="84"/>
      <c r="F491" s="84"/>
      <c r="G491" s="84"/>
      <c r="H491" s="84"/>
      <c r="I491" s="85"/>
      <c r="J491" s="90"/>
      <c r="K491" s="91"/>
      <c r="L491" s="90"/>
      <c r="M491" s="91"/>
      <c r="N491" s="83"/>
      <c r="O491" s="85"/>
      <c r="P491" s="96"/>
      <c r="Q491" s="97"/>
      <c r="S491" s="99"/>
      <c r="T491" s="99"/>
      <c r="U491" s="99"/>
      <c r="V491" s="99"/>
      <c r="W491" s="99"/>
      <c r="X491" s="99"/>
      <c r="Y491" s="99"/>
      <c r="Z491" s="99"/>
      <c r="AA491" s="99"/>
      <c r="AB491" s="99"/>
      <c r="AC491" s="98"/>
      <c r="AD491" s="98"/>
      <c r="AE491" s="98"/>
      <c r="AF491" s="98"/>
      <c r="AG491" s="98"/>
      <c r="AH491" s="98"/>
    </row>
    <row r="492" spans="2:34" x14ac:dyDescent="0.25">
      <c r="B492" s="71"/>
      <c r="C492" s="72"/>
      <c r="D492" s="77"/>
      <c r="E492" s="78"/>
      <c r="F492" s="78"/>
      <c r="G492" s="78"/>
      <c r="H492" s="78"/>
      <c r="I492" s="79"/>
      <c r="J492" s="86"/>
      <c r="K492" s="87"/>
      <c r="L492" s="86"/>
      <c r="M492" s="87"/>
      <c r="N492" s="77"/>
      <c r="O492" s="79"/>
      <c r="P492" s="92"/>
      <c r="Q492" s="93"/>
      <c r="S492" s="99"/>
      <c r="T492" s="99"/>
      <c r="U492" s="99"/>
      <c r="V492" s="99"/>
      <c r="W492" s="99"/>
      <c r="X492" s="99"/>
      <c r="Y492" s="99"/>
      <c r="Z492" s="99"/>
      <c r="AA492" s="99"/>
      <c r="AB492" s="99"/>
      <c r="AC492" s="98"/>
      <c r="AD492" s="98"/>
      <c r="AE492" s="98"/>
      <c r="AF492" s="98"/>
      <c r="AG492" s="98"/>
      <c r="AH492" s="98"/>
    </row>
    <row r="493" spans="2:34" x14ac:dyDescent="0.25">
      <c r="B493" s="73"/>
      <c r="C493" s="74"/>
      <c r="D493" s="80"/>
      <c r="E493" s="81"/>
      <c r="F493" s="81"/>
      <c r="G493" s="81"/>
      <c r="H493" s="81"/>
      <c r="I493" s="82"/>
      <c r="J493" s="88"/>
      <c r="K493" s="89"/>
      <c r="L493" s="88"/>
      <c r="M493" s="89"/>
      <c r="N493" s="80"/>
      <c r="O493" s="82"/>
      <c r="P493" s="94"/>
      <c r="Q493" s="95"/>
      <c r="S493" s="99"/>
      <c r="T493" s="99"/>
      <c r="U493" s="99"/>
      <c r="V493" s="99"/>
      <c r="W493" s="99"/>
      <c r="X493" s="99"/>
      <c r="Y493" s="99"/>
      <c r="Z493" s="99"/>
      <c r="AA493" s="99"/>
      <c r="AB493" s="99"/>
      <c r="AC493" s="98"/>
      <c r="AD493" s="98"/>
      <c r="AE493" s="98"/>
      <c r="AF493" s="98"/>
      <c r="AG493" s="98"/>
      <c r="AH493" s="98"/>
    </row>
    <row r="494" spans="2:34" x14ac:dyDescent="0.25">
      <c r="B494" s="75"/>
      <c r="C494" s="76"/>
      <c r="D494" s="83"/>
      <c r="E494" s="84"/>
      <c r="F494" s="84"/>
      <c r="G494" s="84"/>
      <c r="H494" s="84"/>
      <c r="I494" s="85"/>
      <c r="J494" s="90"/>
      <c r="K494" s="91"/>
      <c r="L494" s="90"/>
      <c r="M494" s="91"/>
      <c r="N494" s="83"/>
      <c r="O494" s="85"/>
      <c r="P494" s="96"/>
      <c r="Q494" s="97"/>
      <c r="S494" s="99"/>
      <c r="T494" s="99"/>
      <c r="U494" s="99"/>
      <c r="V494" s="99"/>
      <c r="W494" s="99"/>
      <c r="X494" s="99"/>
      <c r="Y494" s="99"/>
      <c r="Z494" s="99"/>
      <c r="AA494" s="99"/>
      <c r="AB494" s="99"/>
      <c r="AC494" s="98"/>
      <c r="AD494" s="98"/>
      <c r="AE494" s="98"/>
      <c r="AF494" s="98"/>
      <c r="AG494" s="98"/>
      <c r="AH494" s="98"/>
    </row>
    <row r="495" spans="2:34" x14ac:dyDescent="0.25">
      <c r="B495" s="71"/>
      <c r="C495" s="72"/>
      <c r="D495" s="77"/>
      <c r="E495" s="78"/>
      <c r="F495" s="78"/>
      <c r="G495" s="78"/>
      <c r="H495" s="78"/>
      <c r="I495" s="79"/>
      <c r="J495" s="86"/>
      <c r="K495" s="87"/>
      <c r="L495" s="86"/>
      <c r="M495" s="87"/>
      <c r="N495" s="77"/>
      <c r="O495" s="79"/>
      <c r="P495" s="92"/>
      <c r="Q495" s="93"/>
      <c r="S495" s="99"/>
      <c r="T495" s="99"/>
      <c r="U495" s="99"/>
      <c r="V495" s="99"/>
      <c r="W495" s="99"/>
      <c r="X495" s="99"/>
      <c r="Y495" s="99"/>
      <c r="Z495" s="99"/>
      <c r="AA495" s="99"/>
      <c r="AB495" s="99"/>
      <c r="AC495" s="98"/>
      <c r="AD495" s="98"/>
      <c r="AE495" s="98"/>
      <c r="AF495" s="98"/>
      <c r="AG495" s="98"/>
      <c r="AH495" s="98"/>
    </row>
    <row r="496" spans="2:34" x14ac:dyDescent="0.25">
      <c r="B496" s="73"/>
      <c r="C496" s="74"/>
      <c r="D496" s="80"/>
      <c r="E496" s="81"/>
      <c r="F496" s="81"/>
      <c r="G496" s="81"/>
      <c r="H496" s="81"/>
      <c r="I496" s="82"/>
      <c r="J496" s="88"/>
      <c r="K496" s="89"/>
      <c r="L496" s="88"/>
      <c r="M496" s="89"/>
      <c r="N496" s="80"/>
      <c r="O496" s="82"/>
      <c r="P496" s="94"/>
      <c r="Q496" s="95"/>
      <c r="S496" s="99"/>
      <c r="T496" s="99"/>
      <c r="U496" s="99"/>
      <c r="V496" s="99"/>
      <c r="W496" s="99"/>
      <c r="X496" s="99"/>
      <c r="Y496" s="99"/>
      <c r="Z496" s="99"/>
      <c r="AA496" s="99"/>
      <c r="AB496" s="99"/>
      <c r="AC496" s="98"/>
      <c r="AD496" s="98"/>
      <c r="AE496" s="98"/>
      <c r="AF496" s="98"/>
      <c r="AG496" s="98"/>
      <c r="AH496" s="98"/>
    </row>
    <row r="497" spans="2:34" x14ac:dyDescent="0.25">
      <c r="B497" s="75"/>
      <c r="C497" s="76"/>
      <c r="D497" s="83"/>
      <c r="E497" s="84"/>
      <c r="F497" s="84"/>
      <c r="G497" s="84"/>
      <c r="H497" s="84"/>
      <c r="I497" s="85"/>
      <c r="J497" s="90"/>
      <c r="K497" s="91"/>
      <c r="L497" s="90"/>
      <c r="M497" s="91"/>
      <c r="N497" s="83"/>
      <c r="O497" s="85"/>
      <c r="P497" s="96"/>
      <c r="Q497" s="97"/>
      <c r="S497" s="99"/>
      <c r="T497" s="99"/>
      <c r="U497" s="99"/>
      <c r="V497" s="99"/>
      <c r="W497" s="99"/>
      <c r="X497" s="99"/>
      <c r="Y497" s="99"/>
      <c r="Z497" s="99"/>
      <c r="AA497" s="99"/>
      <c r="AB497" s="99"/>
      <c r="AC497" s="98"/>
      <c r="AD497" s="98"/>
      <c r="AE497" s="98"/>
      <c r="AF497" s="98"/>
      <c r="AG497" s="98"/>
      <c r="AH497" s="98"/>
    </row>
    <row r="498" spans="2:34" x14ac:dyDescent="0.25">
      <c r="B498" s="71"/>
      <c r="C498" s="72"/>
      <c r="D498" s="77"/>
      <c r="E498" s="78"/>
      <c r="F498" s="78"/>
      <c r="G498" s="78"/>
      <c r="H498" s="78"/>
      <c r="I498" s="79"/>
      <c r="J498" s="86"/>
      <c r="K498" s="87"/>
      <c r="L498" s="86"/>
      <c r="M498" s="87"/>
      <c r="N498" s="77"/>
      <c r="O498" s="79"/>
      <c r="P498" s="92"/>
      <c r="Q498" s="93"/>
      <c r="S498" s="99"/>
      <c r="T498" s="99"/>
      <c r="U498" s="99"/>
      <c r="V498" s="99"/>
      <c r="W498" s="99"/>
      <c r="X498" s="99"/>
      <c r="Y498" s="99"/>
      <c r="Z498" s="99"/>
      <c r="AA498" s="99"/>
      <c r="AB498" s="99"/>
      <c r="AC498" s="98"/>
      <c r="AD498" s="98"/>
      <c r="AE498" s="98"/>
      <c r="AF498" s="98"/>
      <c r="AG498" s="98"/>
      <c r="AH498" s="98"/>
    </row>
    <row r="499" spans="2:34" x14ac:dyDescent="0.25">
      <c r="B499" s="73"/>
      <c r="C499" s="74"/>
      <c r="D499" s="80"/>
      <c r="E499" s="81"/>
      <c r="F499" s="81"/>
      <c r="G499" s="81"/>
      <c r="H499" s="81"/>
      <c r="I499" s="82"/>
      <c r="J499" s="88"/>
      <c r="K499" s="89"/>
      <c r="L499" s="88"/>
      <c r="M499" s="89"/>
      <c r="N499" s="80"/>
      <c r="O499" s="82"/>
      <c r="P499" s="94"/>
      <c r="Q499" s="95"/>
      <c r="S499" s="99"/>
      <c r="T499" s="99"/>
      <c r="U499" s="99"/>
      <c r="V499" s="99"/>
      <c r="W499" s="99"/>
      <c r="X499" s="99"/>
      <c r="Y499" s="99"/>
      <c r="Z499" s="99"/>
      <c r="AA499" s="99"/>
      <c r="AB499" s="99"/>
      <c r="AC499" s="98"/>
      <c r="AD499" s="98"/>
      <c r="AE499" s="98"/>
      <c r="AF499" s="98"/>
      <c r="AG499" s="98"/>
      <c r="AH499" s="98"/>
    </row>
    <row r="500" spans="2:34" x14ac:dyDescent="0.25">
      <c r="B500" s="75"/>
      <c r="C500" s="76"/>
      <c r="D500" s="83"/>
      <c r="E500" s="84"/>
      <c r="F500" s="84"/>
      <c r="G500" s="84"/>
      <c r="H500" s="84"/>
      <c r="I500" s="85"/>
      <c r="J500" s="90"/>
      <c r="K500" s="91"/>
      <c r="L500" s="90"/>
      <c r="M500" s="91"/>
      <c r="N500" s="83"/>
      <c r="O500" s="85"/>
      <c r="P500" s="96"/>
      <c r="Q500" s="97"/>
      <c r="S500" s="99"/>
      <c r="T500" s="99"/>
      <c r="U500" s="99"/>
      <c r="V500" s="99"/>
      <c r="W500" s="99"/>
      <c r="X500" s="99"/>
      <c r="Y500" s="99"/>
      <c r="Z500" s="99"/>
      <c r="AA500" s="99"/>
      <c r="AB500" s="99"/>
      <c r="AC500" s="98"/>
      <c r="AD500" s="98"/>
      <c r="AE500" s="98"/>
      <c r="AF500" s="98"/>
      <c r="AG500" s="98"/>
      <c r="AH500" s="98"/>
    </row>
    <row r="501" spans="2:34" x14ac:dyDescent="0.25">
      <c r="B501" s="71"/>
      <c r="C501" s="72"/>
      <c r="D501" s="77"/>
      <c r="E501" s="78"/>
      <c r="F501" s="78"/>
      <c r="G501" s="78"/>
      <c r="H501" s="78"/>
      <c r="I501" s="79"/>
      <c r="J501" s="86"/>
      <c r="K501" s="87"/>
      <c r="L501" s="86"/>
      <c r="M501" s="87"/>
      <c r="N501" s="77"/>
      <c r="O501" s="79"/>
      <c r="P501" s="92"/>
      <c r="Q501" s="93"/>
      <c r="S501" s="99"/>
      <c r="T501" s="99"/>
      <c r="U501" s="99"/>
      <c r="V501" s="99"/>
      <c r="W501" s="99"/>
      <c r="X501" s="99"/>
      <c r="Y501" s="99"/>
      <c r="Z501" s="99"/>
      <c r="AA501" s="99"/>
      <c r="AB501" s="99"/>
      <c r="AC501" s="98"/>
      <c r="AD501" s="98"/>
      <c r="AE501" s="98"/>
      <c r="AF501" s="98"/>
      <c r="AG501" s="98"/>
      <c r="AH501" s="98"/>
    </row>
    <row r="502" spans="2:34" x14ac:dyDescent="0.25">
      <c r="B502" s="73"/>
      <c r="C502" s="74"/>
      <c r="D502" s="80"/>
      <c r="E502" s="81"/>
      <c r="F502" s="81"/>
      <c r="G502" s="81"/>
      <c r="H502" s="81"/>
      <c r="I502" s="82"/>
      <c r="J502" s="88"/>
      <c r="K502" s="89"/>
      <c r="L502" s="88"/>
      <c r="M502" s="89"/>
      <c r="N502" s="80"/>
      <c r="O502" s="82"/>
      <c r="P502" s="94"/>
      <c r="Q502" s="95"/>
      <c r="S502" s="99"/>
      <c r="T502" s="99"/>
      <c r="U502" s="99"/>
      <c r="V502" s="99"/>
      <c r="W502" s="99"/>
      <c r="X502" s="99"/>
      <c r="Y502" s="99"/>
      <c r="Z502" s="99"/>
      <c r="AA502" s="99"/>
      <c r="AB502" s="99"/>
      <c r="AC502" s="98"/>
      <c r="AD502" s="98"/>
      <c r="AE502" s="98"/>
      <c r="AF502" s="98"/>
      <c r="AG502" s="98"/>
      <c r="AH502" s="98"/>
    </row>
    <row r="503" spans="2:34" x14ac:dyDescent="0.25">
      <c r="B503" s="75"/>
      <c r="C503" s="76"/>
      <c r="D503" s="83"/>
      <c r="E503" s="84"/>
      <c r="F503" s="84"/>
      <c r="G503" s="84"/>
      <c r="H503" s="84"/>
      <c r="I503" s="85"/>
      <c r="J503" s="90"/>
      <c r="K503" s="91"/>
      <c r="L503" s="90"/>
      <c r="M503" s="91"/>
      <c r="N503" s="83"/>
      <c r="O503" s="85"/>
      <c r="P503" s="96"/>
      <c r="Q503" s="97"/>
      <c r="S503" s="99"/>
      <c r="T503" s="99"/>
      <c r="U503" s="99"/>
      <c r="V503" s="99"/>
      <c r="W503" s="99"/>
      <c r="X503" s="99"/>
      <c r="Y503" s="99"/>
      <c r="Z503" s="99"/>
      <c r="AA503" s="99"/>
      <c r="AB503" s="99"/>
      <c r="AC503" s="98"/>
      <c r="AD503" s="98"/>
      <c r="AE503" s="98"/>
      <c r="AF503" s="98"/>
      <c r="AG503" s="98"/>
      <c r="AH503" s="98"/>
    </row>
    <row r="504" spans="2:34" x14ac:dyDescent="0.25">
      <c r="B504" s="71"/>
      <c r="C504" s="72"/>
      <c r="D504" s="77"/>
      <c r="E504" s="78"/>
      <c r="F504" s="78"/>
      <c r="G504" s="78"/>
      <c r="H504" s="78"/>
      <c r="I504" s="79"/>
      <c r="J504" s="86"/>
      <c r="K504" s="87"/>
      <c r="L504" s="86"/>
      <c r="M504" s="87"/>
      <c r="N504" s="77"/>
      <c r="O504" s="79"/>
      <c r="P504" s="92"/>
      <c r="Q504" s="93"/>
      <c r="S504" s="99"/>
      <c r="T504" s="99"/>
      <c r="U504" s="99"/>
      <c r="V504" s="99"/>
      <c r="W504" s="99"/>
      <c r="X504" s="99"/>
      <c r="Y504" s="99"/>
      <c r="Z504" s="99"/>
      <c r="AA504" s="99"/>
      <c r="AB504" s="99"/>
      <c r="AC504" s="98"/>
      <c r="AD504" s="98"/>
      <c r="AE504" s="98"/>
      <c r="AF504" s="98"/>
      <c r="AG504" s="98"/>
      <c r="AH504" s="98"/>
    </row>
    <row r="505" spans="2:34" x14ac:dyDescent="0.25">
      <c r="B505" s="73"/>
      <c r="C505" s="74"/>
      <c r="D505" s="80"/>
      <c r="E505" s="81"/>
      <c r="F505" s="81"/>
      <c r="G505" s="81"/>
      <c r="H505" s="81"/>
      <c r="I505" s="82"/>
      <c r="J505" s="88"/>
      <c r="K505" s="89"/>
      <c r="L505" s="88"/>
      <c r="M505" s="89"/>
      <c r="N505" s="80"/>
      <c r="O505" s="82"/>
      <c r="P505" s="94"/>
      <c r="Q505" s="95"/>
      <c r="S505" s="99"/>
      <c r="T505" s="99"/>
      <c r="U505" s="99"/>
      <c r="V505" s="99"/>
      <c r="W505" s="99"/>
      <c r="X505" s="99"/>
      <c r="Y505" s="99"/>
      <c r="Z505" s="99"/>
      <c r="AA505" s="99"/>
      <c r="AB505" s="99"/>
      <c r="AC505" s="98"/>
      <c r="AD505" s="98"/>
      <c r="AE505" s="98"/>
      <c r="AF505" s="98"/>
      <c r="AG505" s="98"/>
      <c r="AH505" s="98"/>
    </row>
    <row r="506" spans="2:34" x14ac:dyDescent="0.25">
      <c r="B506" s="75"/>
      <c r="C506" s="76"/>
      <c r="D506" s="83"/>
      <c r="E506" s="84"/>
      <c r="F506" s="84"/>
      <c r="G506" s="84"/>
      <c r="H506" s="84"/>
      <c r="I506" s="85"/>
      <c r="J506" s="90"/>
      <c r="K506" s="91"/>
      <c r="L506" s="90"/>
      <c r="M506" s="91"/>
      <c r="N506" s="83"/>
      <c r="O506" s="85"/>
      <c r="P506" s="96"/>
      <c r="Q506" s="97"/>
      <c r="S506" s="99"/>
      <c r="T506" s="99"/>
      <c r="U506" s="99"/>
      <c r="V506" s="99"/>
      <c r="W506" s="99"/>
      <c r="X506" s="99"/>
      <c r="Y506" s="99"/>
      <c r="Z506" s="99"/>
      <c r="AA506" s="99"/>
      <c r="AB506" s="99"/>
      <c r="AC506" s="98"/>
      <c r="AD506" s="98"/>
      <c r="AE506" s="98"/>
      <c r="AF506" s="98"/>
      <c r="AG506" s="98"/>
      <c r="AH506" s="98"/>
    </row>
    <row r="507" spans="2:34" x14ac:dyDescent="0.25">
      <c r="B507" s="71"/>
      <c r="C507" s="72"/>
      <c r="D507" s="77"/>
      <c r="E507" s="78"/>
      <c r="F507" s="78"/>
      <c r="G507" s="78"/>
      <c r="H507" s="78"/>
      <c r="I507" s="79"/>
      <c r="J507" s="86"/>
      <c r="K507" s="87"/>
      <c r="L507" s="86"/>
      <c r="M507" s="87"/>
      <c r="N507" s="77"/>
      <c r="O507" s="79"/>
      <c r="P507" s="92"/>
      <c r="Q507" s="93"/>
      <c r="S507" s="99"/>
      <c r="T507" s="99"/>
      <c r="U507" s="99"/>
      <c r="V507" s="99"/>
      <c r="W507" s="99"/>
      <c r="X507" s="99"/>
      <c r="Y507" s="99"/>
      <c r="Z507" s="99"/>
      <c r="AA507" s="99"/>
      <c r="AB507" s="99"/>
      <c r="AC507" s="98"/>
      <c r="AD507" s="98"/>
      <c r="AE507" s="98"/>
      <c r="AF507" s="98"/>
      <c r="AG507" s="98"/>
      <c r="AH507" s="98"/>
    </row>
    <row r="508" spans="2:34" x14ac:dyDescent="0.25">
      <c r="B508" s="73"/>
      <c r="C508" s="74"/>
      <c r="D508" s="80"/>
      <c r="E508" s="81"/>
      <c r="F508" s="81"/>
      <c r="G508" s="81"/>
      <c r="H508" s="81"/>
      <c r="I508" s="82"/>
      <c r="J508" s="88"/>
      <c r="K508" s="89"/>
      <c r="L508" s="88"/>
      <c r="M508" s="89"/>
      <c r="N508" s="80"/>
      <c r="O508" s="82"/>
      <c r="P508" s="94"/>
      <c r="Q508" s="95"/>
      <c r="S508" s="99"/>
      <c r="T508" s="99"/>
      <c r="U508" s="99"/>
      <c r="V508" s="99"/>
      <c r="W508" s="99"/>
      <c r="X508" s="99"/>
      <c r="Y508" s="99"/>
      <c r="Z508" s="99"/>
      <c r="AA508" s="99"/>
      <c r="AB508" s="99"/>
      <c r="AC508" s="98"/>
      <c r="AD508" s="98"/>
      <c r="AE508" s="98"/>
      <c r="AF508" s="98"/>
      <c r="AG508" s="98"/>
      <c r="AH508" s="98"/>
    </row>
    <row r="509" spans="2:34" x14ac:dyDescent="0.25">
      <c r="B509" s="75"/>
      <c r="C509" s="76"/>
      <c r="D509" s="83"/>
      <c r="E509" s="84"/>
      <c r="F509" s="84"/>
      <c r="G509" s="84"/>
      <c r="H509" s="84"/>
      <c r="I509" s="85"/>
      <c r="J509" s="90"/>
      <c r="K509" s="91"/>
      <c r="L509" s="90"/>
      <c r="M509" s="91"/>
      <c r="N509" s="83"/>
      <c r="O509" s="85"/>
      <c r="P509" s="96"/>
      <c r="Q509" s="97"/>
      <c r="S509" s="99"/>
      <c r="T509" s="99"/>
      <c r="U509" s="99"/>
      <c r="V509" s="99"/>
      <c r="W509" s="99"/>
      <c r="X509" s="99"/>
      <c r="Y509" s="99"/>
      <c r="Z509" s="99"/>
      <c r="AA509" s="99"/>
      <c r="AB509" s="99"/>
      <c r="AC509" s="98"/>
      <c r="AD509" s="98"/>
      <c r="AE509" s="98"/>
      <c r="AF509" s="98"/>
      <c r="AG509" s="98"/>
      <c r="AH509" s="98"/>
    </row>
    <row r="510" spans="2:34" x14ac:dyDescent="0.25">
      <c r="B510" s="71"/>
      <c r="C510" s="72"/>
      <c r="D510" s="77"/>
      <c r="E510" s="78"/>
      <c r="F510" s="78"/>
      <c r="G510" s="78"/>
      <c r="H510" s="78"/>
      <c r="I510" s="79"/>
      <c r="J510" s="86"/>
      <c r="K510" s="87"/>
      <c r="L510" s="86"/>
      <c r="M510" s="87"/>
      <c r="N510" s="77"/>
      <c r="O510" s="79"/>
      <c r="P510" s="92"/>
      <c r="Q510" s="93"/>
      <c r="S510" s="99"/>
      <c r="T510" s="99"/>
      <c r="U510" s="99"/>
      <c r="V510" s="99"/>
      <c r="W510" s="99"/>
      <c r="X510" s="99"/>
      <c r="Y510" s="99"/>
      <c r="Z510" s="99"/>
      <c r="AA510" s="99"/>
      <c r="AB510" s="99"/>
      <c r="AC510" s="98"/>
      <c r="AD510" s="98"/>
      <c r="AE510" s="98"/>
      <c r="AF510" s="98"/>
      <c r="AG510" s="98"/>
      <c r="AH510" s="98"/>
    </row>
    <row r="511" spans="2:34" x14ac:dyDescent="0.25">
      <c r="B511" s="73"/>
      <c r="C511" s="74"/>
      <c r="D511" s="80"/>
      <c r="E511" s="81"/>
      <c r="F511" s="81"/>
      <c r="G511" s="81"/>
      <c r="H511" s="81"/>
      <c r="I511" s="82"/>
      <c r="J511" s="88"/>
      <c r="K511" s="89"/>
      <c r="L511" s="88"/>
      <c r="M511" s="89"/>
      <c r="N511" s="80"/>
      <c r="O511" s="82"/>
      <c r="P511" s="94"/>
      <c r="Q511" s="95"/>
      <c r="S511" s="99"/>
      <c r="T511" s="99"/>
      <c r="U511" s="99"/>
      <c r="V511" s="99"/>
      <c r="W511" s="99"/>
      <c r="X511" s="99"/>
      <c r="Y511" s="99"/>
      <c r="Z511" s="99"/>
      <c r="AA511" s="99"/>
      <c r="AB511" s="99"/>
      <c r="AC511" s="98"/>
      <c r="AD511" s="98"/>
      <c r="AE511" s="98"/>
      <c r="AF511" s="98"/>
      <c r="AG511" s="98"/>
      <c r="AH511" s="98"/>
    </row>
    <row r="512" spans="2:34" x14ac:dyDescent="0.25">
      <c r="B512" s="75"/>
      <c r="C512" s="76"/>
      <c r="D512" s="83"/>
      <c r="E512" s="84"/>
      <c r="F512" s="84"/>
      <c r="G512" s="84"/>
      <c r="H512" s="84"/>
      <c r="I512" s="85"/>
      <c r="J512" s="90"/>
      <c r="K512" s="91"/>
      <c r="L512" s="90"/>
      <c r="M512" s="91"/>
      <c r="N512" s="83"/>
      <c r="O512" s="85"/>
      <c r="P512" s="96"/>
      <c r="Q512" s="97"/>
      <c r="S512" s="99"/>
      <c r="T512" s="99"/>
      <c r="U512" s="99"/>
      <c r="V512" s="99"/>
      <c r="W512" s="99"/>
      <c r="X512" s="99"/>
      <c r="Y512" s="99"/>
      <c r="Z512" s="99"/>
      <c r="AA512" s="99"/>
      <c r="AB512" s="99"/>
      <c r="AC512" s="98"/>
      <c r="AD512" s="98"/>
      <c r="AE512" s="98"/>
      <c r="AF512" s="98"/>
      <c r="AG512" s="98"/>
      <c r="AH512" s="98"/>
    </row>
    <row r="513" spans="2:34" x14ac:dyDescent="0.25">
      <c r="B513" s="71"/>
      <c r="C513" s="72"/>
      <c r="D513" s="77"/>
      <c r="E513" s="78"/>
      <c r="F513" s="78"/>
      <c r="G513" s="78"/>
      <c r="H513" s="78"/>
      <c r="I513" s="79"/>
      <c r="J513" s="86"/>
      <c r="K513" s="87"/>
      <c r="L513" s="86"/>
      <c r="M513" s="87"/>
      <c r="N513" s="77"/>
      <c r="O513" s="79"/>
      <c r="P513" s="92"/>
      <c r="Q513" s="93"/>
      <c r="S513" s="99"/>
      <c r="T513" s="99"/>
      <c r="U513" s="99"/>
      <c r="V513" s="99"/>
      <c r="W513" s="99"/>
      <c r="X513" s="99"/>
      <c r="Y513" s="99"/>
      <c r="Z513" s="99"/>
      <c r="AA513" s="99"/>
      <c r="AB513" s="99"/>
      <c r="AC513" s="98"/>
      <c r="AD513" s="98"/>
      <c r="AE513" s="98"/>
      <c r="AF513" s="98"/>
      <c r="AG513" s="98"/>
      <c r="AH513" s="98"/>
    </row>
    <row r="514" spans="2:34" x14ac:dyDescent="0.25">
      <c r="B514" s="73"/>
      <c r="C514" s="74"/>
      <c r="D514" s="80"/>
      <c r="E514" s="81"/>
      <c r="F514" s="81"/>
      <c r="G514" s="81"/>
      <c r="H514" s="81"/>
      <c r="I514" s="82"/>
      <c r="J514" s="88"/>
      <c r="K514" s="89"/>
      <c r="L514" s="88"/>
      <c r="M514" s="89"/>
      <c r="N514" s="80"/>
      <c r="O514" s="82"/>
      <c r="P514" s="94"/>
      <c r="Q514" s="95"/>
      <c r="S514" s="99"/>
      <c r="T514" s="99"/>
      <c r="U514" s="99"/>
      <c r="V514" s="99"/>
      <c r="W514" s="99"/>
      <c r="X514" s="99"/>
      <c r="Y514" s="99"/>
      <c r="Z514" s="99"/>
      <c r="AA514" s="99"/>
      <c r="AB514" s="99"/>
      <c r="AC514" s="98"/>
      <c r="AD514" s="98"/>
      <c r="AE514" s="98"/>
      <c r="AF514" s="98"/>
      <c r="AG514" s="98"/>
      <c r="AH514" s="98"/>
    </row>
    <row r="515" spans="2:34" x14ac:dyDescent="0.25">
      <c r="B515" s="75"/>
      <c r="C515" s="76"/>
      <c r="D515" s="83"/>
      <c r="E515" s="84"/>
      <c r="F515" s="84"/>
      <c r="G515" s="84"/>
      <c r="H515" s="84"/>
      <c r="I515" s="85"/>
      <c r="J515" s="90"/>
      <c r="K515" s="91"/>
      <c r="L515" s="90"/>
      <c r="M515" s="91"/>
      <c r="N515" s="83"/>
      <c r="O515" s="85"/>
      <c r="P515" s="96"/>
      <c r="Q515" s="97"/>
      <c r="S515" s="99"/>
      <c r="T515" s="99"/>
      <c r="U515" s="99"/>
      <c r="V515" s="99"/>
      <c r="W515" s="99"/>
      <c r="X515" s="99"/>
      <c r="Y515" s="99"/>
      <c r="Z515" s="99"/>
      <c r="AA515" s="99"/>
      <c r="AB515" s="99"/>
      <c r="AC515" s="98"/>
      <c r="AD515" s="98"/>
      <c r="AE515" s="98"/>
      <c r="AF515" s="98"/>
      <c r="AG515" s="98"/>
      <c r="AH515" s="98"/>
    </row>
    <row r="516" spans="2:34" x14ac:dyDescent="0.25">
      <c r="B516" s="71"/>
      <c r="C516" s="72"/>
      <c r="D516" s="77"/>
      <c r="E516" s="78"/>
      <c r="F516" s="78"/>
      <c r="G516" s="78"/>
      <c r="H516" s="78"/>
      <c r="I516" s="79"/>
      <c r="J516" s="86"/>
      <c r="K516" s="87"/>
      <c r="L516" s="86"/>
      <c r="M516" s="87"/>
      <c r="N516" s="77"/>
      <c r="O516" s="79"/>
      <c r="P516" s="92"/>
      <c r="Q516" s="93"/>
      <c r="S516" s="99"/>
      <c r="T516" s="99"/>
      <c r="U516" s="99"/>
      <c r="V516" s="99"/>
      <c r="W516" s="99"/>
      <c r="X516" s="99"/>
      <c r="Y516" s="99"/>
      <c r="Z516" s="99"/>
      <c r="AA516" s="99"/>
      <c r="AB516" s="99"/>
      <c r="AC516" s="98"/>
      <c r="AD516" s="98"/>
      <c r="AE516" s="98"/>
      <c r="AF516" s="98"/>
      <c r="AG516" s="98"/>
      <c r="AH516" s="98"/>
    </row>
    <row r="517" spans="2:34" x14ac:dyDescent="0.25">
      <c r="B517" s="73"/>
      <c r="C517" s="74"/>
      <c r="D517" s="80"/>
      <c r="E517" s="81"/>
      <c r="F517" s="81"/>
      <c r="G517" s="81"/>
      <c r="H517" s="81"/>
      <c r="I517" s="82"/>
      <c r="J517" s="88"/>
      <c r="K517" s="89"/>
      <c r="L517" s="88"/>
      <c r="M517" s="89"/>
      <c r="N517" s="80"/>
      <c r="O517" s="82"/>
      <c r="P517" s="94"/>
      <c r="Q517" s="95"/>
      <c r="S517" s="99"/>
      <c r="T517" s="99"/>
      <c r="U517" s="99"/>
      <c r="V517" s="99"/>
      <c r="W517" s="99"/>
      <c r="X517" s="99"/>
      <c r="Y517" s="99"/>
      <c r="Z517" s="99"/>
      <c r="AA517" s="99"/>
      <c r="AB517" s="99"/>
      <c r="AC517" s="98"/>
      <c r="AD517" s="98"/>
      <c r="AE517" s="98"/>
      <c r="AF517" s="98"/>
      <c r="AG517" s="98"/>
      <c r="AH517" s="98"/>
    </row>
    <row r="518" spans="2:34" x14ac:dyDescent="0.25">
      <c r="B518" s="75"/>
      <c r="C518" s="76"/>
      <c r="D518" s="83"/>
      <c r="E518" s="84"/>
      <c r="F518" s="84"/>
      <c r="G518" s="84"/>
      <c r="H518" s="84"/>
      <c r="I518" s="85"/>
      <c r="J518" s="90"/>
      <c r="K518" s="91"/>
      <c r="L518" s="90"/>
      <c r="M518" s="91"/>
      <c r="N518" s="83"/>
      <c r="O518" s="85"/>
      <c r="P518" s="96"/>
      <c r="Q518" s="97"/>
      <c r="S518" s="99"/>
      <c r="T518" s="99"/>
      <c r="U518" s="99"/>
      <c r="V518" s="99"/>
      <c r="W518" s="99"/>
      <c r="X518" s="99"/>
      <c r="Y518" s="99"/>
      <c r="Z518" s="99"/>
      <c r="AA518" s="99"/>
      <c r="AB518" s="99"/>
      <c r="AC518" s="98"/>
      <c r="AD518" s="98"/>
      <c r="AE518" s="98"/>
      <c r="AF518" s="98"/>
      <c r="AG518" s="98"/>
      <c r="AH518" s="98"/>
    </row>
    <row r="519" spans="2:34" x14ac:dyDescent="0.25">
      <c r="B519" s="71"/>
      <c r="C519" s="72"/>
      <c r="D519" s="77"/>
      <c r="E519" s="78"/>
      <c r="F519" s="78"/>
      <c r="G519" s="78"/>
      <c r="H519" s="78"/>
      <c r="I519" s="79"/>
      <c r="J519" s="86"/>
      <c r="K519" s="87"/>
      <c r="L519" s="86"/>
      <c r="M519" s="87"/>
      <c r="N519" s="77"/>
      <c r="O519" s="79"/>
      <c r="P519" s="92"/>
      <c r="Q519" s="93"/>
      <c r="S519" s="99"/>
      <c r="T519" s="99"/>
      <c r="U519" s="99"/>
      <c r="V519" s="99"/>
      <c r="W519" s="99"/>
      <c r="X519" s="99"/>
      <c r="Y519" s="99"/>
      <c r="Z519" s="99"/>
      <c r="AA519" s="99"/>
      <c r="AB519" s="99"/>
      <c r="AC519" s="98"/>
      <c r="AD519" s="98"/>
      <c r="AE519" s="98"/>
      <c r="AF519" s="98"/>
      <c r="AG519" s="98"/>
      <c r="AH519" s="98"/>
    </row>
    <row r="520" spans="2:34" x14ac:dyDescent="0.25">
      <c r="B520" s="73"/>
      <c r="C520" s="74"/>
      <c r="D520" s="80"/>
      <c r="E520" s="81"/>
      <c r="F520" s="81"/>
      <c r="G520" s="81"/>
      <c r="H520" s="81"/>
      <c r="I520" s="82"/>
      <c r="J520" s="88"/>
      <c r="K520" s="89"/>
      <c r="L520" s="88"/>
      <c r="M520" s="89"/>
      <c r="N520" s="80"/>
      <c r="O520" s="82"/>
      <c r="P520" s="94"/>
      <c r="Q520" s="95"/>
      <c r="S520" s="99"/>
      <c r="T520" s="99"/>
      <c r="U520" s="99"/>
      <c r="V520" s="99"/>
      <c r="W520" s="99"/>
      <c r="X520" s="99"/>
      <c r="Y520" s="99"/>
      <c r="Z520" s="99"/>
      <c r="AA520" s="99"/>
      <c r="AB520" s="99"/>
      <c r="AC520" s="98"/>
      <c r="AD520" s="98"/>
      <c r="AE520" s="98"/>
      <c r="AF520" s="98"/>
      <c r="AG520" s="98"/>
      <c r="AH520" s="98"/>
    </row>
    <row r="521" spans="2:34" x14ac:dyDescent="0.25">
      <c r="B521" s="75"/>
      <c r="C521" s="76"/>
      <c r="D521" s="83"/>
      <c r="E521" s="84"/>
      <c r="F521" s="84"/>
      <c r="G521" s="84"/>
      <c r="H521" s="84"/>
      <c r="I521" s="85"/>
      <c r="J521" s="90"/>
      <c r="K521" s="91"/>
      <c r="L521" s="90"/>
      <c r="M521" s="91"/>
      <c r="N521" s="83"/>
      <c r="O521" s="85"/>
      <c r="P521" s="96"/>
      <c r="Q521" s="97"/>
      <c r="S521" s="99"/>
      <c r="T521" s="99"/>
      <c r="U521" s="99"/>
      <c r="V521" s="99"/>
      <c r="W521" s="99"/>
      <c r="X521" s="99"/>
      <c r="Y521" s="99"/>
      <c r="Z521" s="99"/>
      <c r="AA521" s="99"/>
      <c r="AB521" s="99"/>
      <c r="AC521" s="98"/>
      <c r="AD521" s="98"/>
      <c r="AE521" s="98"/>
      <c r="AF521" s="98"/>
      <c r="AG521" s="98"/>
      <c r="AH521" s="98"/>
    </row>
    <row r="522" spans="2:34" x14ac:dyDescent="0.25">
      <c r="B522" s="71"/>
      <c r="C522" s="72"/>
      <c r="D522" s="77"/>
      <c r="E522" s="78"/>
      <c r="F522" s="78"/>
      <c r="G522" s="78"/>
      <c r="H522" s="78"/>
      <c r="I522" s="79"/>
      <c r="J522" s="86"/>
      <c r="K522" s="87"/>
      <c r="L522" s="86"/>
      <c r="M522" s="87"/>
      <c r="N522" s="77"/>
      <c r="O522" s="79"/>
      <c r="P522" s="92"/>
      <c r="Q522" s="93"/>
      <c r="S522" s="99"/>
      <c r="T522" s="99"/>
      <c r="U522" s="99"/>
      <c r="V522" s="99"/>
      <c r="W522" s="99"/>
      <c r="X522" s="99"/>
      <c r="Y522" s="99"/>
      <c r="Z522" s="99"/>
      <c r="AA522" s="99"/>
      <c r="AB522" s="99"/>
      <c r="AC522" s="98"/>
      <c r="AD522" s="98"/>
      <c r="AE522" s="98"/>
      <c r="AF522" s="98"/>
      <c r="AG522" s="98"/>
      <c r="AH522" s="98"/>
    </row>
    <row r="523" spans="2:34" x14ac:dyDescent="0.25">
      <c r="B523" s="73"/>
      <c r="C523" s="74"/>
      <c r="D523" s="80"/>
      <c r="E523" s="81"/>
      <c r="F523" s="81"/>
      <c r="G523" s="81"/>
      <c r="H523" s="81"/>
      <c r="I523" s="82"/>
      <c r="J523" s="88"/>
      <c r="K523" s="89"/>
      <c r="L523" s="88"/>
      <c r="M523" s="89"/>
      <c r="N523" s="80"/>
      <c r="O523" s="82"/>
      <c r="P523" s="94"/>
      <c r="Q523" s="95"/>
      <c r="S523" s="99"/>
      <c r="T523" s="99"/>
      <c r="U523" s="99"/>
      <c r="V523" s="99"/>
      <c r="W523" s="99"/>
      <c r="X523" s="99"/>
      <c r="Y523" s="99"/>
      <c r="Z523" s="99"/>
      <c r="AA523" s="99"/>
      <c r="AB523" s="99"/>
      <c r="AC523" s="98"/>
      <c r="AD523" s="98"/>
      <c r="AE523" s="98"/>
      <c r="AF523" s="98"/>
      <c r="AG523" s="98"/>
      <c r="AH523" s="98"/>
    </row>
    <row r="524" spans="2:34" x14ac:dyDescent="0.25">
      <c r="B524" s="75"/>
      <c r="C524" s="76"/>
      <c r="D524" s="83"/>
      <c r="E524" s="84"/>
      <c r="F524" s="84"/>
      <c r="G524" s="84"/>
      <c r="H524" s="84"/>
      <c r="I524" s="85"/>
      <c r="J524" s="90"/>
      <c r="K524" s="91"/>
      <c r="L524" s="90"/>
      <c r="M524" s="91"/>
      <c r="N524" s="83"/>
      <c r="O524" s="85"/>
      <c r="P524" s="96"/>
      <c r="Q524" s="97"/>
      <c r="S524" s="99"/>
      <c r="T524" s="99"/>
      <c r="U524" s="99"/>
      <c r="V524" s="99"/>
      <c r="W524" s="99"/>
      <c r="X524" s="99"/>
      <c r="Y524" s="99"/>
      <c r="Z524" s="99"/>
      <c r="AA524" s="99"/>
      <c r="AB524" s="99"/>
      <c r="AC524" s="98"/>
      <c r="AD524" s="98"/>
      <c r="AE524" s="98"/>
      <c r="AF524" s="98"/>
      <c r="AG524" s="98"/>
      <c r="AH524" s="98"/>
    </row>
    <row r="525" spans="2:34" x14ac:dyDescent="0.25">
      <c r="B525" s="71"/>
      <c r="C525" s="72"/>
      <c r="D525" s="77"/>
      <c r="E525" s="78"/>
      <c r="F525" s="78"/>
      <c r="G525" s="78"/>
      <c r="H525" s="78"/>
      <c r="I525" s="79"/>
      <c r="J525" s="86"/>
      <c r="K525" s="87"/>
      <c r="L525" s="86"/>
      <c r="M525" s="87"/>
      <c r="N525" s="77"/>
      <c r="O525" s="79"/>
      <c r="P525" s="92"/>
      <c r="Q525" s="93"/>
      <c r="S525" s="99"/>
      <c r="T525" s="99"/>
      <c r="U525" s="99"/>
      <c r="V525" s="99"/>
      <c r="W525" s="99"/>
      <c r="X525" s="99"/>
      <c r="Y525" s="99"/>
      <c r="Z525" s="99"/>
      <c r="AA525" s="99"/>
      <c r="AB525" s="99"/>
      <c r="AC525" s="98"/>
      <c r="AD525" s="98"/>
      <c r="AE525" s="98"/>
      <c r="AF525" s="98"/>
      <c r="AG525" s="98"/>
      <c r="AH525" s="98"/>
    </row>
    <row r="526" spans="2:34" x14ac:dyDescent="0.25">
      <c r="B526" s="73"/>
      <c r="C526" s="74"/>
      <c r="D526" s="80"/>
      <c r="E526" s="81"/>
      <c r="F526" s="81"/>
      <c r="G526" s="81"/>
      <c r="H526" s="81"/>
      <c r="I526" s="82"/>
      <c r="J526" s="88"/>
      <c r="K526" s="89"/>
      <c r="L526" s="88"/>
      <c r="M526" s="89"/>
      <c r="N526" s="80"/>
      <c r="O526" s="82"/>
      <c r="P526" s="94"/>
      <c r="Q526" s="95"/>
      <c r="S526" s="99"/>
      <c r="T526" s="99"/>
      <c r="U526" s="99"/>
      <c r="V526" s="99"/>
      <c r="W526" s="99"/>
      <c r="X526" s="99"/>
      <c r="Y526" s="99"/>
      <c r="Z526" s="99"/>
      <c r="AA526" s="99"/>
      <c r="AB526" s="99"/>
      <c r="AC526" s="98"/>
      <c r="AD526" s="98"/>
      <c r="AE526" s="98"/>
      <c r="AF526" s="98"/>
      <c r="AG526" s="98"/>
      <c r="AH526" s="98"/>
    </row>
    <row r="527" spans="2:34" x14ac:dyDescent="0.25">
      <c r="B527" s="75"/>
      <c r="C527" s="76"/>
      <c r="D527" s="83"/>
      <c r="E527" s="84"/>
      <c r="F527" s="84"/>
      <c r="G527" s="84"/>
      <c r="H527" s="84"/>
      <c r="I527" s="85"/>
      <c r="J527" s="90"/>
      <c r="K527" s="91"/>
      <c r="L527" s="90"/>
      <c r="M527" s="91"/>
      <c r="N527" s="83"/>
      <c r="O527" s="85"/>
      <c r="P527" s="96"/>
      <c r="Q527" s="97"/>
      <c r="S527" s="99"/>
      <c r="T527" s="99"/>
      <c r="U527" s="99"/>
      <c r="V527" s="99"/>
      <c r="W527" s="99"/>
      <c r="X527" s="99"/>
      <c r="Y527" s="99"/>
      <c r="Z527" s="99"/>
      <c r="AA527" s="99"/>
      <c r="AB527" s="99"/>
      <c r="AC527" s="98"/>
      <c r="AD527" s="98"/>
      <c r="AE527" s="98"/>
      <c r="AF527" s="98"/>
      <c r="AG527" s="98"/>
      <c r="AH527" s="98"/>
    </row>
    <row r="528" spans="2:34" x14ac:dyDescent="0.25">
      <c r="B528" s="71"/>
      <c r="C528" s="72"/>
      <c r="D528" s="77"/>
      <c r="E528" s="78"/>
      <c r="F528" s="78"/>
      <c r="G528" s="78"/>
      <c r="H528" s="78"/>
      <c r="I528" s="79"/>
      <c r="J528" s="86"/>
      <c r="K528" s="87"/>
      <c r="L528" s="86"/>
      <c r="M528" s="87"/>
      <c r="N528" s="77"/>
      <c r="O528" s="79"/>
      <c r="P528" s="92"/>
      <c r="Q528" s="93"/>
      <c r="S528" s="99"/>
      <c r="T528" s="99"/>
      <c r="U528" s="99"/>
      <c r="V528" s="99"/>
      <c r="W528" s="99"/>
      <c r="X528" s="99"/>
      <c r="Y528" s="99"/>
      <c r="Z528" s="99"/>
      <c r="AA528" s="99"/>
      <c r="AB528" s="99"/>
      <c r="AC528" s="98"/>
      <c r="AD528" s="98"/>
      <c r="AE528" s="98"/>
      <c r="AF528" s="98"/>
      <c r="AG528" s="98"/>
      <c r="AH528" s="98"/>
    </row>
    <row r="529" spans="2:34" x14ac:dyDescent="0.25">
      <c r="B529" s="73"/>
      <c r="C529" s="74"/>
      <c r="D529" s="80"/>
      <c r="E529" s="81"/>
      <c r="F529" s="81"/>
      <c r="G529" s="81"/>
      <c r="H529" s="81"/>
      <c r="I529" s="82"/>
      <c r="J529" s="88"/>
      <c r="K529" s="89"/>
      <c r="L529" s="88"/>
      <c r="M529" s="89"/>
      <c r="N529" s="80"/>
      <c r="O529" s="82"/>
      <c r="P529" s="94"/>
      <c r="Q529" s="95"/>
      <c r="S529" s="99"/>
      <c r="T529" s="99"/>
      <c r="U529" s="99"/>
      <c r="V529" s="99"/>
      <c r="W529" s="99"/>
      <c r="X529" s="99"/>
      <c r="Y529" s="99"/>
      <c r="Z529" s="99"/>
      <c r="AA529" s="99"/>
      <c r="AB529" s="99"/>
      <c r="AC529" s="98"/>
      <c r="AD529" s="98"/>
      <c r="AE529" s="98"/>
      <c r="AF529" s="98"/>
      <c r="AG529" s="98"/>
      <c r="AH529" s="98"/>
    </row>
    <row r="530" spans="2:34" x14ac:dyDescent="0.25">
      <c r="B530" s="75"/>
      <c r="C530" s="76"/>
      <c r="D530" s="83"/>
      <c r="E530" s="84"/>
      <c r="F530" s="84"/>
      <c r="G530" s="84"/>
      <c r="H530" s="84"/>
      <c r="I530" s="85"/>
      <c r="J530" s="90"/>
      <c r="K530" s="91"/>
      <c r="L530" s="90"/>
      <c r="M530" s="91"/>
      <c r="N530" s="83"/>
      <c r="O530" s="85"/>
      <c r="P530" s="96"/>
      <c r="Q530" s="97"/>
      <c r="S530" s="99"/>
      <c r="T530" s="99"/>
      <c r="U530" s="99"/>
      <c r="V530" s="99"/>
      <c r="W530" s="99"/>
      <c r="X530" s="99"/>
      <c r="Y530" s="99"/>
      <c r="Z530" s="99"/>
      <c r="AA530" s="99"/>
      <c r="AB530" s="99"/>
      <c r="AC530" s="98"/>
      <c r="AD530" s="98"/>
      <c r="AE530" s="98"/>
      <c r="AF530" s="98"/>
      <c r="AG530" s="98"/>
      <c r="AH530" s="98"/>
    </row>
    <row r="531" spans="2:34" x14ac:dyDescent="0.25">
      <c r="B531" s="71"/>
      <c r="C531" s="72"/>
      <c r="D531" s="77"/>
      <c r="E531" s="78"/>
      <c r="F531" s="78"/>
      <c r="G531" s="78"/>
      <c r="H531" s="78"/>
      <c r="I531" s="79"/>
      <c r="J531" s="86"/>
      <c r="K531" s="87"/>
      <c r="L531" s="86"/>
      <c r="M531" s="87"/>
      <c r="N531" s="77"/>
      <c r="O531" s="79"/>
      <c r="P531" s="92"/>
      <c r="Q531" s="93"/>
      <c r="S531" s="99"/>
      <c r="T531" s="99"/>
      <c r="U531" s="99"/>
      <c r="V531" s="99"/>
      <c r="W531" s="99"/>
      <c r="X531" s="99"/>
      <c r="Y531" s="99"/>
      <c r="Z531" s="99"/>
      <c r="AA531" s="99"/>
      <c r="AB531" s="99"/>
      <c r="AC531" s="98"/>
      <c r="AD531" s="98"/>
      <c r="AE531" s="98"/>
      <c r="AF531" s="98"/>
      <c r="AG531" s="98"/>
      <c r="AH531" s="98"/>
    </row>
    <row r="532" spans="2:34" x14ac:dyDescent="0.25">
      <c r="B532" s="73"/>
      <c r="C532" s="74"/>
      <c r="D532" s="80"/>
      <c r="E532" s="81"/>
      <c r="F532" s="81"/>
      <c r="G532" s="81"/>
      <c r="H532" s="81"/>
      <c r="I532" s="82"/>
      <c r="J532" s="88"/>
      <c r="K532" s="89"/>
      <c r="L532" s="88"/>
      <c r="M532" s="89"/>
      <c r="N532" s="80"/>
      <c r="O532" s="82"/>
      <c r="P532" s="94"/>
      <c r="Q532" s="95"/>
      <c r="S532" s="99"/>
      <c r="T532" s="99"/>
      <c r="U532" s="99"/>
      <c r="V532" s="99"/>
      <c r="W532" s="99"/>
      <c r="X532" s="99"/>
      <c r="Y532" s="99"/>
      <c r="Z532" s="99"/>
      <c r="AA532" s="99"/>
      <c r="AB532" s="99"/>
      <c r="AC532" s="98"/>
      <c r="AD532" s="98"/>
      <c r="AE532" s="98"/>
      <c r="AF532" s="98"/>
      <c r="AG532" s="98"/>
      <c r="AH532" s="98"/>
    </row>
    <row r="533" spans="2:34" x14ac:dyDescent="0.25">
      <c r="B533" s="75"/>
      <c r="C533" s="76"/>
      <c r="D533" s="83"/>
      <c r="E533" s="84"/>
      <c r="F533" s="84"/>
      <c r="G533" s="84"/>
      <c r="H533" s="84"/>
      <c r="I533" s="85"/>
      <c r="J533" s="90"/>
      <c r="K533" s="91"/>
      <c r="L533" s="90"/>
      <c r="M533" s="91"/>
      <c r="N533" s="83"/>
      <c r="O533" s="85"/>
      <c r="P533" s="96"/>
      <c r="Q533" s="97"/>
      <c r="S533" s="99"/>
      <c r="T533" s="99"/>
      <c r="U533" s="99"/>
      <c r="V533" s="99"/>
      <c r="W533" s="99"/>
      <c r="X533" s="99"/>
      <c r="Y533" s="99"/>
      <c r="Z533" s="99"/>
      <c r="AA533" s="99"/>
      <c r="AB533" s="99"/>
      <c r="AC533" s="98"/>
      <c r="AD533" s="98"/>
      <c r="AE533" s="98"/>
      <c r="AF533" s="98"/>
      <c r="AG533" s="98"/>
      <c r="AH533" s="98"/>
    </row>
    <row r="534" spans="2:34" x14ac:dyDescent="0.25">
      <c r="B534" s="71"/>
      <c r="C534" s="72"/>
      <c r="D534" s="77"/>
      <c r="E534" s="78"/>
      <c r="F534" s="78"/>
      <c r="G534" s="78"/>
      <c r="H534" s="78"/>
      <c r="I534" s="79"/>
      <c r="J534" s="86"/>
      <c r="K534" s="87"/>
      <c r="L534" s="86"/>
      <c r="M534" s="87"/>
      <c r="N534" s="77"/>
      <c r="O534" s="79"/>
      <c r="P534" s="92"/>
      <c r="Q534" s="93"/>
      <c r="S534" s="99"/>
      <c r="T534" s="99"/>
      <c r="U534" s="99"/>
      <c r="V534" s="99"/>
      <c r="W534" s="99"/>
      <c r="X534" s="99"/>
      <c r="Y534" s="99"/>
      <c r="Z534" s="99"/>
      <c r="AA534" s="99"/>
      <c r="AB534" s="99"/>
      <c r="AC534" s="98"/>
      <c r="AD534" s="98"/>
      <c r="AE534" s="98"/>
      <c r="AF534" s="98"/>
      <c r="AG534" s="98"/>
      <c r="AH534" s="98"/>
    </row>
    <row r="535" spans="2:34" x14ac:dyDescent="0.25">
      <c r="B535" s="73"/>
      <c r="C535" s="74"/>
      <c r="D535" s="80"/>
      <c r="E535" s="81"/>
      <c r="F535" s="81"/>
      <c r="G535" s="81"/>
      <c r="H535" s="81"/>
      <c r="I535" s="82"/>
      <c r="J535" s="88"/>
      <c r="K535" s="89"/>
      <c r="L535" s="88"/>
      <c r="M535" s="89"/>
      <c r="N535" s="80"/>
      <c r="O535" s="82"/>
      <c r="P535" s="94"/>
      <c r="Q535" s="95"/>
      <c r="S535" s="99"/>
      <c r="T535" s="99"/>
      <c r="U535" s="99"/>
      <c r="V535" s="99"/>
      <c r="W535" s="99"/>
      <c r="X535" s="99"/>
      <c r="Y535" s="99"/>
      <c r="Z535" s="99"/>
      <c r="AA535" s="99"/>
      <c r="AB535" s="99"/>
      <c r="AC535" s="98"/>
      <c r="AD535" s="98"/>
      <c r="AE535" s="98"/>
      <c r="AF535" s="98"/>
      <c r="AG535" s="98"/>
      <c r="AH535" s="98"/>
    </row>
    <row r="536" spans="2:34" x14ac:dyDescent="0.25">
      <c r="B536" s="75"/>
      <c r="C536" s="76"/>
      <c r="D536" s="83"/>
      <c r="E536" s="84"/>
      <c r="F536" s="84"/>
      <c r="G536" s="84"/>
      <c r="H536" s="84"/>
      <c r="I536" s="85"/>
      <c r="J536" s="90"/>
      <c r="K536" s="91"/>
      <c r="L536" s="90"/>
      <c r="M536" s="91"/>
      <c r="N536" s="83"/>
      <c r="O536" s="85"/>
      <c r="P536" s="96"/>
      <c r="Q536" s="97"/>
      <c r="S536" s="99"/>
      <c r="T536" s="99"/>
      <c r="U536" s="99"/>
      <c r="V536" s="99"/>
      <c r="W536" s="99"/>
      <c r="X536" s="99"/>
      <c r="Y536" s="99"/>
      <c r="Z536" s="99"/>
      <c r="AA536" s="99"/>
      <c r="AB536" s="99"/>
      <c r="AC536" s="98"/>
      <c r="AD536" s="98"/>
      <c r="AE536" s="98"/>
      <c r="AF536" s="98"/>
      <c r="AG536" s="98"/>
      <c r="AH536" s="98"/>
    </row>
    <row r="537" spans="2:34" x14ac:dyDescent="0.25">
      <c r="B537" s="71"/>
      <c r="C537" s="72"/>
      <c r="D537" s="77"/>
      <c r="E537" s="78"/>
      <c r="F537" s="78"/>
      <c r="G537" s="78"/>
      <c r="H537" s="78"/>
      <c r="I537" s="79"/>
      <c r="J537" s="86"/>
      <c r="K537" s="87"/>
      <c r="L537" s="86"/>
      <c r="M537" s="87"/>
      <c r="N537" s="77"/>
      <c r="O537" s="79"/>
      <c r="P537" s="92"/>
      <c r="Q537" s="93"/>
      <c r="S537" s="99"/>
      <c r="T537" s="99"/>
      <c r="U537" s="99"/>
      <c r="V537" s="99"/>
      <c r="W537" s="99"/>
      <c r="X537" s="99"/>
      <c r="Y537" s="99"/>
      <c r="Z537" s="99"/>
      <c r="AA537" s="99"/>
      <c r="AB537" s="99"/>
      <c r="AC537" s="98"/>
      <c r="AD537" s="98"/>
      <c r="AE537" s="98"/>
      <c r="AF537" s="98"/>
      <c r="AG537" s="98"/>
      <c r="AH537" s="98"/>
    </row>
    <row r="538" spans="2:34" x14ac:dyDescent="0.25">
      <c r="B538" s="73"/>
      <c r="C538" s="74"/>
      <c r="D538" s="80"/>
      <c r="E538" s="81"/>
      <c r="F538" s="81"/>
      <c r="G538" s="81"/>
      <c r="H538" s="81"/>
      <c r="I538" s="82"/>
      <c r="J538" s="88"/>
      <c r="K538" s="89"/>
      <c r="L538" s="88"/>
      <c r="M538" s="89"/>
      <c r="N538" s="80"/>
      <c r="O538" s="82"/>
      <c r="P538" s="94"/>
      <c r="Q538" s="95"/>
      <c r="S538" s="99"/>
      <c r="T538" s="99"/>
      <c r="U538" s="99"/>
      <c r="V538" s="99"/>
      <c r="W538" s="99"/>
      <c r="X538" s="99"/>
      <c r="Y538" s="99"/>
      <c r="Z538" s="99"/>
      <c r="AA538" s="99"/>
      <c r="AB538" s="99"/>
      <c r="AC538" s="98"/>
      <c r="AD538" s="98"/>
      <c r="AE538" s="98"/>
      <c r="AF538" s="98"/>
      <c r="AG538" s="98"/>
      <c r="AH538" s="98"/>
    </row>
    <row r="539" spans="2:34" x14ac:dyDescent="0.25">
      <c r="B539" s="75"/>
      <c r="C539" s="76"/>
      <c r="D539" s="83"/>
      <c r="E539" s="84"/>
      <c r="F539" s="84"/>
      <c r="G539" s="84"/>
      <c r="H539" s="84"/>
      <c r="I539" s="85"/>
      <c r="J539" s="90"/>
      <c r="K539" s="91"/>
      <c r="L539" s="90"/>
      <c r="M539" s="91"/>
      <c r="N539" s="83"/>
      <c r="O539" s="85"/>
      <c r="P539" s="96"/>
      <c r="Q539" s="97"/>
      <c r="S539" s="99"/>
      <c r="T539" s="99"/>
      <c r="U539" s="99"/>
      <c r="V539" s="99"/>
      <c r="W539" s="99"/>
      <c r="X539" s="99"/>
      <c r="Y539" s="99"/>
      <c r="Z539" s="99"/>
      <c r="AA539" s="99"/>
      <c r="AB539" s="99"/>
      <c r="AC539" s="98"/>
      <c r="AD539" s="98"/>
      <c r="AE539" s="98"/>
      <c r="AF539" s="98"/>
      <c r="AG539" s="98"/>
      <c r="AH539" s="98"/>
    </row>
    <row r="540" spans="2:34" x14ac:dyDescent="0.25">
      <c r="B540" s="71"/>
      <c r="C540" s="72"/>
      <c r="D540" s="77"/>
      <c r="E540" s="78"/>
      <c r="F540" s="78"/>
      <c r="G540" s="78"/>
      <c r="H540" s="78"/>
      <c r="I540" s="79"/>
      <c r="J540" s="86"/>
      <c r="K540" s="87"/>
      <c r="L540" s="86"/>
      <c r="M540" s="87"/>
      <c r="N540" s="77"/>
      <c r="O540" s="79"/>
      <c r="P540" s="92"/>
      <c r="Q540" s="93"/>
      <c r="S540" s="99"/>
      <c r="T540" s="99"/>
      <c r="U540" s="99"/>
      <c r="V540" s="99"/>
      <c r="W540" s="99"/>
      <c r="X540" s="99"/>
      <c r="Y540" s="99"/>
      <c r="Z540" s="99"/>
      <c r="AA540" s="99"/>
      <c r="AB540" s="99"/>
      <c r="AC540" s="98"/>
      <c r="AD540" s="98"/>
      <c r="AE540" s="98"/>
      <c r="AF540" s="98"/>
      <c r="AG540" s="98"/>
      <c r="AH540" s="98"/>
    </row>
    <row r="541" spans="2:34" x14ac:dyDescent="0.25">
      <c r="B541" s="73"/>
      <c r="C541" s="74"/>
      <c r="D541" s="80"/>
      <c r="E541" s="81"/>
      <c r="F541" s="81"/>
      <c r="G541" s="81"/>
      <c r="H541" s="81"/>
      <c r="I541" s="82"/>
      <c r="J541" s="88"/>
      <c r="K541" s="89"/>
      <c r="L541" s="88"/>
      <c r="M541" s="89"/>
      <c r="N541" s="80"/>
      <c r="O541" s="82"/>
      <c r="P541" s="94"/>
      <c r="Q541" s="95"/>
      <c r="S541" s="99"/>
      <c r="T541" s="99"/>
      <c r="U541" s="99"/>
      <c r="V541" s="99"/>
      <c r="W541" s="99"/>
      <c r="X541" s="99"/>
      <c r="Y541" s="99"/>
      <c r="Z541" s="99"/>
      <c r="AA541" s="99"/>
      <c r="AB541" s="99"/>
      <c r="AC541" s="98"/>
      <c r="AD541" s="98"/>
      <c r="AE541" s="98"/>
      <c r="AF541" s="98"/>
      <c r="AG541" s="98"/>
      <c r="AH541" s="98"/>
    </row>
    <row r="542" spans="2:34" x14ac:dyDescent="0.25">
      <c r="B542" s="75"/>
      <c r="C542" s="76"/>
      <c r="D542" s="83"/>
      <c r="E542" s="84"/>
      <c r="F542" s="84"/>
      <c r="G542" s="84"/>
      <c r="H542" s="84"/>
      <c r="I542" s="85"/>
      <c r="J542" s="90"/>
      <c r="K542" s="91"/>
      <c r="L542" s="90"/>
      <c r="M542" s="91"/>
      <c r="N542" s="83"/>
      <c r="O542" s="85"/>
      <c r="P542" s="96"/>
      <c r="Q542" s="97"/>
      <c r="S542" s="99"/>
      <c r="T542" s="99"/>
      <c r="U542" s="99"/>
      <c r="V542" s="99"/>
      <c r="W542" s="99"/>
      <c r="X542" s="99"/>
      <c r="Y542" s="99"/>
      <c r="Z542" s="99"/>
      <c r="AA542" s="99"/>
      <c r="AB542" s="99"/>
      <c r="AC542" s="98"/>
      <c r="AD542" s="98"/>
      <c r="AE542" s="98"/>
      <c r="AF542" s="98"/>
      <c r="AG542" s="98"/>
      <c r="AH542" s="98"/>
    </row>
    <row r="543" spans="2:34" x14ac:dyDescent="0.25">
      <c r="B543" s="71"/>
      <c r="C543" s="72"/>
      <c r="D543" s="77"/>
      <c r="E543" s="78"/>
      <c r="F543" s="78"/>
      <c r="G543" s="78"/>
      <c r="H543" s="78"/>
      <c r="I543" s="79"/>
      <c r="J543" s="86"/>
      <c r="K543" s="87"/>
      <c r="L543" s="86"/>
      <c r="M543" s="87"/>
      <c r="N543" s="77"/>
      <c r="O543" s="79"/>
      <c r="P543" s="92"/>
      <c r="Q543" s="93"/>
      <c r="S543" s="99"/>
      <c r="T543" s="99"/>
      <c r="U543" s="99"/>
      <c r="V543" s="99"/>
      <c r="W543" s="99"/>
      <c r="X543" s="99"/>
      <c r="Y543" s="99"/>
      <c r="Z543" s="99"/>
      <c r="AA543" s="99"/>
      <c r="AB543" s="99"/>
      <c r="AC543" s="98"/>
      <c r="AD543" s="98"/>
      <c r="AE543" s="98"/>
      <c r="AF543" s="98"/>
      <c r="AG543" s="98"/>
      <c r="AH543" s="98"/>
    </row>
    <row r="544" spans="2:34" x14ac:dyDescent="0.25">
      <c r="B544" s="73"/>
      <c r="C544" s="74"/>
      <c r="D544" s="80"/>
      <c r="E544" s="81"/>
      <c r="F544" s="81"/>
      <c r="G544" s="81"/>
      <c r="H544" s="81"/>
      <c r="I544" s="82"/>
      <c r="J544" s="88"/>
      <c r="K544" s="89"/>
      <c r="L544" s="88"/>
      <c r="M544" s="89"/>
      <c r="N544" s="80"/>
      <c r="O544" s="82"/>
      <c r="P544" s="94"/>
      <c r="Q544" s="95"/>
      <c r="S544" s="99"/>
      <c r="T544" s="99"/>
      <c r="U544" s="99"/>
      <c r="V544" s="99"/>
      <c r="W544" s="99"/>
      <c r="X544" s="99"/>
      <c r="Y544" s="99"/>
      <c r="Z544" s="99"/>
      <c r="AA544" s="99"/>
      <c r="AB544" s="99"/>
      <c r="AC544" s="98"/>
      <c r="AD544" s="98"/>
      <c r="AE544" s="98"/>
      <c r="AF544" s="98"/>
      <c r="AG544" s="98"/>
      <c r="AH544" s="98"/>
    </row>
    <row r="545" spans="2:34" x14ac:dyDescent="0.25">
      <c r="B545" s="75"/>
      <c r="C545" s="76"/>
      <c r="D545" s="83"/>
      <c r="E545" s="84"/>
      <c r="F545" s="84"/>
      <c r="G545" s="84"/>
      <c r="H545" s="84"/>
      <c r="I545" s="85"/>
      <c r="J545" s="90"/>
      <c r="K545" s="91"/>
      <c r="L545" s="90"/>
      <c r="M545" s="91"/>
      <c r="N545" s="83"/>
      <c r="O545" s="85"/>
      <c r="P545" s="96"/>
      <c r="Q545" s="97"/>
      <c r="S545" s="99"/>
      <c r="T545" s="99"/>
      <c r="U545" s="99"/>
      <c r="V545" s="99"/>
      <c r="W545" s="99"/>
      <c r="X545" s="99"/>
      <c r="Y545" s="99"/>
      <c r="Z545" s="99"/>
      <c r="AA545" s="99"/>
      <c r="AB545" s="99"/>
      <c r="AC545" s="98"/>
      <c r="AD545" s="98"/>
      <c r="AE545" s="98"/>
      <c r="AF545" s="98"/>
      <c r="AG545" s="98"/>
      <c r="AH545" s="98"/>
    </row>
    <row r="546" spans="2:34" x14ac:dyDescent="0.25">
      <c r="B546" s="71"/>
      <c r="C546" s="72"/>
      <c r="D546" s="77"/>
      <c r="E546" s="78"/>
      <c r="F546" s="78"/>
      <c r="G546" s="78"/>
      <c r="H546" s="78"/>
      <c r="I546" s="79"/>
      <c r="J546" s="86"/>
      <c r="K546" s="87"/>
      <c r="L546" s="86"/>
      <c r="M546" s="87"/>
      <c r="N546" s="77"/>
      <c r="O546" s="79"/>
      <c r="P546" s="92"/>
      <c r="Q546" s="93"/>
      <c r="S546" s="99"/>
      <c r="T546" s="99"/>
      <c r="U546" s="99"/>
      <c r="V546" s="99"/>
      <c r="W546" s="99"/>
      <c r="X546" s="99"/>
      <c r="Y546" s="99"/>
      <c r="Z546" s="99"/>
      <c r="AA546" s="99"/>
      <c r="AB546" s="99"/>
      <c r="AC546" s="98"/>
      <c r="AD546" s="98"/>
      <c r="AE546" s="98"/>
      <c r="AF546" s="98"/>
      <c r="AG546" s="98"/>
      <c r="AH546" s="98"/>
    </row>
    <row r="547" spans="2:34" x14ac:dyDescent="0.25">
      <c r="B547" s="73"/>
      <c r="C547" s="74"/>
      <c r="D547" s="80"/>
      <c r="E547" s="81"/>
      <c r="F547" s="81"/>
      <c r="G547" s="81"/>
      <c r="H547" s="81"/>
      <c r="I547" s="82"/>
      <c r="J547" s="88"/>
      <c r="K547" s="89"/>
      <c r="L547" s="88"/>
      <c r="M547" s="89"/>
      <c r="N547" s="80"/>
      <c r="O547" s="82"/>
      <c r="P547" s="94"/>
      <c r="Q547" s="95"/>
      <c r="S547" s="99"/>
      <c r="T547" s="99"/>
      <c r="U547" s="99"/>
      <c r="V547" s="99"/>
      <c r="W547" s="99"/>
      <c r="X547" s="99"/>
      <c r="Y547" s="99"/>
      <c r="Z547" s="99"/>
      <c r="AA547" s="99"/>
      <c r="AB547" s="99"/>
      <c r="AC547" s="98"/>
      <c r="AD547" s="98"/>
      <c r="AE547" s="98"/>
      <c r="AF547" s="98"/>
      <c r="AG547" s="98"/>
      <c r="AH547" s="98"/>
    </row>
    <row r="548" spans="2:34" x14ac:dyDescent="0.25">
      <c r="B548" s="75"/>
      <c r="C548" s="76"/>
      <c r="D548" s="83"/>
      <c r="E548" s="84"/>
      <c r="F548" s="84"/>
      <c r="G548" s="84"/>
      <c r="H548" s="84"/>
      <c r="I548" s="85"/>
      <c r="J548" s="90"/>
      <c r="K548" s="91"/>
      <c r="L548" s="90"/>
      <c r="M548" s="91"/>
      <c r="N548" s="83"/>
      <c r="O548" s="85"/>
      <c r="P548" s="96"/>
      <c r="Q548" s="97"/>
      <c r="S548" s="99"/>
      <c r="T548" s="99"/>
      <c r="U548" s="99"/>
      <c r="V548" s="99"/>
      <c r="W548" s="99"/>
      <c r="X548" s="99"/>
      <c r="Y548" s="99"/>
      <c r="Z548" s="99"/>
      <c r="AA548" s="99"/>
      <c r="AB548" s="99"/>
      <c r="AC548" s="98"/>
      <c r="AD548" s="98"/>
      <c r="AE548" s="98"/>
      <c r="AF548" s="98"/>
      <c r="AG548" s="98"/>
      <c r="AH548" s="98"/>
    </row>
    <row r="549" spans="2:34" x14ac:dyDescent="0.25">
      <c r="B549" s="71"/>
      <c r="C549" s="72"/>
      <c r="D549" s="77"/>
      <c r="E549" s="78"/>
      <c r="F549" s="78"/>
      <c r="G549" s="78"/>
      <c r="H549" s="78"/>
      <c r="I549" s="79"/>
      <c r="J549" s="86"/>
      <c r="K549" s="87"/>
      <c r="L549" s="86"/>
      <c r="M549" s="87"/>
      <c r="N549" s="77"/>
      <c r="O549" s="79"/>
      <c r="P549" s="92"/>
      <c r="Q549" s="93"/>
      <c r="S549" s="99"/>
      <c r="T549" s="99"/>
      <c r="U549" s="99"/>
      <c r="V549" s="99"/>
      <c r="W549" s="99"/>
      <c r="X549" s="99"/>
      <c r="Y549" s="99"/>
      <c r="Z549" s="99"/>
      <c r="AA549" s="99"/>
      <c r="AB549" s="99"/>
      <c r="AC549" s="98"/>
      <c r="AD549" s="98"/>
      <c r="AE549" s="98"/>
      <c r="AF549" s="98"/>
      <c r="AG549" s="98"/>
      <c r="AH549" s="98"/>
    </row>
    <row r="550" spans="2:34" x14ac:dyDescent="0.25">
      <c r="B550" s="73"/>
      <c r="C550" s="74"/>
      <c r="D550" s="80"/>
      <c r="E550" s="81"/>
      <c r="F550" s="81"/>
      <c r="G550" s="81"/>
      <c r="H550" s="81"/>
      <c r="I550" s="82"/>
      <c r="J550" s="88"/>
      <c r="K550" s="89"/>
      <c r="L550" s="88"/>
      <c r="M550" s="89"/>
      <c r="N550" s="80"/>
      <c r="O550" s="82"/>
      <c r="P550" s="94"/>
      <c r="Q550" s="95"/>
      <c r="S550" s="99"/>
      <c r="T550" s="99"/>
      <c r="U550" s="99"/>
      <c r="V550" s="99"/>
      <c r="W550" s="99"/>
      <c r="X550" s="99"/>
      <c r="Y550" s="99"/>
      <c r="Z550" s="99"/>
      <c r="AA550" s="99"/>
      <c r="AB550" s="99"/>
      <c r="AC550" s="98"/>
      <c r="AD550" s="98"/>
      <c r="AE550" s="98"/>
      <c r="AF550" s="98"/>
      <c r="AG550" s="98"/>
      <c r="AH550" s="98"/>
    </row>
    <row r="551" spans="2:34" x14ac:dyDescent="0.25">
      <c r="B551" s="75"/>
      <c r="C551" s="76"/>
      <c r="D551" s="83"/>
      <c r="E551" s="84"/>
      <c r="F551" s="84"/>
      <c r="G551" s="84"/>
      <c r="H551" s="84"/>
      <c r="I551" s="85"/>
      <c r="J551" s="90"/>
      <c r="K551" s="91"/>
      <c r="L551" s="90"/>
      <c r="M551" s="91"/>
      <c r="N551" s="83"/>
      <c r="O551" s="85"/>
      <c r="P551" s="96"/>
      <c r="Q551" s="97"/>
      <c r="S551" s="99"/>
      <c r="T551" s="99"/>
      <c r="U551" s="99"/>
      <c r="V551" s="99"/>
      <c r="W551" s="99"/>
      <c r="X551" s="99"/>
      <c r="Y551" s="99"/>
      <c r="Z551" s="99"/>
      <c r="AA551" s="99"/>
      <c r="AB551" s="99"/>
      <c r="AC551" s="98"/>
      <c r="AD551" s="98"/>
      <c r="AE551" s="98"/>
      <c r="AF551" s="98"/>
      <c r="AG551" s="98"/>
      <c r="AH551" s="98"/>
    </row>
    <row r="552" spans="2:34" x14ac:dyDescent="0.25">
      <c r="B552" s="71"/>
      <c r="C552" s="72"/>
      <c r="D552" s="77"/>
      <c r="E552" s="78"/>
      <c r="F552" s="78"/>
      <c r="G552" s="78"/>
      <c r="H552" s="78"/>
      <c r="I552" s="79"/>
      <c r="J552" s="86"/>
      <c r="K552" s="87"/>
      <c r="L552" s="86"/>
      <c r="M552" s="87"/>
      <c r="N552" s="77"/>
      <c r="O552" s="79"/>
      <c r="P552" s="92"/>
      <c r="Q552" s="93"/>
      <c r="S552" s="99"/>
      <c r="T552" s="99"/>
      <c r="U552" s="99"/>
      <c r="V552" s="99"/>
      <c r="W552" s="99"/>
      <c r="X552" s="99"/>
      <c r="Y552" s="99"/>
      <c r="Z552" s="99"/>
      <c r="AA552" s="99"/>
      <c r="AB552" s="99"/>
      <c r="AC552" s="98"/>
      <c r="AD552" s="98"/>
      <c r="AE552" s="98"/>
      <c r="AF552" s="98"/>
      <c r="AG552" s="98"/>
      <c r="AH552" s="98"/>
    </row>
    <row r="553" spans="2:34" x14ac:dyDescent="0.25">
      <c r="B553" s="73"/>
      <c r="C553" s="74"/>
      <c r="D553" s="80"/>
      <c r="E553" s="81"/>
      <c r="F553" s="81"/>
      <c r="G553" s="81"/>
      <c r="H553" s="81"/>
      <c r="I553" s="82"/>
      <c r="J553" s="88"/>
      <c r="K553" s="89"/>
      <c r="L553" s="88"/>
      <c r="M553" s="89"/>
      <c r="N553" s="80"/>
      <c r="O553" s="82"/>
      <c r="P553" s="94"/>
      <c r="Q553" s="95"/>
      <c r="S553" s="99"/>
      <c r="T553" s="99"/>
      <c r="U553" s="99"/>
      <c r="V553" s="99"/>
      <c r="W553" s="99"/>
      <c r="X553" s="99"/>
      <c r="Y553" s="99"/>
      <c r="Z553" s="99"/>
      <c r="AA553" s="99"/>
      <c r="AB553" s="99"/>
      <c r="AC553" s="98"/>
      <c r="AD553" s="98"/>
      <c r="AE553" s="98"/>
      <c r="AF553" s="98"/>
      <c r="AG553" s="98"/>
      <c r="AH553" s="98"/>
    </row>
    <row r="554" spans="2:34" x14ac:dyDescent="0.25">
      <c r="B554" s="75"/>
      <c r="C554" s="76"/>
      <c r="D554" s="83"/>
      <c r="E554" s="84"/>
      <c r="F554" s="84"/>
      <c r="G554" s="84"/>
      <c r="H554" s="84"/>
      <c r="I554" s="85"/>
      <c r="J554" s="90"/>
      <c r="K554" s="91"/>
      <c r="L554" s="90"/>
      <c r="M554" s="91"/>
      <c r="N554" s="83"/>
      <c r="O554" s="85"/>
      <c r="P554" s="96"/>
      <c r="Q554" s="97"/>
      <c r="S554" s="99"/>
      <c r="T554" s="99"/>
      <c r="U554" s="99"/>
      <c r="V554" s="99"/>
      <c r="W554" s="99"/>
      <c r="X554" s="99"/>
      <c r="Y554" s="99"/>
      <c r="Z554" s="99"/>
      <c r="AA554" s="99"/>
      <c r="AB554" s="99"/>
      <c r="AC554" s="98"/>
      <c r="AD554" s="98"/>
      <c r="AE554" s="98"/>
      <c r="AF554" s="98"/>
      <c r="AG554" s="98"/>
      <c r="AH554" s="98"/>
    </row>
    <row r="555" spans="2:34" x14ac:dyDescent="0.25">
      <c r="B555" s="71"/>
      <c r="C555" s="72"/>
      <c r="D555" s="77"/>
      <c r="E555" s="78"/>
      <c r="F555" s="78"/>
      <c r="G555" s="78"/>
      <c r="H555" s="78"/>
      <c r="I555" s="79"/>
      <c r="J555" s="86"/>
      <c r="K555" s="87"/>
      <c r="L555" s="86"/>
      <c r="M555" s="87"/>
      <c r="N555" s="77"/>
      <c r="O555" s="79"/>
      <c r="P555" s="92"/>
      <c r="Q555" s="93"/>
      <c r="S555" s="99"/>
      <c r="T555" s="99"/>
      <c r="U555" s="99"/>
      <c r="V555" s="99"/>
      <c r="W555" s="99"/>
      <c r="X555" s="99"/>
      <c r="Y555" s="99"/>
      <c r="Z555" s="99"/>
      <c r="AA555" s="99"/>
      <c r="AB555" s="99"/>
      <c r="AC555" s="98"/>
      <c r="AD555" s="98"/>
      <c r="AE555" s="98"/>
      <c r="AF555" s="98"/>
      <c r="AG555" s="98"/>
      <c r="AH555" s="98"/>
    </row>
    <row r="556" spans="2:34" x14ac:dyDescent="0.25">
      <c r="B556" s="73"/>
      <c r="C556" s="74"/>
      <c r="D556" s="80"/>
      <c r="E556" s="81"/>
      <c r="F556" s="81"/>
      <c r="G556" s="81"/>
      <c r="H556" s="81"/>
      <c r="I556" s="82"/>
      <c r="J556" s="88"/>
      <c r="K556" s="89"/>
      <c r="L556" s="88"/>
      <c r="M556" s="89"/>
      <c r="N556" s="80"/>
      <c r="O556" s="82"/>
      <c r="P556" s="94"/>
      <c r="Q556" s="95"/>
      <c r="S556" s="99"/>
      <c r="T556" s="99"/>
      <c r="U556" s="99"/>
      <c r="V556" s="99"/>
      <c r="W556" s="99"/>
      <c r="X556" s="99"/>
      <c r="Y556" s="99"/>
      <c r="Z556" s="99"/>
      <c r="AA556" s="99"/>
      <c r="AB556" s="99"/>
      <c r="AC556" s="98"/>
      <c r="AD556" s="98"/>
      <c r="AE556" s="98"/>
      <c r="AF556" s="98"/>
      <c r="AG556" s="98"/>
      <c r="AH556" s="98"/>
    </row>
    <row r="557" spans="2:34" x14ac:dyDescent="0.25">
      <c r="B557" s="75"/>
      <c r="C557" s="76"/>
      <c r="D557" s="83"/>
      <c r="E557" s="84"/>
      <c r="F557" s="84"/>
      <c r="G557" s="84"/>
      <c r="H557" s="84"/>
      <c r="I557" s="85"/>
      <c r="J557" s="90"/>
      <c r="K557" s="91"/>
      <c r="L557" s="90"/>
      <c r="M557" s="91"/>
      <c r="N557" s="83"/>
      <c r="O557" s="85"/>
      <c r="P557" s="96"/>
      <c r="Q557" s="97"/>
      <c r="S557" s="99"/>
      <c r="T557" s="99"/>
      <c r="U557" s="99"/>
      <c r="V557" s="99"/>
      <c r="W557" s="99"/>
      <c r="X557" s="99"/>
      <c r="Y557" s="99"/>
      <c r="Z557" s="99"/>
      <c r="AA557" s="99"/>
      <c r="AB557" s="99"/>
      <c r="AC557" s="98"/>
      <c r="AD557" s="98"/>
      <c r="AE557" s="98"/>
      <c r="AF557" s="98"/>
      <c r="AG557" s="98"/>
      <c r="AH557" s="98"/>
    </row>
    <row r="558" spans="2:34" x14ac:dyDescent="0.25">
      <c r="B558" s="71"/>
      <c r="C558" s="72"/>
      <c r="D558" s="77"/>
      <c r="E558" s="78"/>
      <c r="F558" s="78"/>
      <c r="G558" s="78"/>
      <c r="H558" s="78"/>
      <c r="I558" s="79"/>
      <c r="J558" s="86"/>
      <c r="K558" s="87"/>
      <c r="L558" s="86"/>
      <c r="M558" s="87"/>
      <c r="N558" s="77"/>
      <c r="O558" s="79"/>
      <c r="P558" s="92"/>
      <c r="Q558" s="93"/>
      <c r="S558" s="99"/>
      <c r="T558" s="99"/>
      <c r="U558" s="99"/>
      <c r="V558" s="99"/>
      <c r="W558" s="99"/>
      <c r="X558" s="99"/>
      <c r="Y558" s="99"/>
      <c r="Z558" s="99"/>
      <c r="AA558" s="99"/>
      <c r="AB558" s="99"/>
      <c r="AC558" s="98"/>
      <c r="AD558" s="98"/>
      <c r="AE558" s="98"/>
      <c r="AF558" s="98"/>
      <c r="AG558" s="98"/>
      <c r="AH558" s="98"/>
    </row>
    <row r="559" spans="2:34" x14ac:dyDescent="0.25">
      <c r="B559" s="73"/>
      <c r="C559" s="74"/>
      <c r="D559" s="80"/>
      <c r="E559" s="81"/>
      <c r="F559" s="81"/>
      <c r="G559" s="81"/>
      <c r="H559" s="81"/>
      <c r="I559" s="82"/>
      <c r="J559" s="88"/>
      <c r="K559" s="89"/>
      <c r="L559" s="88"/>
      <c r="M559" s="89"/>
      <c r="N559" s="80"/>
      <c r="O559" s="82"/>
      <c r="P559" s="94"/>
      <c r="Q559" s="95"/>
      <c r="S559" s="99"/>
      <c r="T559" s="99"/>
      <c r="U559" s="99"/>
      <c r="V559" s="99"/>
      <c r="W559" s="99"/>
      <c r="X559" s="99"/>
      <c r="Y559" s="99"/>
      <c r="Z559" s="99"/>
      <c r="AA559" s="99"/>
      <c r="AB559" s="99"/>
      <c r="AC559" s="98"/>
      <c r="AD559" s="98"/>
      <c r="AE559" s="98"/>
      <c r="AF559" s="98"/>
      <c r="AG559" s="98"/>
      <c r="AH559" s="98"/>
    </row>
    <row r="560" spans="2:34" x14ac:dyDescent="0.25">
      <c r="B560" s="75"/>
      <c r="C560" s="76"/>
      <c r="D560" s="83"/>
      <c r="E560" s="84"/>
      <c r="F560" s="84"/>
      <c r="G560" s="84"/>
      <c r="H560" s="84"/>
      <c r="I560" s="85"/>
      <c r="J560" s="90"/>
      <c r="K560" s="91"/>
      <c r="L560" s="90"/>
      <c r="M560" s="91"/>
      <c r="N560" s="83"/>
      <c r="O560" s="85"/>
      <c r="P560" s="96"/>
      <c r="Q560" s="97"/>
      <c r="S560" s="99"/>
      <c r="T560" s="99"/>
      <c r="U560" s="99"/>
      <c r="V560" s="99"/>
      <c r="W560" s="99"/>
      <c r="X560" s="99"/>
      <c r="Y560" s="99"/>
      <c r="Z560" s="99"/>
      <c r="AA560" s="99"/>
      <c r="AB560" s="99"/>
      <c r="AC560" s="98"/>
      <c r="AD560" s="98"/>
      <c r="AE560" s="98"/>
      <c r="AF560" s="98"/>
      <c r="AG560" s="98"/>
      <c r="AH560" s="98"/>
    </row>
    <row r="561" spans="2:34" x14ac:dyDescent="0.25">
      <c r="B561" s="71"/>
      <c r="C561" s="72"/>
      <c r="D561" s="77"/>
      <c r="E561" s="78"/>
      <c r="F561" s="78"/>
      <c r="G561" s="78"/>
      <c r="H561" s="78"/>
      <c r="I561" s="79"/>
      <c r="J561" s="86"/>
      <c r="K561" s="87"/>
      <c r="L561" s="86"/>
      <c r="M561" s="87"/>
      <c r="N561" s="77"/>
      <c r="O561" s="79"/>
      <c r="P561" s="92"/>
      <c r="Q561" s="93"/>
      <c r="S561" s="99"/>
      <c r="T561" s="99"/>
      <c r="U561" s="99"/>
      <c r="V561" s="99"/>
      <c r="W561" s="99"/>
      <c r="X561" s="99"/>
      <c r="Y561" s="99"/>
      <c r="Z561" s="99"/>
      <c r="AA561" s="99"/>
      <c r="AB561" s="99"/>
      <c r="AC561" s="98"/>
      <c r="AD561" s="98"/>
      <c r="AE561" s="98"/>
      <c r="AF561" s="98"/>
      <c r="AG561" s="98"/>
      <c r="AH561" s="98"/>
    </row>
    <row r="562" spans="2:34" x14ac:dyDescent="0.25">
      <c r="B562" s="73"/>
      <c r="C562" s="74"/>
      <c r="D562" s="80"/>
      <c r="E562" s="81"/>
      <c r="F562" s="81"/>
      <c r="G562" s="81"/>
      <c r="H562" s="81"/>
      <c r="I562" s="82"/>
      <c r="J562" s="88"/>
      <c r="K562" s="89"/>
      <c r="L562" s="88"/>
      <c r="M562" s="89"/>
      <c r="N562" s="80"/>
      <c r="O562" s="82"/>
      <c r="P562" s="94"/>
      <c r="Q562" s="95"/>
      <c r="S562" s="99"/>
      <c r="T562" s="99"/>
      <c r="U562" s="99"/>
      <c r="V562" s="99"/>
      <c r="W562" s="99"/>
      <c r="X562" s="99"/>
      <c r="Y562" s="99"/>
      <c r="Z562" s="99"/>
      <c r="AA562" s="99"/>
      <c r="AB562" s="99"/>
      <c r="AC562" s="98"/>
      <c r="AD562" s="98"/>
      <c r="AE562" s="98"/>
      <c r="AF562" s="98"/>
      <c r="AG562" s="98"/>
      <c r="AH562" s="98"/>
    </row>
    <row r="563" spans="2:34" x14ac:dyDescent="0.25">
      <c r="B563" s="75"/>
      <c r="C563" s="76"/>
      <c r="D563" s="83"/>
      <c r="E563" s="84"/>
      <c r="F563" s="84"/>
      <c r="G563" s="84"/>
      <c r="H563" s="84"/>
      <c r="I563" s="85"/>
      <c r="J563" s="90"/>
      <c r="K563" s="91"/>
      <c r="L563" s="90"/>
      <c r="M563" s="91"/>
      <c r="N563" s="83"/>
      <c r="O563" s="85"/>
      <c r="P563" s="96"/>
      <c r="Q563" s="97"/>
      <c r="S563" s="99"/>
      <c r="T563" s="99"/>
      <c r="U563" s="99"/>
      <c r="V563" s="99"/>
      <c r="W563" s="99"/>
      <c r="X563" s="99"/>
      <c r="Y563" s="99"/>
      <c r="Z563" s="99"/>
      <c r="AA563" s="99"/>
      <c r="AB563" s="99"/>
      <c r="AC563" s="98"/>
      <c r="AD563" s="98"/>
      <c r="AE563" s="98"/>
      <c r="AF563" s="98"/>
      <c r="AG563" s="98"/>
      <c r="AH563" s="98"/>
    </row>
    <row r="564" spans="2:34" x14ac:dyDescent="0.25">
      <c r="B564" s="71"/>
      <c r="C564" s="72"/>
      <c r="D564" s="77"/>
      <c r="E564" s="78"/>
      <c r="F564" s="78"/>
      <c r="G564" s="78"/>
      <c r="H564" s="78"/>
      <c r="I564" s="79"/>
      <c r="J564" s="86"/>
      <c r="K564" s="87"/>
      <c r="L564" s="86"/>
      <c r="M564" s="87"/>
      <c r="N564" s="77"/>
      <c r="O564" s="79"/>
      <c r="P564" s="92"/>
      <c r="Q564" s="93"/>
      <c r="S564" s="99"/>
      <c r="T564" s="99"/>
      <c r="U564" s="99"/>
      <c r="V564" s="99"/>
      <c r="W564" s="99"/>
      <c r="X564" s="99"/>
      <c r="Y564" s="99"/>
      <c r="Z564" s="99"/>
      <c r="AA564" s="99"/>
      <c r="AB564" s="99"/>
      <c r="AC564" s="98"/>
      <c r="AD564" s="98"/>
      <c r="AE564" s="98"/>
      <c r="AF564" s="98"/>
      <c r="AG564" s="98"/>
      <c r="AH564" s="98"/>
    </row>
    <row r="565" spans="2:34" x14ac:dyDescent="0.25">
      <c r="B565" s="73"/>
      <c r="C565" s="74"/>
      <c r="D565" s="80"/>
      <c r="E565" s="81"/>
      <c r="F565" s="81"/>
      <c r="G565" s="81"/>
      <c r="H565" s="81"/>
      <c r="I565" s="82"/>
      <c r="J565" s="88"/>
      <c r="K565" s="89"/>
      <c r="L565" s="88"/>
      <c r="M565" s="89"/>
      <c r="N565" s="80"/>
      <c r="O565" s="82"/>
      <c r="P565" s="94"/>
      <c r="Q565" s="95"/>
      <c r="S565" s="99"/>
      <c r="T565" s="99"/>
      <c r="U565" s="99"/>
      <c r="V565" s="99"/>
      <c r="W565" s="99"/>
      <c r="X565" s="99"/>
      <c r="Y565" s="99"/>
      <c r="Z565" s="99"/>
      <c r="AA565" s="99"/>
      <c r="AB565" s="99"/>
      <c r="AC565" s="98"/>
      <c r="AD565" s="98"/>
      <c r="AE565" s="98"/>
      <c r="AF565" s="98"/>
      <c r="AG565" s="98"/>
      <c r="AH565" s="98"/>
    </row>
    <row r="566" spans="2:34" x14ac:dyDescent="0.25">
      <c r="B566" s="75"/>
      <c r="C566" s="76"/>
      <c r="D566" s="83"/>
      <c r="E566" s="84"/>
      <c r="F566" s="84"/>
      <c r="G566" s="84"/>
      <c r="H566" s="84"/>
      <c r="I566" s="85"/>
      <c r="J566" s="90"/>
      <c r="K566" s="91"/>
      <c r="L566" s="90"/>
      <c r="M566" s="91"/>
      <c r="N566" s="83"/>
      <c r="O566" s="85"/>
      <c r="P566" s="96"/>
      <c r="Q566" s="97"/>
      <c r="S566" s="99"/>
      <c r="T566" s="99"/>
      <c r="U566" s="99"/>
      <c r="V566" s="99"/>
      <c r="W566" s="99"/>
      <c r="X566" s="99"/>
      <c r="Y566" s="99"/>
      <c r="Z566" s="99"/>
      <c r="AA566" s="99"/>
      <c r="AB566" s="99"/>
      <c r="AC566" s="98"/>
      <c r="AD566" s="98"/>
      <c r="AE566" s="98"/>
      <c r="AF566" s="98"/>
      <c r="AG566" s="98"/>
      <c r="AH566" s="98"/>
    </row>
    <row r="567" spans="2:34" x14ac:dyDescent="0.25">
      <c r="B567" s="71"/>
      <c r="C567" s="72"/>
      <c r="D567" s="77"/>
      <c r="E567" s="78"/>
      <c r="F567" s="78"/>
      <c r="G567" s="78"/>
      <c r="H567" s="78"/>
      <c r="I567" s="79"/>
      <c r="J567" s="86"/>
      <c r="K567" s="87"/>
      <c r="L567" s="86"/>
      <c r="M567" s="87"/>
      <c r="N567" s="77"/>
      <c r="O567" s="79"/>
      <c r="P567" s="92"/>
      <c r="Q567" s="93"/>
      <c r="S567" s="99"/>
      <c r="T567" s="99"/>
      <c r="U567" s="99"/>
      <c r="V567" s="99"/>
      <c r="W567" s="99"/>
      <c r="X567" s="99"/>
      <c r="Y567" s="99"/>
      <c r="Z567" s="99"/>
      <c r="AA567" s="99"/>
      <c r="AB567" s="99"/>
      <c r="AC567" s="98"/>
      <c r="AD567" s="98"/>
      <c r="AE567" s="98"/>
      <c r="AF567" s="98"/>
      <c r="AG567" s="98"/>
      <c r="AH567" s="98"/>
    </row>
    <row r="568" spans="2:34" x14ac:dyDescent="0.25">
      <c r="B568" s="73"/>
      <c r="C568" s="74"/>
      <c r="D568" s="80"/>
      <c r="E568" s="81"/>
      <c r="F568" s="81"/>
      <c r="G568" s="81"/>
      <c r="H568" s="81"/>
      <c r="I568" s="82"/>
      <c r="J568" s="88"/>
      <c r="K568" s="89"/>
      <c r="L568" s="88"/>
      <c r="M568" s="89"/>
      <c r="N568" s="80"/>
      <c r="O568" s="82"/>
      <c r="P568" s="94"/>
      <c r="Q568" s="95"/>
      <c r="S568" s="99"/>
      <c r="T568" s="99"/>
      <c r="U568" s="99"/>
      <c r="V568" s="99"/>
      <c r="W568" s="99"/>
      <c r="X568" s="99"/>
      <c r="Y568" s="99"/>
      <c r="Z568" s="99"/>
      <c r="AA568" s="99"/>
      <c r="AB568" s="99"/>
      <c r="AC568" s="98"/>
      <c r="AD568" s="98"/>
      <c r="AE568" s="98"/>
      <c r="AF568" s="98"/>
      <c r="AG568" s="98"/>
      <c r="AH568" s="98"/>
    </row>
    <row r="569" spans="2:34" x14ac:dyDescent="0.25">
      <c r="B569" s="75"/>
      <c r="C569" s="76"/>
      <c r="D569" s="83"/>
      <c r="E569" s="84"/>
      <c r="F569" s="84"/>
      <c r="G569" s="84"/>
      <c r="H569" s="84"/>
      <c r="I569" s="85"/>
      <c r="J569" s="90"/>
      <c r="K569" s="91"/>
      <c r="L569" s="90"/>
      <c r="M569" s="91"/>
      <c r="N569" s="83"/>
      <c r="O569" s="85"/>
      <c r="P569" s="96"/>
      <c r="Q569" s="97"/>
      <c r="S569" s="99"/>
      <c r="T569" s="99"/>
      <c r="U569" s="99"/>
      <c r="V569" s="99"/>
      <c r="W569" s="99"/>
      <c r="X569" s="99"/>
      <c r="Y569" s="99"/>
      <c r="Z569" s="99"/>
      <c r="AA569" s="99"/>
      <c r="AB569" s="99"/>
      <c r="AC569" s="98"/>
      <c r="AD569" s="98"/>
      <c r="AE569" s="98"/>
      <c r="AF569" s="98"/>
      <c r="AG569" s="98"/>
      <c r="AH569" s="98"/>
    </row>
    <row r="570" spans="2:34" x14ac:dyDescent="0.25">
      <c r="B570" s="71"/>
      <c r="C570" s="72"/>
      <c r="D570" s="77"/>
      <c r="E570" s="78"/>
      <c r="F570" s="78"/>
      <c r="G570" s="78"/>
      <c r="H570" s="78"/>
      <c r="I570" s="79"/>
      <c r="J570" s="86"/>
      <c r="K570" s="87"/>
      <c r="L570" s="86"/>
      <c r="M570" s="87"/>
      <c r="N570" s="77"/>
      <c r="O570" s="79"/>
      <c r="P570" s="92"/>
      <c r="Q570" s="93"/>
      <c r="S570" s="99"/>
      <c r="T570" s="99"/>
      <c r="U570" s="99"/>
      <c r="V570" s="99"/>
      <c r="W570" s="99"/>
      <c r="X570" s="99"/>
      <c r="Y570" s="99"/>
      <c r="Z570" s="99"/>
      <c r="AA570" s="99"/>
      <c r="AB570" s="99"/>
      <c r="AC570" s="98"/>
      <c r="AD570" s="98"/>
      <c r="AE570" s="98"/>
      <c r="AF570" s="98"/>
      <c r="AG570" s="98"/>
      <c r="AH570" s="98"/>
    </row>
    <row r="571" spans="2:34" x14ac:dyDescent="0.25">
      <c r="B571" s="73"/>
      <c r="C571" s="74"/>
      <c r="D571" s="80"/>
      <c r="E571" s="81"/>
      <c r="F571" s="81"/>
      <c r="G571" s="81"/>
      <c r="H571" s="81"/>
      <c r="I571" s="82"/>
      <c r="J571" s="88"/>
      <c r="K571" s="89"/>
      <c r="L571" s="88"/>
      <c r="M571" s="89"/>
      <c r="N571" s="80"/>
      <c r="O571" s="82"/>
      <c r="P571" s="94"/>
      <c r="Q571" s="95"/>
      <c r="S571" s="99"/>
      <c r="T571" s="99"/>
      <c r="U571" s="99"/>
      <c r="V571" s="99"/>
      <c r="W571" s="99"/>
      <c r="X571" s="99"/>
      <c r="Y571" s="99"/>
      <c r="Z571" s="99"/>
      <c r="AA571" s="99"/>
      <c r="AB571" s="99"/>
      <c r="AC571" s="98"/>
      <c r="AD571" s="98"/>
      <c r="AE571" s="98"/>
      <c r="AF571" s="98"/>
      <c r="AG571" s="98"/>
      <c r="AH571" s="98"/>
    </row>
    <row r="572" spans="2:34" x14ac:dyDescent="0.25">
      <c r="B572" s="75"/>
      <c r="C572" s="76"/>
      <c r="D572" s="83"/>
      <c r="E572" s="84"/>
      <c r="F572" s="84"/>
      <c r="G572" s="84"/>
      <c r="H572" s="84"/>
      <c r="I572" s="85"/>
      <c r="J572" s="90"/>
      <c r="K572" s="91"/>
      <c r="L572" s="90"/>
      <c r="M572" s="91"/>
      <c r="N572" s="83"/>
      <c r="O572" s="85"/>
      <c r="P572" s="96"/>
      <c r="Q572" s="97"/>
      <c r="S572" s="99"/>
      <c r="T572" s="99"/>
      <c r="U572" s="99"/>
      <c r="V572" s="99"/>
      <c r="W572" s="99"/>
      <c r="X572" s="99"/>
      <c r="Y572" s="99"/>
      <c r="Z572" s="99"/>
      <c r="AA572" s="99"/>
      <c r="AB572" s="99"/>
      <c r="AC572" s="98"/>
      <c r="AD572" s="98"/>
      <c r="AE572" s="98"/>
      <c r="AF572" s="98"/>
      <c r="AG572" s="98"/>
      <c r="AH572" s="98"/>
    </row>
    <row r="573" spans="2:34" x14ac:dyDescent="0.25">
      <c r="B573" s="71"/>
      <c r="C573" s="72"/>
      <c r="D573" s="77"/>
      <c r="E573" s="78"/>
      <c r="F573" s="78"/>
      <c r="G573" s="78"/>
      <c r="H573" s="78"/>
      <c r="I573" s="79"/>
      <c r="J573" s="86"/>
      <c r="K573" s="87"/>
      <c r="L573" s="86"/>
      <c r="M573" s="87"/>
      <c r="N573" s="77"/>
      <c r="O573" s="79"/>
      <c r="P573" s="92"/>
      <c r="Q573" s="93"/>
      <c r="S573" s="99"/>
      <c r="T573" s="99"/>
      <c r="U573" s="99"/>
      <c r="V573" s="99"/>
      <c r="W573" s="99"/>
      <c r="X573" s="99"/>
      <c r="Y573" s="99"/>
      <c r="Z573" s="99"/>
      <c r="AA573" s="99"/>
      <c r="AB573" s="99"/>
      <c r="AC573" s="98"/>
      <c r="AD573" s="98"/>
      <c r="AE573" s="98"/>
      <c r="AF573" s="98"/>
      <c r="AG573" s="98"/>
      <c r="AH573" s="98"/>
    </row>
    <row r="574" spans="2:34" x14ac:dyDescent="0.25">
      <c r="B574" s="73"/>
      <c r="C574" s="74"/>
      <c r="D574" s="80"/>
      <c r="E574" s="81"/>
      <c r="F574" s="81"/>
      <c r="G574" s="81"/>
      <c r="H574" s="81"/>
      <c r="I574" s="82"/>
      <c r="J574" s="88"/>
      <c r="K574" s="89"/>
      <c r="L574" s="88"/>
      <c r="M574" s="89"/>
      <c r="N574" s="80"/>
      <c r="O574" s="82"/>
      <c r="P574" s="94"/>
      <c r="Q574" s="95"/>
      <c r="S574" s="99"/>
      <c r="T574" s="99"/>
      <c r="U574" s="99"/>
      <c r="V574" s="99"/>
      <c r="W574" s="99"/>
      <c r="X574" s="99"/>
      <c r="Y574" s="99"/>
      <c r="Z574" s="99"/>
      <c r="AA574" s="99"/>
      <c r="AB574" s="99"/>
      <c r="AC574" s="98"/>
      <c r="AD574" s="98"/>
      <c r="AE574" s="98"/>
      <c r="AF574" s="98"/>
      <c r="AG574" s="98"/>
      <c r="AH574" s="98"/>
    </row>
    <row r="575" spans="2:34" x14ac:dyDescent="0.25">
      <c r="B575" s="75"/>
      <c r="C575" s="76"/>
      <c r="D575" s="83"/>
      <c r="E575" s="84"/>
      <c r="F575" s="84"/>
      <c r="G575" s="84"/>
      <c r="H575" s="84"/>
      <c r="I575" s="85"/>
      <c r="J575" s="90"/>
      <c r="K575" s="91"/>
      <c r="L575" s="90"/>
      <c r="M575" s="91"/>
      <c r="N575" s="83"/>
      <c r="O575" s="85"/>
      <c r="P575" s="96"/>
      <c r="Q575" s="97"/>
      <c r="S575" s="99"/>
      <c r="T575" s="99"/>
      <c r="U575" s="99"/>
      <c r="V575" s="99"/>
      <c r="W575" s="99"/>
      <c r="X575" s="99"/>
      <c r="Y575" s="99"/>
      <c r="Z575" s="99"/>
      <c r="AA575" s="99"/>
      <c r="AB575" s="99"/>
      <c r="AC575" s="98"/>
      <c r="AD575" s="98"/>
      <c r="AE575" s="98"/>
      <c r="AF575" s="98"/>
      <c r="AG575" s="98"/>
      <c r="AH575" s="98"/>
    </row>
    <row r="576" spans="2:34" x14ac:dyDescent="0.25">
      <c r="B576" s="71"/>
      <c r="C576" s="72"/>
      <c r="D576" s="77"/>
      <c r="E576" s="78"/>
      <c r="F576" s="78"/>
      <c r="G576" s="78"/>
      <c r="H576" s="78"/>
      <c r="I576" s="79"/>
      <c r="J576" s="86"/>
      <c r="K576" s="87"/>
      <c r="L576" s="86"/>
      <c r="M576" s="87"/>
      <c r="N576" s="77"/>
      <c r="O576" s="79"/>
      <c r="P576" s="92"/>
      <c r="Q576" s="93"/>
      <c r="S576" s="99"/>
      <c r="T576" s="99"/>
      <c r="U576" s="99"/>
      <c r="V576" s="99"/>
      <c r="W576" s="99"/>
      <c r="X576" s="99"/>
      <c r="Y576" s="99"/>
      <c r="Z576" s="99"/>
      <c r="AA576" s="99"/>
      <c r="AB576" s="99"/>
      <c r="AC576" s="98"/>
      <c r="AD576" s="98"/>
      <c r="AE576" s="98"/>
      <c r="AF576" s="98"/>
      <c r="AG576" s="98"/>
      <c r="AH576" s="98"/>
    </row>
    <row r="577" spans="2:34" x14ac:dyDescent="0.25">
      <c r="B577" s="73"/>
      <c r="C577" s="74"/>
      <c r="D577" s="80"/>
      <c r="E577" s="81"/>
      <c r="F577" s="81"/>
      <c r="G577" s="81"/>
      <c r="H577" s="81"/>
      <c r="I577" s="82"/>
      <c r="J577" s="88"/>
      <c r="K577" s="89"/>
      <c r="L577" s="88"/>
      <c r="M577" s="89"/>
      <c r="N577" s="80"/>
      <c r="O577" s="82"/>
      <c r="P577" s="94"/>
      <c r="Q577" s="95"/>
      <c r="S577" s="99"/>
      <c r="T577" s="99"/>
      <c r="U577" s="99"/>
      <c r="V577" s="99"/>
      <c r="W577" s="99"/>
      <c r="X577" s="99"/>
      <c r="Y577" s="99"/>
      <c r="Z577" s="99"/>
      <c r="AA577" s="99"/>
      <c r="AB577" s="99"/>
      <c r="AC577" s="98"/>
      <c r="AD577" s="98"/>
      <c r="AE577" s="98"/>
      <c r="AF577" s="98"/>
      <c r="AG577" s="98"/>
      <c r="AH577" s="98"/>
    </row>
    <row r="578" spans="2:34" x14ac:dyDescent="0.25">
      <c r="B578" s="75"/>
      <c r="C578" s="76"/>
      <c r="D578" s="83"/>
      <c r="E578" s="84"/>
      <c r="F578" s="84"/>
      <c r="G578" s="84"/>
      <c r="H578" s="84"/>
      <c r="I578" s="85"/>
      <c r="J578" s="90"/>
      <c r="K578" s="91"/>
      <c r="L578" s="90"/>
      <c r="M578" s="91"/>
      <c r="N578" s="83"/>
      <c r="O578" s="85"/>
      <c r="P578" s="96"/>
      <c r="Q578" s="97"/>
      <c r="S578" s="99"/>
      <c r="T578" s="99"/>
      <c r="U578" s="99"/>
      <c r="V578" s="99"/>
      <c r="W578" s="99"/>
      <c r="X578" s="99"/>
      <c r="Y578" s="99"/>
      <c r="Z578" s="99"/>
      <c r="AA578" s="99"/>
      <c r="AB578" s="99"/>
      <c r="AC578" s="98"/>
      <c r="AD578" s="98"/>
      <c r="AE578" s="98"/>
      <c r="AF578" s="98"/>
      <c r="AG578" s="98"/>
      <c r="AH578" s="98"/>
    </row>
    <row r="579" spans="2:34" x14ac:dyDescent="0.25">
      <c r="B579" s="71"/>
      <c r="C579" s="72"/>
      <c r="D579" s="77"/>
      <c r="E579" s="78"/>
      <c r="F579" s="78"/>
      <c r="G579" s="78"/>
      <c r="H579" s="78"/>
      <c r="I579" s="79"/>
      <c r="J579" s="86"/>
      <c r="K579" s="87"/>
      <c r="L579" s="86"/>
      <c r="M579" s="87"/>
      <c r="N579" s="77"/>
      <c r="O579" s="79"/>
      <c r="P579" s="92"/>
      <c r="Q579" s="93"/>
      <c r="S579" s="99"/>
      <c r="T579" s="99"/>
      <c r="U579" s="99"/>
      <c r="V579" s="99"/>
      <c r="W579" s="99"/>
      <c r="X579" s="99"/>
      <c r="Y579" s="99"/>
      <c r="Z579" s="99"/>
      <c r="AA579" s="99"/>
      <c r="AB579" s="99"/>
      <c r="AC579" s="98"/>
      <c r="AD579" s="98"/>
      <c r="AE579" s="98"/>
      <c r="AF579" s="98"/>
      <c r="AG579" s="98"/>
      <c r="AH579" s="98"/>
    </row>
    <row r="580" spans="2:34" x14ac:dyDescent="0.25">
      <c r="B580" s="73"/>
      <c r="C580" s="74"/>
      <c r="D580" s="80"/>
      <c r="E580" s="81"/>
      <c r="F580" s="81"/>
      <c r="G580" s="81"/>
      <c r="H580" s="81"/>
      <c r="I580" s="82"/>
      <c r="J580" s="88"/>
      <c r="K580" s="89"/>
      <c r="L580" s="88"/>
      <c r="M580" s="89"/>
      <c r="N580" s="80"/>
      <c r="O580" s="82"/>
      <c r="P580" s="94"/>
      <c r="Q580" s="95"/>
      <c r="S580" s="99"/>
      <c r="T580" s="99"/>
      <c r="U580" s="99"/>
      <c r="V580" s="99"/>
      <c r="W580" s="99"/>
      <c r="X580" s="99"/>
      <c r="Y580" s="99"/>
      <c r="Z580" s="99"/>
      <c r="AA580" s="99"/>
      <c r="AB580" s="99"/>
      <c r="AC580" s="98"/>
      <c r="AD580" s="98"/>
      <c r="AE580" s="98"/>
      <c r="AF580" s="98"/>
      <c r="AG580" s="98"/>
      <c r="AH580" s="98"/>
    </row>
    <row r="581" spans="2:34" x14ac:dyDescent="0.25">
      <c r="B581" s="75"/>
      <c r="C581" s="76"/>
      <c r="D581" s="83"/>
      <c r="E581" s="84"/>
      <c r="F581" s="84"/>
      <c r="G581" s="84"/>
      <c r="H581" s="84"/>
      <c r="I581" s="85"/>
      <c r="J581" s="90"/>
      <c r="K581" s="91"/>
      <c r="L581" s="90"/>
      <c r="M581" s="91"/>
      <c r="N581" s="83"/>
      <c r="O581" s="85"/>
      <c r="P581" s="96"/>
      <c r="Q581" s="97"/>
      <c r="S581" s="99"/>
      <c r="T581" s="99"/>
      <c r="U581" s="99"/>
      <c r="V581" s="99"/>
      <c r="W581" s="99"/>
      <c r="X581" s="99"/>
      <c r="Y581" s="99"/>
      <c r="Z581" s="99"/>
      <c r="AA581" s="99"/>
      <c r="AB581" s="99"/>
      <c r="AC581" s="98"/>
      <c r="AD581" s="98"/>
      <c r="AE581" s="98"/>
      <c r="AF581" s="98"/>
      <c r="AG581" s="98"/>
      <c r="AH581" s="98"/>
    </row>
    <row r="582" spans="2:34" x14ac:dyDescent="0.25">
      <c r="B582" s="71"/>
      <c r="C582" s="72"/>
      <c r="D582" s="77"/>
      <c r="E582" s="78"/>
      <c r="F582" s="78"/>
      <c r="G582" s="78"/>
      <c r="H582" s="78"/>
      <c r="I582" s="79"/>
      <c r="J582" s="86"/>
      <c r="K582" s="87"/>
      <c r="L582" s="86"/>
      <c r="M582" s="87"/>
      <c r="N582" s="77"/>
      <c r="O582" s="79"/>
      <c r="P582" s="92"/>
      <c r="Q582" s="93"/>
      <c r="S582" s="99"/>
      <c r="T582" s="99"/>
      <c r="U582" s="99"/>
      <c r="V582" s="99"/>
      <c r="W582" s="99"/>
      <c r="X582" s="99"/>
      <c r="Y582" s="99"/>
      <c r="Z582" s="99"/>
      <c r="AA582" s="99"/>
      <c r="AB582" s="99"/>
      <c r="AC582" s="98"/>
      <c r="AD582" s="98"/>
      <c r="AE582" s="98"/>
      <c r="AF582" s="98"/>
      <c r="AG582" s="98"/>
      <c r="AH582" s="98"/>
    </row>
    <row r="583" spans="2:34" x14ac:dyDescent="0.25">
      <c r="B583" s="73"/>
      <c r="C583" s="74"/>
      <c r="D583" s="80"/>
      <c r="E583" s="81"/>
      <c r="F583" s="81"/>
      <c r="G583" s="81"/>
      <c r="H583" s="81"/>
      <c r="I583" s="82"/>
      <c r="J583" s="88"/>
      <c r="K583" s="89"/>
      <c r="L583" s="88"/>
      <c r="M583" s="89"/>
      <c r="N583" s="80"/>
      <c r="O583" s="82"/>
      <c r="P583" s="94"/>
      <c r="Q583" s="95"/>
      <c r="S583" s="99"/>
      <c r="T583" s="99"/>
      <c r="U583" s="99"/>
      <c r="V583" s="99"/>
      <c r="W583" s="99"/>
      <c r="X583" s="99"/>
      <c r="Y583" s="99"/>
      <c r="Z583" s="99"/>
      <c r="AA583" s="99"/>
      <c r="AB583" s="99"/>
      <c r="AC583" s="98"/>
      <c r="AD583" s="98"/>
      <c r="AE583" s="98"/>
      <c r="AF583" s="98"/>
      <c r="AG583" s="98"/>
      <c r="AH583" s="98"/>
    </row>
    <row r="584" spans="2:34" x14ac:dyDescent="0.25">
      <c r="B584" s="75"/>
      <c r="C584" s="76"/>
      <c r="D584" s="83"/>
      <c r="E584" s="84"/>
      <c r="F584" s="84"/>
      <c r="G584" s="84"/>
      <c r="H584" s="84"/>
      <c r="I584" s="85"/>
      <c r="J584" s="90"/>
      <c r="K584" s="91"/>
      <c r="L584" s="90"/>
      <c r="M584" s="91"/>
      <c r="N584" s="83"/>
      <c r="O584" s="85"/>
      <c r="P584" s="96"/>
      <c r="Q584" s="97"/>
      <c r="S584" s="99"/>
      <c r="T584" s="99"/>
      <c r="U584" s="99"/>
      <c r="V584" s="99"/>
      <c r="W584" s="99"/>
      <c r="X584" s="99"/>
      <c r="Y584" s="99"/>
      <c r="Z584" s="99"/>
      <c r="AA584" s="99"/>
      <c r="AB584" s="99"/>
      <c r="AC584" s="98"/>
      <c r="AD584" s="98"/>
      <c r="AE584" s="98"/>
      <c r="AF584" s="98"/>
      <c r="AG584" s="98"/>
      <c r="AH584" s="98"/>
    </row>
    <row r="585" spans="2:34" x14ac:dyDescent="0.25">
      <c r="B585" s="71"/>
      <c r="C585" s="72"/>
      <c r="D585" s="77"/>
      <c r="E585" s="78"/>
      <c r="F585" s="78"/>
      <c r="G585" s="78"/>
      <c r="H585" s="78"/>
      <c r="I585" s="79"/>
      <c r="J585" s="86"/>
      <c r="K585" s="87"/>
      <c r="L585" s="86"/>
      <c r="M585" s="87"/>
      <c r="N585" s="77"/>
      <c r="O585" s="79"/>
      <c r="P585" s="92"/>
      <c r="Q585" s="93"/>
      <c r="S585" s="99"/>
      <c r="T585" s="99"/>
      <c r="U585" s="99"/>
      <c r="V585" s="99"/>
      <c r="W585" s="99"/>
      <c r="X585" s="99"/>
      <c r="Y585" s="99"/>
      <c r="Z585" s="99"/>
      <c r="AA585" s="99"/>
      <c r="AB585" s="99"/>
      <c r="AC585" s="98"/>
      <c r="AD585" s="98"/>
      <c r="AE585" s="98"/>
      <c r="AF585" s="98"/>
      <c r="AG585" s="98"/>
      <c r="AH585" s="98"/>
    </row>
    <row r="586" spans="2:34" x14ac:dyDescent="0.25">
      <c r="B586" s="73"/>
      <c r="C586" s="74"/>
      <c r="D586" s="80"/>
      <c r="E586" s="81"/>
      <c r="F586" s="81"/>
      <c r="G586" s="81"/>
      <c r="H586" s="81"/>
      <c r="I586" s="82"/>
      <c r="J586" s="88"/>
      <c r="K586" s="89"/>
      <c r="L586" s="88"/>
      <c r="M586" s="89"/>
      <c r="N586" s="80"/>
      <c r="O586" s="82"/>
      <c r="P586" s="94"/>
      <c r="Q586" s="95"/>
      <c r="S586" s="99"/>
      <c r="T586" s="99"/>
      <c r="U586" s="99"/>
      <c r="V586" s="99"/>
      <c r="W586" s="99"/>
      <c r="X586" s="99"/>
      <c r="Y586" s="99"/>
      <c r="Z586" s="99"/>
      <c r="AA586" s="99"/>
      <c r="AB586" s="99"/>
      <c r="AC586" s="98"/>
      <c r="AD586" s="98"/>
      <c r="AE586" s="98"/>
      <c r="AF586" s="98"/>
      <c r="AG586" s="98"/>
      <c r="AH586" s="98"/>
    </row>
    <row r="587" spans="2:34" x14ac:dyDescent="0.25">
      <c r="B587" s="75"/>
      <c r="C587" s="76"/>
      <c r="D587" s="83"/>
      <c r="E587" s="84"/>
      <c r="F587" s="84"/>
      <c r="G587" s="84"/>
      <c r="H587" s="84"/>
      <c r="I587" s="85"/>
      <c r="J587" s="90"/>
      <c r="K587" s="91"/>
      <c r="L587" s="90"/>
      <c r="M587" s="91"/>
      <c r="N587" s="83"/>
      <c r="O587" s="85"/>
      <c r="P587" s="96"/>
      <c r="Q587" s="97"/>
      <c r="S587" s="99"/>
      <c r="T587" s="99"/>
      <c r="U587" s="99"/>
      <c r="V587" s="99"/>
      <c r="W587" s="99"/>
      <c r="X587" s="99"/>
      <c r="Y587" s="99"/>
      <c r="Z587" s="99"/>
      <c r="AA587" s="99"/>
      <c r="AB587" s="99"/>
      <c r="AC587" s="98"/>
      <c r="AD587" s="98"/>
      <c r="AE587" s="98"/>
      <c r="AF587" s="98"/>
      <c r="AG587" s="98"/>
      <c r="AH587" s="98"/>
    </row>
    <row r="588" spans="2:34" x14ac:dyDescent="0.25">
      <c r="B588" s="71"/>
      <c r="C588" s="72"/>
      <c r="D588" s="77"/>
      <c r="E588" s="78"/>
      <c r="F588" s="78"/>
      <c r="G588" s="78"/>
      <c r="H588" s="78"/>
      <c r="I588" s="79"/>
      <c r="J588" s="86"/>
      <c r="K588" s="87"/>
      <c r="L588" s="86"/>
      <c r="M588" s="87"/>
      <c r="N588" s="77"/>
      <c r="O588" s="79"/>
      <c r="P588" s="92"/>
      <c r="Q588" s="93"/>
      <c r="S588" s="99"/>
      <c r="T588" s="99"/>
      <c r="U588" s="99"/>
      <c r="V588" s="99"/>
      <c r="W588" s="99"/>
      <c r="X588" s="99"/>
      <c r="Y588" s="99"/>
      <c r="Z588" s="99"/>
      <c r="AA588" s="99"/>
      <c r="AB588" s="99"/>
      <c r="AC588" s="98"/>
      <c r="AD588" s="98"/>
      <c r="AE588" s="98"/>
      <c r="AF588" s="98"/>
      <c r="AG588" s="98"/>
      <c r="AH588" s="98"/>
    </row>
    <row r="589" spans="2:34" x14ac:dyDescent="0.25">
      <c r="B589" s="73"/>
      <c r="C589" s="74"/>
      <c r="D589" s="80"/>
      <c r="E589" s="81"/>
      <c r="F589" s="81"/>
      <c r="G589" s="81"/>
      <c r="H589" s="81"/>
      <c r="I589" s="82"/>
      <c r="J589" s="88"/>
      <c r="K589" s="89"/>
      <c r="L589" s="88"/>
      <c r="M589" s="89"/>
      <c r="N589" s="80"/>
      <c r="O589" s="82"/>
      <c r="P589" s="94"/>
      <c r="Q589" s="95"/>
      <c r="S589" s="99"/>
      <c r="T589" s="99"/>
      <c r="U589" s="99"/>
      <c r="V589" s="99"/>
      <c r="W589" s="99"/>
      <c r="X589" s="99"/>
      <c r="Y589" s="99"/>
      <c r="Z589" s="99"/>
      <c r="AA589" s="99"/>
      <c r="AB589" s="99"/>
      <c r="AC589" s="98"/>
      <c r="AD589" s="98"/>
      <c r="AE589" s="98"/>
      <c r="AF589" s="98"/>
      <c r="AG589" s="98"/>
      <c r="AH589" s="98"/>
    </row>
    <row r="590" spans="2:34" x14ac:dyDescent="0.25">
      <c r="B590" s="75"/>
      <c r="C590" s="76"/>
      <c r="D590" s="83"/>
      <c r="E590" s="84"/>
      <c r="F590" s="84"/>
      <c r="G590" s="84"/>
      <c r="H590" s="84"/>
      <c r="I590" s="85"/>
      <c r="J590" s="90"/>
      <c r="K590" s="91"/>
      <c r="L590" s="90"/>
      <c r="M590" s="91"/>
      <c r="N590" s="83"/>
      <c r="O590" s="85"/>
      <c r="P590" s="96"/>
      <c r="Q590" s="97"/>
      <c r="S590" s="99"/>
      <c r="T590" s="99"/>
      <c r="U590" s="99"/>
      <c r="V590" s="99"/>
      <c r="W590" s="99"/>
      <c r="X590" s="99"/>
      <c r="Y590" s="99"/>
      <c r="Z590" s="99"/>
      <c r="AA590" s="99"/>
      <c r="AB590" s="99"/>
      <c r="AC590" s="98"/>
      <c r="AD590" s="98"/>
      <c r="AE590" s="98"/>
      <c r="AF590" s="98"/>
      <c r="AG590" s="98"/>
      <c r="AH590" s="98"/>
    </row>
    <row r="591" spans="2:34" x14ac:dyDescent="0.25">
      <c r="B591" s="71"/>
      <c r="C591" s="72"/>
      <c r="D591" s="77"/>
      <c r="E591" s="78"/>
      <c r="F591" s="78"/>
      <c r="G591" s="78"/>
      <c r="H591" s="78"/>
      <c r="I591" s="79"/>
      <c r="J591" s="86"/>
      <c r="K591" s="87"/>
      <c r="L591" s="86"/>
      <c r="M591" s="87"/>
      <c r="N591" s="77"/>
      <c r="O591" s="79"/>
      <c r="P591" s="92"/>
      <c r="Q591" s="93"/>
      <c r="S591" s="99"/>
      <c r="T591" s="99"/>
      <c r="U591" s="99"/>
      <c r="V591" s="99"/>
      <c r="W591" s="99"/>
      <c r="X591" s="99"/>
      <c r="Y591" s="99"/>
      <c r="Z591" s="99"/>
      <c r="AA591" s="99"/>
      <c r="AB591" s="99"/>
      <c r="AC591" s="98"/>
      <c r="AD591" s="98"/>
      <c r="AE591" s="98"/>
      <c r="AF591" s="98"/>
      <c r="AG591" s="98"/>
      <c r="AH591" s="98"/>
    </row>
    <row r="592" spans="2:34" x14ac:dyDescent="0.25">
      <c r="B592" s="73"/>
      <c r="C592" s="74"/>
      <c r="D592" s="80"/>
      <c r="E592" s="81"/>
      <c r="F592" s="81"/>
      <c r="G592" s="81"/>
      <c r="H592" s="81"/>
      <c r="I592" s="82"/>
      <c r="J592" s="88"/>
      <c r="K592" s="89"/>
      <c r="L592" s="88"/>
      <c r="M592" s="89"/>
      <c r="N592" s="80"/>
      <c r="O592" s="82"/>
      <c r="P592" s="94"/>
      <c r="Q592" s="95"/>
      <c r="S592" s="99"/>
      <c r="T592" s="99"/>
      <c r="U592" s="99"/>
      <c r="V592" s="99"/>
      <c r="W592" s="99"/>
      <c r="X592" s="99"/>
      <c r="Y592" s="99"/>
      <c r="Z592" s="99"/>
      <c r="AA592" s="99"/>
      <c r="AB592" s="99"/>
      <c r="AC592" s="98"/>
      <c r="AD592" s="98"/>
      <c r="AE592" s="98"/>
      <c r="AF592" s="98"/>
      <c r="AG592" s="98"/>
      <c r="AH592" s="98"/>
    </row>
    <row r="593" spans="2:34" x14ac:dyDescent="0.25">
      <c r="B593" s="75"/>
      <c r="C593" s="76"/>
      <c r="D593" s="83"/>
      <c r="E593" s="84"/>
      <c r="F593" s="84"/>
      <c r="G593" s="84"/>
      <c r="H593" s="84"/>
      <c r="I593" s="85"/>
      <c r="J593" s="90"/>
      <c r="K593" s="91"/>
      <c r="L593" s="90"/>
      <c r="M593" s="91"/>
      <c r="N593" s="83"/>
      <c r="O593" s="85"/>
      <c r="P593" s="96"/>
      <c r="Q593" s="97"/>
      <c r="S593" s="99"/>
      <c r="T593" s="99"/>
      <c r="U593" s="99"/>
      <c r="V593" s="99"/>
      <c r="W593" s="99"/>
      <c r="X593" s="99"/>
      <c r="Y593" s="99"/>
      <c r="Z593" s="99"/>
      <c r="AA593" s="99"/>
      <c r="AB593" s="99"/>
      <c r="AC593" s="98"/>
      <c r="AD593" s="98"/>
      <c r="AE593" s="98"/>
      <c r="AF593" s="98"/>
      <c r="AG593" s="98"/>
      <c r="AH593" s="98"/>
    </row>
    <row r="594" spans="2:34" x14ac:dyDescent="0.25">
      <c r="B594" s="71"/>
      <c r="C594" s="72"/>
      <c r="D594" s="77"/>
      <c r="E594" s="78"/>
      <c r="F594" s="78"/>
      <c r="G594" s="78"/>
      <c r="H594" s="78"/>
      <c r="I594" s="79"/>
      <c r="J594" s="86"/>
      <c r="K594" s="87"/>
      <c r="L594" s="86"/>
      <c r="M594" s="87"/>
      <c r="N594" s="77"/>
      <c r="O594" s="79"/>
      <c r="P594" s="92"/>
      <c r="Q594" s="93"/>
      <c r="S594" s="99"/>
      <c r="T594" s="99"/>
      <c r="U594" s="99"/>
      <c r="V594" s="99"/>
      <c r="W594" s="99"/>
      <c r="X594" s="99"/>
      <c r="Y594" s="99"/>
      <c r="Z594" s="99"/>
      <c r="AA594" s="99"/>
      <c r="AB594" s="99"/>
      <c r="AC594" s="98"/>
      <c r="AD594" s="98"/>
      <c r="AE594" s="98"/>
      <c r="AF594" s="98"/>
      <c r="AG594" s="98"/>
      <c r="AH594" s="98"/>
    </row>
    <row r="595" spans="2:34" x14ac:dyDescent="0.25">
      <c r="B595" s="73"/>
      <c r="C595" s="74"/>
      <c r="D595" s="80"/>
      <c r="E595" s="81"/>
      <c r="F595" s="81"/>
      <c r="G595" s="81"/>
      <c r="H595" s="81"/>
      <c r="I595" s="82"/>
      <c r="J595" s="88"/>
      <c r="K595" s="89"/>
      <c r="L595" s="88"/>
      <c r="M595" s="89"/>
      <c r="N595" s="80"/>
      <c r="O595" s="82"/>
      <c r="P595" s="94"/>
      <c r="Q595" s="95"/>
      <c r="S595" s="99"/>
      <c r="T595" s="99"/>
      <c r="U595" s="99"/>
      <c r="V595" s="99"/>
      <c r="W595" s="99"/>
      <c r="X595" s="99"/>
      <c r="Y595" s="99"/>
      <c r="Z595" s="99"/>
      <c r="AA595" s="99"/>
      <c r="AB595" s="99"/>
      <c r="AC595" s="98"/>
      <c r="AD595" s="98"/>
      <c r="AE595" s="98"/>
      <c r="AF595" s="98"/>
      <c r="AG595" s="98"/>
      <c r="AH595" s="98"/>
    </row>
    <row r="596" spans="2:34" x14ac:dyDescent="0.25">
      <c r="B596" s="75"/>
      <c r="C596" s="76"/>
      <c r="D596" s="83"/>
      <c r="E596" s="84"/>
      <c r="F596" s="84"/>
      <c r="G596" s="84"/>
      <c r="H596" s="84"/>
      <c r="I596" s="85"/>
      <c r="J596" s="90"/>
      <c r="K596" s="91"/>
      <c r="L596" s="90"/>
      <c r="M596" s="91"/>
      <c r="N596" s="83"/>
      <c r="O596" s="85"/>
      <c r="P596" s="96"/>
      <c r="Q596" s="97"/>
      <c r="S596" s="99"/>
      <c r="T596" s="99"/>
      <c r="U596" s="99"/>
      <c r="V596" s="99"/>
      <c r="W596" s="99"/>
      <c r="X596" s="99"/>
      <c r="Y596" s="99"/>
      <c r="Z596" s="99"/>
      <c r="AA596" s="99"/>
      <c r="AB596" s="99"/>
      <c r="AC596" s="98"/>
      <c r="AD596" s="98"/>
      <c r="AE596" s="98"/>
      <c r="AF596" s="98"/>
      <c r="AG596" s="98"/>
      <c r="AH596" s="98"/>
    </row>
    <row r="597" spans="2:34" x14ac:dyDescent="0.25">
      <c r="B597" s="71"/>
      <c r="C597" s="72"/>
      <c r="D597" s="77"/>
      <c r="E597" s="78"/>
      <c r="F597" s="78"/>
      <c r="G597" s="78"/>
      <c r="H597" s="78"/>
      <c r="I597" s="79"/>
      <c r="J597" s="86"/>
      <c r="K597" s="87"/>
      <c r="L597" s="86"/>
      <c r="M597" s="87"/>
      <c r="N597" s="77"/>
      <c r="O597" s="79"/>
      <c r="P597" s="92"/>
      <c r="Q597" s="93"/>
      <c r="S597" s="99"/>
      <c r="T597" s="99"/>
      <c r="U597" s="99"/>
      <c r="V597" s="99"/>
      <c r="W597" s="99"/>
      <c r="X597" s="99"/>
      <c r="Y597" s="99"/>
      <c r="Z597" s="99"/>
      <c r="AA597" s="99"/>
      <c r="AB597" s="99"/>
      <c r="AC597" s="98"/>
      <c r="AD597" s="98"/>
      <c r="AE597" s="98"/>
      <c r="AF597" s="98"/>
      <c r="AG597" s="98"/>
      <c r="AH597" s="98"/>
    </row>
    <row r="598" spans="2:34" x14ac:dyDescent="0.25">
      <c r="B598" s="73"/>
      <c r="C598" s="74"/>
      <c r="D598" s="80"/>
      <c r="E598" s="81"/>
      <c r="F598" s="81"/>
      <c r="G598" s="81"/>
      <c r="H598" s="81"/>
      <c r="I598" s="82"/>
      <c r="J598" s="88"/>
      <c r="K598" s="89"/>
      <c r="L598" s="88"/>
      <c r="M598" s="89"/>
      <c r="N598" s="80"/>
      <c r="O598" s="82"/>
      <c r="P598" s="94"/>
      <c r="Q598" s="95"/>
      <c r="S598" s="99"/>
      <c r="T598" s="99"/>
      <c r="U598" s="99"/>
      <c r="V598" s="99"/>
      <c r="W598" s="99"/>
      <c r="X598" s="99"/>
      <c r="Y598" s="99"/>
      <c r="Z598" s="99"/>
      <c r="AA598" s="99"/>
      <c r="AB598" s="99"/>
      <c r="AC598" s="98"/>
      <c r="AD598" s="98"/>
      <c r="AE598" s="98"/>
      <c r="AF598" s="98"/>
      <c r="AG598" s="98"/>
      <c r="AH598" s="98"/>
    </row>
    <row r="599" spans="2:34" x14ac:dyDescent="0.25">
      <c r="B599" s="75"/>
      <c r="C599" s="76"/>
      <c r="D599" s="83"/>
      <c r="E599" s="84"/>
      <c r="F599" s="84"/>
      <c r="G599" s="84"/>
      <c r="H599" s="84"/>
      <c r="I599" s="85"/>
      <c r="J599" s="90"/>
      <c r="K599" s="91"/>
      <c r="L599" s="90"/>
      <c r="M599" s="91"/>
      <c r="N599" s="83"/>
      <c r="O599" s="85"/>
      <c r="P599" s="96"/>
      <c r="Q599" s="97"/>
      <c r="S599" s="99"/>
      <c r="T599" s="99"/>
      <c r="U599" s="99"/>
      <c r="V599" s="99"/>
      <c r="W599" s="99"/>
      <c r="X599" s="99"/>
      <c r="Y599" s="99"/>
      <c r="Z599" s="99"/>
      <c r="AA599" s="99"/>
      <c r="AB599" s="99"/>
      <c r="AC599" s="98"/>
      <c r="AD599" s="98"/>
      <c r="AE599" s="98"/>
      <c r="AF599" s="98"/>
      <c r="AG599" s="98"/>
      <c r="AH599" s="98"/>
    </row>
    <row r="600" spans="2:34" x14ac:dyDescent="0.25">
      <c r="B600" s="71"/>
      <c r="C600" s="72"/>
      <c r="D600" s="77"/>
      <c r="E600" s="78"/>
      <c r="F600" s="78"/>
      <c r="G600" s="78"/>
      <c r="H600" s="78"/>
      <c r="I600" s="79"/>
      <c r="J600" s="86"/>
      <c r="K600" s="87"/>
      <c r="L600" s="86"/>
      <c r="M600" s="87"/>
      <c r="N600" s="77"/>
      <c r="O600" s="79"/>
      <c r="P600" s="92"/>
      <c r="Q600" s="93"/>
      <c r="S600" s="99"/>
      <c r="T600" s="99"/>
      <c r="U600" s="99"/>
      <c r="V600" s="99"/>
      <c r="W600" s="99"/>
      <c r="X600" s="99"/>
      <c r="Y600" s="99"/>
      <c r="Z600" s="99"/>
      <c r="AA600" s="99"/>
      <c r="AB600" s="99"/>
      <c r="AC600" s="98"/>
      <c r="AD600" s="98"/>
      <c r="AE600" s="98"/>
      <c r="AF600" s="98"/>
      <c r="AG600" s="98"/>
      <c r="AH600" s="98"/>
    </row>
    <row r="601" spans="2:34" x14ac:dyDescent="0.25">
      <c r="B601" s="73"/>
      <c r="C601" s="74"/>
      <c r="D601" s="80"/>
      <c r="E601" s="81"/>
      <c r="F601" s="81"/>
      <c r="G601" s="81"/>
      <c r="H601" s="81"/>
      <c r="I601" s="82"/>
      <c r="J601" s="88"/>
      <c r="K601" s="89"/>
      <c r="L601" s="88"/>
      <c r="M601" s="89"/>
      <c r="N601" s="80"/>
      <c r="O601" s="82"/>
      <c r="P601" s="94"/>
      <c r="Q601" s="95"/>
      <c r="S601" s="99"/>
      <c r="T601" s="99"/>
      <c r="U601" s="99"/>
      <c r="V601" s="99"/>
      <c r="W601" s="99"/>
      <c r="X601" s="99"/>
      <c r="Y601" s="99"/>
      <c r="Z601" s="99"/>
      <c r="AA601" s="99"/>
      <c r="AB601" s="99"/>
      <c r="AC601" s="98"/>
      <c r="AD601" s="98"/>
      <c r="AE601" s="98"/>
      <c r="AF601" s="98"/>
      <c r="AG601" s="98"/>
      <c r="AH601" s="98"/>
    </row>
    <row r="602" spans="2:34" x14ac:dyDescent="0.25">
      <c r="B602" s="75"/>
      <c r="C602" s="76"/>
      <c r="D602" s="83"/>
      <c r="E602" s="84"/>
      <c r="F602" s="84"/>
      <c r="G602" s="84"/>
      <c r="H602" s="84"/>
      <c r="I602" s="85"/>
      <c r="J602" s="90"/>
      <c r="K602" s="91"/>
      <c r="L602" s="90"/>
      <c r="M602" s="91"/>
      <c r="N602" s="83"/>
      <c r="O602" s="85"/>
      <c r="P602" s="96"/>
      <c r="Q602" s="97"/>
      <c r="S602" s="99"/>
      <c r="T602" s="99"/>
      <c r="U602" s="99"/>
      <c r="V602" s="99"/>
      <c r="W602" s="99"/>
      <c r="X602" s="99"/>
      <c r="Y602" s="99"/>
      <c r="Z602" s="99"/>
      <c r="AA602" s="99"/>
      <c r="AB602" s="99"/>
      <c r="AC602" s="98"/>
      <c r="AD602" s="98"/>
      <c r="AE602" s="98"/>
      <c r="AF602" s="98"/>
      <c r="AG602" s="98"/>
      <c r="AH602" s="98"/>
    </row>
    <row r="603" spans="2:34" x14ac:dyDescent="0.25">
      <c r="B603" s="71"/>
      <c r="C603" s="72"/>
      <c r="D603" s="77"/>
      <c r="E603" s="78"/>
      <c r="F603" s="78"/>
      <c r="G603" s="78"/>
      <c r="H603" s="78"/>
      <c r="I603" s="79"/>
      <c r="J603" s="86"/>
      <c r="K603" s="87"/>
      <c r="L603" s="86"/>
      <c r="M603" s="87"/>
      <c r="N603" s="77"/>
      <c r="O603" s="79"/>
      <c r="P603" s="92"/>
      <c r="Q603" s="93"/>
      <c r="S603" s="99"/>
      <c r="T603" s="99"/>
      <c r="U603" s="99"/>
      <c r="V603" s="99"/>
      <c r="W603" s="99"/>
      <c r="X603" s="99"/>
      <c r="Y603" s="99"/>
      <c r="Z603" s="99"/>
      <c r="AA603" s="99"/>
      <c r="AB603" s="99"/>
      <c r="AC603" s="98"/>
      <c r="AD603" s="98"/>
      <c r="AE603" s="98"/>
      <c r="AF603" s="98"/>
      <c r="AG603" s="98"/>
      <c r="AH603" s="98"/>
    </row>
    <row r="604" spans="2:34" x14ac:dyDescent="0.25">
      <c r="B604" s="73"/>
      <c r="C604" s="74"/>
      <c r="D604" s="80"/>
      <c r="E604" s="81"/>
      <c r="F604" s="81"/>
      <c r="G604" s="81"/>
      <c r="H604" s="81"/>
      <c r="I604" s="82"/>
      <c r="J604" s="88"/>
      <c r="K604" s="89"/>
      <c r="L604" s="88"/>
      <c r="M604" s="89"/>
      <c r="N604" s="80"/>
      <c r="O604" s="82"/>
      <c r="P604" s="94"/>
      <c r="Q604" s="95"/>
      <c r="S604" s="99"/>
      <c r="T604" s="99"/>
      <c r="U604" s="99"/>
      <c r="V604" s="99"/>
      <c r="W604" s="99"/>
      <c r="X604" s="99"/>
      <c r="Y604" s="99"/>
      <c r="Z604" s="99"/>
      <c r="AA604" s="99"/>
      <c r="AB604" s="99"/>
      <c r="AC604" s="98"/>
      <c r="AD604" s="98"/>
      <c r="AE604" s="98"/>
      <c r="AF604" s="98"/>
      <c r="AG604" s="98"/>
      <c r="AH604" s="98"/>
    </row>
    <row r="605" spans="2:34" x14ac:dyDescent="0.25">
      <c r="B605" s="75"/>
      <c r="C605" s="76"/>
      <c r="D605" s="83"/>
      <c r="E605" s="84"/>
      <c r="F605" s="84"/>
      <c r="G605" s="84"/>
      <c r="H605" s="84"/>
      <c r="I605" s="85"/>
      <c r="J605" s="90"/>
      <c r="K605" s="91"/>
      <c r="L605" s="90"/>
      <c r="M605" s="91"/>
      <c r="N605" s="83"/>
      <c r="O605" s="85"/>
      <c r="P605" s="96"/>
      <c r="Q605" s="97"/>
      <c r="S605" s="99"/>
      <c r="T605" s="99"/>
      <c r="U605" s="99"/>
      <c r="V605" s="99"/>
      <c r="W605" s="99"/>
      <c r="X605" s="99"/>
      <c r="Y605" s="99"/>
      <c r="Z605" s="99"/>
      <c r="AA605" s="99"/>
      <c r="AB605" s="99"/>
      <c r="AC605" s="98"/>
      <c r="AD605" s="98"/>
      <c r="AE605" s="98"/>
      <c r="AF605" s="98"/>
      <c r="AG605" s="98"/>
      <c r="AH605" s="98"/>
    </row>
    <row r="606" spans="2:34" x14ac:dyDescent="0.25">
      <c r="B606" s="71"/>
      <c r="C606" s="72"/>
      <c r="D606" s="77"/>
      <c r="E606" s="78"/>
      <c r="F606" s="78"/>
      <c r="G606" s="78"/>
      <c r="H606" s="78"/>
      <c r="I606" s="79"/>
      <c r="J606" s="86"/>
      <c r="K606" s="87"/>
      <c r="L606" s="86"/>
      <c r="M606" s="87"/>
      <c r="N606" s="77"/>
      <c r="O606" s="79"/>
      <c r="P606" s="92"/>
      <c r="Q606" s="93"/>
      <c r="S606" s="99"/>
      <c r="T606" s="99"/>
      <c r="U606" s="99"/>
      <c r="V606" s="99"/>
      <c r="W606" s="99"/>
      <c r="X606" s="99"/>
      <c r="Y606" s="99"/>
      <c r="Z606" s="99"/>
      <c r="AA606" s="99"/>
      <c r="AB606" s="99"/>
      <c r="AC606" s="98"/>
      <c r="AD606" s="98"/>
      <c r="AE606" s="98"/>
      <c r="AF606" s="98"/>
      <c r="AG606" s="98"/>
      <c r="AH606" s="98"/>
    </row>
    <row r="607" spans="2:34" x14ac:dyDescent="0.25">
      <c r="B607" s="73"/>
      <c r="C607" s="74"/>
      <c r="D607" s="80"/>
      <c r="E607" s="81"/>
      <c r="F607" s="81"/>
      <c r="G607" s="81"/>
      <c r="H607" s="81"/>
      <c r="I607" s="82"/>
      <c r="J607" s="88"/>
      <c r="K607" s="89"/>
      <c r="L607" s="88"/>
      <c r="M607" s="89"/>
      <c r="N607" s="80"/>
      <c r="O607" s="82"/>
      <c r="P607" s="94"/>
      <c r="Q607" s="95"/>
      <c r="S607" s="99"/>
      <c r="T607" s="99"/>
      <c r="U607" s="99"/>
      <c r="V607" s="99"/>
      <c r="W607" s="99"/>
      <c r="X607" s="99"/>
      <c r="Y607" s="99"/>
      <c r="Z607" s="99"/>
      <c r="AA607" s="99"/>
      <c r="AB607" s="99"/>
      <c r="AC607" s="98"/>
      <c r="AD607" s="98"/>
      <c r="AE607" s="98"/>
      <c r="AF607" s="98"/>
      <c r="AG607" s="98"/>
      <c r="AH607" s="98"/>
    </row>
    <row r="608" spans="2:34" x14ac:dyDescent="0.25">
      <c r="B608" s="75"/>
      <c r="C608" s="76"/>
      <c r="D608" s="83"/>
      <c r="E608" s="84"/>
      <c r="F608" s="84"/>
      <c r="G608" s="84"/>
      <c r="H608" s="84"/>
      <c r="I608" s="85"/>
      <c r="J608" s="90"/>
      <c r="K608" s="91"/>
      <c r="L608" s="90"/>
      <c r="M608" s="91"/>
      <c r="N608" s="83"/>
      <c r="O608" s="85"/>
      <c r="P608" s="96"/>
      <c r="Q608" s="97"/>
      <c r="S608" s="99"/>
      <c r="T608" s="99"/>
      <c r="U608" s="99"/>
      <c r="V608" s="99"/>
      <c r="W608" s="99"/>
      <c r="X608" s="99"/>
      <c r="Y608" s="99"/>
      <c r="Z608" s="99"/>
      <c r="AA608" s="99"/>
      <c r="AB608" s="99"/>
      <c r="AC608" s="98"/>
      <c r="AD608" s="98"/>
      <c r="AE608" s="98"/>
      <c r="AF608" s="98"/>
      <c r="AG608" s="98"/>
      <c r="AH608" s="98"/>
    </row>
    <row r="609" spans="2:34" x14ac:dyDescent="0.25">
      <c r="B609" s="71"/>
      <c r="C609" s="72"/>
      <c r="D609" s="77"/>
      <c r="E609" s="78"/>
      <c r="F609" s="78"/>
      <c r="G609" s="78"/>
      <c r="H609" s="78"/>
      <c r="I609" s="79"/>
      <c r="J609" s="86"/>
      <c r="K609" s="87"/>
      <c r="L609" s="86"/>
      <c r="M609" s="87"/>
      <c r="N609" s="77"/>
      <c r="O609" s="79"/>
      <c r="P609" s="92"/>
      <c r="Q609" s="93"/>
      <c r="S609" s="99"/>
      <c r="T609" s="99"/>
      <c r="U609" s="99"/>
      <c r="V609" s="99"/>
      <c r="W609" s="99"/>
      <c r="X609" s="99"/>
      <c r="Y609" s="99"/>
      <c r="Z609" s="99"/>
      <c r="AA609" s="99"/>
      <c r="AB609" s="99"/>
      <c r="AC609" s="98"/>
      <c r="AD609" s="98"/>
      <c r="AE609" s="98"/>
      <c r="AF609" s="98"/>
      <c r="AG609" s="98"/>
      <c r="AH609" s="98"/>
    </row>
    <row r="610" spans="2:34" x14ac:dyDescent="0.25">
      <c r="B610" s="73"/>
      <c r="C610" s="74"/>
      <c r="D610" s="80"/>
      <c r="E610" s="81"/>
      <c r="F610" s="81"/>
      <c r="G610" s="81"/>
      <c r="H610" s="81"/>
      <c r="I610" s="82"/>
      <c r="J610" s="88"/>
      <c r="K610" s="89"/>
      <c r="L610" s="88"/>
      <c r="M610" s="89"/>
      <c r="N610" s="80"/>
      <c r="O610" s="82"/>
      <c r="P610" s="94"/>
      <c r="Q610" s="95"/>
      <c r="S610" s="99"/>
      <c r="T610" s="99"/>
      <c r="U610" s="99"/>
      <c r="V610" s="99"/>
      <c r="W610" s="99"/>
      <c r="X610" s="99"/>
      <c r="Y610" s="99"/>
      <c r="Z610" s="99"/>
      <c r="AA610" s="99"/>
      <c r="AB610" s="99"/>
      <c r="AC610" s="98"/>
      <c r="AD610" s="98"/>
      <c r="AE610" s="98"/>
      <c r="AF610" s="98"/>
      <c r="AG610" s="98"/>
      <c r="AH610" s="98"/>
    </row>
    <row r="611" spans="2:34" x14ac:dyDescent="0.25">
      <c r="B611" s="75"/>
      <c r="C611" s="76"/>
      <c r="D611" s="83"/>
      <c r="E611" s="84"/>
      <c r="F611" s="84"/>
      <c r="G611" s="84"/>
      <c r="H611" s="84"/>
      <c r="I611" s="85"/>
      <c r="J611" s="90"/>
      <c r="K611" s="91"/>
      <c r="L611" s="90"/>
      <c r="M611" s="91"/>
      <c r="N611" s="83"/>
      <c r="O611" s="85"/>
      <c r="P611" s="96"/>
      <c r="Q611" s="97"/>
      <c r="S611" s="99"/>
      <c r="T611" s="99"/>
      <c r="U611" s="99"/>
      <c r="V611" s="99"/>
      <c r="W611" s="99"/>
      <c r="X611" s="99"/>
      <c r="Y611" s="99"/>
      <c r="Z611" s="99"/>
      <c r="AA611" s="99"/>
      <c r="AB611" s="99"/>
      <c r="AC611" s="98"/>
      <c r="AD611" s="98"/>
      <c r="AE611" s="98"/>
      <c r="AF611" s="98"/>
      <c r="AG611" s="98"/>
      <c r="AH611" s="98"/>
    </row>
    <row r="612" spans="2:34" x14ac:dyDescent="0.25">
      <c r="B612" s="71"/>
      <c r="C612" s="72"/>
      <c r="D612" s="77"/>
      <c r="E612" s="78"/>
      <c r="F612" s="78"/>
      <c r="G612" s="78"/>
      <c r="H612" s="78"/>
      <c r="I612" s="79"/>
      <c r="J612" s="86"/>
      <c r="K612" s="87"/>
      <c r="L612" s="86"/>
      <c r="M612" s="87"/>
      <c r="N612" s="77"/>
      <c r="O612" s="79"/>
      <c r="P612" s="92"/>
      <c r="Q612" s="93"/>
      <c r="S612" s="99"/>
      <c r="T612" s="99"/>
      <c r="U612" s="99"/>
      <c r="V612" s="99"/>
      <c r="W612" s="99"/>
      <c r="X612" s="99"/>
      <c r="Y612" s="99"/>
      <c r="Z612" s="99"/>
      <c r="AA612" s="99"/>
      <c r="AB612" s="99"/>
      <c r="AC612" s="98"/>
      <c r="AD612" s="98"/>
      <c r="AE612" s="98"/>
      <c r="AF612" s="98"/>
      <c r="AG612" s="98"/>
      <c r="AH612" s="98"/>
    </row>
    <row r="613" spans="2:34" x14ac:dyDescent="0.25">
      <c r="B613" s="73"/>
      <c r="C613" s="74"/>
      <c r="D613" s="80"/>
      <c r="E613" s="81"/>
      <c r="F613" s="81"/>
      <c r="G613" s="81"/>
      <c r="H613" s="81"/>
      <c r="I613" s="82"/>
      <c r="J613" s="88"/>
      <c r="K613" s="89"/>
      <c r="L613" s="88"/>
      <c r="M613" s="89"/>
      <c r="N613" s="80"/>
      <c r="O613" s="82"/>
      <c r="P613" s="94"/>
      <c r="Q613" s="95"/>
      <c r="S613" s="99"/>
      <c r="T613" s="99"/>
      <c r="U613" s="99"/>
      <c r="V613" s="99"/>
      <c r="W613" s="99"/>
      <c r="X613" s="99"/>
      <c r="Y613" s="99"/>
      <c r="Z613" s="99"/>
      <c r="AA613" s="99"/>
      <c r="AB613" s="99"/>
      <c r="AC613" s="98"/>
      <c r="AD613" s="98"/>
      <c r="AE613" s="98"/>
      <c r="AF613" s="98"/>
      <c r="AG613" s="98"/>
      <c r="AH613" s="98"/>
    </row>
    <row r="614" spans="2:34" x14ac:dyDescent="0.25">
      <c r="B614" s="75"/>
      <c r="C614" s="76"/>
      <c r="D614" s="83"/>
      <c r="E614" s="84"/>
      <c r="F614" s="84"/>
      <c r="G614" s="84"/>
      <c r="H614" s="84"/>
      <c r="I614" s="85"/>
      <c r="J614" s="90"/>
      <c r="K614" s="91"/>
      <c r="L614" s="90"/>
      <c r="M614" s="91"/>
      <c r="N614" s="83"/>
      <c r="O614" s="85"/>
      <c r="P614" s="96"/>
      <c r="Q614" s="97"/>
      <c r="S614" s="99"/>
      <c r="T614" s="99"/>
      <c r="U614" s="99"/>
      <c r="V614" s="99"/>
      <c r="W614" s="99"/>
      <c r="X614" s="99"/>
      <c r="Y614" s="99"/>
      <c r="Z614" s="99"/>
      <c r="AA614" s="99"/>
      <c r="AB614" s="99"/>
      <c r="AC614" s="98"/>
      <c r="AD614" s="98"/>
      <c r="AE614" s="98"/>
      <c r="AF614" s="98"/>
      <c r="AG614" s="98"/>
      <c r="AH614" s="98"/>
    </row>
    <row r="615" spans="2:34" x14ac:dyDescent="0.25">
      <c r="B615" s="71"/>
      <c r="C615" s="72"/>
      <c r="D615" s="77"/>
      <c r="E615" s="78"/>
      <c r="F615" s="78"/>
      <c r="G615" s="78"/>
      <c r="H615" s="78"/>
      <c r="I615" s="79"/>
      <c r="J615" s="86"/>
      <c r="K615" s="87"/>
      <c r="L615" s="86"/>
      <c r="M615" s="87"/>
      <c r="N615" s="77"/>
      <c r="O615" s="79"/>
      <c r="P615" s="92"/>
      <c r="Q615" s="93"/>
      <c r="S615" s="99"/>
      <c r="T615" s="99"/>
      <c r="U615" s="99"/>
      <c r="V615" s="99"/>
      <c r="W615" s="99"/>
      <c r="X615" s="99"/>
      <c r="Y615" s="99"/>
      <c r="Z615" s="99"/>
      <c r="AA615" s="99"/>
      <c r="AB615" s="99"/>
      <c r="AC615" s="98"/>
      <c r="AD615" s="98"/>
      <c r="AE615" s="98"/>
      <c r="AF615" s="98"/>
      <c r="AG615" s="98"/>
      <c r="AH615" s="98"/>
    </row>
    <row r="616" spans="2:34" x14ac:dyDescent="0.25">
      <c r="B616" s="73"/>
      <c r="C616" s="74"/>
      <c r="D616" s="80"/>
      <c r="E616" s="81"/>
      <c r="F616" s="81"/>
      <c r="G616" s="81"/>
      <c r="H616" s="81"/>
      <c r="I616" s="82"/>
      <c r="J616" s="88"/>
      <c r="K616" s="89"/>
      <c r="L616" s="88"/>
      <c r="M616" s="89"/>
      <c r="N616" s="80"/>
      <c r="O616" s="82"/>
      <c r="P616" s="94"/>
      <c r="Q616" s="95"/>
      <c r="S616" s="99"/>
      <c r="T616" s="99"/>
      <c r="U616" s="99"/>
      <c r="V616" s="99"/>
      <c r="W616" s="99"/>
      <c r="X616" s="99"/>
      <c r="Y616" s="99"/>
      <c r="Z616" s="99"/>
      <c r="AA616" s="99"/>
      <c r="AB616" s="99"/>
      <c r="AC616" s="98"/>
      <c r="AD616" s="98"/>
      <c r="AE616" s="98"/>
      <c r="AF616" s="98"/>
      <c r="AG616" s="98"/>
      <c r="AH616" s="98"/>
    </row>
    <row r="617" spans="2:34" x14ac:dyDescent="0.25">
      <c r="B617" s="75"/>
      <c r="C617" s="76"/>
      <c r="D617" s="83"/>
      <c r="E617" s="84"/>
      <c r="F617" s="84"/>
      <c r="G617" s="84"/>
      <c r="H617" s="84"/>
      <c r="I617" s="85"/>
      <c r="J617" s="90"/>
      <c r="K617" s="91"/>
      <c r="L617" s="90"/>
      <c r="M617" s="91"/>
      <c r="N617" s="83"/>
      <c r="O617" s="85"/>
      <c r="P617" s="96"/>
      <c r="Q617" s="97"/>
      <c r="S617" s="99"/>
      <c r="T617" s="99"/>
      <c r="U617" s="99"/>
      <c r="V617" s="99"/>
      <c r="W617" s="99"/>
      <c r="X617" s="99"/>
      <c r="Y617" s="99"/>
      <c r="Z617" s="99"/>
      <c r="AA617" s="99"/>
      <c r="AB617" s="99"/>
      <c r="AC617" s="98"/>
      <c r="AD617" s="98"/>
      <c r="AE617" s="98"/>
      <c r="AF617" s="98"/>
      <c r="AG617" s="98"/>
      <c r="AH617" s="98"/>
    </row>
    <row r="618" spans="2:34" x14ac:dyDescent="0.25">
      <c r="B618" s="71"/>
      <c r="C618" s="72"/>
      <c r="D618" s="77"/>
      <c r="E618" s="78"/>
      <c r="F618" s="78"/>
      <c r="G618" s="78"/>
      <c r="H618" s="78"/>
      <c r="I618" s="79"/>
      <c r="J618" s="86"/>
      <c r="K618" s="87"/>
      <c r="L618" s="86"/>
      <c r="M618" s="87"/>
      <c r="N618" s="77"/>
      <c r="O618" s="79"/>
      <c r="P618" s="92"/>
      <c r="Q618" s="93"/>
      <c r="S618" s="99"/>
      <c r="T618" s="99"/>
      <c r="U618" s="99"/>
      <c r="V618" s="99"/>
      <c r="W618" s="99"/>
      <c r="X618" s="99"/>
      <c r="Y618" s="99"/>
      <c r="Z618" s="99"/>
      <c r="AA618" s="99"/>
      <c r="AB618" s="99"/>
      <c r="AC618" s="98"/>
      <c r="AD618" s="98"/>
      <c r="AE618" s="98"/>
      <c r="AF618" s="98"/>
      <c r="AG618" s="98"/>
      <c r="AH618" s="98"/>
    </row>
    <row r="619" spans="2:34" x14ac:dyDescent="0.25">
      <c r="B619" s="73"/>
      <c r="C619" s="74"/>
      <c r="D619" s="80"/>
      <c r="E619" s="81"/>
      <c r="F619" s="81"/>
      <c r="G619" s="81"/>
      <c r="H619" s="81"/>
      <c r="I619" s="82"/>
      <c r="J619" s="88"/>
      <c r="K619" s="89"/>
      <c r="L619" s="88"/>
      <c r="M619" s="89"/>
      <c r="N619" s="80"/>
      <c r="O619" s="82"/>
      <c r="P619" s="94"/>
      <c r="Q619" s="95"/>
      <c r="S619" s="99"/>
      <c r="T619" s="99"/>
      <c r="U619" s="99"/>
      <c r="V619" s="99"/>
      <c r="W619" s="99"/>
      <c r="X619" s="99"/>
      <c r="Y619" s="99"/>
      <c r="Z619" s="99"/>
      <c r="AA619" s="99"/>
      <c r="AB619" s="99"/>
      <c r="AC619" s="98"/>
      <c r="AD619" s="98"/>
      <c r="AE619" s="98"/>
      <c r="AF619" s="98"/>
      <c r="AG619" s="98"/>
      <c r="AH619" s="98"/>
    </row>
    <row r="620" spans="2:34" x14ac:dyDescent="0.25">
      <c r="B620" s="75"/>
      <c r="C620" s="76"/>
      <c r="D620" s="83"/>
      <c r="E620" s="84"/>
      <c r="F620" s="84"/>
      <c r="G620" s="84"/>
      <c r="H620" s="84"/>
      <c r="I620" s="85"/>
      <c r="J620" s="90"/>
      <c r="K620" s="91"/>
      <c r="L620" s="90"/>
      <c r="M620" s="91"/>
      <c r="N620" s="83"/>
      <c r="O620" s="85"/>
      <c r="P620" s="96"/>
      <c r="Q620" s="97"/>
      <c r="S620" s="99"/>
      <c r="T620" s="99"/>
      <c r="U620" s="99"/>
      <c r="V620" s="99"/>
      <c r="W620" s="99"/>
      <c r="X620" s="99"/>
      <c r="Y620" s="99"/>
      <c r="Z620" s="99"/>
      <c r="AA620" s="99"/>
      <c r="AB620" s="99"/>
      <c r="AC620" s="98"/>
      <c r="AD620" s="98"/>
      <c r="AE620" s="98"/>
      <c r="AF620" s="98"/>
      <c r="AG620" s="98"/>
      <c r="AH620" s="98"/>
    </row>
    <row r="621" spans="2:34" x14ac:dyDescent="0.25">
      <c r="B621" s="71"/>
      <c r="C621" s="72"/>
      <c r="D621" s="77"/>
      <c r="E621" s="78"/>
      <c r="F621" s="78"/>
      <c r="G621" s="78"/>
      <c r="H621" s="78"/>
      <c r="I621" s="79"/>
      <c r="J621" s="86"/>
      <c r="K621" s="87"/>
      <c r="L621" s="86"/>
      <c r="M621" s="87"/>
      <c r="N621" s="77"/>
      <c r="O621" s="79"/>
      <c r="P621" s="92"/>
      <c r="Q621" s="93"/>
      <c r="S621" s="99"/>
      <c r="T621" s="99"/>
      <c r="U621" s="99"/>
      <c r="V621" s="99"/>
      <c r="W621" s="99"/>
      <c r="X621" s="99"/>
      <c r="Y621" s="99"/>
      <c r="Z621" s="99"/>
      <c r="AA621" s="99"/>
      <c r="AB621" s="99"/>
      <c r="AC621" s="98"/>
      <c r="AD621" s="98"/>
      <c r="AE621" s="98"/>
      <c r="AF621" s="98"/>
      <c r="AG621" s="98"/>
      <c r="AH621" s="98"/>
    </row>
    <row r="622" spans="2:34" x14ac:dyDescent="0.25">
      <c r="B622" s="73"/>
      <c r="C622" s="74"/>
      <c r="D622" s="80"/>
      <c r="E622" s="81"/>
      <c r="F622" s="81"/>
      <c r="G622" s="81"/>
      <c r="H622" s="81"/>
      <c r="I622" s="82"/>
      <c r="J622" s="88"/>
      <c r="K622" s="89"/>
      <c r="L622" s="88"/>
      <c r="M622" s="89"/>
      <c r="N622" s="80"/>
      <c r="O622" s="82"/>
      <c r="P622" s="94"/>
      <c r="Q622" s="95"/>
      <c r="S622" s="99"/>
      <c r="T622" s="99"/>
      <c r="U622" s="99"/>
      <c r="V622" s="99"/>
      <c r="W622" s="99"/>
      <c r="X622" s="99"/>
      <c r="Y622" s="99"/>
      <c r="Z622" s="99"/>
      <c r="AA622" s="99"/>
      <c r="AB622" s="99"/>
      <c r="AC622" s="98"/>
      <c r="AD622" s="98"/>
      <c r="AE622" s="98"/>
      <c r="AF622" s="98"/>
      <c r="AG622" s="98"/>
      <c r="AH622" s="98"/>
    </row>
    <row r="623" spans="2:34" x14ac:dyDescent="0.25">
      <c r="B623" s="75"/>
      <c r="C623" s="76"/>
      <c r="D623" s="83"/>
      <c r="E623" s="84"/>
      <c r="F623" s="84"/>
      <c r="G623" s="84"/>
      <c r="H623" s="84"/>
      <c r="I623" s="85"/>
      <c r="J623" s="90"/>
      <c r="K623" s="91"/>
      <c r="L623" s="90"/>
      <c r="M623" s="91"/>
      <c r="N623" s="83"/>
      <c r="O623" s="85"/>
      <c r="P623" s="96"/>
      <c r="Q623" s="97"/>
      <c r="S623" s="99"/>
      <c r="T623" s="99"/>
      <c r="U623" s="99"/>
      <c r="V623" s="99"/>
      <c r="W623" s="99"/>
      <c r="X623" s="99"/>
      <c r="Y623" s="99"/>
      <c r="Z623" s="99"/>
      <c r="AA623" s="99"/>
      <c r="AB623" s="99"/>
      <c r="AC623" s="98"/>
      <c r="AD623" s="98"/>
      <c r="AE623" s="98"/>
      <c r="AF623" s="98"/>
      <c r="AG623" s="98"/>
      <c r="AH623" s="98"/>
    </row>
    <row r="624" spans="2:34" x14ac:dyDescent="0.25">
      <c r="B624" s="71"/>
      <c r="C624" s="72"/>
      <c r="D624" s="77"/>
      <c r="E624" s="78"/>
      <c r="F624" s="78"/>
      <c r="G624" s="78"/>
      <c r="H624" s="78"/>
      <c r="I624" s="79"/>
      <c r="J624" s="86"/>
      <c r="K624" s="87"/>
      <c r="L624" s="86"/>
      <c r="M624" s="87"/>
      <c r="N624" s="77"/>
      <c r="O624" s="79"/>
      <c r="P624" s="92"/>
      <c r="Q624" s="93"/>
      <c r="S624" s="99"/>
      <c r="T624" s="99"/>
      <c r="U624" s="99"/>
      <c r="V624" s="99"/>
      <c r="W624" s="99"/>
      <c r="X624" s="99"/>
      <c r="Y624" s="99"/>
      <c r="Z624" s="99"/>
      <c r="AA624" s="99"/>
      <c r="AB624" s="99"/>
      <c r="AC624" s="98"/>
      <c r="AD624" s="98"/>
      <c r="AE624" s="98"/>
      <c r="AF624" s="98"/>
      <c r="AG624" s="98"/>
      <c r="AH624" s="98"/>
    </row>
    <row r="625" spans="2:34" x14ac:dyDescent="0.25">
      <c r="B625" s="73"/>
      <c r="C625" s="74"/>
      <c r="D625" s="80"/>
      <c r="E625" s="81"/>
      <c r="F625" s="81"/>
      <c r="G625" s="81"/>
      <c r="H625" s="81"/>
      <c r="I625" s="82"/>
      <c r="J625" s="88"/>
      <c r="K625" s="89"/>
      <c r="L625" s="88"/>
      <c r="M625" s="89"/>
      <c r="N625" s="80"/>
      <c r="O625" s="82"/>
      <c r="P625" s="94"/>
      <c r="Q625" s="95"/>
      <c r="S625" s="99"/>
      <c r="T625" s="99"/>
      <c r="U625" s="99"/>
      <c r="V625" s="99"/>
      <c r="W625" s="99"/>
      <c r="X625" s="99"/>
      <c r="Y625" s="99"/>
      <c r="Z625" s="99"/>
      <c r="AA625" s="99"/>
      <c r="AB625" s="99"/>
      <c r="AC625" s="98"/>
      <c r="AD625" s="98"/>
      <c r="AE625" s="98"/>
      <c r="AF625" s="98"/>
      <c r="AG625" s="98"/>
      <c r="AH625" s="98"/>
    </row>
    <row r="626" spans="2:34" x14ac:dyDescent="0.25">
      <c r="B626" s="75"/>
      <c r="C626" s="76"/>
      <c r="D626" s="83"/>
      <c r="E626" s="84"/>
      <c r="F626" s="84"/>
      <c r="G626" s="84"/>
      <c r="H626" s="84"/>
      <c r="I626" s="85"/>
      <c r="J626" s="90"/>
      <c r="K626" s="91"/>
      <c r="L626" s="90"/>
      <c r="M626" s="91"/>
      <c r="N626" s="83"/>
      <c r="O626" s="85"/>
      <c r="P626" s="96"/>
      <c r="Q626" s="97"/>
      <c r="S626" s="99"/>
      <c r="T626" s="99"/>
      <c r="U626" s="99"/>
      <c r="V626" s="99"/>
      <c r="W626" s="99"/>
      <c r="X626" s="99"/>
      <c r="Y626" s="99"/>
      <c r="Z626" s="99"/>
      <c r="AA626" s="99"/>
      <c r="AB626" s="99"/>
      <c r="AC626" s="98"/>
      <c r="AD626" s="98"/>
      <c r="AE626" s="98"/>
      <c r="AF626" s="98"/>
      <c r="AG626" s="98"/>
      <c r="AH626" s="98"/>
    </row>
    <row r="627" spans="2:34" x14ac:dyDescent="0.25">
      <c r="B627" s="71"/>
      <c r="C627" s="72"/>
      <c r="D627" s="77"/>
      <c r="E627" s="78"/>
      <c r="F627" s="78"/>
      <c r="G627" s="78"/>
      <c r="H627" s="78"/>
      <c r="I627" s="79"/>
      <c r="J627" s="86"/>
      <c r="K627" s="87"/>
      <c r="L627" s="86"/>
      <c r="M627" s="87"/>
      <c r="N627" s="77"/>
      <c r="O627" s="79"/>
      <c r="P627" s="92"/>
      <c r="Q627" s="93"/>
      <c r="S627" s="99"/>
      <c r="T627" s="99"/>
      <c r="U627" s="99"/>
      <c r="V627" s="99"/>
      <c r="W627" s="99"/>
      <c r="X627" s="99"/>
      <c r="Y627" s="99"/>
      <c r="Z627" s="99"/>
      <c r="AA627" s="99"/>
      <c r="AB627" s="99"/>
      <c r="AC627" s="98"/>
      <c r="AD627" s="98"/>
      <c r="AE627" s="98"/>
      <c r="AF627" s="98"/>
      <c r="AG627" s="98"/>
      <c r="AH627" s="98"/>
    </row>
    <row r="628" spans="2:34" x14ac:dyDescent="0.25">
      <c r="B628" s="73"/>
      <c r="C628" s="74"/>
      <c r="D628" s="80"/>
      <c r="E628" s="81"/>
      <c r="F628" s="81"/>
      <c r="G628" s="81"/>
      <c r="H628" s="81"/>
      <c r="I628" s="82"/>
      <c r="J628" s="88"/>
      <c r="K628" s="89"/>
      <c r="L628" s="88"/>
      <c r="M628" s="89"/>
      <c r="N628" s="80"/>
      <c r="O628" s="82"/>
      <c r="P628" s="94"/>
      <c r="Q628" s="95"/>
      <c r="S628" s="99"/>
      <c r="T628" s="99"/>
      <c r="U628" s="99"/>
      <c r="V628" s="99"/>
      <c r="W628" s="99"/>
      <c r="X628" s="99"/>
      <c r="Y628" s="99"/>
      <c r="Z628" s="99"/>
      <c r="AA628" s="99"/>
      <c r="AB628" s="99"/>
      <c r="AC628" s="98"/>
      <c r="AD628" s="98"/>
      <c r="AE628" s="98"/>
      <c r="AF628" s="98"/>
      <c r="AG628" s="98"/>
      <c r="AH628" s="98"/>
    </row>
    <row r="629" spans="2:34" x14ac:dyDescent="0.25">
      <c r="B629" s="75"/>
      <c r="C629" s="76"/>
      <c r="D629" s="83"/>
      <c r="E629" s="84"/>
      <c r="F629" s="84"/>
      <c r="G629" s="84"/>
      <c r="H629" s="84"/>
      <c r="I629" s="85"/>
      <c r="J629" s="90"/>
      <c r="K629" s="91"/>
      <c r="L629" s="90"/>
      <c r="M629" s="91"/>
      <c r="N629" s="83"/>
      <c r="O629" s="85"/>
      <c r="P629" s="96"/>
      <c r="Q629" s="97"/>
      <c r="S629" s="99"/>
      <c r="T629" s="99"/>
      <c r="U629" s="99"/>
      <c r="V629" s="99"/>
      <c r="W629" s="99"/>
      <c r="X629" s="99"/>
      <c r="Y629" s="99"/>
      <c r="Z629" s="99"/>
      <c r="AA629" s="99"/>
      <c r="AB629" s="99"/>
      <c r="AC629" s="98"/>
      <c r="AD629" s="98"/>
      <c r="AE629" s="98"/>
      <c r="AF629" s="98"/>
      <c r="AG629" s="98"/>
      <c r="AH629" s="98"/>
    </row>
    <row r="630" spans="2:34" x14ac:dyDescent="0.25">
      <c r="B630" s="71"/>
      <c r="C630" s="72"/>
      <c r="D630" s="77"/>
      <c r="E630" s="78"/>
      <c r="F630" s="78"/>
      <c r="G630" s="78"/>
      <c r="H630" s="78"/>
      <c r="I630" s="79"/>
      <c r="J630" s="86"/>
      <c r="K630" s="87"/>
      <c r="L630" s="86"/>
      <c r="M630" s="87"/>
      <c r="N630" s="77"/>
      <c r="O630" s="79"/>
      <c r="P630" s="92"/>
      <c r="Q630" s="93"/>
      <c r="S630" s="99"/>
      <c r="T630" s="99"/>
      <c r="U630" s="99"/>
      <c r="V630" s="99"/>
      <c r="W630" s="99"/>
      <c r="X630" s="99"/>
      <c r="Y630" s="99"/>
      <c r="Z630" s="99"/>
      <c r="AA630" s="99"/>
      <c r="AB630" s="99"/>
      <c r="AC630" s="98"/>
      <c r="AD630" s="98"/>
      <c r="AE630" s="98"/>
      <c r="AF630" s="98"/>
      <c r="AG630" s="98"/>
      <c r="AH630" s="98"/>
    </row>
    <row r="631" spans="2:34" x14ac:dyDescent="0.25">
      <c r="B631" s="73"/>
      <c r="C631" s="74"/>
      <c r="D631" s="80"/>
      <c r="E631" s="81"/>
      <c r="F631" s="81"/>
      <c r="G631" s="81"/>
      <c r="H631" s="81"/>
      <c r="I631" s="82"/>
      <c r="J631" s="88"/>
      <c r="K631" s="89"/>
      <c r="L631" s="88"/>
      <c r="M631" s="89"/>
      <c r="N631" s="80"/>
      <c r="O631" s="82"/>
      <c r="P631" s="94"/>
      <c r="Q631" s="95"/>
      <c r="S631" s="99"/>
      <c r="T631" s="99"/>
      <c r="U631" s="99"/>
      <c r="V631" s="99"/>
      <c r="W631" s="99"/>
      <c r="X631" s="99"/>
      <c r="Y631" s="99"/>
      <c r="Z631" s="99"/>
      <c r="AA631" s="99"/>
      <c r="AB631" s="99"/>
      <c r="AC631" s="98"/>
      <c r="AD631" s="98"/>
      <c r="AE631" s="98"/>
      <c r="AF631" s="98"/>
      <c r="AG631" s="98"/>
      <c r="AH631" s="98"/>
    </row>
    <row r="632" spans="2:34" x14ac:dyDescent="0.25">
      <c r="B632" s="75"/>
      <c r="C632" s="76"/>
      <c r="D632" s="83"/>
      <c r="E632" s="84"/>
      <c r="F632" s="84"/>
      <c r="G632" s="84"/>
      <c r="H632" s="84"/>
      <c r="I632" s="85"/>
      <c r="J632" s="90"/>
      <c r="K632" s="91"/>
      <c r="L632" s="90"/>
      <c r="M632" s="91"/>
      <c r="N632" s="83"/>
      <c r="O632" s="85"/>
      <c r="P632" s="96"/>
      <c r="Q632" s="97"/>
      <c r="S632" s="99"/>
      <c r="T632" s="99"/>
      <c r="U632" s="99"/>
      <c r="V632" s="99"/>
      <c r="W632" s="99"/>
      <c r="X632" s="99"/>
      <c r="Y632" s="99"/>
      <c r="Z632" s="99"/>
      <c r="AA632" s="99"/>
      <c r="AB632" s="99"/>
      <c r="AC632" s="98"/>
      <c r="AD632" s="98"/>
      <c r="AE632" s="98"/>
      <c r="AF632" s="98"/>
      <c r="AG632" s="98"/>
      <c r="AH632" s="98"/>
    </row>
    <row r="633" spans="2:34" x14ac:dyDescent="0.25">
      <c r="B633" s="71"/>
      <c r="C633" s="72"/>
      <c r="D633" s="77"/>
      <c r="E633" s="78"/>
      <c r="F633" s="78"/>
      <c r="G633" s="78"/>
      <c r="H633" s="78"/>
      <c r="I633" s="79"/>
      <c r="J633" s="86"/>
      <c r="K633" s="87"/>
      <c r="L633" s="86"/>
      <c r="M633" s="87"/>
      <c r="N633" s="77"/>
      <c r="O633" s="79"/>
      <c r="P633" s="92"/>
      <c r="Q633" s="93"/>
      <c r="S633" s="99"/>
      <c r="T633" s="99"/>
      <c r="U633" s="99"/>
      <c r="V633" s="99"/>
      <c r="W633" s="99"/>
      <c r="X633" s="99"/>
      <c r="Y633" s="99"/>
      <c r="Z633" s="99"/>
      <c r="AA633" s="99"/>
      <c r="AB633" s="99"/>
      <c r="AC633" s="98"/>
      <c r="AD633" s="98"/>
      <c r="AE633" s="98"/>
      <c r="AF633" s="98"/>
      <c r="AG633" s="98"/>
      <c r="AH633" s="98"/>
    </row>
    <row r="634" spans="2:34" x14ac:dyDescent="0.25">
      <c r="B634" s="73"/>
      <c r="C634" s="74"/>
      <c r="D634" s="80"/>
      <c r="E634" s="81"/>
      <c r="F634" s="81"/>
      <c r="G634" s="81"/>
      <c r="H634" s="81"/>
      <c r="I634" s="82"/>
      <c r="J634" s="88"/>
      <c r="K634" s="89"/>
      <c r="L634" s="88"/>
      <c r="M634" s="89"/>
      <c r="N634" s="80"/>
      <c r="O634" s="82"/>
      <c r="P634" s="94"/>
      <c r="Q634" s="95"/>
      <c r="S634" s="99"/>
      <c r="T634" s="99"/>
      <c r="U634" s="99"/>
      <c r="V634" s="99"/>
      <c r="W634" s="99"/>
      <c r="X634" s="99"/>
      <c r="Y634" s="99"/>
      <c r="Z634" s="99"/>
      <c r="AA634" s="99"/>
      <c r="AB634" s="99"/>
      <c r="AC634" s="98"/>
      <c r="AD634" s="98"/>
      <c r="AE634" s="98"/>
      <c r="AF634" s="98"/>
      <c r="AG634" s="98"/>
      <c r="AH634" s="98"/>
    </row>
    <row r="635" spans="2:34" x14ac:dyDescent="0.25">
      <c r="B635" s="75"/>
      <c r="C635" s="76"/>
      <c r="D635" s="83"/>
      <c r="E635" s="84"/>
      <c r="F635" s="84"/>
      <c r="G635" s="84"/>
      <c r="H635" s="84"/>
      <c r="I635" s="85"/>
      <c r="J635" s="90"/>
      <c r="K635" s="91"/>
      <c r="L635" s="90"/>
      <c r="M635" s="91"/>
      <c r="N635" s="83"/>
      <c r="O635" s="85"/>
      <c r="P635" s="96"/>
      <c r="Q635" s="97"/>
      <c r="S635" s="99"/>
      <c r="T635" s="99"/>
      <c r="U635" s="99"/>
      <c r="V635" s="99"/>
      <c r="W635" s="99"/>
      <c r="X635" s="99"/>
      <c r="Y635" s="99"/>
      <c r="Z635" s="99"/>
      <c r="AA635" s="99"/>
      <c r="AB635" s="99"/>
      <c r="AC635" s="98"/>
      <c r="AD635" s="98"/>
      <c r="AE635" s="98"/>
      <c r="AF635" s="98"/>
      <c r="AG635" s="98"/>
      <c r="AH635" s="98"/>
    </row>
    <row r="636" spans="2:34" x14ac:dyDescent="0.25">
      <c r="B636" s="71"/>
      <c r="C636" s="72"/>
      <c r="D636" s="77"/>
      <c r="E636" s="78"/>
      <c r="F636" s="78"/>
      <c r="G636" s="78"/>
      <c r="H636" s="78"/>
      <c r="I636" s="79"/>
      <c r="J636" s="86"/>
      <c r="K636" s="87"/>
      <c r="L636" s="86"/>
      <c r="M636" s="87"/>
      <c r="N636" s="77"/>
      <c r="O636" s="79"/>
      <c r="P636" s="92"/>
      <c r="Q636" s="93"/>
      <c r="S636" s="99"/>
      <c r="T636" s="99"/>
      <c r="U636" s="99"/>
      <c r="V636" s="99"/>
      <c r="W636" s="99"/>
      <c r="X636" s="99"/>
      <c r="Y636" s="99"/>
      <c r="Z636" s="99"/>
      <c r="AA636" s="99"/>
      <c r="AB636" s="99"/>
      <c r="AC636" s="98"/>
      <c r="AD636" s="98"/>
      <c r="AE636" s="98"/>
      <c r="AF636" s="98"/>
      <c r="AG636" s="98"/>
      <c r="AH636" s="98"/>
    </row>
    <row r="637" spans="2:34" x14ac:dyDescent="0.25">
      <c r="B637" s="73"/>
      <c r="C637" s="74"/>
      <c r="D637" s="80"/>
      <c r="E637" s="81"/>
      <c r="F637" s="81"/>
      <c r="G637" s="81"/>
      <c r="H637" s="81"/>
      <c r="I637" s="82"/>
      <c r="J637" s="88"/>
      <c r="K637" s="89"/>
      <c r="L637" s="88"/>
      <c r="M637" s="89"/>
      <c r="N637" s="80"/>
      <c r="O637" s="82"/>
      <c r="P637" s="94"/>
      <c r="Q637" s="95"/>
      <c r="S637" s="99"/>
      <c r="T637" s="99"/>
      <c r="U637" s="99"/>
      <c r="V637" s="99"/>
      <c r="W637" s="99"/>
      <c r="X637" s="99"/>
      <c r="Y637" s="99"/>
      <c r="Z637" s="99"/>
      <c r="AA637" s="99"/>
      <c r="AB637" s="99"/>
      <c r="AC637" s="98"/>
      <c r="AD637" s="98"/>
      <c r="AE637" s="98"/>
      <c r="AF637" s="98"/>
      <c r="AG637" s="98"/>
      <c r="AH637" s="98"/>
    </row>
    <row r="638" spans="2:34" x14ac:dyDescent="0.25">
      <c r="B638" s="75"/>
      <c r="C638" s="76"/>
      <c r="D638" s="83"/>
      <c r="E638" s="84"/>
      <c r="F638" s="84"/>
      <c r="G638" s="84"/>
      <c r="H638" s="84"/>
      <c r="I638" s="85"/>
      <c r="J638" s="90"/>
      <c r="K638" s="91"/>
      <c r="L638" s="90"/>
      <c r="M638" s="91"/>
      <c r="N638" s="83"/>
      <c r="O638" s="85"/>
      <c r="P638" s="96"/>
      <c r="Q638" s="97"/>
      <c r="S638" s="99"/>
      <c r="T638" s="99"/>
      <c r="U638" s="99"/>
      <c r="V638" s="99"/>
      <c r="W638" s="99"/>
      <c r="X638" s="99"/>
      <c r="Y638" s="99"/>
      <c r="Z638" s="99"/>
      <c r="AA638" s="99"/>
      <c r="AB638" s="99"/>
      <c r="AC638" s="98"/>
      <c r="AD638" s="98"/>
      <c r="AE638" s="98"/>
      <c r="AF638" s="98"/>
      <c r="AG638" s="98"/>
      <c r="AH638" s="98"/>
    </row>
    <row r="639" spans="2:34" x14ac:dyDescent="0.25">
      <c r="B639" s="71"/>
      <c r="C639" s="72"/>
      <c r="D639" s="77"/>
      <c r="E639" s="78"/>
      <c r="F639" s="78"/>
      <c r="G639" s="78"/>
      <c r="H639" s="78"/>
      <c r="I639" s="79"/>
      <c r="J639" s="86"/>
      <c r="K639" s="87"/>
      <c r="L639" s="86"/>
      <c r="M639" s="87"/>
      <c r="N639" s="77"/>
      <c r="O639" s="79"/>
      <c r="P639" s="92"/>
      <c r="Q639" s="93"/>
      <c r="S639" s="99"/>
      <c r="T639" s="99"/>
      <c r="U639" s="99"/>
      <c r="V639" s="99"/>
      <c r="W639" s="99"/>
      <c r="X639" s="99"/>
      <c r="Y639" s="99"/>
      <c r="Z639" s="99"/>
      <c r="AA639" s="99"/>
      <c r="AB639" s="99"/>
      <c r="AC639" s="98"/>
      <c r="AD639" s="98"/>
      <c r="AE639" s="98"/>
      <c r="AF639" s="98"/>
      <c r="AG639" s="98"/>
      <c r="AH639" s="98"/>
    </row>
    <row r="640" spans="2:34" x14ac:dyDescent="0.25">
      <c r="B640" s="73"/>
      <c r="C640" s="74"/>
      <c r="D640" s="80"/>
      <c r="E640" s="81"/>
      <c r="F640" s="81"/>
      <c r="G640" s="81"/>
      <c r="H640" s="81"/>
      <c r="I640" s="82"/>
      <c r="J640" s="88"/>
      <c r="K640" s="89"/>
      <c r="L640" s="88"/>
      <c r="M640" s="89"/>
      <c r="N640" s="80"/>
      <c r="O640" s="82"/>
      <c r="P640" s="94"/>
      <c r="Q640" s="95"/>
      <c r="S640" s="99"/>
      <c r="T640" s="99"/>
      <c r="U640" s="99"/>
      <c r="V640" s="99"/>
      <c r="W640" s="99"/>
      <c r="X640" s="99"/>
      <c r="Y640" s="99"/>
      <c r="Z640" s="99"/>
      <c r="AA640" s="99"/>
      <c r="AB640" s="99"/>
      <c r="AC640" s="98"/>
      <c r="AD640" s="98"/>
      <c r="AE640" s="98"/>
      <c r="AF640" s="98"/>
      <c r="AG640" s="98"/>
      <c r="AH640" s="98"/>
    </row>
    <row r="641" spans="2:34" x14ac:dyDescent="0.25">
      <c r="B641" s="75"/>
      <c r="C641" s="76"/>
      <c r="D641" s="83"/>
      <c r="E641" s="84"/>
      <c r="F641" s="84"/>
      <c r="G641" s="84"/>
      <c r="H641" s="84"/>
      <c r="I641" s="85"/>
      <c r="J641" s="90"/>
      <c r="K641" s="91"/>
      <c r="L641" s="90"/>
      <c r="M641" s="91"/>
      <c r="N641" s="83"/>
      <c r="O641" s="85"/>
      <c r="P641" s="96"/>
      <c r="Q641" s="97"/>
      <c r="S641" s="99"/>
      <c r="T641" s="99"/>
      <c r="U641" s="99"/>
      <c r="V641" s="99"/>
      <c r="W641" s="99"/>
      <c r="X641" s="99"/>
      <c r="Y641" s="99"/>
      <c r="Z641" s="99"/>
      <c r="AA641" s="99"/>
      <c r="AB641" s="99"/>
      <c r="AC641" s="98"/>
      <c r="AD641" s="98"/>
      <c r="AE641" s="98"/>
      <c r="AF641" s="98"/>
      <c r="AG641" s="98"/>
      <c r="AH641" s="98"/>
    </row>
    <row r="642" spans="2:34" x14ac:dyDescent="0.25">
      <c r="B642" s="71"/>
      <c r="C642" s="72"/>
      <c r="D642" s="77"/>
      <c r="E642" s="78"/>
      <c r="F642" s="78"/>
      <c r="G642" s="78"/>
      <c r="H642" s="78"/>
      <c r="I642" s="79"/>
      <c r="J642" s="86"/>
      <c r="K642" s="87"/>
      <c r="L642" s="86"/>
      <c r="M642" s="87"/>
      <c r="N642" s="77"/>
      <c r="O642" s="79"/>
      <c r="P642" s="92"/>
      <c r="Q642" s="93"/>
      <c r="S642" s="99"/>
      <c r="T642" s="99"/>
      <c r="U642" s="99"/>
      <c r="V642" s="99"/>
      <c r="W642" s="99"/>
      <c r="X642" s="99"/>
      <c r="Y642" s="99"/>
      <c r="Z642" s="99"/>
      <c r="AA642" s="99"/>
      <c r="AB642" s="99"/>
      <c r="AC642" s="98"/>
      <c r="AD642" s="98"/>
      <c r="AE642" s="98"/>
      <c r="AF642" s="98"/>
      <c r="AG642" s="98"/>
      <c r="AH642" s="98"/>
    </row>
    <row r="643" spans="2:34" x14ac:dyDescent="0.25">
      <c r="B643" s="73"/>
      <c r="C643" s="74"/>
      <c r="D643" s="80"/>
      <c r="E643" s="81"/>
      <c r="F643" s="81"/>
      <c r="G643" s="81"/>
      <c r="H643" s="81"/>
      <c r="I643" s="82"/>
      <c r="J643" s="88"/>
      <c r="K643" s="89"/>
      <c r="L643" s="88"/>
      <c r="M643" s="89"/>
      <c r="N643" s="80"/>
      <c r="O643" s="82"/>
      <c r="P643" s="94"/>
      <c r="Q643" s="95"/>
      <c r="S643" s="99"/>
      <c r="T643" s="99"/>
      <c r="U643" s="99"/>
      <c r="V643" s="99"/>
      <c r="W643" s="99"/>
      <c r="X643" s="99"/>
      <c r="Y643" s="99"/>
      <c r="Z643" s="99"/>
      <c r="AA643" s="99"/>
      <c r="AB643" s="99"/>
      <c r="AC643" s="98"/>
      <c r="AD643" s="98"/>
      <c r="AE643" s="98"/>
      <c r="AF643" s="98"/>
      <c r="AG643" s="98"/>
      <c r="AH643" s="98"/>
    </row>
    <row r="644" spans="2:34" x14ac:dyDescent="0.25">
      <c r="B644" s="75"/>
      <c r="C644" s="76"/>
      <c r="D644" s="83"/>
      <c r="E644" s="84"/>
      <c r="F644" s="84"/>
      <c r="G644" s="84"/>
      <c r="H644" s="84"/>
      <c r="I644" s="85"/>
      <c r="J644" s="90"/>
      <c r="K644" s="91"/>
      <c r="L644" s="90"/>
      <c r="M644" s="91"/>
      <c r="N644" s="83"/>
      <c r="O644" s="85"/>
      <c r="P644" s="96"/>
      <c r="Q644" s="97"/>
      <c r="S644" s="99"/>
      <c r="T644" s="99"/>
      <c r="U644" s="99"/>
      <c r="V644" s="99"/>
      <c r="W644" s="99"/>
      <c r="X644" s="99"/>
      <c r="Y644" s="99"/>
      <c r="Z644" s="99"/>
      <c r="AA644" s="99"/>
      <c r="AB644" s="99"/>
      <c r="AC644" s="98"/>
      <c r="AD644" s="98"/>
      <c r="AE644" s="98"/>
      <c r="AF644" s="98"/>
      <c r="AG644" s="98"/>
      <c r="AH644" s="98"/>
    </row>
    <row r="645" spans="2:34" x14ac:dyDescent="0.25">
      <c r="B645" s="71"/>
      <c r="C645" s="72"/>
      <c r="D645" s="77"/>
      <c r="E645" s="78"/>
      <c r="F645" s="78"/>
      <c r="G645" s="78"/>
      <c r="H645" s="78"/>
      <c r="I645" s="79"/>
      <c r="J645" s="86"/>
      <c r="K645" s="87"/>
      <c r="L645" s="86"/>
      <c r="M645" s="87"/>
      <c r="N645" s="77"/>
      <c r="O645" s="79"/>
      <c r="P645" s="92"/>
      <c r="Q645" s="93"/>
      <c r="S645" s="99"/>
      <c r="T645" s="99"/>
      <c r="U645" s="99"/>
      <c r="V645" s="99"/>
      <c r="W645" s="99"/>
      <c r="X645" s="99"/>
      <c r="Y645" s="99"/>
      <c r="Z645" s="99"/>
      <c r="AA645" s="99"/>
      <c r="AB645" s="99"/>
      <c r="AC645" s="98"/>
      <c r="AD645" s="98"/>
      <c r="AE645" s="98"/>
      <c r="AF645" s="98"/>
      <c r="AG645" s="98"/>
      <c r="AH645" s="98"/>
    </row>
    <row r="646" spans="2:34" x14ac:dyDescent="0.25">
      <c r="B646" s="73"/>
      <c r="C646" s="74"/>
      <c r="D646" s="80"/>
      <c r="E646" s="81"/>
      <c r="F646" s="81"/>
      <c r="G646" s="81"/>
      <c r="H646" s="81"/>
      <c r="I646" s="82"/>
      <c r="J646" s="88"/>
      <c r="K646" s="89"/>
      <c r="L646" s="88"/>
      <c r="M646" s="89"/>
      <c r="N646" s="80"/>
      <c r="O646" s="82"/>
      <c r="P646" s="94"/>
      <c r="Q646" s="95"/>
      <c r="S646" s="99"/>
      <c r="T646" s="99"/>
      <c r="U646" s="99"/>
      <c r="V646" s="99"/>
      <c r="W646" s="99"/>
      <c r="X646" s="99"/>
      <c r="Y646" s="99"/>
      <c r="Z646" s="99"/>
      <c r="AA646" s="99"/>
      <c r="AB646" s="99"/>
      <c r="AC646" s="98"/>
      <c r="AD646" s="98"/>
      <c r="AE646" s="98"/>
      <c r="AF646" s="98"/>
      <c r="AG646" s="98"/>
      <c r="AH646" s="98"/>
    </row>
    <row r="647" spans="2:34" x14ac:dyDescent="0.25">
      <c r="B647" s="75"/>
      <c r="C647" s="76"/>
      <c r="D647" s="83"/>
      <c r="E647" s="84"/>
      <c r="F647" s="84"/>
      <c r="G647" s="84"/>
      <c r="H647" s="84"/>
      <c r="I647" s="85"/>
      <c r="J647" s="90"/>
      <c r="K647" s="91"/>
      <c r="L647" s="90"/>
      <c r="M647" s="91"/>
      <c r="N647" s="83"/>
      <c r="O647" s="85"/>
      <c r="P647" s="96"/>
      <c r="Q647" s="97"/>
      <c r="S647" s="99"/>
      <c r="T647" s="99"/>
      <c r="U647" s="99"/>
      <c r="V647" s="99"/>
      <c r="W647" s="99"/>
      <c r="X647" s="99"/>
      <c r="Y647" s="99"/>
      <c r="Z647" s="99"/>
      <c r="AA647" s="99"/>
      <c r="AB647" s="99"/>
      <c r="AC647" s="98"/>
      <c r="AD647" s="98"/>
      <c r="AE647" s="98"/>
      <c r="AF647" s="98"/>
      <c r="AG647" s="98"/>
      <c r="AH647" s="98"/>
    </row>
    <row r="648" spans="2:34" x14ac:dyDescent="0.25">
      <c r="B648" s="71"/>
      <c r="C648" s="72"/>
      <c r="D648" s="77"/>
      <c r="E648" s="78"/>
      <c r="F648" s="78"/>
      <c r="G648" s="78"/>
      <c r="H648" s="78"/>
      <c r="I648" s="79"/>
      <c r="J648" s="86"/>
      <c r="K648" s="87"/>
      <c r="L648" s="86"/>
      <c r="M648" s="87"/>
      <c r="N648" s="77"/>
      <c r="O648" s="79"/>
      <c r="P648" s="92"/>
      <c r="Q648" s="93"/>
      <c r="S648" s="99"/>
      <c r="T648" s="99"/>
      <c r="U648" s="99"/>
      <c r="V648" s="99"/>
      <c r="W648" s="99"/>
      <c r="X648" s="99"/>
      <c r="Y648" s="99"/>
      <c r="Z648" s="99"/>
      <c r="AA648" s="99"/>
      <c r="AB648" s="99"/>
      <c r="AC648" s="98"/>
      <c r="AD648" s="98"/>
      <c r="AE648" s="98"/>
      <c r="AF648" s="98"/>
      <c r="AG648" s="98"/>
      <c r="AH648" s="98"/>
    </row>
    <row r="649" spans="2:34" x14ac:dyDescent="0.25">
      <c r="B649" s="73"/>
      <c r="C649" s="74"/>
      <c r="D649" s="80"/>
      <c r="E649" s="81"/>
      <c r="F649" s="81"/>
      <c r="G649" s="81"/>
      <c r="H649" s="81"/>
      <c r="I649" s="82"/>
      <c r="J649" s="88"/>
      <c r="K649" s="89"/>
      <c r="L649" s="88"/>
      <c r="M649" s="89"/>
      <c r="N649" s="80"/>
      <c r="O649" s="82"/>
      <c r="P649" s="94"/>
      <c r="Q649" s="95"/>
      <c r="S649" s="99"/>
      <c r="T649" s="99"/>
      <c r="U649" s="99"/>
      <c r="V649" s="99"/>
      <c r="W649" s="99"/>
      <c r="X649" s="99"/>
      <c r="Y649" s="99"/>
      <c r="Z649" s="99"/>
      <c r="AA649" s="99"/>
      <c r="AB649" s="99"/>
      <c r="AC649" s="98"/>
      <c r="AD649" s="98"/>
      <c r="AE649" s="98"/>
      <c r="AF649" s="98"/>
      <c r="AG649" s="98"/>
      <c r="AH649" s="98"/>
    </row>
    <row r="650" spans="2:34" x14ac:dyDescent="0.25">
      <c r="B650" s="75"/>
      <c r="C650" s="76"/>
      <c r="D650" s="83"/>
      <c r="E650" s="84"/>
      <c r="F650" s="84"/>
      <c r="G650" s="84"/>
      <c r="H650" s="84"/>
      <c r="I650" s="85"/>
      <c r="J650" s="90"/>
      <c r="K650" s="91"/>
      <c r="L650" s="90"/>
      <c r="M650" s="91"/>
      <c r="N650" s="83"/>
      <c r="O650" s="85"/>
      <c r="P650" s="96"/>
      <c r="Q650" s="97"/>
      <c r="S650" s="99"/>
      <c r="T650" s="99"/>
      <c r="U650" s="99"/>
      <c r="V650" s="99"/>
      <c r="W650" s="99"/>
      <c r="X650" s="99"/>
      <c r="Y650" s="99"/>
      <c r="Z650" s="99"/>
      <c r="AA650" s="99"/>
      <c r="AB650" s="99"/>
      <c r="AC650" s="98"/>
      <c r="AD650" s="98"/>
      <c r="AE650" s="98"/>
      <c r="AF650" s="98"/>
      <c r="AG650" s="98"/>
      <c r="AH650" s="98"/>
    </row>
    <row r="651" spans="2:34" x14ac:dyDescent="0.25">
      <c r="B651" s="71"/>
      <c r="C651" s="72"/>
      <c r="D651" s="77"/>
      <c r="E651" s="78"/>
      <c r="F651" s="78"/>
      <c r="G651" s="78"/>
      <c r="H651" s="78"/>
      <c r="I651" s="79"/>
      <c r="J651" s="86"/>
      <c r="K651" s="87"/>
      <c r="L651" s="86"/>
      <c r="M651" s="87"/>
      <c r="N651" s="77"/>
      <c r="O651" s="79"/>
      <c r="P651" s="92"/>
      <c r="Q651" s="93"/>
      <c r="S651" s="99"/>
      <c r="T651" s="99"/>
      <c r="U651" s="99"/>
      <c r="V651" s="99"/>
      <c r="W651" s="99"/>
      <c r="X651" s="99"/>
      <c r="Y651" s="99"/>
      <c r="Z651" s="99"/>
      <c r="AA651" s="99"/>
      <c r="AB651" s="99"/>
      <c r="AC651" s="98"/>
      <c r="AD651" s="98"/>
      <c r="AE651" s="98"/>
      <c r="AF651" s="98"/>
      <c r="AG651" s="98"/>
      <c r="AH651" s="98"/>
    </row>
    <row r="652" spans="2:34" x14ac:dyDescent="0.25">
      <c r="B652" s="73"/>
      <c r="C652" s="74"/>
      <c r="D652" s="80"/>
      <c r="E652" s="81"/>
      <c r="F652" s="81"/>
      <c r="G652" s="81"/>
      <c r="H652" s="81"/>
      <c r="I652" s="82"/>
      <c r="J652" s="88"/>
      <c r="K652" s="89"/>
      <c r="L652" s="88"/>
      <c r="M652" s="89"/>
      <c r="N652" s="80"/>
      <c r="O652" s="82"/>
      <c r="P652" s="94"/>
      <c r="Q652" s="95"/>
      <c r="S652" s="99"/>
      <c r="T652" s="99"/>
      <c r="U652" s="99"/>
      <c r="V652" s="99"/>
      <c r="W652" s="99"/>
      <c r="X652" s="99"/>
      <c r="Y652" s="99"/>
      <c r="Z652" s="99"/>
      <c r="AA652" s="99"/>
      <c r="AB652" s="99"/>
      <c r="AC652" s="98"/>
      <c r="AD652" s="98"/>
      <c r="AE652" s="98"/>
      <c r="AF652" s="98"/>
      <c r="AG652" s="98"/>
      <c r="AH652" s="98"/>
    </row>
    <row r="653" spans="2:34" x14ac:dyDescent="0.25">
      <c r="B653" s="75"/>
      <c r="C653" s="76"/>
      <c r="D653" s="83"/>
      <c r="E653" s="84"/>
      <c r="F653" s="84"/>
      <c r="G653" s="84"/>
      <c r="H653" s="84"/>
      <c r="I653" s="85"/>
      <c r="J653" s="90"/>
      <c r="K653" s="91"/>
      <c r="L653" s="90"/>
      <c r="M653" s="91"/>
      <c r="N653" s="83"/>
      <c r="O653" s="85"/>
      <c r="P653" s="96"/>
      <c r="Q653" s="97"/>
      <c r="S653" s="99"/>
      <c r="T653" s="99"/>
      <c r="U653" s="99"/>
      <c r="V653" s="99"/>
      <c r="W653" s="99"/>
      <c r="X653" s="99"/>
      <c r="Y653" s="99"/>
      <c r="Z653" s="99"/>
      <c r="AA653" s="99"/>
      <c r="AB653" s="99"/>
      <c r="AC653" s="98"/>
      <c r="AD653" s="98"/>
      <c r="AE653" s="98"/>
      <c r="AF653" s="98"/>
      <c r="AG653" s="98"/>
      <c r="AH653" s="98"/>
    </row>
    <row r="654" spans="2:34" x14ac:dyDescent="0.25">
      <c r="B654" s="71"/>
      <c r="C654" s="72"/>
      <c r="D654" s="77"/>
      <c r="E654" s="78"/>
      <c r="F654" s="78"/>
      <c r="G654" s="78"/>
      <c r="H654" s="78"/>
      <c r="I654" s="79"/>
      <c r="J654" s="86"/>
      <c r="K654" s="87"/>
      <c r="L654" s="86"/>
      <c r="M654" s="87"/>
      <c r="N654" s="77"/>
      <c r="O654" s="79"/>
      <c r="P654" s="92"/>
      <c r="Q654" s="93"/>
      <c r="S654" s="99"/>
      <c r="T654" s="99"/>
      <c r="U654" s="99"/>
      <c r="V654" s="99"/>
      <c r="W654" s="99"/>
      <c r="X654" s="99"/>
      <c r="Y654" s="99"/>
      <c r="Z654" s="99"/>
      <c r="AA654" s="99"/>
      <c r="AB654" s="99"/>
      <c r="AC654" s="98"/>
      <c r="AD654" s="98"/>
      <c r="AE654" s="98"/>
      <c r="AF654" s="98"/>
      <c r="AG654" s="98"/>
      <c r="AH654" s="98"/>
    </row>
    <row r="655" spans="2:34" x14ac:dyDescent="0.25">
      <c r="B655" s="73"/>
      <c r="C655" s="74"/>
      <c r="D655" s="80"/>
      <c r="E655" s="81"/>
      <c r="F655" s="81"/>
      <c r="G655" s="81"/>
      <c r="H655" s="81"/>
      <c r="I655" s="82"/>
      <c r="J655" s="88"/>
      <c r="K655" s="89"/>
      <c r="L655" s="88"/>
      <c r="M655" s="89"/>
      <c r="N655" s="80"/>
      <c r="O655" s="82"/>
      <c r="P655" s="94"/>
      <c r="Q655" s="95"/>
      <c r="S655" s="99"/>
      <c r="T655" s="99"/>
      <c r="U655" s="99"/>
      <c r="V655" s="99"/>
      <c r="W655" s="99"/>
      <c r="X655" s="99"/>
      <c r="Y655" s="99"/>
      <c r="Z655" s="99"/>
      <c r="AA655" s="99"/>
      <c r="AB655" s="99"/>
      <c r="AC655" s="98"/>
      <c r="AD655" s="98"/>
      <c r="AE655" s="98"/>
      <c r="AF655" s="98"/>
      <c r="AG655" s="98"/>
      <c r="AH655" s="98"/>
    </row>
    <row r="656" spans="2:34" x14ac:dyDescent="0.25">
      <c r="B656" s="75"/>
      <c r="C656" s="76"/>
      <c r="D656" s="83"/>
      <c r="E656" s="84"/>
      <c r="F656" s="84"/>
      <c r="G656" s="84"/>
      <c r="H656" s="84"/>
      <c r="I656" s="85"/>
      <c r="J656" s="90"/>
      <c r="K656" s="91"/>
      <c r="L656" s="90"/>
      <c r="M656" s="91"/>
      <c r="N656" s="83"/>
      <c r="O656" s="85"/>
      <c r="P656" s="96"/>
      <c r="Q656" s="97"/>
      <c r="S656" s="99"/>
      <c r="T656" s="99"/>
      <c r="U656" s="99"/>
      <c r="V656" s="99"/>
      <c r="W656" s="99"/>
      <c r="X656" s="99"/>
      <c r="Y656" s="99"/>
      <c r="Z656" s="99"/>
      <c r="AA656" s="99"/>
      <c r="AB656" s="99"/>
      <c r="AC656" s="98"/>
      <c r="AD656" s="98"/>
      <c r="AE656" s="98"/>
      <c r="AF656" s="98"/>
      <c r="AG656" s="98"/>
      <c r="AH656" s="98"/>
    </row>
    <row r="657" spans="2:34" x14ac:dyDescent="0.25">
      <c r="B657" s="71"/>
      <c r="C657" s="72"/>
      <c r="D657" s="77"/>
      <c r="E657" s="78"/>
      <c r="F657" s="78"/>
      <c r="G657" s="78"/>
      <c r="H657" s="78"/>
      <c r="I657" s="79"/>
      <c r="J657" s="86"/>
      <c r="K657" s="87"/>
      <c r="L657" s="86"/>
      <c r="M657" s="87"/>
      <c r="N657" s="77"/>
      <c r="O657" s="79"/>
      <c r="P657" s="92"/>
      <c r="Q657" s="93"/>
      <c r="S657" s="99"/>
      <c r="T657" s="99"/>
      <c r="U657" s="99"/>
      <c r="V657" s="99"/>
      <c r="W657" s="99"/>
      <c r="X657" s="99"/>
      <c r="Y657" s="99"/>
      <c r="Z657" s="99"/>
      <c r="AA657" s="99"/>
      <c r="AB657" s="99"/>
      <c r="AC657" s="98"/>
      <c r="AD657" s="98"/>
      <c r="AE657" s="98"/>
      <c r="AF657" s="98"/>
      <c r="AG657" s="98"/>
      <c r="AH657" s="98"/>
    </row>
    <row r="658" spans="2:34" x14ac:dyDescent="0.25">
      <c r="B658" s="73"/>
      <c r="C658" s="74"/>
      <c r="D658" s="80"/>
      <c r="E658" s="81"/>
      <c r="F658" s="81"/>
      <c r="G658" s="81"/>
      <c r="H658" s="81"/>
      <c r="I658" s="82"/>
      <c r="J658" s="88"/>
      <c r="K658" s="89"/>
      <c r="L658" s="88"/>
      <c r="M658" s="89"/>
      <c r="N658" s="80"/>
      <c r="O658" s="82"/>
      <c r="P658" s="94"/>
      <c r="Q658" s="95"/>
      <c r="S658" s="99"/>
      <c r="T658" s="99"/>
      <c r="U658" s="99"/>
      <c r="V658" s="99"/>
      <c r="W658" s="99"/>
      <c r="X658" s="99"/>
      <c r="Y658" s="99"/>
      <c r="Z658" s="99"/>
      <c r="AA658" s="99"/>
      <c r="AB658" s="99"/>
      <c r="AC658" s="98"/>
      <c r="AD658" s="98"/>
      <c r="AE658" s="98"/>
      <c r="AF658" s="98"/>
      <c r="AG658" s="98"/>
      <c r="AH658" s="98"/>
    </row>
    <row r="659" spans="2:34" x14ac:dyDescent="0.25">
      <c r="B659" s="75"/>
      <c r="C659" s="76"/>
      <c r="D659" s="83"/>
      <c r="E659" s="84"/>
      <c r="F659" s="84"/>
      <c r="G659" s="84"/>
      <c r="H659" s="84"/>
      <c r="I659" s="85"/>
      <c r="J659" s="90"/>
      <c r="K659" s="91"/>
      <c r="L659" s="90"/>
      <c r="M659" s="91"/>
      <c r="N659" s="83"/>
      <c r="O659" s="85"/>
      <c r="P659" s="96"/>
      <c r="Q659" s="97"/>
      <c r="S659" s="99"/>
      <c r="T659" s="99"/>
      <c r="U659" s="99"/>
      <c r="V659" s="99"/>
      <c r="W659" s="99"/>
      <c r="X659" s="99"/>
      <c r="Y659" s="99"/>
      <c r="Z659" s="99"/>
      <c r="AA659" s="99"/>
      <c r="AB659" s="99"/>
      <c r="AC659" s="98"/>
      <c r="AD659" s="98"/>
      <c r="AE659" s="98"/>
      <c r="AF659" s="98"/>
      <c r="AG659" s="98"/>
      <c r="AH659" s="98"/>
    </row>
    <row r="660" spans="2:34" x14ac:dyDescent="0.25">
      <c r="B660" s="71"/>
      <c r="C660" s="72"/>
      <c r="D660" s="77"/>
      <c r="E660" s="78"/>
      <c r="F660" s="78"/>
      <c r="G660" s="78"/>
      <c r="H660" s="78"/>
      <c r="I660" s="79"/>
      <c r="J660" s="86"/>
      <c r="K660" s="87"/>
      <c r="L660" s="86"/>
      <c r="M660" s="87"/>
      <c r="N660" s="77"/>
      <c r="O660" s="79"/>
      <c r="P660" s="92"/>
      <c r="Q660" s="93"/>
      <c r="S660" s="99"/>
      <c r="T660" s="99"/>
      <c r="U660" s="99"/>
      <c r="V660" s="99"/>
      <c r="W660" s="99"/>
      <c r="X660" s="99"/>
      <c r="Y660" s="99"/>
      <c r="Z660" s="99"/>
      <c r="AA660" s="99"/>
      <c r="AB660" s="99"/>
      <c r="AC660" s="98"/>
      <c r="AD660" s="98"/>
      <c r="AE660" s="98"/>
      <c r="AF660" s="98"/>
      <c r="AG660" s="98"/>
      <c r="AH660" s="98"/>
    </row>
    <row r="661" spans="2:34" x14ac:dyDescent="0.25">
      <c r="B661" s="73"/>
      <c r="C661" s="74"/>
      <c r="D661" s="80"/>
      <c r="E661" s="81"/>
      <c r="F661" s="81"/>
      <c r="G661" s="81"/>
      <c r="H661" s="81"/>
      <c r="I661" s="82"/>
      <c r="J661" s="88"/>
      <c r="K661" s="89"/>
      <c r="L661" s="88"/>
      <c r="M661" s="89"/>
      <c r="N661" s="80"/>
      <c r="O661" s="82"/>
      <c r="P661" s="94"/>
      <c r="Q661" s="95"/>
      <c r="S661" s="99"/>
      <c r="T661" s="99"/>
      <c r="U661" s="99"/>
      <c r="V661" s="99"/>
      <c r="W661" s="99"/>
      <c r="X661" s="99"/>
      <c r="Y661" s="99"/>
      <c r="Z661" s="99"/>
      <c r="AA661" s="99"/>
      <c r="AB661" s="99"/>
      <c r="AC661" s="98"/>
      <c r="AD661" s="98"/>
      <c r="AE661" s="98"/>
      <c r="AF661" s="98"/>
      <c r="AG661" s="98"/>
      <c r="AH661" s="98"/>
    </row>
    <row r="662" spans="2:34" x14ac:dyDescent="0.25">
      <c r="B662" s="75"/>
      <c r="C662" s="76"/>
      <c r="D662" s="83"/>
      <c r="E662" s="84"/>
      <c r="F662" s="84"/>
      <c r="G662" s="84"/>
      <c r="H662" s="84"/>
      <c r="I662" s="85"/>
      <c r="J662" s="90"/>
      <c r="K662" s="91"/>
      <c r="L662" s="90"/>
      <c r="M662" s="91"/>
      <c r="N662" s="83"/>
      <c r="O662" s="85"/>
      <c r="P662" s="96"/>
      <c r="Q662" s="97"/>
      <c r="S662" s="99"/>
      <c r="T662" s="99"/>
      <c r="U662" s="99"/>
      <c r="V662" s="99"/>
      <c r="W662" s="99"/>
      <c r="X662" s="99"/>
      <c r="Y662" s="99"/>
      <c r="Z662" s="99"/>
      <c r="AA662" s="99"/>
      <c r="AB662" s="99"/>
      <c r="AC662" s="98"/>
      <c r="AD662" s="98"/>
      <c r="AE662" s="98"/>
      <c r="AF662" s="98"/>
      <c r="AG662" s="98"/>
      <c r="AH662" s="98"/>
    </row>
    <row r="663" spans="2:34" x14ac:dyDescent="0.25">
      <c r="B663" s="71"/>
      <c r="C663" s="72"/>
      <c r="D663" s="77"/>
      <c r="E663" s="78"/>
      <c r="F663" s="78"/>
      <c r="G663" s="78"/>
      <c r="H663" s="78"/>
      <c r="I663" s="79"/>
      <c r="J663" s="86"/>
      <c r="K663" s="87"/>
      <c r="L663" s="86"/>
      <c r="M663" s="87"/>
      <c r="N663" s="77"/>
      <c r="O663" s="79"/>
      <c r="P663" s="92"/>
      <c r="Q663" s="93"/>
      <c r="S663" s="99"/>
      <c r="T663" s="99"/>
      <c r="U663" s="99"/>
      <c r="V663" s="99"/>
      <c r="W663" s="99"/>
      <c r="X663" s="99"/>
      <c r="Y663" s="99"/>
      <c r="Z663" s="99"/>
      <c r="AA663" s="99"/>
      <c r="AB663" s="99"/>
      <c r="AC663" s="98"/>
      <c r="AD663" s="98"/>
      <c r="AE663" s="98"/>
      <c r="AF663" s="98"/>
      <c r="AG663" s="98"/>
      <c r="AH663" s="98"/>
    </row>
    <row r="664" spans="2:34" x14ac:dyDescent="0.25">
      <c r="B664" s="73"/>
      <c r="C664" s="74"/>
      <c r="D664" s="80"/>
      <c r="E664" s="81"/>
      <c r="F664" s="81"/>
      <c r="G664" s="81"/>
      <c r="H664" s="81"/>
      <c r="I664" s="82"/>
      <c r="J664" s="88"/>
      <c r="K664" s="89"/>
      <c r="L664" s="88"/>
      <c r="M664" s="89"/>
      <c r="N664" s="80"/>
      <c r="O664" s="82"/>
      <c r="P664" s="94"/>
      <c r="Q664" s="95"/>
      <c r="S664" s="99"/>
      <c r="T664" s="99"/>
      <c r="U664" s="99"/>
      <c r="V664" s="99"/>
      <c r="W664" s="99"/>
      <c r="X664" s="99"/>
      <c r="Y664" s="99"/>
      <c r="Z664" s="99"/>
      <c r="AA664" s="99"/>
      <c r="AB664" s="99"/>
      <c r="AC664" s="98"/>
      <c r="AD664" s="98"/>
      <c r="AE664" s="98"/>
      <c r="AF664" s="98"/>
      <c r="AG664" s="98"/>
      <c r="AH664" s="98"/>
    </row>
    <row r="665" spans="2:34" x14ac:dyDescent="0.25">
      <c r="B665" s="75"/>
      <c r="C665" s="76"/>
      <c r="D665" s="83"/>
      <c r="E665" s="84"/>
      <c r="F665" s="84"/>
      <c r="G665" s="84"/>
      <c r="H665" s="84"/>
      <c r="I665" s="85"/>
      <c r="J665" s="90"/>
      <c r="K665" s="91"/>
      <c r="L665" s="90"/>
      <c r="M665" s="91"/>
      <c r="N665" s="83"/>
      <c r="O665" s="85"/>
      <c r="P665" s="96"/>
      <c r="Q665" s="97"/>
      <c r="S665" s="99"/>
      <c r="T665" s="99"/>
      <c r="U665" s="99"/>
      <c r="V665" s="99"/>
      <c r="W665" s="99"/>
      <c r="X665" s="99"/>
      <c r="Y665" s="99"/>
      <c r="Z665" s="99"/>
      <c r="AA665" s="99"/>
      <c r="AB665" s="99"/>
      <c r="AC665" s="98"/>
      <c r="AD665" s="98"/>
      <c r="AE665" s="98"/>
      <c r="AF665" s="98"/>
      <c r="AG665" s="98"/>
      <c r="AH665" s="98"/>
    </row>
    <row r="666" spans="2:34" x14ac:dyDescent="0.25">
      <c r="B666" s="71"/>
      <c r="C666" s="72"/>
      <c r="D666" s="77"/>
      <c r="E666" s="78"/>
      <c r="F666" s="78"/>
      <c r="G666" s="78"/>
      <c r="H666" s="78"/>
      <c r="I666" s="79"/>
      <c r="J666" s="86"/>
      <c r="K666" s="87"/>
      <c r="L666" s="86"/>
      <c r="M666" s="87"/>
      <c r="N666" s="77"/>
      <c r="O666" s="79"/>
      <c r="P666" s="92"/>
      <c r="Q666" s="93"/>
      <c r="S666" s="99"/>
      <c r="T666" s="99"/>
      <c r="U666" s="99"/>
      <c r="V666" s="99"/>
      <c r="W666" s="99"/>
      <c r="X666" s="99"/>
      <c r="Y666" s="99"/>
      <c r="Z666" s="99"/>
      <c r="AA666" s="99"/>
      <c r="AB666" s="99"/>
      <c r="AC666" s="98"/>
      <c r="AD666" s="98"/>
      <c r="AE666" s="98"/>
      <c r="AF666" s="98"/>
      <c r="AG666" s="98"/>
      <c r="AH666" s="98"/>
    </row>
    <row r="667" spans="2:34" x14ac:dyDescent="0.25">
      <c r="B667" s="73"/>
      <c r="C667" s="74"/>
      <c r="D667" s="80"/>
      <c r="E667" s="81"/>
      <c r="F667" s="81"/>
      <c r="G667" s="81"/>
      <c r="H667" s="81"/>
      <c r="I667" s="82"/>
      <c r="J667" s="88"/>
      <c r="K667" s="89"/>
      <c r="L667" s="88"/>
      <c r="M667" s="89"/>
      <c r="N667" s="80"/>
      <c r="O667" s="82"/>
      <c r="P667" s="94"/>
      <c r="Q667" s="95"/>
      <c r="S667" s="99"/>
      <c r="T667" s="99"/>
      <c r="U667" s="99"/>
      <c r="V667" s="99"/>
      <c r="W667" s="99"/>
      <c r="X667" s="99"/>
      <c r="Y667" s="99"/>
      <c r="Z667" s="99"/>
      <c r="AA667" s="99"/>
      <c r="AB667" s="99"/>
      <c r="AC667" s="98"/>
      <c r="AD667" s="98"/>
      <c r="AE667" s="98"/>
      <c r="AF667" s="98"/>
      <c r="AG667" s="98"/>
      <c r="AH667" s="98"/>
    </row>
    <row r="668" spans="2:34" x14ac:dyDescent="0.25">
      <c r="B668" s="75"/>
      <c r="C668" s="76"/>
      <c r="D668" s="83"/>
      <c r="E668" s="84"/>
      <c r="F668" s="84"/>
      <c r="G668" s="84"/>
      <c r="H668" s="84"/>
      <c r="I668" s="85"/>
      <c r="J668" s="90"/>
      <c r="K668" s="91"/>
      <c r="L668" s="90"/>
      <c r="M668" s="91"/>
      <c r="N668" s="83"/>
      <c r="O668" s="85"/>
      <c r="P668" s="96"/>
      <c r="Q668" s="97"/>
      <c r="S668" s="99"/>
      <c r="T668" s="99"/>
      <c r="U668" s="99"/>
      <c r="V668" s="99"/>
      <c r="W668" s="99"/>
      <c r="X668" s="99"/>
      <c r="Y668" s="99"/>
      <c r="Z668" s="99"/>
      <c r="AA668" s="99"/>
      <c r="AB668" s="99"/>
      <c r="AC668" s="98"/>
      <c r="AD668" s="98"/>
      <c r="AE668" s="98"/>
      <c r="AF668" s="98"/>
      <c r="AG668" s="98"/>
      <c r="AH668" s="98"/>
    </row>
    <row r="669" spans="2:34" x14ac:dyDescent="0.25">
      <c r="B669" s="71"/>
      <c r="C669" s="72"/>
      <c r="D669" s="77"/>
      <c r="E669" s="78"/>
      <c r="F669" s="78"/>
      <c r="G669" s="78"/>
      <c r="H669" s="78"/>
      <c r="I669" s="79"/>
      <c r="J669" s="86"/>
      <c r="K669" s="87"/>
      <c r="L669" s="86"/>
      <c r="M669" s="87"/>
      <c r="N669" s="77"/>
      <c r="O669" s="79"/>
      <c r="P669" s="92"/>
      <c r="Q669" s="93"/>
      <c r="S669" s="99"/>
      <c r="T669" s="99"/>
      <c r="U669" s="99"/>
      <c r="V669" s="99"/>
      <c r="W669" s="99"/>
      <c r="X669" s="99"/>
      <c r="Y669" s="99"/>
      <c r="Z669" s="99"/>
      <c r="AA669" s="99"/>
      <c r="AB669" s="99"/>
      <c r="AC669" s="98"/>
      <c r="AD669" s="98"/>
      <c r="AE669" s="98"/>
      <c r="AF669" s="98"/>
      <c r="AG669" s="98"/>
      <c r="AH669" s="98"/>
    </row>
    <row r="670" spans="2:34" x14ac:dyDescent="0.25">
      <c r="B670" s="73"/>
      <c r="C670" s="74"/>
      <c r="D670" s="80"/>
      <c r="E670" s="81"/>
      <c r="F670" s="81"/>
      <c r="G670" s="81"/>
      <c r="H670" s="81"/>
      <c r="I670" s="82"/>
      <c r="J670" s="88"/>
      <c r="K670" s="89"/>
      <c r="L670" s="88"/>
      <c r="M670" s="89"/>
      <c r="N670" s="80"/>
      <c r="O670" s="82"/>
      <c r="P670" s="94"/>
      <c r="Q670" s="95"/>
      <c r="S670" s="99"/>
      <c r="T670" s="99"/>
      <c r="U670" s="99"/>
      <c r="V670" s="99"/>
      <c r="W670" s="99"/>
      <c r="X670" s="99"/>
      <c r="Y670" s="99"/>
      <c r="Z670" s="99"/>
      <c r="AA670" s="99"/>
      <c r="AB670" s="99"/>
      <c r="AC670" s="98"/>
      <c r="AD670" s="98"/>
      <c r="AE670" s="98"/>
      <c r="AF670" s="98"/>
      <c r="AG670" s="98"/>
      <c r="AH670" s="98"/>
    </row>
    <row r="671" spans="2:34" x14ac:dyDescent="0.25">
      <c r="B671" s="75"/>
      <c r="C671" s="76"/>
      <c r="D671" s="83"/>
      <c r="E671" s="84"/>
      <c r="F671" s="84"/>
      <c r="G671" s="84"/>
      <c r="H671" s="84"/>
      <c r="I671" s="85"/>
      <c r="J671" s="90"/>
      <c r="K671" s="91"/>
      <c r="L671" s="90"/>
      <c r="M671" s="91"/>
      <c r="N671" s="83"/>
      <c r="O671" s="85"/>
      <c r="P671" s="96"/>
      <c r="Q671" s="97"/>
      <c r="S671" s="99"/>
      <c r="T671" s="99"/>
      <c r="U671" s="99"/>
      <c r="V671" s="99"/>
      <c r="W671" s="99"/>
      <c r="X671" s="99"/>
      <c r="Y671" s="99"/>
      <c r="Z671" s="99"/>
      <c r="AA671" s="99"/>
      <c r="AB671" s="99"/>
      <c r="AC671" s="98"/>
      <c r="AD671" s="98"/>
      <c r="AE671" s="98"/>
      <c r="AF671" s="98"/>
      <c r="AG671" s="98"/>
      <c r="AH671" s="98"/>
    </row>
    <row r="672" spans="2:34" x14ac:dyDescent="0.25">
      <c r="B672" s="71"/>
      <c r="C672" s="72"/>
      <c r="D672" s="77"/>
      <c r="E672" s="78"/>
      <c r="F672" s="78"/>
      <c r="G672" s="78"/>
      <c r="H672" s="78"/>
      <c r="I672" s="79"/>
      <c r="J672" s="86"/>
      <c r="K672" s="87"/>
      <c r="L672" s="86"/>
      <c r="M672" s="87"/>
      <c r="N672" s="77"/>
      <c r="O672" s="79"/>
      <c r="P672" s="92"/>
      <c r="Q672" s="93"/>
      <c r="S672" s="99"/>
      <c r="T672" s="99"/>
      <c r="U672" s="99"/>
      <c r="V672" s="99"/>
      <c r="W672" s="99"/>
      <c r="X672" s="99"/>
      <c r="Y672" s="99"/>
      <c r="Z672" s="99"/>
      <c r="AA672" s="99"/>
      <c r="AB672" s="99"/>
      <c r="AC672" s="98"/>
      <c r="AD672" s="98"/>
      <c r="AE672" s="98"/>
      <c r="AF672" s="98"/>
      <c r="AG672" s="98"/>
      <c r="AH672" s="98"/>
    </row>
    <row r="673" spans="2:34" x14ac:dyDescent="0.25">
      <c r="B673" s="73"/>
      <c r="C673" s="74"/>
      <c r="D673" s="80"/>
      <c r="E673" s="81"/>
      <c r="F673" s="81"/>
      <c r="G673" s="81"/>
      <c r="H673" s="81"/>
      <c r="I673" s="82"/>
      <c r="J673" s="88"/>
      <c r="K673" s="89"/>
      <c r="L673" s="88"/>
      <c r="M673" s="89"/>
      <c r="N673" s="80"/>
      <c r="O673" s="82"/>
      <c r="P673" s="94"/>
      <c r="Q673" s="95"/>
      <c r="S673" s="99"/>
      <c r="T673" s="99"/>
      <c r="U673" s="99"/>
      <c r="V673" s="99"/>
      <c r="W673" s="99"/>
      <c r="X673" s="99"/>
      <c r="Y673" s="99"/>
      <c r="Z673" s="99"/>
      <c r="AA673" s="99"/>
      <c r="AB673" s="99"/>
      <c r="AC673" s="98"/>
      <c r="AD673" s="98"/>
      <c r="AE673" s="98"/>
      <c r="AF673" s="98"/>
      <c r="AG673" s="98"/>
      <c r="AH673" s="98"/>
    </row>
    <row r="674" spans="2:34" x14ac:dyDescent="0.25">
      <c r="B674" s="75"/>
      <c r="C674" s="76"/>
      <c r="D674" s="83"/>
      <c r="E674" s="84"/>
      <c r="F674" s="84"/>
      <c r="G674" s="84"/>
      <c r="H674" s="84"/>
      <c r="I674" s="85"/>
      <c r="J674" s="90"/>
      <c r="K674" s="91"/>
      <c r="L674" s="90"/>
      <c r="M674" s="91"/>
      <c r="N674" s="83"/>
      <c r="O674" s="85"/>
      <c r="P674" s="96"/>
      <c r="Q674" s="97"/>
      <c r="S674" s="99"/>
      <c r="T674" s="99"/>
      <c r="U674" s="99"/>
      <c r="V674" s="99"/>
      <c r="W674" s="99"/>
      <c r="X674" s="99"/>
      <c r="Y674" s="99"/>
      <c r="Z674" s="99"/>
      <c r="AA674" s="99"/>
      <c r="AB674" s="99"/>
      <c r="AC674" s="98"/>
      <c r="AD674" s="98"/>
      <c r="AE674" s="98"/>
      <c r="AF674" s="98"/>
      <c r="AG674" s="98"/>
      <c r="AH674" s="98"/>
    </row>
    <row r="675" spans="2:34" x14ac:dyDescent="0.25">
      <c r="B675" s="71"/>
      <c r="C675" s="72"/>
      <c r="D675" s="77"/>
      <c r="E675" s="78"/>
      <c r="F675" s="78"/>
      <c r="G675" s="78"/>
      <c r="H675" s="78"/>
      <c r="I675" s="79"/>
      <c r="J675" s="86"/>
      <c r="K675" s="87"/>
      <c r="L675" s="86"/>
      <c r="M675" s="87"/>
      <c r="N675" s="77"/>
      <c r="O675" s="79"/>
      <c r="P675" s="92"/>
      <c r="Q675" s="93"/>
      <c r="S675" s="99"/>
      <c r="T675" s="99"/>
      <c r="U675" s="99"/>
      <c r="V675" s="99"/>
      <c r="W675" s="99"/>
      <c r="X675" s="99"/>
      <c r="Y675" s="99"/>
      <c r="Z675" s="99"/>
      <c r="AA675" s="99"/>
      <c r="AB675" s="99"/>
      <c r="AC675" s="98"/>
      <c r="AD675" s="98"/>
      <c r="AE675" s="98"/>
      <c r="AF675" s="98"/>
      <c r="AG675" s="98"/>
      <c r="AH675" s="98"/>
    </row>
    <row r="676" spans="2:34" x14ac:dyDescent="0.25">
      <c r="B676" s="73"/>
      <c r="C676" s="74"/>
      <c r="D676" s="80"/>
      <c r="E676" s="81"/>
      <c r="F676" s="81"/>
      <c r="G676" s="81"/>
      <c r="H676" s="81"/>
      <c r="I676" s="82"/>
      <c r="J676" s="88"/>
      <c r="K676" s="89"/>
      <c r="L676" s="88"/>
      <c r="M676" s="89"/>
      <c r="N676" s="80"/>
      <c r="O676" s="82"/>
      <c r="P676" s="94"/>
      <c r="Q676" s="95"/>
      <c r="S676" s="99"/>
      <c r="T676" s="99"/>
      <c r="U676" s="99"/>
      <c r="V676" s="99"/>
      <c r="W676" s="99"/>
      <c r="X676" s="99"/>
      <c r="Y676" s="99"/>
      <c r="Z676" s="99"/>
      <c r="AA676" s="99"/>
      <c r="AB676" s="99"/>
      <c r="AC676" s="98"/>
      <c r="AD676" s="98"/>
      <c r="AE676" s="98"/>
      <c r="AF676" s="98"/>
      <c r="AG676" s="98"/>
      <c r="AH676" s="98"/>
    </row>
    <row r="677" spans="2:34" x14ac:dyDescent="0.25">
      <c r="B677" s="75"/>
      <c r="C677" s="76"/>
      <c r="D677" s="83"/>
      <c r="E677" s="84"/>
      <c r="F677" s="84"/>
      <c r="G677" s="84"/>
      <c r="H677" s="84"/>
      <c r="I677" s="85"/>
      <c r="J677" s="90"/>
      <c r="K677" s="91"/>
      <c r="L677" s="90"/>
      <c r="M677" s="91"/>
      <c r="N677" s="83"/>
      <c r="O677" s="85"/>
      <c r="P677" s="96"/>
      <c r="Q677" s="97"/>
      <c r="S677" s="99"/>
      <c r="T677" s="99"/>
      <c r="U677" s="99"/>
      <c r="V677" s="99"/>
      <c r="W677" s="99"/>
      <c r="X677" s="99"/>
      <c r="Y677" s="99"/>
      <c r="Z677" s="99"/>
      <c r="AA677" s="99"/>
      <c r="AB677" s="99"/>
      <c r="AC677" s="98"/>
      <c r="AD677" s="98"/>
      <c r="AE677" s="98"/>
      <c r="AF677" s="98"/>
      <c r="AG677" s="98"/>
      <c r="AH677" s="98"/>
    </row>
    <row r="678" spans="2:34" x14ac:dyDescent="0.25">
      <c r="B678" s="71"/>
      <c r="C678" s="72"/>
      <c r="D678" s="77"/>
      <c r="E678" s="78"/>
      <c r="F678" s="78"/>
      <c r="G678" s="78"/>
      <c r="H678" s="78"/>
      <c r="I678" s="79"/>
      <c r="J678" s="86"/>
      <c r="K678" s="87"/>
      <c r="L678" s="86"/>
      <c r="M678" s="87"/>
      <c r="N678" s="77"/>
      <c r="O678" s="79"/>
      <c r="P678" s="92"/>
      <c r="Q678" s="93"/>
      <c r="S678" s="99"/>
      <c r="T678" s="99"/>
      <c r="U678" s="99"/>
      <c r="V678" s="99"/>
      <c r="W678" s="99"/>
      <c r="X678" s="99"/>
      <c r="Y678" s="99"/>
      <c r="Z678" s="99"/>
      <c r="AA678" s="99"/>
      <c r="AB678" s="99"/>
      <c r="AC678" s="98"/>
      <c r="AD678" s="98"/>
      <c r="AE678" s="98"/>
      <c r="AF678" s="98"/>
      <c r="AG678" s="98"/>
      <c r="AH678" s="98"/>
    </row>
    <row r="679" spans="2:34" x14ac:dyDescent="0.25">
      <c r="B679" s="73"/>
      <c r="C679" s="74"/>
      <c r="D679" s="80"/>
      <c r="E679" s="81"/>
      <c r="F679" s="81"/>
      <c r="G679" s="81"/>
      <c r="H679" s="81"/>
      <c r="I679" s="82"/>
      <c r="J679" s="88"/>
      <c r="K679" s="89"/>
      <c r="L679" s="88"/>
      <c r="M679" s="89"/>
      <c r="N679" s="80"/>
      <c r="O679" s="82"/>
      <c r="P679" s="94"/>
      <c r="Q679" s="95"/>
      <c r="S679" s="99"/>
      <c r="T679" s="99"/>
      <c r="U679" s="99"/>
      <c r="V679" s="99"/>
      <c r="W679" s="99"/>
      <c r="X679" s="99"/>
      <c r="Y679" s="99"/>
      <c r="Z679" s="99"/>
      <c r="AA679" s="99"/>
      <c r="AB679" s="99"/>
      <c r="AC679" s="98"/>
      <c r="AD679" s="98"/>
      <c r="AE679" s="98"/>
      <c r="AF679" s="98"/>
      <c r="AG679" s="98"/>
      <c r="AH679" s="98"/>
    </row>
    <row r="680" spans="2:34" x14ac:dyDescent="0.25">
      <c r="B680" s="75"/>
      <c r="C680" s="76"/>
      <c r="D680" s="83"/>
      <c r="E680" s="84"/>
      <c r="F680" s="84"/>
      <c r="G680" s="84"/>
      <c r="H680" s="84"/>
      <c r="I680" s="85"/>
      <c r="J680" s="90"/>
      <c r="K680" s="91"/>
      <c r="L680" s="90"/>
      <c r="M680" s="91"/>
      <c r="N680" s="83"/>
      <c r="O680" s="85"/>
      <c r="P680" s="96"/>
      <c r="Q680" s="97"/>
      <c r="S680" s="99"/>
      <c r="T680" s="99"/>
      <c r="U680" s="99"/>
      <c r="V680" s="99"/>
      <c r="W680" s="99"/>
      <c r="X680" s="99"/>
      <c r="Y680" s="99"/>
      <c r="Z680" s="99"/>
      <c r="AA680" s="99"/>
      <c r="AB680" s="99"/>
      <c r="AC680" s="98"/>
      <c r="AD680" s="98"/>
      <c r="AE680" s="98"/>
      <c r="AF680" s="98"/>
      <c r="AG680" s="98"/>
      <c r="AH680" s="98"/>
    </row>
    <row r="681" spans="2:34" x14ac:dyDescent="0.25">
      <c r="B681" s="71"/>
      <c r="C681" s="72"/>
      <c r="D681" s="77"/>
      <c r="E681" s="78"/>
      <c r="F681" s="78"/>
      <c r="G681" s="78"/>
      <c r="H681" s="78"/>
      <c r="I681" s="79"/>
      <c r="J681" s="86"/>
      <c r="K681" s="87"/>
      <c r="L681" s="86"/>
      <c r="M681" s="87"/>
      <c r="N681" s="77"/>
      <c r="O681" s="79"/>
      <c r="P681" s="92"/>
      <c r="Q681" s="93"/>
      <c r="S681" s="99"/>
      <c r="T681" s="99"/>
      <c r="U681" s="99"/>
      <c r="V681" s="99"/>
      <c r="W681" s="99"/>
      <c r="X681" s="99"/>
      <c r="Y681" s="99"/>
      <c r="Z681" s="99"/>
      <c r="AA681" s="99"/>
      <c r="AB681" s="99"/>
      <c r="AC681" s="98"/>
      <c r="AD681" s="98"/>
      <c r="AE681" s="98"/>
      <c r="AF681" s="98"/>
      <c r="AG681" s="98"/>
      <c r="AH681" s="98"/>
    </row>
    <row r="682" spans="2:34" x14ac:dyDescent="0.25">
      <c r="B682" s="73"/>
      <c r="C682" s="74"/>
      <c r="D682" s="80"/>
      <c r="E682" s="81"/>
      <c r="F682" s="81"/>
      <c r="G682" s="81"/>
      <c r="H682" s="81"/>
      <c r="I682" s="82"/>
      <c r="J682" s="88"/>
      <c r="K682" s="89"/>
      <c r="L682" s="88"/>
      <c r="M682" s="89"/>
      <c r="N682" s="80"/>
      <c r="O682" s="82"/>
      <c r="P682" s="94"/>
      <c r="Q682" s="95"/>
      <c r="S682" s="99"/>
      <c r="T682" s="99"/>
      <c r="U682" s="99"/>
      <c r="V682" s="99"/>
      <c r="W682" s="99"/>
      <c r="X682" s="99"/>
      <c r="Y682" s="99"/>
      <c r="Z682" s="99"/>
      <c r="AA682" s="99"/>
      <c r="AB682" s="99"/>
      <c r="AC682" s="98"/>
      <c r="AD682" s="98"/>
      <c r="AE682" s="98"/>
      <c r="AF682" s="98"/>
      <c r="AG682" s="98"/>
      <c r="AH682" s="98"/>
    </row>
    <row r="683" spans="2:34" x14ac:dyDescent="0.25">
      <c r="B683" s="75"/>
      <c r="C683" s="76"/>
      <c r="D683" s="83"/>
      <c r="E683" s="84"/>
      <c r="F683" s="84"/>
      <c r="G683" s="84"/>
      <c r="H683" s="84"/>
      <c r="I683" s="85"/>
      <c r="J683" s="90"/>
      <c r="K683" s="91"/>
      <c r="L683" s="90"/>
      <c r="M683" s="91"/>
      <c r="N683" s="83"/>
      <c r="O683" s="85"/>
      <c r="P683" s="96"/>
      <c r="Q683" s="97"/>
      <c r="S683" s="99"/>
      <c r="T683" s="99"/>
      <c r="U683" s="99"/>
      <c r="V683" s="99"/>
      <c r="W683" s="99"/>
      <c r="X683" s="99"/>
      <c r="Y683" s="99"/>
      <c r="Z683" s="99"/>
      <c r="AA683" s="99"/>
      <c r="AB683" s="99"/>
      <c r="AC683" s="98"/>
      <c r="AD683" s="98"/>
      <c r="AE683" s="98"/>
      <c r="AF683" s="98"/>
      <c r="AG683" s="98"/>
      <c r="AH683" s="98"/>
    </row>
    <row r="684" spans="2:34" x14ac:dyDescent="0.25">
      <c r="B684" s="71"/>
      <c r="C684" s="72"/>
      <c r="D684" s="77"/>
      <c r="E684" s="78"/>
      <c r="F684" s="78"/>
      <c r="G684" s="78"/>
      <c r="H684" s="78"/>
      <c r="I684" s="79"/>
      <c r="J684" s="86"/>
      <c r="K684" s="87"/>
      <c r="L684" s="86"/>
      <c r="M684" s="87"/>
      <c r="N684" s="77"/>
      <c r="O684" s="79"/>
      <c r="P684" s="92"/>
      <c r="Q684" s="93"/>
      <c r="S684" s="99"/>
      <c r="T684" s="99"/>
      <c r="U684" s="99"/>
      <c r="V684" s="99"/>
      <c r="W684" s="99"/>
      <c r="X684" s="99"/>
      <c r="Y684" s="99"/>
      <c r="Z684" s="99"/>
      <c r="AA684" s="99"/>
      <c r="AB684" s="99"/>
      <c r="AC684" s="98"/>
      <c r="AD684" s="98"/>
      <c r="AE684" s="98"/>
      <c r="AF684" s="98"/>
      <c r="AG684" s="98"/>
      <c r="AH684" s="98"/>
    </row>
    <row r="685" spans="2:34" x14ac:dyDescent="0.25">
      <c r="B685" s="73"/>
      <c r="C685" s="74"/>
      <c r="D685" s="80"/>
      <c r="E685" s="81"/>
      <c r="F685" s="81"/>
      <c r="G685" s="81"/>
      <c r="H685" s="81"/>
      <c r="I685" s="82"/>
      <c r="J685" s="88"/>
      <c r="K685" s="89"/>
      <c r="L685" s="88"/>
      <c r="M685" s="89"/>
      <c r="N685" s="80"/>
      <c r="O685" s="82"/>
      <c r="P685" s="94"/>
      <c r="Q685" s="95"/>
      <c r="S685" s="99"/>
      <c r="T685" s="99"/>
      <c r="U685" s="99"/>
      <c r="V685" s="99"/>
      <c r="W685" s="99"/>
      <c r="X685" s="99"/>
      <c r="Y685" s="99"/>
      <c r="Z685" s="99"/>
      <c r="AA685" s="99"/>
      <c r="AB685" s="99"/>
      <c r="AC685" s="98"/>
      <c r="AD685" s="98"/>
      <c r="AE685" s="98"/>
      <c r="AF685" s="98"/>
      <c r="AG685" s="98"/>
      <c r="AH685" s="98"/>
    </row>
    <row r="686" spans="2:34" x14ac:dyDescent="0.25">
      <c r="B686" s="75"/>
      <c r="C686" s="76"/>
      <c r="D686" s="83"/>
      <c r="E686" s="84"/>
      <c r="F686" s="84"/>
      <c r="G686" s="84"/>
      <c r="H686" s="84"/>
      <c r="I686" s="85"/>
      <c r="J686" s="90"/>
      <c r="K686" s="91"/>
      <c r="L686" s="90"/>
      <c r="M686" s="91"/>
      <c r="N686" s="83"/>
      <c r="O686" s="85"/>
      <c r="P686" s="96"/>
      <c r="Q686" s="97"/>
      <c r="S686" s="99"/>
      <c r="T686" s="99"/>
      <c r="U686" s="99"/>
      <c r="V686" s="99"/>
      <c r="W686" s="99"/>
      <c r="X686" s="99"/>
      <c r="Y686" s="99"/>
      <c r="Z686" s="99"/>
      <c r="AA686" s="99"/>
      <c r="AB686" s="99"/>
      <c r="AC686" s="98"/>
      <c r="AD686" s="98"/>
      <c r="AE686" s="98"/>
      <c r="AF686" s="98"/>
      <c r="AG686" s="98"/>
      <c r="AH686" s="98"/>
    </row>
    <row r="687" spans="2:34" x14ac:dyDescent="0.25">
      <c r="B687" s="71"/>
      <c r="C687" s="72"/>
      <c r="D687" s="77"/>
      <c r="E687" s="78"/>
      <c r="F687" s="78"/>
      <c r="G687" s="78"/>
      <c r="H687" s="78"/>
      <c r="I687" s="79"/>
      <c r="J687" s="86"/>
      <c r="K687" s="87"/>
      <c r="L687" s="86"/>
      <c r="M687" s="87"/>
      <c r="N687" s="77"/>
      <c r="O687" s="79"/>
      <c r="P687" s="92"/>
      <c r="Q687" s="93"/>
      <c r="S687" s="99"/>
      <c r="T687" s="99"/>
      <c r="U687" s="99"/>
      <c r="V687" s="99"/>
      <c r="W687" s="99"/>
      <c r="X687" s="99"/>
      <c r="Y687" s="99"/>
      <c r="Z687" s="99"/>
      <c r="AA687" s="99"/>
      <c r="AB687" s="99"/>
      <c r="AC687" s="98"/>
      <c r="AD687" s="98"/>
      <c r="AE687" s="98"/>
      <c r="AF687" s="98"/>
      <c r="AG687" s="98"/>
      <c r="AH687" s="98"/>
    </row>
    <row r="688" spans="2:34" x14ac:dyDescent="0.25">
      <c r="B688" s="73"/>
      <c r="C688" s="74"/>
      <c r="D688" s="80"/>
      <c r="E688" s="81"/>
      <c r="F688" s="81"/>
      <c r="G688" s="81"/>
      <c r="H688" s="81"/>
      <c r="I688" s="82"/>
      <c r="J688" s="88"/>
      <c r="K688" s="89"/>
      <c r="L688" s="88"/>
      <c r="M688" s="89"/>
      <c r="N688" s="80"/>
      <c r="O688" s="82"/>
      <c r="P688" s="94"/>
      <c r="Q688" s="95"/>
      <c r="S688" s="99"/>
      <c r="T688" s="99"/>
      <c r="U688" s="99"/>
      <c r="V688" s="99"/>
      <c r="W688" s="99"/>
      <c r="X688" s="99"/>
      <c r="Y688" s="99"/>
      <c r="Z688" s="99"/>
      <c r="AA688" s="99"/>
      <c r="AB688" s="99"/>
      <c r="AC688" s="98"/>
      <c r="AD688" s="98"/>
      <c r="AE688" s="98"/>
      <c r="AF688" s="98"/>
      <c r="AG688" s="98"/>
      <c r="AH688" s="98"/>
    </row>
    <row r="689" spans="2:34" x14ac:dyDescent="0.25">
      <c r="B689" s="75"/>
      <c r="C689" s="76"/>
      <c r="D689" s="83"/>
      <c r="E689" s="84"/>
      <c r="F689" s="84"/>
      <c r="G689" s="84"/>
      <c r="H689" s="84"/>
      <c r="I689" s="85"/>
      <c r="J689" s="90"/>
      <c r="K689" s="91"/>
      <c r="L689" s="90"/>
      <c r="M689" s="91"/>
      <c r="N689" s="83"/>
      <c r="O689" s="85"/>
      <c r="P689" s="96"/>
      <c r="Q689" s="97"/>
      <c r="S689" s="99"/>
      <c r="T689" s="99"/>
      <c r="U689" s="99"/>
      <c r="V689" s="99"/>
      <c r="W689" s="99"/>
      <c r="X689" s="99"/>
      <c r="Y689" s="99"/>
      <c r="Z689" s="99"/>
      <c r="AA689" s="99"/>
      <c r="AB689" s="99"/>
      <c r="AC689" s="98"/>
      <c r="AD689" s="98"/>
      <c r="AE689" s="98"/>
      <c r="AF689" s="98"/>
      <c r="AG689" s="98"/>
      <c r="AH689" s="98"/>
    </row>
    <row r="690" spans="2:34" x14ac:dyDescent="0.25">
      <c r="B690" s="71"/>
      <c r="C690" s="72"/>
      <c r="D690" s="77"/>
      <c r="E690" s="78"/>
      <c r="F690" s="78"/>
      <c r="G690" s="78"/>
      <c r="H690" s="78"/>
      <c r="I690" s="79"/>
      <c r="J690" s="86"/>
      <c r="K690" s="87"/>
      <c r="L690" s="86"/>
      <c r="M690" s="87"/>
      <c r="N690" s="77"/>
      <c r="O690" s="79"/>
      <c r="P690" s="92"/>
      <c r="Q690" s="93"/>
      <c r="S690" s="99"/>
      <c r="T690" s="99"/>
      <c r="U690" s="99"/>
      <c r="V690" s="99"/>
      <c r="W690" s="99"/>
      <c r="X690" s="99"/>
      <c r="Y690" s="99"/>
      <c r="Z690" s="99"/>
      <c r="AA690" s="99"/>
      <c r="AB690" s="99"/>
      <c r="AC690" s="98"/>
      <c r="AD690" s="98"/>
      <c r="AE690" s="98"/>
      <c r="AF690" s="98"/>
      <c r="AG690" s="98"/>
      <c r="AH690" s="98"/>
    </row>
    <row r="691" spans="2:34" x14ac:dyDescent="0.25">
      <c r="B691" s="73"/>
      <c r="C691" s="74"/>
      <c r="D691" s="80"/>
      <c r="E691" s="81"/>
      <c r="F691" s="81"/>
      <c r="G691" s="81"/>
      <c r="H691" s="81"/>
      <c r="I691" s="82"/>
      <c r="J691" s="88"/>
      <c r="K691" s="89"/>
      <c r="L691" s="88"/>
      <c r="M691" s="89"/>
      <c r="N691" s="80"/>
      <c r="O691" s="82"/>
      <c r="P691" s="94"/>
      <c r="Q691" s="95"/>
      <c r="S691" s="99"/>
      <c r="T691" s="99"/>
      <c r="U691" s="99"/>
      <c r="V691" s="99"/>
      <c r="W691" s="99"/>
      <c r="X691" s="99"/>
      <c r="Y691" s="99"/>
      <c r="Z691" s="99"/>
      <c r="AA691" s="99"/>
      <c r="AB691" s="99"/>
      <c r="AC691" s="98"/>
      <c r="AD691" s="98"/>
      <c r="AE691" s="98"/>
      <c r="AF691" s="98"/>
      <c r="AG691" s="98"/>
      <c r="AH691" s="98"/>
    </row>
    <row r="692" spans="2:34" x14ac:dyDescent="0.25">
      <c r="B692" s="75"/>
      <c r="C692" s="76"/>
      <c r="D692" s="83"/>
      <c r="E692" s="84"/>
      <c r="F692" s="84"/>
      <c r="G692" s="84"/>
      <c r="H692" s="84"/>
      <c r="I692" s="85"/>
      <c r="J692" s="90"/>
      <c r="K692" s="91"/>
      <c r="L692" s="90"/>
      <c r="M692" s="91"/>
      <c r="N692" s="83"/>
      <c r="O692" s="85"/>
      <c r="P692" s="96"/>
      <c r="Q692" s="97"/>
      <c r="S692" s="99"/>
      <c r="T692" s="99"/>
      <c r="U692" s="99"/>
      <c r="V692" s="99"/>
      <c r="W692" s="99"/>
      <c r="X692" s="99"/>
      <c r="Y692" s="99"/>
      <c r="Z692" s="99"/>
      <c r="AA692" s="99"/>
      <c r="AB692" s="99"/>
      <c r="AC692" s="98"/>
      <c r="AD692" s="98"/>
      <c r="AE692" s="98"/>
      <c r="AF692" s="98"/>
      <c r="AG692" s="98"/>
      <c r="AH692" s="98"/>
    </row>
    <row r="693" spans="2:34" x14ac:dyDescent="0.25">
      <c r="B693" s="71"/>
      <c r="C693" s="72"/>
      <c r="D693" s="77"/>
      <c r="E693" s="78"/>
      <c r="F693" s="78"/>
      <c r="G693" s="78"/>
      <c r="H693" s="78"/>
      <c r="I693" s="79"/>
      <c r="J693" s="86"/>
      <c r="K693" s="87"/>
      <c r="L693" s="86"/>
      <c r="M693" s="87"/>
      <c r="N693" s="77"/>
      <c r="O693" s="79"/>
      <c r="P693" s="92"/>
      <c r="Q693" s="93"/>
      <c r="S693" s="99"/>
      <c r="T693" s="99"/>
      <c r="U693" s="99"/>
      <c r="V693" s="99"/>
      <c r="W693" s="99"/>
      <c r="X693" s="99"/>
      <c r="Y693" s="99"/>
      <c r="Z693" s="99"/>
      <c r="AA693" s="99"/>
      <c r="AB693" s="99"/>
      <c r="AC693" s="98"/>
      <c r="AD693" s="98"/>
      <c r="AE693" s="98"/>
      <c r="AF693" s="98"/>
      <c r="AG693" s="98"/>
      <c r="AH693" s="98"/>
    </row>
    <row r="694" spans="2:34" x14ac:dyDescent="0.25">
      <c r="B694" s="73"/>
      <c r="C694" s="74"/>
      <c r="D694" s="80"/>
      <c r="E694" s="81"/>
      <c r="F694" s="81"/>
      <c r="G694" s="81"/>
      <c r="H694" s="81"/>
      <c r="I694" s="82"/>
      <c r="J694" s="88"/>
      <c r="K694" s="89"/>
      <c r="L694" s="88"/>
      <c r="M694" s="89"/>
      <c r="N694" s="80"/>
      <c r="O694" s="82"/>
      <c r="P694" s="94"/>
      <c r="Q694" s="95"/>
      <c r="S694" s="99"/>
      <c r="T694" s="99"/>
      <c r="U694" s="99"/>
      <c r="V694" s="99"/>
      <c r="W694" s="99"/>
      <c r="X694" s="99"/>
      <c r="Y694" s="99"/>
      <c r="Z694" s="99"/>
      <c r="AA694" s="99"/>
      <c r="AB694" s="99"/>
      <c r="AC694" s="98"/>
      <c r="AD694" s="98"/>
      <c r="AE694" s="98"/>
      <c r="AF694" s="98"/>
      <c r="AG694" s="98"/>
      <c r="AH694" s="98"/>
    </row>
    <row r="695" spans="2:34" x14ac:dyDescent="0.25">
      <c r="B695" s="75"/>
      <c r="C695" s="76"/>
      <c r="D695" s="83"/>
      <c r="E695" s="84"/>
      <c r="F695" s="84"/>
      <c r="G695" s="84"/>
      <c r="H695" s="84"/>
      <c r="I695" s="85"/>
      <c r="J695" s="90"/>
      <c r="K695" s="91"/>
      <c r="L695" s="90"/>
      <c r="M695" s="91"/>
      <c r="N695" s="83"/>
      <c r="O695" s="85"/>
      <c r="P695" s="96"/>
      <c r="Q695" s="97"/>
      <c r="S695" s="99"/>
      <c r="T695" s="99"/>
      <c r="U695" s="99"/>
      <c r="V695" s="99"/>
      <c r="W695" s="99"/>
      <c r="X695" s="99"/>
      <c r="Y695" s="99"/>
      <c r="Z695" s="99"/>
      <c r="AA695" s="99"/>
      <c r="AB695" s="99"/>
      <c r="AC695" s="98"/>
      <c r="AD695" s="98"/>
      <c r="AE695" s="98"/>
      <c r="AF695" s="98"/>
      <c r="AG695" s="98"/>
      <c r="AH695" s="98"/>
    </row>
    <row r="696" spans="2:34" x14ac:dyDescent="0.25">
      <c r="B696" s="71"/>
      <c r="C696" s="72"/>
      <c r="D696" s="77"/>
      <c r="E696" s="78"/>
      <c r="F696" s="78"/>
      <c r="G696" s="78"/>
      <c r="H696" s="78"/>
      <c r="I696" s="79"/>
      <c r="J696" s="86"/>
      <c r="K696" s="87"/>
      <c r="L696" s="86"/>
      <c r="M696" s="87"/>
      <c r="N696" s="77"/>
      <c r="O696" s="79"/>
      <c r="P696" s="92"/>
      <c r="Q696" s="93"/>
      <c r="S696" s="99"/>
      <c r="T696" s="99"/>
      <c r="U696" s="99"/>
      <c r="V696" s="99"/>
      <c r="W696" s="99"/>
      <c r="X696" s="99"/>
      <c r="Y696" s="99"/>
      <c r="Z696" s="99"/>
      <c r="AA696" s="99"/>
      <c r="AB696" s="99"/>
      <c r="AC696" s="98"/>
      <c r="AD696" s="98"/>
      <c r="AE696" s="98"/>
      <c r="AF696" s="98"/>
      <c r="AG696" s="98"/>
      <c r="AH696" s="98"/>
    </row>
    <row r="697" spans="2:34" x14ac:dyDescent="0.25">
      <c r="B697" s="73"/>
      <c r="C697" s="74"/>
      <c r="D697" s="80"/>
      <c r="E697" s="81"/>
      <c r="F697" s="81"/>
      <c r="G697" s="81"/>
      <c r="H697" s="81"/>
      <c r="I697" s="82"/>
      <c r="J697" s="88"/>
      <c r="K697" s="89"/>
      <c r="L697" s="88"/>
      <c r="M697" s="89"/>
      <c r="N697" s="80"/>
      <c r="O697" s="82"/>
      <c r="P697" s="94"/>
      <c r="Q697" s="95"/>
      <c r="S697" s="99"/>
      <c r="T697" s="99"/>
      <c r="U697" s="99"/>
      <c r="V697" s="99"/>
      <c r="W697" s="99"/>
      <c r="X697" s="99"/>
      <c r="Y697" s="99"/>
      <c r="Z697" s="99"/>
      <c r="AA697" s="99"/>
      <c r="AB697" s="99"/>
      <c r="AC697" s="98"/>
      <c r="AD697" s="98"/>
      <c r="AE697" s="98"/>
      <c r="AF697" s="98"/>
      <c r="AG697" s="98"/>
      <c r="AH697" s="98"/>
    </row>
    <row r="698" spans="2:34" x14ac:dyDescent="0.25">
      <c r="B698" s="75"/>
      <c r="C698" s="76"/>
      <c r="D698" s="83"/>
      <c r="E698" s="84"/>
      <c r="F698" s="84"/>
      <c r="G698" s="84"/>
      <c r="H698" s="84"/>
      <c r="I698" s="85"/>
      <c r="J698" s="90"/>
      <c r="K698" s="91"/>
      <c r="L698" s="90"/>
      <c r="M698" s="91"/>
      <c r="N698" s="83"/>
      <c r="O698" s="85"/>
      <c r="P698" s="96"/>
      <c r="Q698" s="97"/>
      <c r="S698" s="99"/>
      <c r="T698" s="99"/>
      <c r="U698" s="99"/>
      <c r="V698" s="99"/>
      <c r="W698" s="99"/>
      <c r="X698" s="99"/>
      <c r="Y698" s="99"/>
      <c r="Z698" s="99"/>
      <c r="AA698" s="99"/>
      <c r="AB698" s="99"/>
      <c r="AC698" s="98"/>
      <c r="AD698" s="98"/>
      <c r="AE698" s="98"/>
      <c r="AF698" s="98"/>
      <c r="AG698" s="98"/>
      <c r="AH698" s="98"/>
    </row>
    <row r="699" spans="2:34" x14ac:dyDescent="0.25">
      <c r="B699" s="71"/>
      <c r="C699" s="72"/>
      <c r="D699" s="77"/>
      <c r="E699" s="78"/>
      <c r="F699" s="78"/>
      <c r="G699" s="78"/>
      <c r="H699" s="78"/>
      <c r="I699" s="79"/>
      <c r="J699" s="86"/>
      <c r="K699" s="87"/>
      <c r="L699" s="86"/>
      <c r="M699" s="87"/>
      <c r="N699" s="77"/>
      <c r="O699" s="79"/>
      <c r="P699" s="92"/>
      <c r="Q699" s="93"/>
      <c r="S699" s="99"/>
      <c r="T699" s="99"/>
      <c r="U699" s="99"/>
      <c r="V699" s="99"/>
      <c r="W699" s="99"/>
      <c r="X699" s="99"/>
      <c r="Y699" s="99"/>
      <c r="Z699" s="99"/>
      <c r="AA699" s="99"/>
      <c r="AB699" s="99"/>
      <c r="AC699" s="98"/>
      <c r="AD699" s="98"/>
      <c r="AE699" s="98"/>
      <c r="AF699" s="98"/>
      <c r="AG699" s="98"/>
      <c r="AH699" s="98"/>
    </row>
    <row r="700" spans="2:34" x14ac:dyDescent="0.25">
      <c r="B700" s="73"/>
      <c r="C700" s="74"/>
      <c r="D700" s="80"/>
      <c r="E700" s="81"/>
      <c r="F700" s="81"/>
      <c r="G700" s="81"/>
      <c r="H700" s="81"/>
      <c r="I700" s="82"/>
      <c r="J700" s="88"/>
      <c r="K700" s="89"/>
      <c r="L700" s="88"/>
      <c r="M700" s="89"/>
      <c r="N700" s="80"/>
      <c r="O700" s="82"/>
      <c r="P700" s="94"/>
      <c r="Q700" s="95"/>
      <c r="S700" s="99"/>
      <c r="T700" s="99"/>
      <c r="U700" s="99"/>
      <c r="V700" s="99"/>
      <c r="W700" s="99"/>
      <c r="X700" s="99"/>
      <c r="Y700" s="99"/>
      <c r="Z700" s="99"/>
      <c r="AA700" s="99"/>
      <c r="AB700" s="99"/>
      <c r="AC700" s="98"/>
      <c r="AD700" s="98"/>
      <c r="AE700" s="98"/>
      <c r="AF700" s="98"/>
      <c r="AG700" s="98"/>
      <c r="AH700" s="98"/>
    </row>
    <row r="701" spans="2:34" x14ac:dyDescent="0.25">
      <c r="B701" s="75"/>
      <c r="C701" s="76"/>
      <c r="D701" s="83"/>
      <c r="E701" s="84"/>
      <c r="F701" s="84"/>
      <c r="G701" s="84"/>
      <c r="H701" s="84"/>
      <c r="I701" s="85"/>
      <c r="J701" s="90"/>
      <c r="K701" s="91"/>
      <c r="L701" s="90"/>
      <c r="M701" s="91"/>
      <c r="N701" s="83"/>
      <c r="O701" s="85"/>
      <c r="P701" s="96"/>
      <c r="Q701" s="97"/>
      <c r="S701" s="99"/>
      <c r="T701" s="99"/>
      <c r="U701" s="99"/>
      <c r="V701" s="99"/>
      <c r="W701" s="99"/>
      <c r="X701" s="99"/>
      <c r="Y701" s="99"/>
      <c r="Z701" s="99"/>
      <c r="AA701" s="99"/>
      <c r="AB701" s="99"/>
      <c r="AC701" s="98"/>
      <c r="AD701" s="98"/>
      <c r="AE701" s="98"/>
      <c r="AF701" s="98"/>
      <c r="AG701" s="98"/>
      <c r="AH701" s="98"/>
    </row>
    <row r="702" spans="2:34" x14ac:dyDescent="0.25">
      <c r="B702" s="71"/>
      <c r="C702" s="72"/>
      <c r="D702" s="77"/>
      <c r="E702" s="78"/>
      <c r="F702" s="78"/>
      <c r="G702" s="78"/>
      <c r="H702" s="78"/>
      <c r="I702" s="79"/>
      <c r="J702" s="86"/>
      <c r="K702" s="87"/>
      <c r="L702" s="86"/>
      <c r="M702" s="87"/>
      <c r="N702" s="77"/>
      <c r="O702" s="79"/>
      <c r="P702" s="92"/>
      <c r="Q702" s="93"/>
      <c r="S702" s="99"/>
      <c r="T702" s="99"/>
      <c r="U702" s="99"/>
      <c r="V702" s="99"/>
      <c r="W702" s="99"/>
      <c r="X702" s="99"/>
      <c r="Y702" s="99"/>
      <c r="Z702" s="99"/>
      <c r="AA702" s="99"/>
      <c r="AB702" s="99"/>
      <c r="AC702" s="98"/>
      <c r="AD702" s="98"/>
      <c r="AE702" s="98"/>
      <c r="AF702" s="98"/>
      <c r="AG702" s="98"/>
      <c r="AH702" s="98"/>
    </row>
    <row r="703" spans="2:34" x14ac:dyDescent="0.25">
      <c r="B703" s="73"/>
      <c r="C703" s="74"/>
      <c r="D703" s="80"/>
      <c r="E703" s="81"/>
      <c r="F703" s="81"/>
      <c r="G703" s="81"/>
      <c r="H703" s="81"/>
      <c r="I703" s="82"/>
      <c r="J703" s="88"/>
      <c r="K703" s="89"/>
      <c r="L703" s="88"/>
      <c r="M703" s="89"/>
      <c r="N703" s="80"/>
      <c r="O703" s="82"/>
      <c r="P703" s="94"/>
      <c r="Q703" s="95"/>
      <c r="S703" s="99"/>
      <c r="T703" s="99"/>
      <c r="U703" s="99"/>
      <c r="V703" s="99"/>
      <c r="W703" s="99"/>
      <c r="X703" s="99"/>
      <c r="Y703" s="99"/>
      <c r="Z703" s="99"/>
      <c r="AA703" s="99"/>
      <c r="AB703" s="99"/>
      <c r="AC703" s="98"/>
      <c r="AD703" s="98"/>
      <c r="AE703" s="98"/>
      <c r="AF703" s="98"/>
      <c r="AG703" s="98"/>
      <c r="AH703" s="98"/>
    </row>
    <row r="704" spans="2:34" x14ac:dyDescent="0.25">
      <c r="B704" s="75"/>
      <c r="C704" s="76"/>
      <c r="D704" s="83"/>
      <c r="E704" s="84"/>
      <c r="F704" s="84"/>
      <c r="G704" s="84"/>
      <c r="H704" s="84"/>
      <c r="I704" s="85"/>
      <c r="J704" s="90"/>
      <c r="K704" s="91"/>
      <c r="L704" s="90"/>
      <c r="M704" s="91"/>
      <c r="N704" s="83"/>
      <c r="O704" s="85"/>
      <c r="P704" s="96"/>
      <c r="Q704" s="97"/>
      <c r="S704" s="99"/>
      <c r="T704" s="99"/>
      <c r="U704" s="99"/>
      <c r="V704" s="99"/>
      <c r="W704" s="99"/>
      <c r="X704" s="99"/>
      <c r="Y704" s="99"/>
      <c r="Z704" s="99"/>
      <c r="AA704" s="99"/>
      <c r="AB704" s="99"/>
      <c r="AC704" s="98"/>
      <c r="AD704" s="98"/>
      <c r="AE704" s="98"/>
      <c r="AF704" s="98"/>
      <c r="AG704" s="98"/>
      <c r="AH704" s="98"/>
    </row>
    <row r="705" spans="2:34" x14ac:dyDescent="0.25">
      <c r="B705" s="71"/>
      <c r="C705" s="72"/>
      <c r="D705" s="77"/>
      <c r="E705" s="78"/>
      <c r="F705" s="78"/>
      <c r="G705" s="78"/>
      <c r="H705" s="78"/>
      <c r="I705" s="79"/>
      <c r="J705" s="86"/>
      <c r="K705" s="87"/>
      <c r="L705" s="86"/>
      <c r="M705" s="87"/>
      <c r="N705" s="77"/>
      <c r="O705" s="79"/>
      <c r="P705" s="92"/>
      <c r="Q705" s="93"/>
      <c r="S705" s="99"/>
      <c r="T705" s="99"/>
      <c r="U705" s="99"/>
      <c r="V705" s="99"/>
      <c r="W705" s="99"/>
      <c r="X705" s="99"/>
      <c r="Y705" s="99"/>
      <c r="Z705" s="99"/>
      <c r="AA705" s="99"/>
      <c r="AB705" s="99"/>
      <c r="AC705" s="98"/>
      <c r="AD705" s="98"/>
      <c r="AE705" s="98"/>
      <c r="AF705" s="98"/>
      <c r="AG705" s="98"/>
      <c r="AH705" s="98"/>
    </row>
    <row r="706" spans="2:34" x14ac:dyDescent="0.25">
      <c r="B706" s="73"/>
      <c r="C706" s="74"/>
      <c r="D706" s="80"/>
      <c r="E706" s="81"/>
      <c r="F706" s="81"/>
      <c r="G706" s="81"/>
      <c r="H706" s="81"/>
      <c r="I706" s="82"/>
      <c r="J706" s="88"/>
      <c r="K706" s="89"/>
      <c r="L706" s="88"/>
      <c r="M706" s="89"/>
      <c r="N706" s="80"/>
      <c r="O706" s="82"/>
      <c r="P706" s="94"/>
      <c r="Q706" s="95"/>
      <c r="S706" s="99"/>
      <c r="T706" s="99"/>
      <c r="U706" s="99"/>
      <c r="V706" s="99"/>
      <c r="W706" s="99"/>
      <c r="X706" s="99"/>
      <c r="Y706" s="99"/>
      <c r="Z706" s="99"/>
      <c r="AA706" s="99"/>
      <c r="AB706" s="99"/>
      <c r="AC706" s="98"/>
      <c r="AD706" s="98"/>
      <c r="AE706" s="98"/>
      <c r="AF706" s="98"/>
      <c r="AG706" s="98"/>
      <c r="AH706" s="98"/>
    </row>
    <row r="707" spans="2:34" x14ac:dyDescent="0.25">
      <c r="B707" s="75"/>
      <c r="C707" s="76"/>
      <c r="D707" s="83"/>
      <c r="E707" s="84"/>
      <c r="F707" s="84"/>
      <c r="G707" s="84"/>
      <c r="H707" s="84"/>
      <c r="I707" s="85"/>
      <c r="J707" s="90"/>
      <c r="K707" s="91"/>
      <c r="L707" s="90"/>
      <c r="M707" s="91"/>
      <c r="N707" s="83"/>
      <c r="O707" s="85"/>
      <c r="P707" s="96"/>
      <c r="Q707" s="97"/>
      <c r="S707" s="99"/>
      <c r="T707" s="99"/>
      <c r="U707" s="99"/>
      <c r="V707" s="99"/>
      <c r="W707" s="99"/>
      <c r="X707" s="99"/>
      <c r="Y707" s="99"/>
      <c r="Z707" s="99"/>
      <c r="AA707" s="99"/>
      <c r="AB707" s="99"/>
      <c r="AC707" s="98"/>
      <c r="AD707" s="98"/>
      <c r="AE707" s="98"/>
      <c r="AF707" s="98"/>
      <c r="AG707" s="98"/>
      <c r="AH707" s="98"/>
    </row>
    <row r="708" spans="2:34" x14ac:dyDescent="0.25">
      <c r="B708" s="71"/>
      <c r="C708" s="72"/>
      <c r="D708" s="77"/>
      <c r="E708" s="78"/>
      <c r="F708" s="78"/>
      <c r="G708" s="78"/>
      <c r="H708" s="78"/>
      <c r="I708" s="79"/>
      <c r="J708" s="86"/>
      <c r="K708" s="87"/>
      <c r="L708" s="86"/>
      <c r="M708" s="87"/>
      <c r="N708" s="77"/>
      <c r="O708" s="79"/>
      <c r="P708" s="92"/>
      <c r="Q708" s="93"/>
      <c r="S708" s="99"/>
      <c r="T708" s="99"/>
      <c r="U708" s="99"/>
      <c r="V708" s="99"/>
      <c r="W708" s="99"/>
      <c r="X708" s="99"/>
      <c r="Y708" s="99"/>
      <c r="Z708" s="99"/>
      <c r="AA708" s="99"/>
      <c r="AB708" s="99"/>
      <c r="AC708" s="98"/>
      <c r="AD708" s="98"/>
      <c r="AE708" s="98"/>
      <c r="AF708" s="98"/>
      <c r="AG708" s="98"/>
      <c r="AH708" s="98"/>
    </row>
    <row r="709" spans="2:34" x14ac:dyDescent="0.25">
      <c r="B709" s="73"/>
      <c r="C709" s="74"/>
      <c r="D709" s="80"/>
      <c r="E709" s="81"/>
      <c r="F709" s="81"/>
      <c r="G709" s="81"/>
      <c r="H709" s="81"/>
      <c r="I709" s="82"/>
      <c r="J709" s="88"/>
      <c r="K709" s="89"/>
      <c r="L709" s="88"/>
      <c r="M709" s="89"/>
      <c r="N709" s="80"/>
      <c r="O709" s="82"/>
      <c r="P709" s="94"/>
      <c r="Q709" s="95"/>
      <c r="S709" s="99"/>
      <c r="T709" s="99"/>
      <c r="U709" s="99"/>
      <c r="V709" s="99"/>
      <c r="W709" s="99"/>
      <c r="X709" s="99"/>
      <c r="Y709" s="99"/>
      <c r="Z709" s="99"/>
      <c r="AA709" s="99"/>
      <c r="AB709" s="99"/>
      <c r="AC709" s="98"/>
      <c r="AD709" s="98"/>
      <c r="AE709" s="98"/>
      <c r="AF709" s="98"/>
      <c r="AG709" s="98"/>
      <c r="AH709" s="98"/>
    </row>
    <row r="710" spans="2:34" x14ac:dyDescent="0.25">
      <c r="B710" s="75"/>
      <c r="C710" s="76"/>
      <c r="D710" s="83"/>
      <c r="E710" s="84"/>
      <c r="F710" s="84"/>
      <c r="G710" s="84"/>
      <c r="H710" s="84"/>
      <c r="I710" s="85"/>
      <c r="J710" s="90"/>
      <c r="K710" s="91"/>
      <c r="L710" s="90"/>
      <c r="M710" s="91"/>
      <c r="N710" s="83"/>
      <c r="O710" s="85"/>
      <c r="P710" s="96"/>
      <c r="Q710" s="97"/>
      <c r="S710" s="99"/>
      <c r="T710" s="99"/>
      <c r="U710" s="99"/>
      <c r="V710" s="99"/>
      <c r="W710" s="99"/>
      <c r="X710" s="99"/>
      <c r="Y710" s="99"/>
      <c r="Z710" s="99"/>
      <c r="AA710" s="99"/>
      <c r="AB710" s="99"/>
      <c r="AC710" s="98"/>
      <c r="AD710" s="98"/>
      <c r="AE710" s="98"/>
      <c r="AF710" s="98"/>
      <c r="AG710" s="98"/>
      <c r="AH710" s="98"/>
    </row>
    <row r="711" spans="2:34" x14ac:dyDescent="0.25">
      <c r="B711" s="71"/>
      <c r="C711" s="72"/>
      <c r="D711" s="77"/>
      <c r="E711" s="78"/>
      <c r="F711" s="78"/>
      <c r="G711" s="78"/>
      <c r="H711" s="78"/>
      <c r="I711" s="79"/>
      <c r="J711" s="86"/>
      <c r="K711" s="87"/>
      <c r="L711" s="86"/>
      <c r="M711" s="87"/>
      <c r="N711" s="77"/>
      <c r="O711" s="79"/>
      <c r="P711" s="92"/>
      <c r="Q711" s="93"/>
      <c r="S711" s="99"/>
      <c r="T711" s="99"/>
      <c r="U711" s="99"/>
      <c r="V711" s="99"/>
      <c r="W711" s="99"/>
      <c r="X711" s="99"/>
      <c r="Y711" s="99"/>
      <c r="Z711" s="99"/>
      <c r="AA711" s="99"/>
      <c r="AB711" s="99"/>
      <c r="AC711" s="98"/>
      <c r="AD711" s="98"/>
      <c r="AE711" s="98"/>
      <c r="AF711" s="98"/>
      <c r="AG711" s="98"/>
      <c r="AH711" s="98"/>
    </row>
    <row r="712" spans="2:34" x14ac:dyDescent="0.25">
      <c r="B712" s="73"/>
      <c r="C712" s="74"/>
      <c r="D712" s="80"/>
      <c r="E712" s="81"/>
      <c r="F712" s="81"/>
      <c r="G712" s="81"/>
      <c r="H712" s="81"/>
      <c r="I712" s="82"/>
      <c r="J712" s="88"/>
      <c r="K712" s="89"/>
      <c r="L712" s="88"/>
      <c r="M712" s="89"/>
      <c r="N712" s="80"/>
      <c r="O712" s="82"/>
      <c r="P712" s="94"/>
      <c r="Q712" s="95"/>
      <c r="S712" s="99"/>
      <c r="T712" s="99"/>
      <c r="U712" s="99"/>
      <c r="V712" s="99"/>
      <c r="W712" s="99"/>
      <c r="X712" s="99"/>
      <c r="Y712" s="99"/>
      <c r="Z712" s="99"/>
      <c r="AA712" s="99"/>
      <c r="AB712" s="99"/>
      <c r="AC712" s="98"/>
      <c r="AD712" s="98"/>
      <c r="AE712" s="98"/>
      <c r="AF712" s="98"/>
      <c r="AG712" s="98"/>
      <c r="AH712" s="98"/>
    </row>
    <row r="713" spans="2:34" x14ac:dyDescent="0.25">
      <c r="B713" s="75"/>
      <c r="C713" s="76"/>
      <c r="D713" s="83"/>
      <c r="E713" s="84"/>
      <c r="F713" s="84"/>
      <c r="G713" s="84"/>
      <c r="H713" s="84"/>
      <c r="I713" s="85"/>
      <c r="J713" s="90"/>
      <c r="K713" s="91"/>
      <c r="L713" s="90"/>
      <c r="M713" s="91"/>
      <c r="N713" s="83"/>
      <c r="O713" s="85"/>
      <c r="P713" s="96"/>
      <c r="Q713" s="97"/>
      <c r="S713" s="99"/>
      <c r="T713" s="99"/>
      <c r="U713" s="99"/>
      <c r="V713" s="99"/>
      <c r="W713" s="99"/>
      <c r="X713" s="99"/>
      <c r="Y713" s="99"/>
      <c r="Z713" s="99"/>
      <c r="AA713" s="99"/>
      <c r="AB713" s="99"/>
      <c r="AC713" s="98"/>
      <c r="AD713" s="98"/>
      <c r="AE713" s="98"/>
      <c r="AF713" s="98"/>
      <c r="AG713" s="98"/>
      <c r="AH713" s="98"/>
    </row>
    <row r="714" spans="2:34" x14ac:dyDescent="0.25">
      <c r="B714" s="71"/>
      <c r="C714" s="72"/>
      <c r="D714" s="77"/>
      <c r="E714" s="78"/>
      <c r="F714" s="78"/>
      <c r="G714" s="78"/>
      <c r="H714" s="78"/>
      <c r="I714" s="79"/>
      <c r="J714" s="86"/>
      <c r="K714" s="87"/>
      <c r="L714" s="86"/>
      <c r="M714" s="87"/>
      <c r="N714" s="77"/>
      <c r="O714" s="79"/>
      <c r="P714" s="92"/>
      <c r="Q714" s="93"/>
      <c r="S714" s="99"/>
      <c r="T714" s="99"/>
      <c r="U714" s="99"/>
      <c r="V714" s="99"/>
      <c r="W714" s="99"/>
      <c r="X714" s="99"/>
      <c r="Y714" s="99"/>
      <c r="Z714" s="99"/>
      <c r="AA714" s="99"/>
      <c r="AB714" s="99"/>
      <c r="AC714" s="98"/>
      <c r="AD714" s="98"/>
      <c r="AE714" s="98"/>
      <c r="AF714" s="98"/>
      <c r="AG714" s="98"/>
      <c r="AH714" s="98"/>
    </row>
    <row r="715" spans="2:34" x14ac:dyDescent="0.25">
      <c r="B715" s="73"/>
      <c r="C715" s="74"/>
      <c r="D715" s="80"/>
      <c r="E715" s="81"/>
      <c r="F715" s="81"/>
      <c r="G715" s="81"/>
      <c r="H715" s="81"/>
      <c r="I715" s="82"/>
      <c r="J715" s="88"/>
      <c r="K715" s="89"/>
      <c r="L715" s="88"/>
      <c r="M715" s="89"/>
      <c r="N715" s="80"/>
      <c r="O715" s="82"/>
      <c r="P715" s="94"/>
      <c r="Q715" s="95"/>
      <c r="S715" s="99"/>
      <c r="T715" s="99"/>
      <c r="U715" s="99"/>
      <c r="V715" s="99"/>
      <c r="W715" s="99"/>
      <c r="X715" s="99"/>
      <c r="Y715" s="99"/>
      <c r="Z715" s="99"/>
      <c r="AA715" s="99"/>
      <c r="AB715" s="99"/>
      <c r="AC715" s="98"/>
      <c r="AD715" s="98"/>
      <c r="AE715" s="98"/>
      <c r="AF715" s="98"/>
      <c r="AG715" s="98"/>
      <c r="AH715" s="98"/>
    </row>
    <row r="716" spans="2:34" x14ac:dyDescent="0.25">
      <c r="B716" s="75"/>
      <c r="C716" s="76"/>
      <c r="D716" s="83"/>
      <c r="E716" s="84"/>
      <c r="F716" s="84"/>
      <c r="G716" s="84"/>
      <c r="H716" s="84"/>
      <c r="I716" s="85"/>
      <c r="J716" s="90"/>
      <c r="K716" s="91"/>
      <c r="L716" s="90"/>
      <c r="M716" s="91"/>
      <c r="N716" s="83"/>
      <c r="O716" s="85"/>
      <c r="P716" s="96"/>
      <c r="Q716" s="97"/>
      <c r="S716" s="99"/>
      <c r="T716" s="99"/>
      <c r="U716" s="99"/>
      <c r="V716" s="99"/>
      <c r="W716" s="99"/>
      <c r="X716" s="99"/>
      <c r="Y716" s="99"/>
      <c r="Z716" s="99"/>
      <c r="AA716" s="99"/>
      <c r="AB716" s="99"/>
      <c r="AC716" s="98"/>
      <c r="AD716" s="98"/>
      <c r="AE716" s="98"/>
      <c r="AF716" s="98"/>
      <c r="AG716" s="98"/>
      <c r="AH716" s="98"/>
    </row>
    <row r="717" spans="2:34" x14ac:dyDescent="0.25">
      <c r="B717" s="71"/>
      <c r="C717" s="72"/>
      <c r="D717" s="77"/>
      <c r="E717" s="78"/>
      <c r="F717" s="78"/>
      <c r="G717" s="78"/>
      <c r="H717" s="78"/>
      <c r="I717" s="79"/>
      <c r="J717" s="86"/>
      <c r="K717" s="87"/>
      <c r="L717" s="86"/>
      <c r="M717" s="87"/>
      <c r="N717" s="77"/>
      <c r="O717" s="79"/>
      <c r="P717" s="92"/>
      <c r="Q717" s="93"/>
      <c r="S717" s="99"/>
      <c r="T717" s="99"/>
      <c r="U717" s="99"/>
      <c r="V717" s="99"/>
      <c r="W717" s="99"/>
      <c r="X717" s="99"/>
      <c r="Y717" s="99"/>
      <c r="Z717" s="99"/>
      <c r="AA717" s="99"/>
      <c r="AB717" s="99"/>
      <c r="AC717" s="98"/>
      <c r="AD717" s="98"/>
      <c r="AE717" s="98"/>
      <c r="AF717" s="98"/>
      <c r="AG717" s="98"/>
      <c r="AH717" s="98"/>
    </row>
    <row r="718" spans="2:34" x14ac:dyDescent="0.25">
      <c r="B718" s="73"/>
      <c r="C718" s="74"/>
      <c r="D718" s="80"/>
      <c r="E718" s="81"/>
      <c r="F718" s="81"/>
      <c r="G718" s="81"/>
      <c r="H718" s="81"/>
      <c r="I718" s="82"/>
      <c r="J718" s="88"/>
      <c r="K718" s="89"/>
      <c r="L718" s="88"/>
      <c r="M718" s="89"/>
      <c r="N718" s="80"/>
      <c r="O718" s="82"/>
      <c r="P718" s="94"/>
      <c r="Q718" s="95"/>
      <c r="S718" s="99"/>
      <c r="T718" s="99"/>
      <c r="U718" s="99"/>
      <c r="V718" s="99"/>
      <c r="W718" s="99"/>
      <c r="X718" s="99"/>
      <c r="Y718" s="99"/>
      <c r="Z718" s="99"/>
      <c r="AA718" s="99"/>
      <c r="AB718" s="99"/>
      <c r="AC718" s="98"/>
      <c r="AD718" s="98"/>
      <c r="AE718" s="98"/>
      <c r="AF718" s="98"/>
      <c r="AG718" s="98"/>
      <c r="AH718" s="98"/>
    </row>
    <row r="719" spans="2:34" x14ac:dyDescent="0.25">
      <c r="B719" s="75"/>
      <c r="C719" s="76"/>
      <c r="D719" s="83"/>
      <c r="E719" s="84"/>
      <c r="F719" s="84"/>
      <c r="G719" s="84"/>
      <c r="H719" s="84"/>
      <c r="I719" s="85"/>
      <c r="J719" s="90"/>
      <c r="K719" s="91"/>
      <c r="L719" s="90"/>
      <c r="M719" s="91"/>
      <c r="N719" s="83"/>
      <c r="O719" s="85"/>
      <c r="P719" s="96"/>
      <c r="Q719" s="97"/>
      <c r="S719" s="99"/>
      <c r="T719" s="99"/>
      <c r="U719" s="99"/>
      <c r="V719" s="99"/>
      <c r="W719" s="99"/>
      <c r="X719" s="99"/>
      <c r="Y719" s="99"/>
      <c r="Z719" s="99"/>
      <c r="AA719" s="99"/>
      <c r="AB719" s="99"/>
      <c r="AC719" s="98"/>
      <c r="AD719" s="98"/>
      <c r="AE719" s="98"/>
      <c r="AF719" s="98"/>
      <c r="AG719" s="98"/>
      <c r="AH719" s="98"/>
    </row>
    <row r="720" spans="2:34" x14ac:dyDescent="0.25">
      <c r="B720" s="71"/>
      <c r="C720" s="72"/>
      <c r="D720" s="77"/>
      <c r="E720" s="78"/>
      <c r="F720" s="78"/>
      <c r="G720" s="78"/>
      <c r="H720" s="78"/>
      <c r="I720" s="79"/>
      <c r="J720" s="86"/>
      <c r="K720" s="87"/>
      <c r="L720" s="86"/>
      <c r="M720" s="87"/>
      <c r="N720" s="77"/>
      <c r="O720" s="79"/>
      <c r="P720" s="92"/>
      <c r="Q720" s="93"/>
      <c r="S720" s="99"/>
      <c r="T720" s="99"/>
      <c r="U720" s="99"/>
      <c r="V720" s="99"/>
      <c r="W720" s="99"/>
      <c r="X720" s="99"/>
      <c r="Y720" s="99"/>
      <c r="Z720" s="99"/>
      <c r="AA720" s="99"/>
      <c r="AB720" s="99"/>
      <c r="AC720" s="98"/>
      <c r="AD720" s="98"/>
      <c r="AE720" s="98"/>
      <c r="AF720" s="98"/>
      <c r="AG720" s="98"/>
      <c r="AH720" s="98"/>
    </row>
    <row r="721" spans="2:34" x14ac:dyDescent="0.25">
      <c r="B721" s="73"/>
      <c r="C721" s="74"/>
      <c r="D721" s="80"/>
      <c r="E721" s="81"/>
      <c r="F721" s="81"/>
      <c r="G721" s="81"/>
      <c r="H721" s="81"/>
      <c r="I721" s="82"/>
      <c r="J721" s="88"/>
      <c r="K721" s="89"/>
      <c r="L721" s="88"/>
      <c r="M721" s="89"/>
      <c r="N721" s="80"/>
      <c r="O721" s="82"/>
      <c r="P721" s="94"/>
      <c r="Q721" s="95"/>
      <c r="S721" s="99"/>
      <c r="T721" s="99"/>
      <c r="U721" s="99"/>
      <c r="V721" s="99"/>
      <c r="W721" s="99"/>
      <c r="X721" s="99"/>
      <c r="Y721" s="99"/>
      <c r="Z721" s="99"/>
      <c r="AA721" s="99"/>
      <c r="AB721" s="99"/>
      <c r="AC721" s="98"/>
      <c r="AD721" s="98"/>
      <c r="AE721" s="98"/>
      <c r="AF721" s="98"/>
      <c r="AG721" s="98"/>
      <c r="AH721" s="98"/>
    </row>
    <row r="722" spans="2:34" x14ac:dyDescent="0.25">
      <c r="B722" s="75"/>
      <c r="C722" s="76"/>
      <c r="D722" s="83"/>
      <c r="E722" s="84"/>
      <c r="F722" s="84"/>
      <c r="G722" s="84"/>
      <c r="H722" s="84"/>
      <c r="I722" s="85"/>
      <c r="J722" s="90"/>
      <c r="K722" s="91"/>
      <c r="L722" s="90"/>
      <c r="M722" s="91"/>
      <c r="N722" s="83"/>
      <c r="O722" s="85"/>
      <c r="P722" s="96"/>
      <c r="Q722" s="97"/>
      <c r="S722" s="99"/>
      <c r="T722" s="99"/>
      <c r="U722" s="99"/>
      <c r="V722" s="99"/>
      <c r="W722" s="99"/>
      <c r="X722" s="99"/>
      <c r="Y722" s="99"/>
      <c r="Z722" s="99"/>
      <c r="AA722" s="99"/>
      <c r="AB722" s="99"/>
      <c r="AC722" s="98"/>
      <c r="AD722" s="98"/>
      <c r="AE722" s="98"/>
      <c r="AF722" s="98"/>
      <c r="AG722" s="98"/>
      <c r="AH722" s="98"/>
    </row>
    <row r="723" spans="2:34" x14ac:dyDescent="0.25">
      <c r="B723" s="71"/>
      <c r="C723" s="72"/>
      <c r="D723" s="77"/>
      <c r="E723" s="78"/>
      <c r="F723" s="78"/>
      <c r="G723" s="78"/>
      <c r="H723" s="78"/>
      <c r="I723" s="79"/>
      <c r="J723" s="86"/>
      <c r="K723" s="87"/>
      <c r="L723" s="86"/>
      <c r="M723" s="87"/>
      <c r="N723" s="77"/>
      <c r="O723" s="79"/>
      <c r="P723" s="92"/>
      <c r="Q723" s="93"/>
      <c r="S723" s="99"/>
      <c r="T723" s="99"/>
      <c r="U723" s="99"/>
      <c r="V723" s="99"/>
      <c r="W723" s="99"/>
      <c r="X723" s="99"/>
      <c r="Y723" s="99"/>
      <c r="Z723" s="99"/>
      <c r="AA723" s="99"/>
      <c r="AB723" s="99"/>
      <c r="AC723" s="98"/>
      <c r="AD723" s="98"/>
      <c r="AE723" s="98"/>
      <c r="AF723" s="98"/>
      <c r="AG723" s="98"/>
      <c r="AH723" s="98"/>
    </row>
    <row r="724" spans="2:34" x14ac:dyDescent="0.25">
      <c r="B724" s="73"/>
      <c r="C724" s="74"/>
      <c r="D724" s="80"/>
      <c r="E724" s="81"/>
      <c r="F724" s="81"/>
      <c r="G724" s="81"/>
      <c r="H724" s="81"/>
      <c r="I724" s="82"/>
      <c r="J724" s="88"/>
      <c r="K724" s="89"/>
      <c r="L724" s="88"/>
      <c r="M724" s="89"/>
      <c r="N724" s="80"/>
      <c r="O724" s="82"/>
      <c r="P724" s="94"/>
      <c r="Q724" s="95"/>
      <c r="S724" s="99"/>
      <c r="T724" s="99"/>
      <c r="U724" s="99"/>
      <c r="V724" s="99"/>
      <c r="W724" s="99"/>
      <c r="X724" s="99"/>
      <c r="Y724" s="99"/>
      <c r="Z724" s="99"/>
      <c r="AA724" s="99"/>
      <c r="AB724" s="99"/>
      <c r="AC724" s="98"/>
      <c r="AD724" s="98"/>
      <c r="AE724" s="98"/>
      <c r="AF724" s="98"/>
      <c r="AG724" s="98"/>
      <c r="AH724" s="98"/>
    </row>
    <row r="725" spans="2:34" x14ac:dyDescent="0.25">
      <c r="B725" s="75"/>
      <c r="C725" s="76"/>
      <c r="D725" s="83"/>
      <c r="E725" s="84"/>
      <c r="F725" s="84"/>
      <c r="G725" s="84"/>
      <c r="H725" s="84"/>
      <c r="I725" s="85"/>
      <c r="J725" s="90"/>
      <c r="K725" s="91"/>
      <c r="L725" s="90"/>
      <c r="M725" s="91"/>
      <c r="N725" s="83"/>
      <c r="O725" s="85"/>
      <c r="P725" s="96"/>
      <c r="Q725" s="97"/>
      <c r="S725" s="99"/>
      <c r="T725" s="99"/>
      <c r="U725" s="99"/>
      <c r="V725" s="99"/>
      <c r="W725" s="99"/>
      <c r="X725" s="99"/>
      <c r="Y725" s="99"/>
      <c r="Z725" s="99"/>
      <c r="AA725" s="99"/>
      <c r="AB725" s="99"/>
      <c r="AC725" s="98"/>
      <c r="AD725" s="98"/>
      <c r="AE725" s="98"/>
      <c r="AF725" s="98"/>
      <c r="AG725" s="98"/>
      <c r="AH725" s="98"/>
    </row>
    <row r="726" spans="2:34" x14ac:dyDescent="0.25">
      <c r="B726" s="71"/>
      <c r="C726" s="72"/>
      <c r="D726" s="77"/>
      <c r="E726" s="78"/>
      <c r="F726" s="78"/>
      <c r="G726" s="78"/>
      <c r="H726" s="78"/>
      <c r="I726" s="79"/>
      <c r="J726" s="86"/>
      <c r="K726" s="87"/>
      <c r="L726" s="86"/>
      <c r="M726" s="87"/>
      <c r="N726" s="77"/>
      <c r="O726" s="79"/>
      <c r="P726" s="92"/>
      <c r="Q726" s="93"/>
      <c r="S726" s="99"/>
      <c r="T726" s="99"/>
      <c r="U726" s="99"/>
      <c r="V726" s="99"/>
      <c r="W726" s="99"/>
      <c r="X726" s="99"/>
      <c r="Y726" s="99"/>
      <c r="Z726" s="99"/>
      <c r="AA726" s="99"/>
      <c r="AB726" s="99"/>
      <c r="AC726" s="98"/>
      <c r="AD726" s="98"/>
      <c r="AE726" s="98"/>
      <c r="AF726" s="98"/>
      <c r="AG726" s="98"/>
      <c r="AH726" s="98"/>
    </row>
    <row r="727" spans="2:34" x14ac:dyDescent="0.25">
      <c r="B727" s="73"/>
      <c r="C727" s="74"/>
      <c r="D727" s="80"/>
      <c r="E727" s="81"/>
      <c r="F727" s="81"/>
      <c r="G727" s="81"/>
      <c r="H727" s="81"/>
      <c r="I727" s="82"/>
      <c r="J727" s="88"/>
      <c r="K727" s="89"/>
      <c r="L727" s="88"/>
      <c r="M727" s="89"/>
      <c r="N727" s="80"/>
      <c r="O727" s="82"/>
      <c r="P727" s="94"/>
      <c r="Q727" s="95"/>
      <c r="S727" s="99"/>
      <c r="T727" s="99"/>
      <c r="U727" s="99"/>
      <c r="V727" s="99"/>
      <c r="W727" s="99"/>
      <c r="X727" s="99"/>
      <c r="Y727" s="99"/>
      <c r="Z727" s="99"/>
      <c r="AA727" s="99"/>
      <c r="AB727" s="99"/>
      <c r="AC727" s="98"/>
      <c r="AD727" s="98"/>
      <c r="AE727" s="98"/>
      <c r="AF727" s="98"/>
      <c r="AG727" s="98"/>
      <c r="AH727" s="98"/>
    </row>
    <row r="728" spans="2:34" x14ac:dyDescent="0.25">
      <c r="B728" s="75"/>
      <c r="C728" s="76"/>
      <c r="D728" s="83"/>
      <c r="E728" s="84"/>
      <c r="F728" s="84"/>
      <c r="G728" s="84"/>
      <c r="H728" s="84"/>
      <c r="I728" s="85"/>
      <c r="J728" s="90"/>
      <c r="K728" s="91"/>
      <c r="L728" s="90"/>
      <c r="M728" s="91"/>
      <c r="N728" s="83"/>
      <c r="O728" s="85"/>
      <c r="P728" s="96"/>
      <c r="Q728" s="97"/>
      <c r="S728" s="99"/>
      <c r="T728" s="99"/>
      <c r="U728" s="99"/>
      <c r="V728" s="99"/>
      <c r="W728" s="99"/>
      <c r="X728" s="99"/>
      <c r="Y728" s="99"/>
      <c r="Z728" s="99"/>
      <c r="AA728" s="99"/>
      <c r="AB728" s="99"/>
      <c r="AC728" s="98"/>
      <c r="AD728" s="98"/>
      <c r="AE728" s="98"/>
      <c r="AF728" s="98"/>
      <c r="AG728" s="98"/>
      <c r="AH728" s="98"/>
    </row>
    <row r="729" spans="2:34" x14ac:dyDescent="0.25">
      <c r="B729" s="71"/>
      <c r="C729" s="72"/>
      <c r="D729" s="77"/>
      <c r="E729" s="78"/>
      <c r="F729" s="78"/>
      <c r="G729" s="78"/>
      <c r="H729" s="78"/>
      <c r="I729" s="79"/>
      <c r="J729" s="86"/>
      <c r="K729" s="87"/>
      <c r="L729" s="86"/>
      <c r="M729" s="87"/>
      <c r="N729" s="77"/>
      <c r="O729" s="79"/>
      <c r="P729" s="92"/>
      <c r="Q729" s="93"/>
      <c r="S729" s="99"/>
      <c r="T729" s="99"/>
      <c r="U729" s="99"/>
      <c r="V729" s="99"/>
      <c r="W729" s="99"/>
      <c r="X729" s="99"/>
      <c r="Y729" s="99"/>
      <c r="Z729" s="99"/>
      <c r="AA729" s="99"/>
      <c r="AB729" s="99"/>
      <c r="AC729" s="98"/>
      <c r="AD729" s="98"/>
      <c r="AE729" s="98"/>
      <c r="AF729" s="98"/>
      <c r="AG729" s="98"/>
      <c r="AH729" s="98"/>
    </row>
    <row r="730" spans="2:34" x14ac:dyDescent="0.25">
      <c r="B730" s="73"/>
      <c r="C730" s="74"/>
      <c r="D730" s="80"/>
      <c r="E730" s="81"/>
      <c r="F730" s="81"/>
      <c r="G730" s="81"/>
      <c r="H730" s="81"/>
      <c r="I730" s="82"/>
      <c r="J730" s="88"/>
      <c r="K730" s="89"/>
      <c r="L730" s="88"/>
      <c r="M730" s="89"/>
      <c r="N730" s="80"/>
      <c r="O730" s="82"/>
      <c r="P730" s="94"/>
      <c r="Q730" s="95"/>
      <c r="S730" s="99"/>
      <c r="T730" s="99"/>
      <c r="U730" s="99"/>
      <c r="V730" s="99"/>
      <c r="W730" s="99"/>
      <c r="X730" s="99"/>
      <c r="Y730" s="99"/>
      <c r="Z730" s="99"/>
      <c r="AA730" s="99"/>
      <c r="AB730" s="99"/>
      <c r="AC730" s="98"/>
      <c r="AD730" s="98"/>
      <c r="AE730" s="98"/>
      <c r="AF730" s="98"/>
      <c r="AG730" s="98"/>
      <c r="AH730" s="98"/>
    </row>
    <row r="731" spans="2:34" x14ac:dyDescent="0.25">
      <c r="B731" s="75"/>
      <c r="C731" s="76"/>
      <c r="D731" s="83"/>
      <c r="E731" s="84"/>
      <c r="F731" s="84"/>
      <c r="G731" s="84"/>
      <c r="H731" s="84"/>
      <c r="I731" s="85"/>
      <c r="J731" s="90"/>
      <c r="K731" s="91"/>
      <c r="L731" s="90"/>
      <c r="M731" s="91"/>
      <c r="N731" s="83"/>
      <c r="O731" s="85"/>
      <c r="P731" s="96"/>
      <c r="Q731" s="97"/>
      <c r="S731" s="99"/>
      <c r="T731" s="99"/>
      <c r="U731" s="99"/>
      <c r="V731" s="99"/>
      <c r="W731" s="99"/>
      <c r="X731" s="99"/>
      <c r="Y731" s="99"/>
      <c r="Z731" s="99"/>
      <c r="AA731" s="99"/>
      <c r="AB731" s="99"/>
      <c r="AC731" s="98"/>
      <c r="AD731" s="98"/>
      <c r="AE731" s="98"/>
      <c r="AF731" s="98"/>
      <c r="AG731" s="98"/>
      <c r="AH731" s="98"/>
    </row>
    <row r="732" spans="2:34" x14ac:dyDescent="0.25">
      <c r="B732" s="71"/>
      <c r="C732" s="72"/>
      <c r="D732" s="77"/>
      <c r="E732" s="78"/>
      <c r="F732" s="78"/>
      <c r="G732" s="78"/>
      <c r="H732" s="78"/>
      <c r="I732" s="79"/>
      <c r="J732" s="86"/>
      <c r="K732" s="87"/>
      <c r="L732" s="86"/>
      <c r="M732" s="87"/>
      <c r="N732" s="77"/>
      <c r="O732" s="79"/>
      <c r="P732" s="92"/>
      <c r="Q732" s="93"/>
      <c r="S732" s="99"/>
      <c r="T732" s="99"/>
      <c r="U732" s="99"/>
      <c r="V732" s="99"/>
      <c r="W732" s="99"/>
      <c r="X732" s="99"/>
      <c r="Y732" s="99"/>
      <c r="Z732" s="99"/>
      <c r="AA732" s="99"/>
      <c r="AB732" s="99"/>
      <c r="AC732" s="98"/>
      <c r="AD732" s="98"/>
      <c r="AE732" s="98"/>
      <c r="AF732" s="98"/>
      <c r="AG732" s="98"/>
      <c r="AH732" s="98"/>
    </row>
    <row r="733" spans="2:34" x14ac:dyDescent="0.25">
      <c r="B733" s="73"/>
      <c r="C733" s="74"/>
      <c r="D733" s="80"/>
      <c r="E733" s="81"/>
      <c r="F733" s="81"/>
      <c r="G733" s="81"/>
      <c r="H733" s="81"/>
      <c r="I733" s="82"/>
      <c r="J733" s="88"/>
      <c r="K733" s="89"/>
      <c r="L733" s="88"/>
      <c r="M733" s="89"/>
      <c r="N733" s="80"/>
      <c r="O733" s="82"/>
      <c r="P733" s="94"/>
      <c r="Q733" s="95"/>
      <c r="S733" s="99"/>
      <c r="T733" s="99"/>
      <c r="U733" s="99"/>
      <c r="V733" s="99"/>
      <c r="W733" s="99"/>
      <c r="X733" s="99"/>
      <c r="Y733" s="99"/>
      <c r="Z733" s="99"/>
      <c r="AA733" s="99"/>
      <c r="AB733" s="99"/>
      <c r="AC733" s="98"/>
      <c r="AD733" s="98"/>
      <c r="AE733" s="98"/>
      <c r="AF733" s="98"/>
      <c r="AG733" s="98"/>
      <c r="AH733" s="98"/>
    </row>
    <row r="734" spans="2:34" x14ac:dyDescent="0.25">
      <c r="B734" s="75"/>
      <c r="C734" s="76"/>
      <c r="D734" s="83"/>
      <c r="E734" s="84"/>
      <c r="F734" s="84"/>
      <c r="G734" s="84"/>
      <c r="H734" s="84"/>
      <c r="I734" s="85"/>
      <c r="J734" s="90"/>
      <c r="K734" s="91"/>
      <c r="L734" s="90"/>
      <c r="M734" s="91"/>
      <c r="N734" s="83"/>
      <c r="O734" s="85"/>
      <c r="P734" s="96"/>
      <c r="Q734" s="97"/>
      <c r="S734" s="99"/>
      <c r="T734" s="99"/>
      <c r="U734" s="99"/>
      <c r="V734" s="99"/>
      <c r="W734" s="99"/>
      <c r="X734" s="99"/>
      <c r="Y734" s="99"/>
      <c r="Z734" s="99"/>
      <c r="AA734" s="99"/>
      <c r="AB734" s="99"/>
      <c r="AC734" s="98"/>
      <c r="AD734" s="98"/>
      <c r="AE734" s="98"/>
      <c r="AF734" s="98"/>
      <c r="AG734" s="98"/>
      <c r="AH734" s="98"/>
    </row>
    <row r="735" spans="2:34" x14ac:dyDescent="0.25">
      <c r="B735" s="71"/>
      <c r="C735" s="72"/>
      <c r="D735" s="77"/>
      <c r="E735" s="78"/>
      <c r="F735" s="78"/>
      <c r="G735" s="78"/>
      <c r="H735" s="78"/>
      <c r="I735" s="79"/>
      <c r="J735" s="86"/>
      <c r="K735" s="87"/>
      <c r="L735" s="86"/>
      <c r="M735" s="87"/>
      <c r="N735" s="77"/>
      <c r="O735" s="79"/>
      <c r="P735" s="92"/>
      <c r="Q735" s="93"/>
      <c r="S735" s="99"/>
      <c r="T735" s="99"/>
      <c r="U735" s="99"/>
      <c r="V735" s="99"/>
      <c r="W735" s="99"/>
      <c r="X735" s="99"/>
      <c r="Y735" s="99"/>
      <c r="Z735" s="99"/>
      <c r="AA735" s="99"/>
      <c r="AB735" s="99"/>
      <c r="AC735" s="98"/>
      <c r="AD735" s="98"/>
      <c r="AE735" s="98"/>
      <c r="AF735" s="98"/>
      <c r="AG735" s="98"/>
      <c r="AH735" s="98"/>
    </row>
    <row r="736" spans="2:34" x14ac:dyDescent="0.25">
      <c r="B736" s="73"/>
      <c r="C736" s="74"/>
      <c r="D736" s="80"/>
      <c r="E736" s="81"/>
      <c r="F736" s="81"/>
      <c r="G736" s="81"/>
      <c r="H736" s="81"/>
      <c r="I736" s="82"/>
      <c r="J736" s="88"/>
      <c r="K736" s="89"/>
      <c r="L736" s="88"/>
      <c r="M736" s="89"/>
      <c r="N736" s="80"/>
      <c r="O736" s="82"/>
      <c r="P736" s="94"/>
      <c r="Q736" s="95"/>
      <c r="S736" s="99"/>
      <c r="T736" s="99"/>
      <c r="U736" s="99"/>
      <c r="V736" s="99"/>
      <c r="W736" s="99"/>
      <c r="X736" s="99"/>
      <c r="Y736" s="99"/>
      <c r="Z736" s="99"/>
      <c r="AA736" s="99"/>
      <c r="AB736" s="99"/>
      <c r="AC736" s="98"/>
      <c r="AD736" s="98"/>
      <c r="AE736" s="98"/>
      <c r="AF736" s="98"/>
      <c r="AG736" s="98"/>
      <c r="AH736" s="98"/>
    </row>
    <row r="737" spans="2:34" x14ac:dyDescent="0.25">
      <c r="B737" s="75"/>
      <c r="C737" s="76"/>
      <c r="D737" s="83"/>
      <c r="E737" s="84"/>
      <c r="F737" s="84"/>
      <c r="G737" s="84"/>
      <c r="H737" s="84"/>
      <c r="I737" s="85"/>
      <c r="J737" s="90"/>
      <c r="K737" s="91"/>
      <c r="L737" s="90"/>
      <c r="M737" s="91"/>
      <c r="N737" s="83"/>
      <c r="O737" s="85"/>
      <c r="P737" s="96"/>
      <c r="Q737" s="97"/>
      <c r="S737" s="99"/>
      <c r="T737" s="99"/>
      <c r="U737" s="99"/>
      <c r="V737" s="99"/>
      <c r="W737" s="99"/>
      <c r="X737" s="99"/>
      <c r="Y737" s="99"/>
      <c r="Z737" s="99"/>
      <c r="AA737" s="99"/>
      <c r="AB737" s="99"/>
      <c r="AC737" s="98"/>
      <c r="AD737" s="98"/>
      <c r="AE737" s="98"/>
      <c r="AF737" s="98"/>
      <c r="AG737" s="98"/>
      <c r="AH737" s="98"/>
    </row>
    <row r="738" spans="2:34" x14ac:dyDescent="0.25">
      <c r="B738" s="71"/>
      <c r="C738" s="72"/>
      <c r="D738" s="77"/>
      <c r="E738" s="78"/>
      <c r="F738" s="78"/>
      <c r="G738" s="78"/>
      <c r="H738" s="78"/>
      <c r="I738" s="79"/>
      <c r="J738" s="86"/>
      <c r="K738" s="87"/>
      <c r="L738" s="86"/>
      <c r="M738" s="87"/>
      <c r="N738" s="77"/>
      <c r="O738" s="79"/>
      <c r="P738" s="92"/>
      <c r="Q738" s="93"/>
      <c r="S738" s="99"/>
      <c r="T738" s="99"/>
      <c r="U738" s="99"/>
      <c r="V738" s="99"/>
      <c r="W738" s="99"/>
      <c r="X738" s="99"/>
      <c r="Y738" s="99"/>
      <c r="Z738" s="99"/>
      <c r="AA738" s="99"/>
      <c r="AB738" s="99"/>
      <c r="AC738" s="98"/>
      <c r="AD738" s="98"/>
      <c r="AE738" s="98"/>
      <c r="AF738" s="98"/>
      <c r="AG738" s="98"/>
      <c r="AH738" s="98"/>
    </row>
    <row r="739" spans="2:34" x14ac:dyDescent="0.25">
      <c r="B739" s="73"/>
      <c r="C739" s="74"/>
      <c r="D739" s="80"/>
      <c r="E739" s="81"/>
      <c r="F739" s="81"/>
      <c r="G739" s="81"/>
      <c r="H739" s="81"/>
      <c r="I739" s="82"/>
      <c r="J739" s="88"/>
      <c r="K739" s="89"/>
      <c r="L739" s="88"/>
      <c r="M739" s="89"/>
      <c r="N739" s="80"/>
      <c r="O739" s="82"/>
      <c r="P739" s="94"/>
      <c r="Q739" s="95"/>
      <c r="S739" s="99"/>
      <c r="T739" s="99"/>
      <c r="U739" s="99"/>
      <c r="V739" s="99"/>
      <c r="W739" s="99"/>
      <c r="X739" s="99"/>
      <c r="Y739" s="99"/>
      <c r="Z739" s="99"/>
      <c r="AA739" s="99"/>
      <c r="AB739" s="99"/>
      <c r="AC739" s="98"/>
      <c r="AD739" s="98"/>
      <c r="AE739" s="98"/>
      <c r="AF739" s="98"/>
      <c r="AG739" s="98"/>
      <c r="AH739" s="98"/>
    </row>
    <row r="740" spans="2:34" x14ac:dyDescent="0.25">
      <c r="B740" s="75"/>
      <c r="C740" s="76"/>
      <c r="D740" s="83"/>
      <c r="E740" s="84"/>
      <c r="F740" s="84"/>
      <c r="G740" s="84"/>
      <c r="H740" s="84"/>
      <c r="I740" s="85"/>
      <c r="J740" s="90"/>
      <c r="K740" s="91"/>
      <c r="L740" s="90"/>
      <c r="M740" s="91"/>
      <c r="N740" s="83"/>
      <c r="O740" s="85"/>
      <c r="P740" s="96"/>
      <c r="Q740" s="97"/>
      <c r="S740" s="99"/>
      <c r="T740" s="99"/>
      <c r="U740" s="99"/>
      <c r="V740" s="99"/>
      <c r="W740" s="99"/>
      <c r="X740" s="99"/>
      <c r="Y740" s="99"/>
      <c r="Z740" s="99"/>
      <c r="AA740" s="99"/>
      <c r="AB740" s="99"/>
      <c r="AC740" s="98"/>
      <c r="AD740" s="98"/>
      <c r="AE740" s="98"/>
      <c r="AF740" s="98"/>
      <c r="AG740" s="98"/>
      <c r="AH740" s="98"/>
    </row>
    <row r="741" spans="2:34" x14ac:dyDescent="0.25">
      <c r="B741" s="71"/>
      <c r="C741" s="72"/>
      <c r="D741" s="77"/>
      <c r="E741" s="78"/>
      <c r="F741" s="78"/>
      <c r="G741" s="78"/>
      <c r="H741" s="78"/>
      <c r="I741" s="79"/>
      <c r="J741" s="86"/>
      <c r="K741" s="87"/>
      <c r="L741" s="86"/>
      <c r="M741" s="87"/>
      <c r="N741" s="77"/>
      <c r="O741" s="79"/>
      <c r="P741" s="92"/>
      <c r="Q741" s="93"/>
      <c r="S741" s="99"/>
      <c r="T741" s="99"/>
      <c r="U741" s="99"/>
      <c r="V741" s="99"/>
      <c r="W741" s="99"/>
      <c r="X741" s="99"/>
      <c r="Y741" s="99"/>
      <c r="Z741" s="99"/>
      <c r="AA741" s="99"/>
      <c r="AB741" s="99"/>
      <c r="AC741" s="98"/>
      <c r="AD741" s="98"/>
      <c r="AE741" s="98"/>
      <c r="AF741" s="98"/>
      <c r="AG741" s="98"/>
      <c r="AH741" s="98"/>
    </row>
    <row r="742" spans="2:34" x14ac:dyDescent="0.25">
      <c r="B742" s="73"/>
      <c r="C742" s="74"/>
      <c r="D742" s="80"/>
      <c r="E742" s="81"/>
      <c r="F742" s="81"/>
      <c r="G742" s="81"/>
      <c r="H742" s="81"/>
      <c r="I742" s="82"/>
      <c r="J742" s="88"/>
      <c r="K742" s="89"/>
      <c r="L742" s="88"/>
      <c r="M742" s="89"/>
      <c r="N742" s="80"/>
      <c r="O742" s="82"/>
      <c r="P742" s="94"/>
      <c r="Q742" s="95"/>
      <c r="S742" s="99"/>
      <c r="T742" s="99"/>
      <c r="U742" s="99"/>
      <c r="V742" s="99"/>
      <c r="W742" s="99"/>
      <c r="X742" s="99"/>
      <c r="Y742" s="99"/>
      <c r="Z742" s="99"/>
      <c r="AA742" s="99"/>
      <c r="AB742" s="99"/>
      <c r="AC742" s="98"/>
      <c r="AD742" s="98"/>
      <c r="AE742" s="98"/>
      <c r="AF742" s="98"/>
      <c r="AG742" s="98"/>
      <c r="AH742" s="98"/>
    </row>
    <row r="743" spans="2:34" x14ac:dyDescent="0.25">
      <c r="B743" s="75"/>
      <c r="C743" s="76"/>
      <c r="D743" s="83"/>
      <c r="E743" s="84"/>
      <c r="F743" s="84"/>
      <c r="G743" s="84"/>
      <c r="H743" s="84"/>
      <c r="I743" s="85"/>
      <c r="J743" s="90"/>
      <c r="K743" s="91"/>
      <c r="L743" s="90"/>
      <c r="M743" s="91"/>
      <c r="N743" s="83"/>
      <c r="O743" s="85"/>
      <c r="P743" s="96"/>
      <c r="Q743" s="97"/>
      <c r="S743" s="99"/>
      <c r="T743" s="99"/>
      <c r="U743" s="99"/>
      <c r="V743" s="99"/>
      <c r="W743" s="99"/>
      <c r="X743" s="99"/>
      <c r="Y743" s="99"/>
      <c r="Z743" s="99"/>
      <c r="AA743" s="99"/>
      <c r="AB743" s="99"/>
      <c r="AC743" s="98"/>
      <c r="AD743" s="98"/>
      <c r="AE743" s="98"/>
      <c r="AF743" s="98"/>
      <c r="AG743" s="98"/>
      <c r="AH743" s="98"/>
    </row>
    <row r="744" spans="2:34" x14ac:dyDescent="0.25">
      <c r="B744" s="71"/>
      <c r="C744" s="72"/>
      <c r="D744" s="77"/>
      <c r="E744" s="78"/>
      <c r="F744" s="78"/>
      <c r="G744" s="78"/>
      <c r="H744" s="78"/>
      <c r="I744" s="79"/>
      <c r="J744" s="86"/>
      <c r="K744" s="87"/>
      <c r="L744" s="86"/>
      <c r="M744" s="87"/>
      <c r="N744" s="77"/>
      <c r="O744" s="79"/>
      <c r="P744" s="92"/>
      <c r="Q744" s="93"/>
      <c r="S744" s="99"/>
      <c r="T744" s="99"/>
      <c r="U744" s="99"/>
      <c r="V744" s="99"/>
      <c r="W744" s="99"/>
      <c r="X744" s="99"/>
      <c r="Y744" s="99"/>
      <c r="Z744" s="99"/>
      <c r="AA744" s="99"/>
      <c r="AB744" s="99"/>
      <c r="AC744" s="98"/>
      <c r="AD744" s="98"/>
      <c r="AE744" s="98"/>
      <c r="AF744" s="98"/>
      <c r="AG744" s="98"/>
      <c r="AH744" s="98"/>
    </row>
    <row r="745" spans="2:34" x14ac:dyDescent="0.25">
      <c r="B745" s="73"/>
      <c r="C745" s="74"/>
      <c r="D745" s="80"/>
      <c r="E745" s="81"/>
      <c r="F745" s="81"/>
      <c r="G745" s="81"/>
      <c r="H745" s="81"/>
      <c r="I745" s="82"/>
      <c r="J745" s="88"/>
      <c r="K745" s="89"/>
      <c r="L745" s="88"/>
      <c r="M745" s="89"/>
      <c r="N745" s="80"/>
      <c r="O745" s="82"/>
      <c r="P745" s="94"/>
      <c r="Q745" s="95"/>
      <c r="S745" s="99"/>
      <c r="T745" s="99"/>
      <c r="U745" s="99"/>
      <c r="V745" s="99"/>
      <c r="W745" s="99"/>
      <c r="X745" s="99"/>
      <c r="Y745" s="99"/>
      <c r="Z745" s="99"/>
      <c r="AA745" s="99"/>
      <c r="AB745" s="99"/>
      <c r="AC745" s="98"/>
      <c r="AD745" s="98"/>
      <c r="AE745" s="98"/>
      <c r="AF745" s="98"/>
      <c r="AG745" s="98"/>
      <c r="AH745" s="98"/>
    </row>
    <row r="746" spans="2:34" x14ac:dyDescent="0.25">
      <c r="B746" s="75"/>
      <c r="C746" s="76"/>
      <c r="D746" s="83"/>
      <c r="E746" s="84"/>
      <c r="F746" s="84"/>
      <c r="G746" s="84"/>
      <c r="H746" s="84"/>
      <c r="I746" s="85"/>
      <c r="J746" s="90"/>
      <c r="K746" s="91"/>
      <c r="L746" s="90"/>
      <c r="M746" s="91"/>
      <c r="N746" s="83"/>
      <c r="O746" s="85"/>
      <c r="P746" s="96"/>
      <c r="Q746" s="97"/>
      <c r="S746" s="99"/>
      <c r="T746" s="99"/>
      <c r="U746" s="99"/>
      <c r="V746" s="99"/>
      <c r="W746" s="99"/>
      <c r="X746" s="99"/>
      <c r="Y746" s="99"/>
      <c r="Z746" s="99"/>
      <c r="AA746" s="99"/>
      <c r="AB746" s="99"/>
      <c r="AC746" s="98"/>
      <c r="AD746" s="98"/>
      <c r="AE746" s="98"/>
      <c r="AF746" s="98"/>
      <c r="AG746" s="98"/>
      <c r="AH746" s="98"/>
    </row>
    <row r="747" spans="2:34" x14ac:dyDescent="0.25">
      <c r="B747" s="71"/>
      <c r="C747" s="72"/>
      <c r="D747" s="77"/>
      <c r="E747" s="78"/>
      <c r="F747" s="78"/>
      <c r="G747" s="78"/>
      <c r="H747" s="78"/>
      <c r="I747" s="79"/>
      <c r="J747" s="86"/>
      <c r="K747" s="87"/>
      <c r="L747" s="86"/>
      <c r="M747" s="87"/>
      <c r="N747" s="77"/>
      <c r="O747" s="79"/>
      <c r="P747" s="92"/>
      <c r="Q747" s="93"/>
      <c r="S747" s="99"/>
      <c r="T747" s="99"/>
      <c r="U747" s="99"/>
      <c r="V747" s="99"/>
      <c r="W747" s="99"/>
      <c r="X747" s="99"/>
      <c r="Y747" s="99"/>
      <c r="Z747" s="99"/>
      <c r="AA747" s="99"/>
      <c r="AB747" s="99"/>
      <c r="AC747" s="98"/>
      <c r="AD747" s="98"/>
      <c r="AE747" s="98"/>
      <c r="AF747" s="98"/>
      <c r="AG747" s="98"/>
      <c r="AH747" s="98"/>
    </row>
    <row r="748" spans="2:34" x14ac:dyDescent="0.25">
      <c r="B748" s="73"/>
      <c r="C748" s="74"/>
      <c r="D748" s="80"/>
      <c r="E748" s="81"/>
      <c r="F748" s="81"/>
      <c r="G748" s="81"/>
      <c r="H748" s="81"/>
      <c r="I748" s="82"/>
      <c r="J748" s="88"/>
      <c r="K748" s="89"/>
      <c r="L748" s="88"/>
      <c r="M748" s="89"/>
      <c r="N748" s="80"/>
      <c r="O748" s="82"/>
      <c r="P748" s="94"/>
      <c r="Q748" s="95"/>
      <c r="S748" s="99"/>
      <c r="T748" s="99"/>
      <c r="U748" s="99"/>
      <c r="V748" s="99"/>
      <c r="W748" s="99"/>
      <c r="X748" s="99"/>
      <c r="Y748" s="99"/>
      <c r="Z748" s="99"/>
      <c r="AA748" s="99"/>
      <c r="AB748" s="99"/>
      <c r="AC748" s="98"/>
      <c r="AD748" s="98"/>
      <c r="AE748" s="98"/>
      <c r="AF748" s="98"/>
      <c r="AG748" s="98"/>
      <c r="AH748" s="98"/>
    </row>
    <row r="749" spans="2:34" x14ac:dyDescent="0.25">
      <c r="B749" s="75"/>
      <c r="C749" s="76"/>
      <c r="D749" s="83"/>
      <c r="E749" s="84"/>
      <c r="F749" s="84"/>
      <c r="G749" s="84"/>
      <c r="H749" s="84"/>
      <c r="I749" s="85"/>
      <c r="J749" s="90"/>
      <c r="K749" s="91"/>
      <c r="L749" s="90"/>
      <c r="M749" s="91"/>
      <c r="N749" s="83"/>
      <c r="O749" s="85"/>
      <c r="P749" s="96"/>
      <c r="Q749" s="97"/>
      <c r="S749" s="99"/>
      <c r="T749" s="99"/>
      <c r="U749" s="99"/>
      <c r="V749" s="99"/>
      <c r="W749" s="99"/>
      <c r="X749" s="99"/>
      <c r="Y749" s="99"/>
      <c r="Z749" s="99"/>
      <c r="AA749" s="99"/>
      <c r="AB749" s="99"/>
      <c r="AC749" s="98"/>
      <c r="AD749" s="98"/>
      <c r="AE749" s="98"/>
      <c r="AF749" s="98"/>
      <c r="AG749" s="98"/>
      <c r="AH749" s="98"/>
    </row>
    <row r="750" spans="2:34" x14ac:dyDescent="0.25">
      <c r="B750" s="71"/>
      <c r="C750" s="72"/>
      <c r="D750" s="77"/>
      <c r="E750" s="78"/>
      <c r="F750" s="78"/>
      <c r="G750" s="78"/>
      <c r="H750" s="78"/>
      <c r="I750" s="79"/>
      <c r="J750" s="86"/>
      <c r="K750" s="87"/>
      <c r="L750" s="86"/>
      <c r="M750" s="87"/>
      <c r="N750" s="77"/>
      <c r="O750" s="79"/>
      <c r="P750" s="92"/>
      <c r="Q750" s="93"/>
      <c r="S750" s="99"/>
      <c r="T750" s="99"/>
      <c r="U750" s="99"/>
      <c r="V750" s="99"/>
      <c r="W750" s="99"/>
      <c r="X750" s="99"/>
      <c r="Y750" s="99"/>
      <c r="Z750" s="99"/>
      <c r="AA750" s="99"/>
      <c r="AB750" s="99"/>
      <c r="AC750" s="98"/>
      <c r="AD750" s="98"/>
      <c r="AE750" s="98"/>
      <c r="AF750" s="98"/>
      <c r="AG750" s="98"/>
      <c r="AH750" s="98"/>
    </row>
    <row r="751" spans="2:34" x14ac:dyDescent="0.25">
      <c r="B751" s="73"/>
      <c r="C751" s="74"/>
      <c r="D751" s="80"/>
      <c r="E751" s="81"/>
      <c r="F751" s="81"/>
      <c r="G751" s="81"/>
      <c r="H751" s="81"/>
      <c r="I751" s="82"/>
      <c r="J751" s="88"/>
      <c r="K751" s="89"/>
      <c r="L751" s="88"/>
      <c r="M751" s="89"/>
      <c r="N751" s="80"/>
      <c r="O751" s="82"/>
      <c r="P751" s="94"/>
      <c r="Q751" s="95"/>
      <c r="S751" s="99"/>
      <c r="T751" s="99"/>
      <c r="U751" s="99"/>
      <c r="V751" s="99"/>
      <c r="W751" s="99"/>
      <c r="X751" s="99"/>
      <c r="Y751" s="99"/>
      <c r="Z751" s="99"/>
      <c r="AA751" s="99"/>
      <c r="AB751" s="99"/>
      <c r="AC751" s="98"/>
      <c r="AD751" s="98"/>
      <c r="AE751" s="98"/>
      <c r="AF751" s="98"/>
      <c r="AG751" s="98"/>
      <c r="AH751" s="98"/>
    </row>
    <row r="752" spans="2:34" x14ac:dyDescent="0.25">
      <c r="B752" s="75"/>
      <c r="C752" s="76"/>
      <c r="D752" s="83"/>
      <c r="E752" s="84"/>
      <c r="F752" s="84"/>
      <c r="G752" s="84"/>
      <c r="H752" s="84"/>
      <c r="I752" s="85"/>
      <c r="J752" s="90"/>
      <c r="K752" s="91"/>
      <c r="L752" s="90"/>
      <c r="M752" s="91"/>
      <c r="N752" s="83"/>
      <c r="O752" s="85"/>
      <c r="P752" s="96"/>
      <c r="Q752" s="97"/>
      <c r="S752" s="99"/>
      <c r="T752" s="99"/>
      <c r="U752" s="99"/>
      <c r="V752" s="99"/>
      <c r="W752" s="99"/>
      <c r="X752" s="99"/>
      <c r="Y752" s="99"/>
      <c r="Z752" s="99"/>
      <c r="AA752" s="99"/>
      <c r="AB752" s="99"/>
      <c r="AC752" s="98"/>
      <c r="AD752" s="98"/>
      <c r="AE752" s="98"/>
      <c r="AF752" s="98"/>
      <c r="AG752" s="98"/>
      <c r="AH752" s="98"/>
    </row>
    <row r="753" spans="2:34" x14ac:dyDescent="0.25">
      <c r="B753" s="71"/>
      <c r="C753" s="72"/>
      <c r="D753" s="77"/>
      <c r="E753" s="78"/>
      <c r="F753" s="78"/>
      <c r="G753" s="78"/>
      <c r="H753" s="78"/>
      <c r="I753" s="79"/>
      <c r="J753" s="86"/>
      <c r="K753" s="87"/>
      <c r="L753" s="86"/>
      <c r="M753" s="87"/>
      <c r="N753" s="77"/>
      <c r="O753" s="79"/>
      <c r="P753" s="92"/>
      <c r="Q753" s="93"/>
      <c r="S753" s="99"/>
      <c r="T753" s="99"/>
      <c r="U753" s="99"/>
      <c r="V753" s="99"/>
      <c r="W753" s="99"/>
      <c r="X753" s="99"/>
      <c r="Y753" s="99"/>
      <c r="Z753" s="99"/>
      <c r="AA753" s="99"/>
      <c r="AB753" s="99"/>
      <c r="AC753" s="98"/>
      <c r="AD753" s="98"/>
      <c r="AE753" s="98"/>
      <c r="AF753" s="98"/>
      <c r="AG753" s="98"/>
      <c r="AH753" s="98"/>
    </row>
    <row r="754" spans="2:34" x14ac:dyDescent="0.25">
      <c r="B754" s="73"/>
      <c r="C754" s="74"/>
      <c r="D754" s="80"/>
      <c r="E754" s="81"/>
      <c r="F754" s="81"/>
      <c r="G754" s="81"/>
      <c r="H754" s="81"/>
      <c r="I754" s="82"/>
      <c r="J754" s="88"/>
      <c r="K754" s="89"/>
      <c r="L754" s="88"/>
      <c r="M754" s="89"/>
      <c r="N754" s="80"/>
      <c r="O754" s="82"/>
      <c r="P754" s="94"/>
      <c r="Q754" s="95"/>
      <c r="S754" s="99"/>
      <c r="T754" s="99"/>
      <c r="U754" s="99"/>
      <c r="V754" s="99"/>
      <c r="W754" s="99"/>
      <c r="X754" s="99"/>
      <c r="Y754" s="99"/>
      <c r="Z754" s="99"/>
      <c r="AA754" s="99"/>
      <c r="AB754" s="99"/>
      <c r="AC754" s="98"/>
      <c r="AD754" s="98"/>
      <c r="AE754" s="98"/>
      <c r="AF754" s="98"/>
      <c r="AG754" s="98"/>
      <c r="AH754" s="98"/>
    </row>
    <row r="755" spans="2:34" x14ac:dyDescent="0.25">
      <c r="B755" s="75"/>
      <c r="C755" s="76"/>
      <c r="D755" s="83"/>
      <c r="E755" s="84"/>
      <c r="F755" s="84"/>
      <c r="G755" s="84"/>
      <c r="H755" s="84"/>
      <c r="I755" s="85"/>
      <c r="J755" s="90"/>
      <c r="K755" s="91"/>
      <c r="L755" s="90"/>
      <c r="M755" s="91"/>
      <c r="N755" s="83"/>
      <c r="O755" s="85"/>
      <c r="P755" s="96"/>
      <c r="Q755" s="97"/>
      <c r="S755" s="99"/>
      <c r="T755" s="99"/>
      <c r="U755" s="99"/>
      <c r="V755" s="99"/>
      <c r="W755" s="99"/>
      <c r="X755" s="99"/>
      <c r="Y755" s="99"/>
      <c r="Z755" s="99"/>
      <c r="AA755" s="99"/>
      <c r="AB755" s="99"/>
      <c r="AC755" s="98"/>
      <c r="AD755" s="98"/>
      <c r="AE755" s="98"/>
      <c r="AF755" s="98"/>
      <c r="AG755" s="98"/>
      <c r="AH755" s="98"/>
    </row>
    <row r="756" spans="2:34" x14ac:dyDescent="0.25">
      <c r="B756" s="71"/>
      <c r="C756" s="72"/>
      <c r="D756" s="77"/>
      <c r="E756" s="78"/>
      <c r="F756" s="78"/>
      <c r="G756" s="78"/>
      <c r="H756" s="78"/>
      <c r="I756" s="79"/>
      <c r="J756" s="86"/>
      <c r="K756" s="87"/>
      <c r="L756" s="86"/>
      <c r="M756" s="87"/>
      <c r="N756" s="77"/>
      <c r="O756" s="79"/>
      <c r="P756" s="92"/>
      <c r="Q756" s="93"/>
      <c r="S756" s="99"/>
      <c r="T756" s="99"/>
      <c r="U756" s="99"/>
      <c r="V756" s="99"/>
      <c r="W756" s="99"/>
      <c r="X756" s="99"/>
      <c r="Y756" s="99"/>
      <c r="Z756" s="99"/>
      <c r="AA756" s="99"/>
      <c r="AB756" s="99"/>
      <c r="AC756" s="98"/>
      <c r="AD756" s="98"/>
      <c r="AE756" s="98"/>
      <c r="AF756" s="98"/>
      <c r="AG756" s="98"/>
      <c r="AH756" s="98"/>
    </row>
    <row r="757" spans="2:34" x14ac:dyDescent="0.25">
      <c r="B757" s="73"/>
      <c r="C757" s="74"/>
      <c r="D757" s="80"/>
      <c r="E757" s="81"/>
      <c r="F757" s="81"/>
      <c r="G757" s="81"/>
      <c r="H757" s="81"/>
      <c r="I757" s="82"/>
      <c r="J757" s="88"/>
      <c r="K757" s="89"/>
      <c r="L757" s="88"/>
      <c r="M757" s="89"/>
      <c r="N757" s="80"/>
      <c r="O757" s="82"/>
      <c r="P757" s="94"/>
      <c r="Q757" s="95"/>
      <c r="S757" s="99"/>
      <c r="T757" s="99"/>
      <c r="U757" s="99"/>
      <c r="V757" s="99"/>
      <c r="W757" s="99"/>
      <c r="X757" s="99"/>
      <c r="Y757" s="99"/>
      <c r="Z757" s="99"/>
      <c r="AA757" s="99"/>
      <c r="AB757" s="99"/>
      <c r="AC757" s="98"/>
      <c r="AD757" s="98"/>
      <c r="AE757" s="98"/>
      <c r="AF757" s="98"/>
      <c r="AG757" s="98"/>
      <c r="AH757" s="98"/>
    </row>
    <row r="758" spans="2:34" x14ac:dyDescent="0.25">
      <c r="B758" s="75"/>
      <c r="C758" s="76"/>
      <c r="D758" s="83"/>
      <c r="E758" s="84"/>
      <c r="F758" s="84"/>
      <c r="G758" s="84"/>
      <c r="H758" s="84"/>
      <c r="I758" s="85"/>
      <c r="J758" s="90"/>
      <c r="K758" s="91"/>
      <c r="L758" s="90"/>
      <c r="M758" s="91"/>
      <c r="N758" s="83"/>
      <c r="O758" s="85"/>
      <c r="P758" s="96"/>
      <c r="Q758" s="97"/>
      <c r="S758" s="99"/>
      <c r="T758" s="99"/>
      <c r="U758" s="99"/>
      <c r="V758" s="99"/>
      <c r="W758" s="99"/>
      <c r="X758" s="99"/>
      <c r="Y758" s="99"/>
      <c r="Z758" s="99"/>
      <c r="AA758" s="99"/>
      <c r="AB758" s="99"/>
      <c r="AC758" s="98"/>
      <c r="AD758" s="98"/>
      <c r="AE758" s="98"/>
      <c r="AF758" s="98"/>
      <c r="AG758" s="98"/>
      <c r="AH758" s="98"/>
    </row>
    <row r="759" spans="2:34" x14ac:dyDescent="0.25">
      <c r="B759" s="71"/>
      <c r="C759" s="72"/>
      <c r="D759" s="77"/>
      <c r="E759" s="78"/>
      <c r="F759" s="78"/>
      <c r="G759" s="78"/>
      <c r="H759" s="78"/>
      <c r="I759" s="79"/>
      <c r="J759" s="86"/>
      <c r="K759" s="87"/>
      <c r="L759" s="86"/>
      <c r="M759" s="87"/>
      <c r="N759" s="77"/>
      <c r="O759" s="79"/>
      <c r="P759" s="92"/>
      <c r="Q759" s="93"/>
      <c r="S759" s="99"/>
      <c r="T759" s="99"/>
      <c r="U759" s="99"/>
      <c r="V759" s="99"/>
      <c r="W759" s="99"/>
      <c r="X759" s="99"/>
      <c r="Y759" s="99"/>
      <c r="Z759" s="99"/>
      <c r="AA759" s="99"/>
      <c r="AB759" s="99"/>
      <c r="AC759" s="98"/>
      <c r="AD759" s="98"/>
      <c r="AE759" s="98"/>
      <c r="AF759" s="98"/>
      <c r="AG759" s="98"/>
      <c r="AH759" s="98"/>
    </row>
    <row r="760" spans="2:34" x14ac:dyDescent="0.25">
      <c r="B760" s="73"/>
      <c r="C760" s="74"/>
      <c r="D760" s="80"/>
      <c r="E760" s="81"/>
      <c r="F760" s="81"/>
      <c r="G760" s="81"/>
      <c r="H760" s="81"/>
      <c r="I760" s="82"/>
      <c r="J760" s="88"/>
      <c r="K760" s="89"/>
      <c r="L760" s="88"/>
      <c r="M760" s="89"/>
      <c r="N760" s="80"/>
      <c r="O760" s="82"/>
      <c r="P760" s="94"/>
      <c r="Q760" s="95"/>
      <c r="S760" s="99"/>
      <c r="T760" s="99"/>
      <c r="U760" s="99"/>
      <c r="V760" s="99"/>
      <c r="W760" s="99"/>
      <c r="X760" s="99"/>
      <c r="Y760" s="99"/>
      <c r="Z760" s="99"/>
      <c r="AA760" s="99"/>
      <c r="AB760" s="99"/>
      <c r="AC760" s="98"/>
      <c r="AD760" s="98"/>
      <c r="AE760" s="98"/>
      <c r="AF760" s="98"/>
      <c r="AG760" s="98"/>
      <c r="AH760" s="98"/>
    </row>
    <row r="761" spans="2:34" x14ac:dyDescent="0.25">
      <c r="B761" s="75"/>
      <c r="C761" s="76"/>
      <c r="D761" s="83"/>
      <c r="E761" s="84"/>
      <c r="F761" s="84"/>
      <c r="G761" s="84"/>
      <c r="H761" s="84"/>
      <c r="I761" s="85"/>
      <c r="J761" s="90"/>
      <c r="K761" s="91"/>
      <c r="L761" s="90"/>
      <c r="M761" s="91"/>
      <c r="N761" s="83"/>
      <c r="O761" s="85"/>
      <c r="P761" s="96"/>
      <c r="Q761" s="97"/>
      <c r="S761" s="99"/>
      <c r="T761" s="99"/>
      <c r="U761" s="99"/>
      <c r="V761" s="99"/>
      <c r="W761" s="99"/>
      <c r="X761" s="99"/>
      <c r="Y761" s="99"/>
      <c r="Z761" s="99"/>
      <c r="AA761" s="99"/>
      <c r="AB761" s="99"/>
      <c r="AC761" s="98"/>
      <c r="AD761" s="98"/>
      <c r="AE761" s="98"/>
      <c r="AF761" s="98"/>
      <c r="AG761" s="98"/>
      <c r="AH761" s="98"/>
    </row>
    <row r="762" spans="2:34" x14ac:dyDescent="0.25">
      <c r="B762" s="71"/>
      <c r="C762" s="72"/>
      <c r="D762" s="77"/>
      <c r="E762" s="78"/>
      <c r="F762" s="78"/>
      <c r="G762" s="78"/>
      <c r="H762" s="78"/>
      <c r="I762" s="79"/>
      <c r="J762" s="86"/>
      <c r="K762" s="87"/>
      <c r="L762" s="86"/>
      <c r="M762" s="87"/>
      <c r="N762" s="77"/>
      <c r="O762" s="79"/>
      <c r="P762" s="92"/>
      <c r="Q762" s="93"/>
      <c r="S762" s="99"/>
      <c r="T762" s="99"/>
      <c r="U762" s="99"/>
      <c r="V762" s="99"/>
      <c r="W762" s="99"/>
      <c r="X762" s="99"/>
      <c r="Y762" s="99"/>
      <c r="Z762" s="99"/>
      <c r="AA762" s="99"/>
      <c r="AB762" s="99"/>
      <c r="AC762" s="98"/>
      <c r="AD762" s="98"/>
      <c r="AE762" s="98"/>
      <c r="AF762" s="98"/>
      <c r="AG762" s="98"/>
      <c r="AH762" s="98"/>
    </row>
    <row r="763" spans="2:34" x14ac:dyDescent="0.25">
      <c r="B763" s="73"/>
      <c r="C763" s="74"/>
      <c r="D763" s="80"/>
      <c r="E763" s="81"/>
      <c r="F763" s="81"/>
      <c r="G763" s="81"/>
      <c r="H763" s="81"/>
      <c r="I763" s="82"/>
      <c r="J763" s="88"/>
      <c r="K763" s="89"/>
      <c r="L763" s="88"/>
      <c r="M763" s="89"/>
      <c r="N763" s="80"/>
      <c r="O763" s="82"/>
      <c r="P763" s="94"/>
      <c r="Q763" s="95"/>
      <c r="S763" s="99"/>
      <c r="T763" s="99"/>
      <c r="U763" s="99"/>
      <c r="V763" s="99"/>
      <c r="W763" s="99"/>
      <c r="X763" s="99"/>
      <c r="Y763" s="99"/>
      <c r="Z763" s="99"/>
      <c r="AA763" s="99"/>
      <c r="AB763" s="99"/>
      <c r="AC763" s="98"/>
      <c r="AD763" s="98"/>
      <c r="AE763" s="98"/>
      <c r="AF763" s="98"/>
      <c r="AG763" s="98"/>
      <c r="AH763" s="98"/>
    </row>
    <row r="764" spans="2:34" x14ac:dyDescent="0.25">
      <c r="B764" s="75"/>
      <c r="C764" s="76"/>
      <c r="D764" s="83"/>
      <c r="E764" s="84"/>
      <c r="F764" s="84"/>
      <c r="G764" s="84"/>
      <c r="H764" s="84"/>
      <c r="I764" s="85"/>
      <c r="J764" s="90"/>
      <c r="K764" s="91"/>
      <c r="L764" s="90"/>
      <c r="M764" s="91"/>
      <c r="N764" s="83"/>
      <c r="O764" s="85"/>
      <c r="P764" s="96"/>
      <c r="Q764" s="97"/>
      <c r="S764" s="99"/>
      <c r="T764" s="99"/>
      <c r="U764" s="99"/>
      <c r="V764" s="99"/>
      <c r="W764" s="99"/>
      <c r="X764" s="99"/>
      <c r="Y764" s="99"/>
      <c r="Z764" s="99"/>
      <c r="AA764" s="99"/>
      <c r="AB764" s="99"/>
      <c r="AC764" s="98"/>
      <c r="AD764" s="98"/>
      <c r="AE764" s="98"/>
      <c r="AF764" s="98"/>
      <c r="AG764" s="98"/>
      <c r="AH764" s="98"/>
    </row>
    <row r="765" spans="2:34" x14ac:dyDescent="0.25">
      <c r="B765" s="71"/>
      <c r="C765" s="72"/>
      <c r="D765" s="77"/>
      <c r="E765" s="78"/>
      <c r="F765" s="78"/>
      <c r="G765" s="78"/>
      <c r="H765" s="78"/>
      <c r="I765" s="79"/>
      <c r="J765" s="86"/>
      <c r="K765" s="87"/>
      <c r="L765" s="86"/>
      <c r="M765" s="87"/>
      <c r="N765" s="77"/>
      <c r="O765" s="79"/>
      <c r="P765" s="92"/>
      <c r="Q765" s="93"/>
      <c r="S765" s="99"/>
      <c r="T765" s="99"/>
      <c r="U765" s="99"/>
      <c r="V765" s="99"/>
      <c r="W765" s="99"/>
      <c r="X765" s="99"/>
      <c r="Y765" s="99"/>
      <c r="Z765" s="99"/>
      <c r="AA765" s="99"/>
      <c r="AB765" s="99"/>
      <c r="AC765" s="98"/>
      <c r="AD765" s="98"/>
      <c r="AE765" s="98"/>
      <c r="AF765" s="98"/>
      <c r="AG765" s="98"/>
      <c r="AH765" s="98"/>
    </row>
    <row r="766" spans="2:34" x14ac:dyDescent="0.25">
      <c r="B766" s="73"/>
      <c r="C766" s="74"/>
      <c r="D766" s="80"/>
      <c r="E766" s="81"/>
      <c r="F766" s="81"/>
      <c r="G766" s="81"/>
      <c r="H766" s="81"/>
      <c r="I766" s="82"/>
      <c r="J766" s="88"/>
      <c r="K766" s="89"/>
      <c r="L766" s="88"/>
      <c r="M766" s="89"/>
      <c r="N766" s="80"/>
      <c r="O766" s="82"/>
      <c r="P766" s="94"/>
      <c r="Q766" s="95"/>
      <c r="S766" s="99"/>
      <c r="T766" s="99"/>
      <c r="U766" s="99"/>
      <c r="V766" s="99"/>
      <c r="W766" s="99"/>
      <c r="X766" s="99"/>
      <c r="Y766" s="99"/>
      <c r="Z766" s="99"/>
      <c r="AA766" s="99"/>
      <c r="AB766" s="99"/>
      <c r="AC766" s="98"/>
      <c r="AD766" s="98"/>
      <c r="AE766" s="98"/>
      <c r="AF766" s="98"/>
      <c r="AG766" s="98"/>
      <c r="AH766" s="98"/>
    </row>
    <row r="767" spans="2:34" x14ac:dyDescent="0.25">
      <c r="B767" s="75"/>
      <c r="C767" s="76"/>
      <c r="D767" s="83"/>
      <c r="E767" s="84"/>
      <c r="F767" s="84"/>
      <c r="G767" s="84"/>
      <c r="H767" s="84"/>
      <c r="I767" s="85"/>
      <c r="J767" s="90"/>
      <c r="K767" s="91"/>
      <c r="L767" s="90"/>
      <c r="M767" s="91"/>
      <c r="N767" s="83"/>
      <c r="O767" s="85"/>
      <c r="P767" s="96"/>
      <c r="Q767" s="97"/>
      <c r="S767" s="99"/>
      <c r="T767" s="99"/>
      <c r="U767" s="99"/>
      <c r="V767" s="99"/>
      <c r="W767" s="99"/>
      <c r="X767" s="99"/>
      <c r="Y767" s="99"/>
      <c r="Z767" s="99"/>
      <c r="AA767" s="99"/>
      <c r="AB767" s="99"/>
      <c r="AC767" s="98"/>
      <c r="AD767" s="98"/>
      <c r="AE767" s="98"/>
      <c r="AF767" s="98"/>
      <c r="AG767" s="98"/>
      <c r="AH767" s="98"/>
    </row>
    <row r="768" spans="2:34" x14ac:dyDescent="0.25">
      <c r="B768" s="71"/>
      <c r="C768" s="72"/>
      <c r="D768" s="77"/>
      <c r="E768" s="78"/>
      <c r="F768" s="78"/>
      <c r="G768" s="78"/>
      <c r="H768" s="78"/>
      <c r="I768" s="79"/>
      <c r="J768" s="86"/>
      <c r="K768" s="87"/>
      <c r="L768" s="86"/>
      <c r="M768" s="87"/>
      <c r="N768" s="77"/>
      <c r="O768" s="79"/>
      <c r="P768" s="92"/>
      <c r="Q768" s="93"/>
      <c r="S768" s="99"/>
      <c r="T768" s="99"/>
      <c r="U768" s="99"/>
      <c r="V768" s="99"/>
      <c r="W768" s="99"/>
      <c r="X768" s="99"/>
      <c r="Y768" s="99"/>
      <c r="Z768" s="99"/>
      <c r="AA768" s="99"/>
      <c r="AB768" s="99"/>
      <c r="AC768" s="98"/>
      <c r="AD768" s="98"/>
      <c r="AE768" s="98"/>
      <c r="AF768" s="98"/>
      <c r="AG768" s="98"/>
      <c r="AH768" s="98"/>
    </row>
    <row r="769" spans="2:34" x14ac:dyDescent="0.25">
      <c r="B769" s="73"/>
      <c r="C769" s="74"/>
      <c r="D769" s="80"/>
      <c r="E769" s="81"/>
      <c r="F769" s="81"/>
      <c r="G769" s="81"/>
      <c r="H769" s="81"/>
      <c r="I769" s="82"/>
      <c r="J769" s="88"/>
      <c r="K769" s="89"/>
      <c r="L769" s="88"/>
      <c r="M769" s="89"/>
      <c r="N769" s="80"/>
      <c r="O769" s="82"/>
      <c r="P769" s="94"/>
      <c r="Q769" s="95"/>
      <c r="S769" s="99"/>
      <c r="T769" s="99"/>
      <c r="U769" s="99"/>
      <c r="V769" s="99"/>
      <c r="W769" s="99"/>
      <c r="X769" s="99"/>
      <c r="Y769" s="99"/>
      <c r="Z769" s="99"/>
      <c r="AA769" s="99"/>
      <c r="AB769" s="99"/>
      <c r="AC769" s="98"/>
      <c r="AD769" s="98"/>
      <c r="AE769" s="98"/>
      <c r="AF769" s="98"/>
      <c r="AG769" s="98"/>
      <c r="AH769" s="98"/>
    </row>
    <row r="770" spans="2:34" x14ac:dyDescent="0.25">
      <c r="B770" s="75"/>
      <c r="C770" s="76"/>
      <c r="D770" s="83"/>
      <c r="E770" s="84"/>
      <c r="F770" s="84"/>
      <c r="G770" s="84"/>
      <c r="H770" s="84"/>
      <c r="I770" s="85"/>
      <c r="J770" s="90"/>
      <c r="K770" s="91"/>
      <c r="L770" s="90"/>
      <c r="M770" s="91"/>
      <c r="N770" s="83"/>
      <c r="O770" s="85"/>
      <c r="P770" s="96"/>
      <c r="Q770" s="97"/>
      <c r="S770" s="99"/>
      <c r="T770" s="99"/>
      <c r="U770" s="99"/>
      <c r="V770" s="99"/>
      <c r="W770" s="99"/>
      <c r="X770" s="99"/>
      <c r="Y770" s="99"/>
      <c r="Z770" s="99"/>
      <c r="AA770" s="99"/>
      <c r="AB770" s="99"/>
      <c r="AC770" s="98"/>
      <c r="AD770" s="98"/>
      <c r="AE770" s="98"/>
      <c r="AF770" s="98"/>
      <c r="AG770" s="98"/>
      <c r="AH770" s="98"/>
    </row>
    <row r="771" spans="2:34" x14ac:dyDescent="0.25">
      <c r="B771" s="71"/>
      <c r="C771" s="72"/>
      <c r="D771" s="77"/>
      <c r="E771" s="78"/>
      <c r="F771" s="78"/>
      <c r="G771" s="78"/>
      <c r="H771" s="78"/>
      <c r="I771" s="79"/>
      <c r="J771" s="86"/>
      <c r="K771" s="87"/>
      <c r="L771" s="86"/>
      <c r="M771" s="87"/>
      <c r="N771" s="77"/>
      <c r="O771" s="79"/>
      <c r="P771" s="92"/>
      <c r="Q771" s="93"/>
      <c r="S771" s="99"/>
      <c r="T771" s="99"/>
      <c r="U771" s="99"/>
      <c r="V771" s="99"/>
      <c r="W771" s="99"/>
      <c r="X771" s="99"/>
      <c r="Y771" s="99"/>
      <c r="Z771" s="99"/>
      <c r="AA771" s="99"/>
      <c r="AB771" s="99"/>
      <c r="AC771" s="98"/>
      <c r="AD771" s="98"/>
      <c r="AE771" s="98"/>
      <c r="AF771" s="98"/>
      <c r="AG771" s="98"/>
      <c r="AH771" s="98"/>
    </row>
    <row r="772" spans="2:34" x14ac:dyDescent="0.25">
      <c r="B772" s="73"/>
      <c r="C772" s="74"/>
      <c r="D772" s="80"/>
      <c r="E772" s="81"/>
      <c r="F772" s="81"/>
      <c r="G772" s="81"/>
      <c r="H772" s="81"/>
      <c r="I772" s="82"/>
      <c r="J772" s="88"/>
      <c r="K772" s="89"/>
      <c r="L772" s="88"/>
      <c r="M772" s="89"/>
      <c r="N772" s="80"/>
      <c r="O772" s="82"/>
      <c r="P772" s="94"/>
      <c r="Q772" s="95"/>
      <c r="S772" s="99"/>
      <c r="T772" s="99"/>
      <c r="U772" s="99"/>
      <c r="V772" s="99"/>
      <c r="W772" s="99"/>
      <c r="X772" s="99"/>
      <c r="Y772" s="99"/>
      <c r="Z772" s="99"/>
      <c r="AA772" s="99"/>
      <c r="AB772" s="99"/>
      <c r="AC772" s="98"/>
      <c r="AD772" s="98"/>
      <c r="AE772" s="98"/>
      <c r="AF772" s="98"/>
      <c r="AG772" s="98"/>
      <c r="AH772" s="98"/>
    </row>
    <row r="773" spans="2:34" x14ac:dyDescent="0.25">
      <c r="B773" s="75"/>
      <c r="C773" s="76"/>
      <c r="D773" s="83"/>
      <c r="E773" s="84"/>
      <c r="F773" s="84"/>
      <c r="G773" s="84"/>
      <c r="H773" s="84"/>
      <c r="I773" s="85"/>
      <c r="J773" s="90"/>
      <c r="K773" s="91"/>
      <c r="L773" s="90"/>
      <c r="M773" s="91"/>
      <c r="N773" s="83"/>
      <c r="O773" s="85"/>
      <c r="P773" s="96"/>
      <c r="Q773" s="97"/>
      <c r="S773" s="99"/>
      <c r="T773" s="99"/>
      <c r="U773" s="99"/>
      <c r="V773" s="99"/>
      <c r="W773" s="99"/>
      <c r="X773" s="99"/>
      <c r="Y773" s="99"/>
      <c r="Z773" s="99"/>
      <c r="AA773" s="99"/>
      <c r="AB773" s="99"/>
      <c r="AC773" s="98"/>
      <c r="AD773" s="98"/>
      <c r="AE773" s="98"/>
      <c r="AF773" s="98"/>
      <c r="AG773" s="98"/>
      <c r="AH773" s="98"/>
    </row>
    <row r="774" spans="2:34" x14ac:dyDescent="0.25">
      <c r="B774" s="71"/>
      <c r="C774" s="72"/>
      <c r="D774" s="77"/>
      <c r="E774" s="78"/>
      <c r="F774" s="78"/>
      <c r="G774" s="78"/>
      <c r="H774" s="78"/>
      <c r="I774" s="79"/>
      <c r="J774" s="86"/>
      <c r="K774" s="87"/>
      <c r="L774" s="86"/>
      <c r="M774" s="87"/>
      <c r="N774" s="77"/>
      <c r="O774" s="79"/>
      <c r="P774" s="92"/>
      <c r="Q774" s="93"/>
      <c r="S774" s="99"/>
      <c r="T774" s="99"/>
      <c r="U774" s="99"/>
      <c r="V774" s="99"/>
      <c r="W774" s="99"/>
      <c r="X774" s="99"/>
      <c r="Y774" s="99"/>
      <c r="Z774" s="99"/>
      <c r="AA774" s="99"/>
      <c r="AB774" s="99"/>
      <c r="AC774" s="98"/>
      <c r="AD774" s="98"/>
      <c r="AE774" s="98"/>
      <c r="AF774" s="98"/>
      <c r="AG774" s="98"/>
      <c r="AH774" s="98"/>
    </row>
    <row r="775" spans="2:34" x14ac:dyDescent="0.25">
      <c r="B775" s="73"/>
      <c r="C775" s="74"/>
      <c r="D775" s="80"/>
      <c r="E775" s="81"/>
      <c r="F775" s="81"/>
      <c r="G775" s="81"/>
      <c r="H775" s="81"/>
      <c r="I775" s="82"/>
      <c r="J775" s="88"/>
      <c r="K775" s="89"/>
      <c r="L775" s="88"/>
      <c r="M775" s="89"/>
      <c r="N775" s="80"/>
      <c r="O775" s="82"/>
      <c r="P775" s="94"/>
      <c r="Q775" s="95"/>
      <c r="S775" s="99"/>
      <c r="T775" s="99"/>
      <c r="U775" s="99"/>
      <c r="V775" s="99"/>
      <c r="W775" s="99"/>
      <c r="X775" s="99"/>
      <c r="Y775" s="99"/>
      <c r="Z775" s="99"/>
      <c r="AA775" s="99"/>
      <c r="AB775" s="99"/>
      <c r="AC775" s="98"/>
      <c r="AD775" s="98"/>
      <c r="AE775" s="98"/>
      <c r="AF775" s="98"/>
      <c r="AG775" s="98"/>
      <c r="AH775" s="98"/>
    </row>
    <row r="776" spans="2:34" x14ac:dyDescent="0.25">
      <c r="B776" s="75"/>
      <c r="C776" s="76"/>
      <c r="D776" s="83"/>
      <c r="E776" s="84"/>
      <c r="F776" s="84"/>
      <c r="G776" s="84"/>
      <c r="H776" s="84"/>
      <c r="I776" s="85"/>
      <c r="J776" s="90"/>
      <c r="K776" s="91"/>
      <c r="L776" s="90"/>
      <c r="M776" s="91"/>
      <c r="N776" s="83"/>
      <c r="O776" s="85"/>
      <c r="P776" s="96"/>
      <c r="Q776" s="97"/>
      <c r="S776" s="99"/>
      <c r="T776" s="99"/>
      <c r="U776" s="99"/>
      <c r="V776" s="99"/>
      <c r="W776" s="99"/>
      <c r="X776" s="99"/>
      <c r="Y776" s="99"/>
      <c r="Z776" s="99"/>
      <c r="AA776" s="99"/>
      <c r="AB776" s="99"/>
      <c r="AC776" s="98"/>
      <c r="AD776" s="98"/>
      <c r="AE776" s="98"/>
      <c r="AF776" s="98"/>
      <c r="AG776" s="98"/>
      <c r="AH776" s="98"/>
    </row>
    <row r="777" spans="2:34" x14ac:dyDescent="0.25">
      <c r="B777" s="71"/>
      <c r="C777" s="72"/>
      <c r="D777" s="77"/>
      <c r="E777" s="78"/>
      <c r="F777" s="78"/>
      <c r="G777" s="78"/>
      <c r="H777" s="78"/>
      <c r="I777" s="79"/>
      <c r="J777" s="86"/>
      <c r="K777" s="87"/>
      <c r="L777" s="86"/>
      <c r="M777" s="87"/>
      <c r="N777" s="77"/>
      <c r="O777" s="79"/>
      <c r="P777" s="92"/>
      <c r="Q777" s="93"/>
      <c r="S777" s="99"/>
      <c r="T777" s="99"/>
      <c r="U777" s="99"/>
      <c r="V777" s="99"/>
      <c r="W777" s="99"/>
      <c r="X777" s="99"/>
      <c r="Y777" s="99"/>
      <c r="Z777" s="99"/>
      <c r="AA777" s="99"/>
      <c r="AB777" s="99"/>
      <c r="AC777" s="98"/>
      <c r="AD777" s="98"/>
      <c r="AE777" s="98"/>
      <c r="AF777" s="98"/>
      <c r="AG777" s="98"/>
      <c r="AH777" s="98"/>
    </row>
    <row r="778" spans="2:34" x14ac:dyDescent="0.25">
      <c r="B778" s="73"/>
      <c r="C778" s="74"/>
      <c r="D778" s="80"/>
      <c r="E778" s="81"/>
      <c r="F778" s="81"/>
      <c r="G778" s="81"/>
      <c r="H778" s="81"/>
      <c r="I778" s="82"/>
      <c r="J778" s="88"/>
      <c r="K778" s="89"/>
      <c r="L778" s="88"/>
      <c r="M778" s="89"/>
      <c r="N778" s="80"/>
      <c r="O778" s="82"/>
      <c r="P778" s="94"/>
      <c r="Q778" s="95"/>
      <c r="S778" s="99"/>
      <c r="T778" s="99"/>
      <c r="U778" s="99"/>
      <c r="V778" s="99"/>
      <c r="W778" s="99"/>
      <c r="X778" s="99"/>
      <c r="Y778" s="99"/>
      <c r="Z778" s="99"/>
      <c r="AA778" s="99"/>
      <c r="AB778" s="99"/>
      <c r="AC778" s="98"/>
      <c r="AD778" s="98"/>
      <c r="AE778" s="98"/>
      <c r="AF778" s="98"/>
      <c r="AG778" s="98"/>
      <c r="AH778" s="98"/>
    </row>
    <row r="779" spans="2:34" x14ac:dyDescent="0.25">
      <c r="B779" s="75"/>
      <c r="C779" s="76"/>
      <c r="D779" s="83"/>
      <c r="E779" s="84"/>
      <c r="F779" s="84"/>
      <c r="G779" s="84"/>
      <c r="H779" s="84"/>
      <c r="I779" s="85"/>
      <c r="J779" s="90"/>
      <c r="K779" s="91"/>
      <c r="L779" s="90"/>
      <c r="M779" s="91"/>
      <c r="N779" s="83"/>
      <c r="O779" s="85"/>
      <c r="P779" s="96"/>
      <c r="Q779" s="97"/>
      <c r="S779" s="99"/>
      <c r="T779" s="99"/>
      <c r="U779" s="99"/>
      <c r="V779" s="99"/>
      <c r="W779" s="99"/>
      <c r="X779" s="99"/>
      <c r="Y779" s="99"/>
      <c r="Z779" s="99"/>
      <c r="AA779" s="99"/>
      <c r="AB779" s="99"/>
      <c r="AC779" s="98"/>
      <c r="AD779" s="98"/>
      <c r="AE779" s="98"/>
      <c r="AF779" s="98"/>
      <c r="AG779" s="98"/>
      <c r="AH779" s="98"/>
    </row>
    <row r="780" spans="2:34" x14ac:dyDescent="0.25">
      <c r="B780" s="71"/>
      <c r="C780" s="72"/>
      <c r="D780" s="77"/>
      <c r="E780" s="78"/>
      <c r="F780" s="78"/>
      <c r="G780" s="78"/>
      <c r="H780" s="78"/>
      <c r="I780" s="79"/>
      <c r="J780" s="86"/>
      <c r="K780" s="87"/>
      <c r="L780" s="86"/>
      <c r="M780" s="87"/>
      <c r="N780" s="77"/>
      <c r="O780" s="79"/>
      <c r="P780" s="92"/>
      <c r="Q780" s="93"/>
      <c r="S780" s="99"/>
      <c r="T780" s="99"/>
      <c r="U780" s="99"/>
      <c r="V780" s="99"/>
      <c r="W780" s="99"/>
      <c r="X780" s="99"/>
      <c r="Y780" s="99"/>
      <c r="Z780" s="99"/>
      <c r="AA780" s="99"/>
      <c r="AB780" s="99"/>
      <c r="AC780" s="98"/>
      <c r="AD780" s="98"/>
      <c r="AE780" s="98"/>
      <c r="AF780" s="98"/>
      <c r="AG780" s="98"/>
      <c r="AH780" s="98"/>
    </row>
    <row r="781" spans="2:34" x14ac:dyDescent="0.25">
      <c r="B781" s="73"/>
      <c r="C781" s="74"/>
      <c r="D781" s="80"/>
      <c r="E781" s="81"/>
      <c r="F781" s="81"/>
      <c r="G781" s="81"/>
      <c r="H781" s="81"/>
      <c r="I781" s="82"/>
      <c r="J781" s="88"/>
      <c r="K781" s="89"/>
      <c r="L781" s="88"/>
      <c r="M781" s="89"/>
      <c r="N781" s="80"/>
      <c r="O781" s="82"/>
      <c r="P781" s="94"/>
      <c r="Q781" s="95"/>
      <c r="S781" s="99"/>
      <c r="T781" s="99"/>
      <c r="U781" s="99"/>
      <c r="V781" s="99"/>
      <c r="W781" s="99"/>
      <c r="X781" s="99"/>
      <c r="Y781" s="99"/>
      <c r="Z781" s="99"/>
      <c r="AA781" s="99"/>
      <c r="AB781" s="99"/>
      <c r="AC781" s="98"/>
      <c r="AD781" s="98"/>
      <c r="AE781" s="98"/>
      <c r="AF781" s="98"/>
      <c r="AG781" s="98"/>
      <c r="AH781" s="98"/>
    </row>
    <row r="782" spans="2:34" x14ac:dyDescent="0.25">
      <c r="B782" s="75"/>
      <c r="C782" s="76"/>
      <c r="D782" s="83"/>
      <c r="E782" s="84"/>
      <c r="F782" s="84"/>
      <c r="G782" s="84"/>
      <c r="H782" s="84"/>
      <c r="I782" s="85"/>
      <c r="J782" s="90"/>
      <c r="K782" s="91"/>
      <c r="L782" s="90"/>
      <c r="M782" s="91"/>
      <c r="N782" s="83"/>
      <c r="O782" s="85"/>
      <c r="P782" s="96"/>
      <c r="Q782" s="97"/>
      <c r="S782" s="99"/>
      <c r="T782" s="99"/>
      <c r="U782" s="99"/>
      <c r="V782" s="99"/>
      <c r="W782" s="99"/>
      <c r="X782" s="99"/>
      <c r="Y782" s="99"/>
      <c r="Z782" s="99"/>
      <c r="AA782" s="99"/>
      <c r="AB782" s="99"/>
      <c r="AC782" s="98"/>
      <c r="AD782" s="98"/>
      <c r="AE782" s="98"/>
      <c r="AF782" s="98"/>
      <c r="AG782" s="98"/>
      <c r="AH782" s="98"/>
    </row>
    <row r="783" spans="2:34" x14ac:dyDescent="0.25">
      <c r="B783" s="71"/>
      <c r="C783" s="72"/>
      <c r="D783" s="77"/>
      <c r="E783" s="78"/>
      <c r="F783" s="78"/>
      <c r="G783" s="78"/>
      <c r="H783" s="78"/>
      <c r="I783" s="79"/>
      <c r="J783" s="86"/>
      <c r="K783" s="87"/>
      <c r="L783" s="86"/>
      <c r="M783" s="87"/>
      <c r="N783" s="77"/>
      <c r="O783" s="79"/>
      <c r="P783" s="92"/>
      <c r="Q783" s="93"/>
      <c r="S783" s="99"/>
      <c r="T783" s="99"/>
      <c r="U783" s="99"/>
      <c r="V783" s="99"/>
      <c r="W783" s="99"/>
      <c r="X783" s="99"/>
      <c r="Y783" s="99"/>
      <c r="Z783" s="99"/>
      <c r="AA783" s="99"/>
      <c r="AB783" s="99"/>
      <c r="AC783" s="98"/>
      <c r="AD783" s="98"/>
      <c r="AE783" s="98"/>
      <c r="AF783" s="98"/>
      <c r="AG783" s="98"/>
      <c r="AH783" s="98"/>
    </row>
    <row r="784" spans="2:34" x14ac:dyDescent="0.25">
      <c r="B784" s="73"/>
      <c r="C784" s="74"/>
      <c r="D784" s="80"/>
      <c r="E784" s="81"/>
      <c r="F784" s="81"/>
      <c r="G784" s="81"/>
      <c r="H784" s="81"/>
      <c r="I784" s="82"/>
      <c r="J784" s="88"/>
      <c r="K784" s="89"/>
      <c r="L784" s="88"/>
      <c r="M784" s="89"/>
      <c r="N784" s="80"/>
      <c r="O784" s="82"/>
      <c r="P784" s="94"/>
      <c r="Q784" s="95"/>
      <c r="S784" s="99"/>
      <c r="T784" s="99"/>
      <c r="U784" s="99"/>
      <c r="V784" s="99"/>
      <c r="W784" s="99"/>
      <c r="X784" s="99"/>
      <c r="Y784" s="99"/>
      <c r="Z784" s="99"/>
      <c r="AA784" s="99"/>
      <c r="AB784" s="99"/>
      <c r="AC784" s="98"/>
      <c r="AD784" s="98"/>
      <c r="AE784" s="98"/>
      <c r="AF784" s="98"/>
      <c r="AG784" s="98"/>
      <c r="AH784" s="98"/>
    </row>
    <row r="785" spans="2:34" x14ac:dyDescent="0.25">
      <c r="B785" s="75"/>
      <c r="C785" s="76"/>
      <c r="D785" s="83"/>
      <c r="E785" s="84"/>
      <c r="F785" s="84"/>
      <c r="G785" s="84"/>
      <c r="H785" s="84"/>
      <c r="I785" s="85"/>
      <c r="J785" s="90"/>
      <c r="K785" s="91"/>
      <c r="L785" s="90"/>
      <c r="M785" s="91"/>
      <c r="N785" s="83"/>
      <c r="O785" s="85"/>
      <c r="P785" s="96"/>
      <c r="Q785" s="97"/>
      <c r="S785" s="99"/>
      <c r="T785" s="99"/>
      <c r="U785" s="99"/>
      <c r="V785" s="99"/>
      <c r="W785" s="99"/>
      <c r="X785" s="99"/>
      <c r="Y785" s="99"/>
      <c r="Z785" s="99"/>
      <c r="AA785" s="99"/>
      <c r="AB785" s="99"/>
      <c r="AC785" s="98"/>
      <c r="AD785" s="98"/>
      <c r="AE785" s="98"/>
      <c r="AF785" s="98"/>
      <c r="AG785" s="98"/>
      <c r="AH785" s="98"/>
    </row>
    <row r="786" spans="2:34" x14ac:dyDescent="0.25">
      <c r="B786" s="71"/>
      <c r="C786" s="72"/>
      <c r="D786" s="77"/>
      <c r="E786" s="78"/>
      <c r="F786" s="78"/>
      <c r="G786" s="78"/>
      <c r="H786" s="78"/>
      <c r="I786" s="79"/>
      <c r="J786" s="86"/>
      <c r="K786" s="87"/>
      <c r="L786" s="86"/>
      <c r="M786" s="87"/>
      <c r="N786" s="77"/>
      <c r="O786" s="79"/>
      <c r="P786" s="92"/>
      <c r="Q786" s="93"/>
      <c r="S786" s="99"/>
      <c r="T786" s="99"/>
      <c r="U786" s="99"/>
      <c r="V786" s="99"/>
      <c r="W786" s="99"/>
      <c r="X786" s="99"/>
      <c r="Y786" s="99"/>
      <c r="Z786" s="99"/>
      <c r="AA786" s="99"/>
      <c r="AB786" s="99"/>
      <c r="AC786" s="98"/>
      <c r="AD786" s="98"/>
      <c r="AE786" s="98"/>
      <c r="AF786" s="98"/>
      <c r="AG786" s="98"/>
      <c r="AH786" s="98"/>
    </row>
    <row r="787" spans="2:34" x14ac:dyDescent="0.25">
      <c r="B787" s="73"/>
      <c r="C787" s="74"/>
      <c r="D787" s="80"/>
      <c r="E787" s="81"/>
      <c r="F787" s="81"/>
      <c r="G787" s="81"/>
      <c r="H787" s="81"/>
      <c r="I787" s="82"/>
      <c r="J787" s="88"/>
      <c r="K787" s="89"/>
      <c r="L787" s="88"/>
      <c r="M787" s="89"/>
      <c r="N787" s="80"/>
      <c r="O787" s="82"/>
      <c r="P787" s="94"/>
      <c r="Q787" s="95"/>
      <c r="S787" s="99"/>
      <c r="T787" s="99"/>
      <c r="U787" s="99"/>
      <c r="V787" s="99"/>
      <c r="W787" s="99"/>
      <c r="X787" s="99"/>
      <c r="Y787" s="99"/>
      <c r="Z787" s="99"/>
      <c r="AA787" s="99"/>
      <c r="AB787" s="99"/>
      <c r="AC787" s="98"/>
      <c r="AD787" s="98"/>
      <c r="AE787" s="98"/>
      <c r="AF787" s="98"/>
      <c r="AG787" s="98"/>
      <c r="AH787" s="98"/>
    </row>
    <row r="788" spans="2:34" x14ac:dyDescent="0.25">
      <c r="B788" s="75"/>
      <c r="C788" s="76"/>
      <c r="D788" s="83"/>
      <c r="E788" s="84"/>
      <c r="F788" s="84"/>
      <c r="G788" s="84"/>
      <c r="H788" s="84"/>
      <c r="I788" s="85"/>
      <c r="J788" s="90"/>
      <c r="K788" s="91"/>
      <c r="L788" s="90"/>
      <c r="M788" s="91"/>
      <c r="N788" s="83"/>
      <c r="O788" s="85"/>
      <c r="P788" s="96"/>
      <c r="Q788" s="97"/>
      <c r="S788" s="99"/>
      <c r="T788" s="99"/>
      <c r="U788" s="99"/>
      <c r="V788" s="99"/>
      <c r="W788" s="99"/>
      <c r="X788" s="99"/>
      <c r="Y788" s="99"/>
      <c r="Z788" s="99"/>
      <c r="AA788" s="99"/>
      <c r="AB788" s="99"/>
      <c r="AC788" s="98"/>
      <c r="AD788" s="98"/>
      <c r="AE788" s="98"/>
      <c r="AF788" s="98"/>
      <c r="AG788" s="98"/>
      <c r="AH788" s="98"/>
    </row>
    <row r="789" spans="2:34" x14ac:dyDescent="0.25">
      <c r="B789" s="71"/>
      <c r="C789" s="72"/>
      <c r="D789" s="77"/>
      <c r="E789" s="78"/>
      <c r="F789" s="78"/>
      <c r="G789" s="78"/>
      <c r="H789" s="78"/>
      <c r="I789" s="79"/>
      <c r="J789" s="86"/>
      <c r="K789" s="87"/>
      <c r="L789" s="86"/>
      <c r="M789" s="87"/>
      <c r="N789" s="77"/>
      <c r="O789" s="79"/>
      <c r="P789" s="92"/>
      <c r="Q789" s="93"/>
      <c r="S789" s="99"/>
      <c r="T789" s="99"/>
      <c r="U789" s="99"/>
      <c r="V789" s="99"/>
      <c r="W789" s="99"/>
      <c r="X789" s="99"/>
      <c r="Y789" s="99"/>
      <c r="Z789" s="99"/>
      <c r="AA789" s="99"/>
      <c r="AB789" s="99"/>
      <c r="AC789" s="98"/>
      <c r="AD789" s="98"/>
      <c r="AE789" s="98"/>
      <c r="AF789" s="98"/>
      <c r="AG789" s="98"/>
      <c r="AH789" s="98"/>
    </row>
    <row r="790" spans="2:34" x14ac:dyDescent="0.25">
      <c r="B790" s="73"/>
      <c r="C790" s="74"/>
      <c r="D790" s="80"/>
      <c r="E790" s="81"/>
      <c r="F790" s="81"/>
      <c r="G790" s="81"/>
      <c r="H790" s="81"/>
      <c r="I790" s="82"/>
      <c r="J790" s="88"/>
      <c r="K790" s="89"/>
      <c r="L790" s="88"/>
      <c r="M790" s="89"/>
      <c r="N790" s="80"/>
      <c r="O790" s="82"/>
      <c r="P790" s="94"/>
      <c r="Q790" s="95"/>
      <c r="S790" s="99"/>
      <c r="T790" s="99"/>
      <c r="U790" s="99"/>
      <c r="V790" s="99"/>
      <c r="W790" s="99"/>
      <c r="X790" s="99"/>
      <c r="Y790" s="99"/>
      <c r="Z790" s="99"/>
      <c r="AA790" s="99"/>
      <c r="AB790" s="99"/>
      <c r="AC790" s="98"/>
      <c r="AD790" s="98"/>
      <c r="AE790" s="98"/>
      <c r="AF790" s="98"/>
      <c r="AG790" s="98"/>
      <c r="AH790" s="98"/>
    </row>
    <row r="791" spans="2:34" x14ac:dyDescent="0.25">
      <c r="B791" s="75"/>
      <c r="C791" s="76"/>
      <c r="D791" s="83"/>
      <c r="E791" s="84"/>
      <c r="F791" s="84"/>
      <c r="G791" s="84"/>
      <c r="H791" s="84"/>
      <c r="I791" s="85"/>
      <c r="J791" s="90"/>
      <c r="K791" s="91"/>
      <c r="L791" s="90"/>
      <c r="M791" s="91"/>
      <c r="N791" s="83"/>
      <c r="O791" s="85"/>
      <c r="P791" s="96"/>
      <c r="Q791" s="97"/>
      <c r="S791" s="99"/>
      <c r="T791" s="99"/>
      <c r="U791" s="99"/>
      <c r="V791" s="99"/>
      <c r="W791" s="99"/>
      <c r="X791" s="99"/>
      <c r="Y791" s="99"/>
      <c r="Z791" s="99"/>
      <c r="AA791" s="99"/>
      <c r="AB791" s="99"/>
      <c r="AC791" s="98"/>
      <c r="AD791" s="98"/>
      <c r="AE791" s="98"/>
      <c r="AF791" s="98"/>
      <c r="AG791" s="98"/>
      <c r="AH791" s="98"/>
    </row>
    <row r="792" spans="2:34" x14ac:dyDescent="0.25">
      <c r="B792" s="71"/>
      <c r="C792" s="72"/>
      <c r="D792" s="77"/>
      <c r="E792" s="78"/>
      <c r="F792" s="78"/>
      <c r="G792" s="78"/>
      <c r="H792" s="78"/>
      <c r="I792" s="79"/>
      <c r="J792" s="86"/>
      <c r="K792" s="87"/>
      <c r="L792" s="86"/>
      <c r="M792" s="87"/>
      <c r="N792" s="77"/>
      <c r="O792" s="79"/>
      <c r="P792" s="92"/>
      <c r="Q792" s="93"/>
      <c r="S792" s="99"/>
      <c r="T792" s="99"/>
      <c r="U792" s="99"/>
      <c r="V792" s="99"/>
      <c r="W792" s="99"/>
      <c r="X792" s="99"/>
      <c r="Y792" s="99"/>
      <c r="Z792" s="99"/>
      <c r="AA792" s="99"/>
      <c r="AB792" s="99"/>
      <c r="AC792" s="98"/>
      <c r="AD792" s="98"/>
      <c r="AE792" s="98"/>
      <c r="AF792" s="98"/>
      <c r="AG792" s="98"/>
      <c r="AH792" s="98"/>
    </row>
    <row r="793" spans="2:34" x14ac:dyDescent="0.25">
      <c r="B793" s="73"/>
      <c r="C793" s="74"/>
      <c r="D793" s="80"/>
      <c r="E793" s="81"/>
      <c r="F793" s="81"/>
      <c r="G793" s="81"/>
      <c r="H793" s="81"/>
      <c r="I793" s="82"/>
      <c r="J793" s="88"/>
      <c r="K793" s="89"/>
      <c r="L793" s="88"/>
      <c r="M793" s="89"/>
      <c r="N793" s="80"/>
      <c r="O793" s="82"/>
      <c r="P793" s="94"/>
      <c r="Q793" s="95"/>
      <c r="S793" s="99"/>
      <c r="T793" s="99"/>
      <c r="U793" s="99"/>
      <c r="V793" s="99"/>
      <c r="W793" s="99"/>
      <c r="X793" s="99"/>
      <c r="Y793" s="99"/>
      <c r="Z793" s="99"/>
      <c r="AA793" s="99"/>
      <c r="AB793" s="99"/>
      <c r="AC793" s="98"/>
      <c r="AD793" s="98"/>
      <c r="AE793" s="98"/>
      <c r="AF793" s="98"/>
      <c r="AG793" s="98"/>
      <c r="AH793" s="98"/>
    </row>
    <row r="794" spans="2:34" x14ac:dyDescent="0.25">
      <c r="B794" s="75"/>
      <c r="C794" s="76"/>
      <c r="D794" s="83"/>
      <c r="E794" s="84"/>
      <c r="F794" s="84"/>
      <c r="G794" s="84"/>
      <c r="H794" s="84"/>
      <c r="I794" s="85"/>
      <c r="J794" s="90"/>
      <c r="K794" s="91"/>
      <c r="L794" s="90"/>
      <c r="M794" s="91"/>
      <c r="N794" s="83"/>
      <c r="O794" s="85"/>
      <c r="P794" s="96"/>
      <c r="Q794" s="97"/>
      <c r="S794" s="99"/>
      <c r="T794" s="99"/>
      <c r="U794" s="99"/>
      <c r="V794" s="99"/>
      <c r="W794" s="99"/>
      <c r="X794" s="99"/>
      <c r="Y794" s="99"/>
      <c r="Z794" s="99"/>
      <c r="AA794" s="99"/>
      <c r="AB794" s="99"/>
      <c r="AC794" s="98"/>
      <c r="AD794" s="98"/>
      <c r="AE794" s="98"/>
      <c r="AF794" s="98"/>
      <c r="AG794" s="98"/>
      <c r="AH794" s="98"/>
    </row>
    <row r="795" spans="2:34" x14ac:dyDescent="0.25">
      <c r="B795" s="71"/>
      <c r="C795" s="72"/>
      <c r="D795" s="77"/>
      <c r="E795" s="78"/>
      <c r="F795" s="78"/>
      <c r="G795" s="78"/>
      <c r="H795" s="78"/>
      <c r="I795" s="79"/>
      <c r="J795" s="86"/>
      <c r="K795" s="87"/>
      <c r="L795" s="86"/>
      <c r="M795" s="87"/>
      <c r="N795" s="77"/>
      <c r="O795" s="79"/>
      <c r="P795" s="92"/>
      <c r="Q795" s="93"/>
      <c r="S795" s="99"/>
      <c r="T795" s="99"/>
      <c r="U795" s="99"/>
      <c r="V795" s="99"/>
      <c r="W795" s="99"/>
      <c r="X795" s="99"/>
      <c r="Y795" s="99"/>
      <c r="Z795" s="99"/>
      <c r="AA795" s="99"/>
      <c r="AB795" s="99"/>
      <c r="AC795" s="98"/>
      <c r="AD795" s="98"/>
      <c r="AE795" s="98"/>
      <c r="AF795" s="98"/>
      <c r="AG795" s="98"/>
      <c r="AH795" s="98"/>
    </row>
    <row r="796" spans="2:34" x14ac:dyDescent="0.25">
      <c r="B796" s="73"/>
      <c r="C796" s="74"/>
      <c r="D796" s="80"/>
      <c r="E796" s="81"/>
      <c r="F796" s="81"/>
      <c r="G796" s="81"/>
      <c r="H796" s="81"/>
      <c r="I796" s="82"/>
      <c r="J796" s="88"/>
      <c r="K796" s="89"/>
      <c r="L796" s="88"/>
      <c r="M796" s="89"/>
      <c r="N796" s="80"/>
      <c r="O796" s="82"/>
      <c r="P796" s="94"/>
      <c r="Q796" s="95"/>
      <c r="S796" s="99"/>
      <c r="T796" s="99"/>
      <c r="U796" s="99"/>
      <c r="V796" s="99"/>
      <c r="W796" s="99"/>
      <c r="X796" s="99"/>
      <c r="Y796" s="99"/>
      <c r="Z796" s="99"/>
      <c r="AA796" s="99"/>
      <c r="AB796" s="99"/>
      <c r="AC796" s="98"/>
      <c r="AD796" s="98"/>
      <c r="AE796" s="98"/>
      <c r="AF796" s="98"/>
      <c r="AG796" s="98"/>
      <c r="AH796" s="98"/>
    </row>
    <row r="797" spans="2:34" x14ac:dyDescent="0.25">
      <c r="B797" s="75"/>
      <c r="C797" s="76"/>
      <c r="D797" s="83"/>
      <c r="E797" s="84"/>
      <c r="F797" s="84"/>
      <c r="G797" s="84"/>
      <c r="H797" s="84"/>
      <c r="I797" s="85"/>
      <c r="J797" s="90"/>
      <c r="K797" s="91"/>
      <c r="L797" s="90"/>
      <c r="M797" s="91"/>
      <c r="N797" s="83"/>
      <c r="O797" s="85"/>
      <c r="P797" s="96"/>
      <c r="Q797" s="97"/>
      <c r="S797" s="99"/>
      <c r="T797" s="99"/>
      <c r="U797" s="99"/>
      <c r="V797" s="99"/>
      <c r="W797" s="99"/>
      <c r="X797" s="99"/>
      <c r="Y797" s="99"/>
      <c r="Z797" s="99"/>
      <c r="AA797" s="99"/>
      <c r="AB797" s="99"/>
      <c r="AC797" s="98"/>
      <c r="AD797" s="98"/>
      <c r="AE797" s="98"/>
      <c r="AF797" s="98"/>
      <c r="AG797" s="98"/>
      <c r="AH797" s="98"/>
    </row>
    <row r="798" spans="2:34" x14ac:dyDescent="0.25">
      <c r="B798" s="71"/>
      <c r="C798" s="72"/>
      <c r="D798" s="77"/>
      <c r="E798" s="78"/>
      <c r="F798" s="78"/>
      <c r="G798" s="78"/>
      <c r="H798" s="78"/>
      <c r="I798" s="79"/>
      <c r="J798" s="86"/>
      <c r="K798" s="87"/>
      <c r="L798" s="86"/>
      <c r="M798" s="87"/>
      <c r="N798" s="77"/>
      <c r="O798" s="79"/>
      <c r="P798" s="92"/>
      <c r="Q798" s="93"/>
      <c r="S798" s="99"/>
      <c r="T798" s="99"/>
      <c r="U798" s="99"/>
      <c r="V798" s="99"/>
      <c r="W798" s="99"/>
      <c r="X798" s="99"/>
      <c r="Y798" s="99"/>
      <c r="Z798" s="99"/>
      <c r="AA798" s="99"/>
      <c r="AB798" s="99"/>
      <c r="AC798" s="98"/>
      <c r="AD798" s="98"/>
      <c r="AE798" s="98"/>
      <c r="AF798" s="98"/>
      <c r="AG798" s="98"/>
      <c r="AH798" s="98"/>
    </row>
    <row r="799" spans="2:34" x14ac:dyDescent="0.25">
      <c r="B799" s="73"/>
      <c r="C799" s="74"/>
      <c r="D799" s="80"/>
      <c r="E799" s="81"/>
      <c r="F799" s="81"/>
      <c r="G799" s="81"/>
      <c r="H799" s="81"/>
      <c r="I799" s="82"/>
      <c r="J799" s="88"/>
      <c r="K799" s="89"/>
      <c r="L799" s="88"/>
      <c r="M799" s="89"/>
      <c r="N799" s="80"/>
      <c r="O799" s="82"/>
      <c r="P799" s="94"/>
      <c r="Q799" s="95"/>
      <c r="S799" s="99"/>
      <c r="T799" s="99"/>
      <c r="U799" s="99"/>
      <c r="V799" s="99"/>
      <c r="W799" s="99"/>
      <c r="X799" s="99"/>
      <c r="Y799" s="99"/>
      <c r="Z799" s="99"/>
      <c r="AA799" s="99"/>
      <c r="AB799" s="99"/>
      <c r="AC799" s="98"/>
      <c r="AD799" s="98"/>
      <c r="AE799" s="98"/>
      <c r="AF799" s="98"/>
      <c r="AG799" s="98"/>
      <c r="AH799" s="98"/>
    </row>
    <row r="800" spans="2:34" x14ac:dyDescent="0.25">
      <c r="B800" s="75"/>
      <c r="C800" s="76"/>
      <c r="D800" s="83"/>
      <c r="E800" s="84"/>
      <c r="F800" s="84"/>
      <c r="G800" s="84"/>
      <c r="H800" s="84"/>
      <c r="I800" s="85"/>
      <c r="J800" s="90"/>
      <c r="K800" s="91"/>
      <c r="L800" s="90"/>
      <c r="M800" s="91"/>
      <c r="N800" s="83"/>
      <c r="O800" s="85"/>
      <c r="P800" s="96"/>
      <c r="Q800" s="97"/>
      <c r="S800" s="99"/>
      <c r="T800" s="99"/>
      <c r="U800" s="99"/>
      <c r="V800" s="99"/>
      <c r="W800" s="99"/>
      <c r="X800" s="99"/>
      <c r="Y800" s="99"/>
      <c r="Z800" s="99"/>
      <c r="AA800" s="99"/>
      <c r="AB800" s="99"/>
      <c r="AC800" s="98"/>
      <c r="AD800" s="98"/>
      <c r="AE800" s="98"/>
      <c r="AF800" s="98"/>
      <c r="AG800" s="98"/>
      <c r="AH800" s="98"/>
    </row>
    <row r="801" spans="2:34" x14ac:dyDescent="0.25">
      <c r="B801" s="71"/>
      <c r="C801" s="72"/>
      <c r="D801" s="77"/>
      <c r="E801" s="78"/>
      <c r="F801" s="78"/>
      <c r="G801" s="78"/>
      <c r="H801" s="78"/>
      <c r="I801" s="79"/>
      <c r="J801" s="86"/>
      <c r="K801" s="87"/>
      <c r="L801" s="86"/>
      <c r="M801" s="87"/>
      <c r="N801" s="77"/>
      <c r="O801" s="79"/>
      <c r="P801" s="92"/>
      <c r="Q801" s="93"/>
      <c r="S801" s="99"/>
      <c r="T801" s="99"/>
      <c r="U801" s="99"/>
      <c r="V801" s="99"/>
      <c r="W801" s="99"/>
      <c r="X801" s="99"/>
      <c r="Y801" s="99"/>
      <c r="Z801" s="99"/>
      <c r="AA801" s="99"/>
      <c r="AB801" s="99"/>
      <c r="AC801" s="98"/>
      <c r="AD801" s="98"/>
      <c r="AE801" s="98"/>
      <c r="AF801" s="98"/>
      <c r="AG801" s="98"/>
      <c r="AH801" s="98"/>
    </row>
    <row r="802" spans="2:34" x14ac:dyDescent="0.25">
      <c r="B802" s="73"/>
      <c r="C802" s="74"/>
      <c r="D802" s="80"/>
      <c r="E802" s="81"/>
      <c r="F802" s="81"/>
      <c r="G802" s="81"/>
      <c r="H802" s="81"/>
      <c r="I802" s="82"/>
      <c r="J802" s="88"/>
      <c r="K802" s="89"/>
      <c r="L802" s="88"/>
      <c r="M802" s="89"/>
      <c r="N802" s="80"/>
      <c r="O802" s="82"/>
      <c r="P802" s="94"/>
      <c r="Q802" s="95"/>
      <c r="S802" s="99"/>
      <c r="T802" s="99"/>
      <c r="U802" s="99"/>
      <c r="V802" s="99"/>
      <c r="W802" s="99"/>
      <c r="X802" s="99"/>
      <c r="Y802" s="99"/>
      <c r="Z802" s="99"/>
      <c r="AA802" s="99"/>
      <c r="AB802" s="99"/>
      <c r="AC802" s="98"/>
      <c r="AD802" s="98"/>
      <c r="AE802" s="98"/>
      <c r="AF802" s="98"/>
      <c r="AG802" s="98"/>
      <c r="AH802" s="98"/>
    </row>
    <row r="803" spans="2:34" x14ac:dyDescent="0.25">
      <c r="B803" s="75"/>
      <c r="C803" s="76"/>
      <c r="D803" s="83"/>
      <c r="E803" s="84"/>
      <c r="F803" s="84"/>
      <c r="G803" s="84"/>
      <c r="H803" s="84"/>
      <c r="I803" s="85"/>
      <c r="J803" s="90"/>
      <c r="K803" s="91"/>
      <c r="L803" s="90"/>
      <c r="M803" s="91"/>
      <c r="N803" s="83"/>
      <c r="O803" s="85"/>
      <c r="P803" s="96"/>
      <c r="Q803" s="97"/>
      <c r="S803" s="99"/>
      <c r="T803" s="99"/>
      <c r="U803" s="99"/>
      <c r="V803" s="99"/>
      <c r="W803" s="99"/>
      <c r="X803" s="99"/>
      <c r="Y803" s="99"/>
      <c r="Z803" s="99"/>
      <c r="AA803" s="99"/>
      <c r="AB803" s="99"/>
      <c r="AC803" s="98"/>
      <c r="AD803" s="98"/>
      <c r="AE803" s="98"/>
      <c r="AF803" s="98"/>
      <c r="AG803" s="98"/>
      <c r="AH803" s="98"/>
    </row>
    <row r="804" spans="2:34" x14ac:dyDescent="0.25">
      <c r="B804" s="71"/>
      <c r="C804" s="72"/>
      <c r="D804" s="77"/>
      <c r="E804" s="78"/>
      <c r="F804" s="78"/>
      <c r="G804" s="78"/>
      <c r="H804" s="78"/>
      <c r="I804" s="79"/>
      <c r="J804" s="86"/>
      <c r="K804" s="87"/>
      <c r="L804" s="86"/>
      <c r="M804" s="87"/>
      <c r="N804" s="77"/>
      <c r="O804" s="79"/>
      <c r="P804" s="92"/>
      <c r="Q804" s="93"/>
      <c r="S804" s="99"/>
      <c r="T804" s="99"/>
      <c r="U804" s="99"/>
      <c r="V804" s="99"/>
      <c r="W804" s="99"/>
      <c r="X804" s="99"/>
      <c r="Y804" s="99"/>
      <c r="Z804" s="99"/>
      <c r="AA804" s="99"/>
      <c r="AB804" s="99"/>
      <c r="AC804" s="98"/>
      <c r="AD804" s="98"/>
      <c r="AE804" s="98"/>
      <c r="AF804" s="98"/>
      <c r="AG804" s="98"/>
      <c r="AH804" s="98"/>
    </row>
    <row r="805" spans="2:34" x14ac:dyDescent="0.25">
      <c r="B805" s="73"/>
      <c r="C805" s="74"/>
      <c r="D805" s="80"/>
      <c r="E805" s="81"/>
      <c r="F805" s="81"/>
      <c r="G805" s="81"/>
      <c r="H805" s="81"/>
      <c r="I805" s="82"/>
      <c r="J805" s="88"/>
      <c r="K805" s="89"/>
      <c r="L805" s="88"/>
      <c r="M805" s="89"/>
      <c r="N805" s="80"/>
      <c r="O805" s="82"/>
      <c r="P805" s="94"/>
      <c r="Q805" s="95"/>
      <c r="S805" s="99"/>
      <c r="T805" s="99"/>
      <c r="U805" s="99"/>
      <c r="V805" s="99"/>
      <c r="W805" s="99"/>
      <c r="X805" s="99"/>
      <c r="Y805" s="99"/>
      <c r="Z805" s="99"/>
      <c r="AA805" s="99"/>
      <c r="AB805" s="99"/>
      <c r="AC805" s="98"/>
      <c r="AD805" s="98"/>
      <c r="AE805" s="98"/>
      <c r="AF805" s="98"/>
      <c r="AG805" s="98"/>
      <c r="AH805" s="98"/>
    </row>
    <row r="806" spans="2:34" x14ac:dyDescent="0.25">
      <c r="B806" s="75"/>
      <c r="C806" s="76"/>
      <c r="D806" s="83"/>
      <c r="E806" s="84"/>
      <c r="F806" s="84"/>
      <c r="G806" s="84"/>
      <c r="H806" s="84"/>
      <c r="I806" s="85"/>
      <c r="J806" s="90"/>
      <c r="K806" s="91"/>
      <c r="L806" s="90"/>
      <c r="M806" s="91"/>
      <c r="N806" s="83"/>
      <c r="O806" s="85"/>
      <c r="P806" s="96"/>
      <c r="Q806" s="97"/>
      <c r="S806" s="99"/>
      <c r="T806" s="99"/>
      <c r="U806" s="99"/>
      <c r="V806" s="99"/>
      <c r="W806" s="99"/>
      <c r="X806" s="99"/>
      <c r="Y806" s="99"/>
      <c r="Z806" s="99"/>
      <c r="AA806" s="99"/>
      <c r="AB806" s="99"/>
      <c r="AC806" s="98"/>
      <c r="AD806" s="98"/>
      <c r="AE806" s="98"/>
      <c r="AF806" s="98"/>
      <c r="AG806" s="98"/>
      <c r="AH806" s="98"/>
    </row>
    <row r="807" spans="2:34" x14ac:dyDescent="0.25">
      <c r="B807" s="71"/>
      <c r="C807" s="72"/>
      <c r="D807" s="77"/>
      <c r="E807" s="78"/>
      <c r="F807" s="78"/>
      <c r="G807" s="78"/>
      <c r="H807" s="78"/>
      <c r="I807" s="79"/>
      <c r="J807" s="86"/>
      <c r="K807" s="87"/>
      <c r="L807" s="86"/>
      <c r="M807" s="87"/>
      <c r="N807" s="77"/>
      <c r="O807" s="79"/>
      <c r="P807" s="92"/>
      <c r="Q807" s="93"/>
      <c r="S807" s="99"/>
      <c r="T807" s="99"/>
      <c r="U807" s="99"/>
      <c r="V807" s="99"/>
      <c r="W807" s="99"/>
      <c r="X807" s="99"/>
      <c r="Y807" s="99"/>
      <c r="Z807" s="99"/>
      <c r="AA807" s="99"/>
      <c r="AB807" s="99"/>
      <c r="AC807" s="98"/>
      <c r="AD807" s="98"/>
      <c r="AE807" s="98"/>
      <c r="AF807" s="98"/>
      <c r="AG807" s="98"/>
      <c r="AH807" s="98"/>
    </row>
    <row r="808" spans="2:34" x14ac:dyDescent="0.25">
      <c r="B808" s="73"/>
      <c r="C808" s="74"/>
      <c r="D808" s="80"/>
      <c r="E808" s="81"/>
      <c r="F808" s="81"/>
      <c r="G808" s="81"/>
      <c r="H808" s="81"/>
      <c r="I808" s="82"/>
      <c r="J808" s="88"/>
      <c r="K808" s="89"/>
      <c r="L808" s="88"/>
      <c r="M808" s="89"/>
      <c r="N808" s="80"/>
      <c r="O808" s="82"/>
      <c r="P808" s="94"/>
      <c r="Q808" s="95"/>
      <c r="S808" s="99"/>
      <c r="T808" s="99"/>
      <c r="U808" s="99"/>
      <c r="V808" s="99"/>
      <c r="W808" s="99"/>
      <c r="X808" s="99"/>
      <c r="Y808" s="99"/>
      <c r="Z808" s="99"/>
      <c r="AA808" s="99"/>
      <c r="AB808" s="99"/>
      <c r="AC808" s="98"/>
      <c r="AD808" s="98"/>
      <c r="AE808" s="98"/>
      <c r="AF808" s="98"/>
      <c r="AG808" s="98"/>
      <c r="AH808" s="98"/>
    </row>
    <row r="809" spans="2:34" x14ac:dyDescent="0.25">
      <c r="B809" s="75"/>
      <c r="C809" s="76"/>
      <c r="D809" s="83"/>
      <c r="E809" s="84"/>
      <c r="F809" s="84"/>
      <c r="G809" s="84"/>
      <c r="H809" s="84"/>
      <c r="I809" s="85"/>
      <c r="J809" s="90"/>
      <c r="K809" s="91"/>
      <c r="L809" s="90"/>
      <c r="M809" s="91"/>
      <c r="N809" s="83"/>
      <c r="O809" s="85"/>
      <c r="P809" s="96"/>
      <c r="Q809" s="97"/>
      <c r="S809" s="99"/>
      <c r="T809" s="99"/>
      <c r="U809" s="99"/>
      <c r="V809" s="99"/>
      <c r="W809" s="99"/>
      <c r="X809" s="99"/>
      <c r="Y809" s="99"/>
      <c r="Z809" s="99"/>
      <c r="AA809" s="99"/>
      <c r="AB809" s="99"/>
      <c r="AC809" s="98"/>
      <c r="AD809" s="98"/>
      <c r="AE809" s="98"/>
      <c r="AF809" s="98"/>
      <c r="AG809" s="98"/>
      <c r="AH809" s="98"/>
    </row>
    <row r="810" spans="2:34" x14ac:dyDescent="0.25">
      <c r="B810" s="71"/>
      <c r="C810" s="72"/>
      <c r="D810" s="77"/>
      <c r="E810" s="78"/>
      <c r="F810" s="78"/>
      <c r="G810" s="78"/>
      <c r="H810" s="78"/>
      <c r="I810" s="79"/>
      <c r="J810" s="86"/>
      <c r="K810" s="87"/>
      <c r="L810" s="86"/>
      <c r="M810" s="87"/>
      <c r="N810" s="77"/>
      <c r="O810" s="79"/>
      <c r="P810" s="92"/>
      <c r="Q810" s="93"/>
      <c r="S810" s="99"/>
      <c r="T810" s="99"/>
      <c r="U810" s="99"/>
      <c r="V810" s="99"/>
      <c r="W810" s="99"/>
      <c r="X810" s="99"/>
      <c r="Y810" s="99"/>
      <c r="Z810" s="99"/>
      <c r="AA810" s="99"/>
      <c r="AB810" s="99"/>
      <c r="AC810" s="98"/>
      <c r="AD810" s="98"/>
      <c r="AE810" s="98"/>
      <c r="AF810" s="98"/>
      <c r="AG810" s="98"/>
      <c r="AH810" s="98"/>
    </row>
    <row r="811" spans="2:34" x14ac:dyDescent="0.25">
      <c r="B811" s="73"/>
      <c r="C811" s="74"/>
      <c r="D811" s="80"/>
      <c r="E811" s="81"/>
      <c r="F811" s="81"/>
      <c r="G811" s="81"/>
      <c r="H811" s="81"/>
      <c r="I811" s="82"/>
      <c r="J811" s="88"/>
      <c r="K811" s="89"/>
      <c r="L811" s="88"/>
      <c r="M811" s="89"/>
      <c r="N811" s="80"/>
      <c r="O811" s="82"/>
      <c r="P811" s="94"/>
      <c r="Q811" s="95"/>
      <c r="S811" s="99"/>
      <c r="T811" s="99"/>
      <c r="U811" s="99"/>
      <c r="V811" s="99"/>
      <c r="W811" s="99"/>
      <c r="X811" s="99"/>
      <c r="Y811" s="99"/>
      <c r="Z811" s="99"/>
      <c r="AA811" s="99"/>
      <c r="AB811" s="99"/>
      <c r="AC811" s="98"/>
      <c r="AD811" s="98"/>
      <c r="AE811" s="98"/>
      <c r="AF811" s="98"/>
      <c r="AG811" s="98"/>
      <c r="AH811" s="98"/>
    </row>
    <row r="812" spans="2:34" x14ac:dyDescent="0.25">
      <c r="B812" s="75"/>
      <c r="C812" s="76"/>
      <c r="D812" s="83"/>
      <c r="E812" s="84"/>
      <c r="F812" s="84"/>
      <c r="G812" s="84"/>
      <c r="H812" s="84"/>
      <c r="I812" s="85"/>
      <c r="J812" s="90"/>
      <c r="K812" s="91"/>
      <c r="L812" s="90"/>
      <c r="M812" s="91"/>
      <c r="N812" s="83"/>
      <c r="O812" s="85"/>
      <c r="P812" s="96"/>
      <c r="Q812" s="97"/>
      <c r="S812" s="99"/>
      <c r="T812" s="99"/>
      <c r="U812" s="99"/>
      <c r="V812" s="99"/>
      <c r="W812" s="99"/>
      <c r="X812" s="99"/>
      <c r="Y812" s="99"/>
      <c r="Z812" s="99"/>
      <c r="AA812" s="99"/>
      <c r="AB812" s="99"/>
      <c r="AC812" s="98"/>
      <c r="AD812" s="98"/>
      <c r="AE812" s="98"/>
      <c r="AF812" s="98"/>
      <c r="AG812" s="98"/>
      <c r="AH812" s="98"/>
    </row>
    <row r="813" spans="2:34" x14ac:dyDescent="0.25">
      <c r="B813" s="71"/>
      <c r="C813" s="72"/>
      <c r="D813" s="77"/>
      <c r="E813" s="78"/>
      <c r="F813" s="78"/>
      <c r="G813" s="78"/>
      <c r="H813" s="78"/>
      <c r="I813" s="79"/>
      <c r="J813" s="86"/>
      <c r="K813" s="87"/>
      <c r="L813" s="86"/>
      <c r="M813" s="87"/>
      <c r="N813" s="77"/>
      <c r="O813" s="79"/>
      <c r="P813" s="92"/>
      <c r="Q813" s="93"/>
      <c r="S813" s="99"/>
      <c r="T813" s="99"/>
      <c r="U813" s="99"/>
      <c r="V813" s="99"/>
      <c r="W813" s="99"/>
      <c r="X813" s="99"/>
      <c r="Y813" s="99"/>
      <c r="Z813" s="99"/>
      <c r="AA813" s="99"/>
      <c r="AB813" s="99"/>
      <c r="AC813" s="98"/>
      <c r="AD813" s="98"/>
      <c r="AE813" s="98"/>
      <c r="AF813" s="98"/>
      <c r="AG813" s="98"/>
      <c r="AH813" s="98"/>
    </row>
    <row r="814" spans="2:34" x14ac:dyDescent="0.25">
      <c r="B814" s="73"/>
      <c r="C814" s="74"/>
      <c r="D814" s="80"/>
      <c r="E814" s="81"/>
      <c r="F814" s="81"/>
      <c r="G814" s="81"/>
      <c r="H814" s="81"/>
      <c r="I814" s="82"/>
      <c r="J814" s="88"/>
      <c r="K814" s="89"/>
      <c r="L814" s="88"/>
      <c r="M814" s="89"/>
      <c r="N814" s="80"/>
      <c r="O814" s="82"/>
      <c r="P814" s="94"/>
      <c r="Q814" s="95"/>
      <c r="S814" s="99"/>
      <c r="T814" s="99"/>
      <c r="U814" s="99"/>
      <c r="V814" s="99"/>
      <c r="W814" s="99"/>
      <c r="X814" s="99"/>
      <c r="Y814" s="99"/>
      <c r="Z814" s="99"/>
      <c r="AA814" s="99"/>
      <c r="AB814" s="99"/>
      <c r="AC814" s="98"/>
      <c r="AD814" s="98"/>
      <c r="AE814" s="98"/>
      <c r="AF814" s="98"/>
      <c r="AG814" s="98"/>
      <c r="AH814" s="98"/>
    </row>
    <row r="815" spans="2:34" x14ac:dyDescent="0.25">
      <c r="B815" s="75"/>
      <c r="C815" s="76"/>
      <c r="D815" s="83"/>
      <c r="E815" s="84"/>
      <c r="F815" s="84"/>
      <c r="G815" s="84"/>
      <c r="H815" s="84"/>
      <c r="I815" s="85"/>
      <c r="J815" s="90"/>
      <c r="K815" s="91"/>
      <c r="L815" s="90"/>
      <c r="M815" s="91"/>
      <c r="N815" s="83"/>
      <c r="O815" s="85"/>
      <c r="P815" s="96"/>
      <c r="Q815" s="97"/>
      <c r="S815" s="99"/>
      <c r="T815" s="99"/>
      <c r="U815" s="99"/>
      <c r="V815" s="99"/>
      <c r="W815" s="99"/>
      <c r="X815" s="99"/>
      <c r="Y815" s="99"/>
      <c r="Z815" s="99"/>
      <c r="AA815" s="99"/>
      <c r="AB815" s="99"/>
      <c r="AC815" s="98"/>
      <c r="AD815" s="98"/>
      <c r="AE815" s="98"/>
      <c r="AF815" s="98"/>
      <c r="AG815" s="98"/>
      <c r="AH815" s="98"/>
    </row>
    <row r="816" spans="2:34" x14ac:dyDescent="0.25">
      <c r="B816" s="71"/>
      <c r="C816" s="72"/>
      <c r="D816" s="77"/>
      <c r="E816" s="78"/>
      <c r="F816" s="78"/>
      <c r="G816" s="78"/>
      <c r="H816" s="78"/>
      <c r="I816" s="79"/>
      <c r="J816" s="86"/>
      <c r="K816" s="87"/>
      <c r="L816" s="86"/>
      <c r="M816" s="87"/>
      <c r="N816" s="77"/>
      <c r="O816" s="79"/>
      <c r="P816" s="92"/>
      <c r="Q816" s="93"/>
      <c r="S816" s="99"/>
      <c r="T816" s="99"/>
      <c r="U816" s="99"/>
      <c r="V816" s="99"/>
      <c r="W816" s="99"/>
      <c r="X816" s="99"/>
      <c r="Y816" s="99"/>
      <c r="Z816" s="99"/>
      <c r="AA816" s="99"/>
      <c r="AB816" s="99"/>
      <c r="AC816" s="98"/>
      <c r="AD816" s="98"/>
      <c r="AE816" s="98"/>
      <c r="AF816" s="98"/>
      <c r="AG816" s="98"/>
      <c r="AH816" s="98"/>
    </row>
    <row r="817" spans="2:34" x14ac:dyDescent="0.25">
      <c r="B817" s="73"/>
      <c r="C817" s="74"/>
      <c r="D817" s="80"/>
      <c r="E817" s="81"/>
      <c r="F817" s="81"/>
      <c r="G817" s="81"/>
      <c r="H817" s="81"/>
      <c r="I817" s="82"/>
      <c r="J817" s="88"/>
      <c r="K817" s="89"/>
      <c r="L817" s="88"/>
      <c r="M817" s="89"/>
      <c r="N817" s="80"/>
      <c r="O817" s="82"/>
      <c r="P817" s="94"/>
      <c r="Q817" s="95"/>
      <c r="S817" s="99"/>
      <c r="T817" s="99"/>
      <c r="U817" s="99"/>
      <c r="V817" s="99"/>
      <c r="W817" s="99"/>
      <c r="X817" s="99"/>
      <c r="Y817" s="99"/>
      <c r="Z817" s="99"/>
      <c r="AA817" s="99"/>
      <c r="AB817" s="99"/>
      <c r="AC817" s="98"/>
      <c r="AD817" s="98"/>
      <c r="AE817" s="98"/>
      <c r="AF817" s="98"/>
      <c r="AG817" s="98"/>
      <c r="AH817" s="98"/>
    </row>
    <row r="818" spans="2:34" x14ac:dyDescent="0.25">
      <c r="B818" s="75"/>
      <c r="C818" s="76"/>
      <c r="D818" s="83"/>
      <c r="E818" s="84"/>
      <c r="F818" s="84"/>
      <c r="G818" s="84"/>
      <c r="H818" s="84"/>
      <c r="I818" s="85"/>
      <c r="J818" s="90"/>
      <c r="K818" s="91"/>
      <c r="L818" s="90"/>
      <c r="M818" s="91"/>
      <c r="N818" s="83"/>
      <c r="O818" s="85"/>
      <c r="P818" s="96"/>
      <c r="Q818" s="97"/>
      <c r="S818" s="99"/>
      <c r="T818" s="99"/>
      <c r="U818" s="99"/>
      <c r="V818" s="99"/>
      <c r="W818" s="99"/>
      <c r="X818" s="99"/>
      <c r="Y818" s="99"/>
      <c r="Z818" s="99"/>
      <c r="AA818" s="99"/>
      <c r="AB818" s="99"/>
      <c r="AC818" s="98"/>
      <c r="AD818" s="98"/>
      <c r="AE818" s="98"/>
      <c r="AF818" s="98"/>
      <c r="AG818" s="98"/>
      <c r="AH818" s="98"/>
    </row>
    <row r="819" spans="2:34" x14ac:dyDescent="0.25">
      <c r="B819" s="71"/>
      <c r="C819" s="72"/>
      <c r="D819" s="77"/>
      <c r="E819" s="78"/>
      <c r="F819" s="78"/>
      <c r="G819" s="78"/>
      <c r="H819" s="78"/>
      <c r="I819" s="79"/>
      <c r="J819" s="86"/>
      <c r="K819" s="87"/>
      <c r="L819" s="86"/>
      <c r="M819" s="87"/>
      <c r="N819" s="77"/>
      <c r="O819" s="79"/>
      <c r="P819" s="92"/>
      <c r="Q819" s="93"/>
      <c r="S819" s="99"/>
      <c r="T819" s="99"/>
      <c r="U819" s="99"/>
      <c r="V819" s="99"/>
      <c r="W819" s="99"/>
      <c r="X819" s="99"/>
      <c r="Y819" s="99"/>
      <c r="Z819" s="99"/>
      <c r="AA819" s="99"/>
      <c r="AB819" s="99"/>
      <c r="AC819" s="98"/>
      <c r="AD819" s="98"/>
      <c r="AE819" s="98"/>
      <c r="AF819" s="98"/>
      <c r="AG819" s="98"/>
      <c r="AH819" s="98"/>
    </row>
    <row r="820" spans="2:34" x14ac:dyDescent="0.25">
      <c r="B820" s="73"/>
      <c r="C820" s="74"/>
      <c r="D820" s="80"/>
      <c r="E820" s="81"/>
      <c r="F820" s="81"/>
      <c r="G820" s="81"/>
      <c r="H820" s="81"/>
      <c r="I820" s="82"/>
      <c r="J820" s="88"/>
      <c r="K820" s="89"/>
      <c r="L820" s="88"/>
      <c r="M820" s="89"/>
      <c r="N820" s="80"/>
      <c r="O820" s="82"/>
      <c r="P820" s="94"/>
      <c r="Q820" s="95"/>
      <c r="S820" s="99"/>
      <c r="T820" s="99"/>
      <c r="U820" s="99"/>
      <c r="V820" s="99"/>
      <c r="W820" s="99"/>
      <c r="X820" s="99"/>
      <c r="Y820" s="99"/>
      <c r="Z820" s="99"/>
      <c r="AA820" s="99"/>
      <c r="AB820" s="99"/>
      <c r="AC820" s="98"/>
      <c r="AD820" s="98"/>
      <c r="AE820" s="98"/>
      <c r="AF820" s="98"/>
      <c r="AG820" s="98"/>
      <c r="AH820" s="98"/>
    </row>
    <row r="821" spans="2:34" x14ac:dyDescent="0.25">
      <c r="B821" s="75"/>
      <c r="C821" s="76"/>
      <c r="D821" s="83"/>
      <c r="E821" s="84"/>
      <c r="F821" s="84"/>
      <c r="G821" s="84"/>
      <c r="H821" s="84"/>
      <c r="I821" s="85"/>
      <c r="J821" s="90"/>
      <c r="K821" s="91"/>
      <c r="L821" s="90"/>
      <c r="M821" s="91"/>
      <c r="N821" s="83"/>
      <c r="O821" s="85"/>
      <c r="P821" s="96"/>
      <c r="Q821" s="97"/>
      <c r="S821" s="99"/>
      <c r="T821" s="99"/>
      <c r="U821" s="99"/>
      <c r="V821" s="99"/>
      <c r="W821" s="99"/>
      <c r="X821" s="99"/>
      <c r="Y821" s="99"/>
      <c r="Z821" s="99"/>
      <c r="AA821" s="99"/>
      <c r="AB821" s="99"/>
      <c r="AC821" s="98"/>
      <c r="AD821" s="98"/>
      <c r="AE821" s="98"/>
      <c r="AF821" s="98"/>
      <c r="AG821" s="98"/>
      <c r="AH821" s="98"/>
    </row>
    <row r="822" spans="2:34" x14ac:dyDescent="0.25">
      <c r="B822" s="71"/>
      <c r="C822" s="72"/>
      <c r="D822" s="77"/>
      <c r="E822" s="78"/>
      <c r="F822" s="78"/>
      <c r="G822" s="78"/>
      <c r="H822" s="78"/>
      <c r="I822" s="79"/>
      <c r="J822" s="86"/>
      <c r="K822" s="87"/>
      <c r="L822" s="86"/>
      <c r="M822" s="87"/>
      <c r="N822" s="77"/>
      <c r="O822" s="79"/>
      <c r="P822" s="92"/>
      <c r="Q822" s="93"/>
      <c r="S822" s="99"/>
      <c r="T822" s="99"/>
      <c r="U822" s="99"/>
      <c r="V822" s="99"/>
      <c r="W822" s="99"/>
      <c r="X822" s="99"/>
      <c r="Y822" s="99"/>
      <c r="Z822" s="99"/>
      <c r="AA822" s="99"/>
      <c r="AB822" s="99"/>
      <c r="AC822" s="98"/>
      <c r="AD822" s="98"/>
      <c r="AE822" s="98"/>
      <c r="AF822" s="98"/>
      <c r="AG822" s="98"/>
      <c r="AH822" s="98"/>
    </row>
    <row r="823" spans="2:34" x14ac:dyDescent="0.25">
      <c r="B823" s="73"/>
      <c r="C823" s="74"/>
      <c r="D823" s="80"/>
      <c r="E823" s="81"/>
      <c r="F823" s="81"/>
      <c r="G823" s="81"/>
      <c r="H823" s="81"/>
      <c r="I823" s="82"/>
      <c r="J823" s="88"/>
      <c r="K823" s="89"/>
      <c r="L823" s="88"/>
      <c r="M823" s="89"/>
      <c r="N823" s="80"/>
      <c r="O823" s="82"/>
      <c r="P823" s="94"/>
      <c r="Q823" s="95"/>
      <c r="S823" s="99"/>
      <c r="T823" s="99"/>
      <c r="U823" s="99"/>
      <c r="V823" s="99"/>
      <c r="W823" s="99"/>
      <c r="X823" s="99"/>
      <c r="Y823" s="99"/>
      <c r="Z823" s="99"/>
      <c r="AA823" s="99"/>
      <c r="AB823" s="99"/>
      <c r="AC823" s="98"/>
      <c r="AD823" s="98"/>
      <c r="AE823" s="98"/>
      <c r="AF823" s="98"/>
      <c r="AG823" s="98"/>
      <c r="AH823" s="98"/>
    </row>
    <row r="824" spans="2:34" x14ac:dyDescent="0.25">
      <c r="B824" s="75"/>
      <c r="C824" s="76"/>
      <c r="D824" s="83"/>
      <c r="E824" s="84"/>
      <c r="F824" s="84"/>
      <c r="G824" s="84"/>
      <c r="H824" s="84"/>
      <c r="I824" s="85"/>
      <c r="J824" s="90"/>
      <c r="K824" s="91"/>
      <c r="L824" s="90"/>
      <c r="M824" s="91"/>
      <c r="N824" s="83"/>
      <c r="O824" s="85"/>
      <c r="P824" s="96"/>
      <c r="Q824" s="97"/>
      <c r="S824" s="99"/>
      <c r="T824" s="99"/>
      <c r="U824" s="99"/>
      <c r="V824" s="99"/>
      <c r="W824" s="99"/>
      <c r="X824" s="99"/>
      <c r="Y824" s="99"/>
      <c r="Z824" s="99"/>
      <c r="AA824" s="99"/>
      <c r="AB824" s="99"/>
      <c r="AC824" s="98"/>
      <c r="AD824" s="98"/>
      <c r="AE824" s="98"/>
      <c r="AF824" s="98"/>
      <c r="AG824" s="98"/>
      <c r="AH824" s="98"/>
    </row>
    <row r="825" spans="2:34" x14ac:dyDescent="0.25">
      <c r="B825" s="71"/>
      <c r="C825" s="72"/>
      <c r="D825" s="77"/>
      <c r="E825" s="78"/>
      <c r="F825" s="78"/>
      <c r="G825" s="78"/>
      <c r="H825" s="78"/>
      <c r="I825" s="79"/>
      <c r="J825" s="86"/>
      <c r="K825" s="87"/>
      <c r="L825" s="86"/>
      <c r="M825" s="87"/>
      <c r="N825" s="77"/>
      <c r="O825" s="79"/>
      <c r="P825" s="92"/>
      <c r="Q825" s="93"/>
      <c r="S825" s="99"/>
      <c r="T825" s="99"/>
      <c r="U825" s="99"/>
      <c r="V825" s="99"/>
      <c r="W825" s="99"/>
      <c r="X825" s="99"/>
      <c r="Y825" s="99"/>
      <c r="Z825" s="99"/>
      <c r="AA825" s="99"/>
      <c r="AB825" s="99"/>
      <c r="AC825" s="98"/>
      <c r="AD825" s="98"/>
      <c r="AE825" s="98"/>
      <c r="AF825" s="98"/>
      <c r="AG825" s="98"/>
      <c r="AH825" s="98"/>
    </row>
    <row r="826" spans="2:34" x14ac:dyDescent="0.25">
      <c r="B826" s="73"/>
      <c r="C826" s="74"/>
      <c r="D826" s="80"/>
      <c r="E826" s="81"/>
      <c r="F826" s="81"/>
      <c r="G826" s="81"/>
      <c r="H826" s="81"/>
      <c r="I826" s="82"/>
      <c r="J826" s="88"/>
      <c r="K826" s="89"/>
      <c r="L826" s="88"/>
      <c r="M826" s="89"/>
      <c r="N826" s="80"/>
      <c r="O826" s="82"/>
      <c r="P826" s="94"/>
      <c r="Q826" s="95"/>
      <c r="S826" s="99"/>
      <c r="T826" s="99"/>
      <c r="U826" s="99"/>
      <c r="V826" s="99"/>
      <c r="W826" s="99"/>
      <c r="X826" s="99"/>
      <c r="Y826" s="99"/>
      <c r="Z826" s="99"/>
      <c r="AA826" s="99"/>
      <c r="AB826" s="99"/>
      <c r="AC826" s="98"/>
      <c r="AD826" s="98"/>
      <c r="AE826" s="98"/>
      <c r="AF826" s="98"/>
      <c r="AG826" s="98"/>
      <c r="AH826" s="98"/>
    </row>
    <row r="827" spans="2:34" x14ac:dyDescent="0.25">
      <c r="B827" s="75"/>
      <c r="C827" s="76"/>
      <c r="D827" s="83"/>
      <c r="E827" s="84"/>
      <c r="F827" s="84"/>
      <c r="G827" s="84"/>
      <c r="H827" s="84"/>
      <c r="I827" s="85"/>
      <c r="J827" s="90"/>
      <c r="K827" s="91"/>
      <c r="L827" s="90"/>
      <c r="M827" s="91"/>
      <c r="N827" s="83"/>
      <c r="O827" s="85"/>
      <c r="P827" s="96"/>
      <c r="Q827" s="97"/>
      <c r="S827" s="99"/>
      <c r="T827" s="99"/>
      <c r="U827" s="99"/>
      <c r="V827" s="99"/>
      <c r="W827" s="99"/>
      <c r="X827" s="99"/>
      <c r="Y827" s="99"/>
      <c r="Z827" s="99"/>
      <c r="AA827" s="99"/>
      <c r="AB827" s="99"/>
      <c r="AC827" s="98"/>
      <c r="AD827" s="98"/>
      <c r="AE827" s="98"/>
      <c r="AF827" s="98"/>
      <c r="AG827" s="98"/>
      <c r="AH827" s="98"/>
    </row>
    <row r="828" spans="2:34" x14ac:dyDescent="0.25">
      <c r="B828" s="71"/>
      <c r="C828" s="72"/>
      <c r="D828" s="77"/>
      <c r="E828" s="78"/>
      <c r="F828" s="78"/>
      <c r="G828" s="78"/>
      <c r="H828" s="78"/>
      <c r="I828" s="79"/>
      <c r="J828" s="86"/>
      <c r="K828" s="87"/>
      <c r="L828" s="86"/>
      <c r="M828" s="87"/>
      <c r="N828" s="77"/>
      <c r="O828" s="79"/>
      <c r="P828" s="92"/>
      <c r="Q828" s="93"/>
      <c r="S828" s="99"/>
      <c r="T828" s="99"/>
      <c r="U828" s="99"/>
      <c r="V828" s="99"/>
      <c r="W828" s="99"/>
      <c r="X828" s="99"/>
      <c r="Y828" s="99"/>
      <c r="Z828" s="99"/>
      <c r="AA828" s="99"/>
      <c r="AB828" s="99"/>
      <c r="AC828" s="98"/>
      <c r="AD828" s="98"/>
      <c r="AE828" s="98"/>
      <c r="AF828" s="98"/>
      <c r="AG828" s="98"/>
      <c r="AH828" s="98"/>
    </row>
    <row r="829" spans="2:34" x14ac:dyDescent="0.25">
      <c r="B829" s="73"/>
      <c r="C829" s="74"/>
      <c r="D829" s="80"/>
      <c r="E829" s="81"/>
      <c r="F829" s="81"/>
      <c r="G829" s="81"/>
      <c r="H829" s="81"/>
      <c r="I829" s="82"/>
      <c r="J829" s="88"/>
      <c r="K829" s="89"/>
      <c r="L829" s="88"/>
      <c r="M829" s="89"/>
      <c r="N829" s="80"/>
      <c r="O829" s="82"/>
      <c r="P829" s="94"/>
      <c r="Q829" s="95"/>
      <c r="S829" s="99"/>
      <c r="T829" s="99"/>
      <c r="U829" s="99"/>
      <c r="V829" s="99"/>
      <c r="W829" s="99"/>
      <c r="X829" s="99"/>
      <c r="Y829" s="99"/>
      <c r="Z829" s="99"/>
      <c r="AA829" s="99"/>
      <c r="AB829" s="99"/>
      <c r="AC829" s="98"/>
      <c r="AD829" s="98"/>
      <c r="AE829" s="98"/>
      <c r="AF829" s="98"/>
      <c r="AG829" s="98"/>
      <c r="AH829" s="98"/>
    </row>
    <row r="830" spans="2:34" x14ac:dyDescent="0.25">
      <c r="B830" s="75"/>
      <c r="C830" s="76"/>
      <c r="D830" s="83"/>
      <c r="E830" s="84"/>
      <c r="F830" s="84"/>
      <c r="G830" s="84"/>
      <c r="H830" s="84"/>
      <c r="I830" s="85"/>
      <c r="J830" s="90"/>
      <c r="K830" s="91"/>
      <c r="L830" s="90"/>
      <c r="M830" s="91"/>
      <c r="N830" s="83"/>
      <c r="O830" s="85"/>
      <c r="P830" s="96"/>
      <c r="Q830" s="97"/>
      <c r="S830" s="99"/>
      <c r="T830" s="99"/>
      <c r="U830" s="99"/>
      <c r="V830" s="99"/>
      <c r="W830" s="99"/>
      <c r="X830" s="99"/>
      <c r="Y830" s="99"/>
      <c r="Z830" s="99"/>
      <c r="AA830" s="99"/>
      <c r="AB830" s="99"/>
      <c r="AC830" s="98"/>
      <c r="AD830" s="98"/>
      <c r="AE830" s="98"/>
      <c r="AF830" s="98"/>
      <c r="AG830" s="98"/>
      <c r="AH830" s="98"/>
    </row>
    <row r="831" spans="2:34" x14ac:dyDescent="0.25">
      <c r="B831" s="71"/>
      <c r="C831" s="72"/>
      <c r="D831" s="77"/>
      <c r="E831" s="78"/>
      <c r="F831" s="78"/>
      <c r="G831" s="78"/>
      <c r="H831" s="78"/>
      <c r="I831" s="79"/>
      <c r="J831" s="86"/>
      <c r="K831" s="87"/>
      <c r="L831" s="86"/>
      <c r="M831" s="87"/>
      <c r="N831" s="77"/>
      <c r="O831" s="79"/>
      <c r="P831" s="92"/>
      <c r="Q831" s="93"/>
      <c r="S831" s="99"/>
      <c r="T831" s="99"/>
      <c r="U831" s="99"/>
      <c r="V831" s="99"/>
      <c r="W831" s="99"/>
      <c r="X831" s="99"/>
      <c r="Y831" s="99"/>
      <c r="Z831" s="99"/>
      <c r="AA831" s="99"/>
      <c r="AB831" s="99"/>
      <c r="AC831" s="98"/>
      <c r="AD831" s="98"/>
      <c r="AE831" s="98"/>
      <c r="AF831" s="98"/>
      <c r="AG831" s="98"/>
      <c r="AH831" s="98"/>
    </row>
    <row r="832" spans="2:34" x14ac:dyDescent="0.25">
      <c r="B832" s="73"/>
      <c r="C832" s="74"/>
      <c r="D832" s="80"/>
      <c r="E832" s="81"/>
      <c r="F832" s="81"/>
      <c r="G832" s="81"/>
      <c r="H832" s="81"/>
      <c r="I832" s="82"/>
      <c r="J832" s="88"/>
      <c r="K832" s="89"/>
      <c r="L832" s="88"/>
      <c r="M832" s="89"/>
      <c r="N832" s="80"/>
      <c r="O832" s="82"/>
      <c r="P832" s="94"/>
      <c r="Q832" s="95"/>
      <c r="S832" s="99"/>
      <c r="T832" s="99"/>
      <c r="U832" s="99"/>
      <c r="V832" s="99"/>
      <c r="W832" s="99"/>
      <c r="X832" s="99"/>
      <c r="Y832" s="99"/>
      <c r="Z832" s="99"/>
      <c r="AA832" s="99"/>
      <c r="AB832" s="99"/>
      <c r="AC832" s="98"/>
      <c r="AD832" s="98"/>
      <c r="AE832" s="98"/>
      <c r="AF832" s="98"/>
      <c r="AG832" s="98"/>
      <c r="AH832" s="98"/>
    </row>
    <row r="833" spans="2:34" x14ac:dyDescent="0.25">
      <c r="B833" s="75"/>
      <c r="C833" s="76"/>
      <c r="D833" s="83"/>
      <c r="E833" s="84"/>
      <c r="F833" s="84"/>
      <c r="G833" s="84"/>
      <c r="H833" s="84"/>
      <c r="I833" s="85"/>
      <c r="J833" s="90"/>
      <c r="K833" s="91"/>
      <c r="L833" s="90"/>
      <c r="M833" s="91"/>
      <c r="N833" s="83"/>
      <c r="O833" s="85"/>
      <c r="P833" s="96"/>
      <c r="Q833" s="97"/>
      <c r="S833" s="99"/>
      <c r="T833" s="99"/>
      <c r="U833" s="99"/>
      <c r="V833" s="99"/>
      <c r="W833" s="99"/>
      <c r="X833" s="99"/>
      <c r="Y833" s="99"/>
      <c r="Z833" s="99"/>
      <c r="AA833" s="99"/>
      <c r="AB833" s="99"/>
      <c r="AC833" s="98"/>
      <c r="AD833" s="98"/>
      <c r="AE833" s="98"/>
      <c r="AF833" s="98"/>
      <c r="AG833" s="98"/>
      <c r="AH833" s="98"/>
    </row>
    <row r="834" spans="2:34" x14ac:dyDescent="0.25">
      <c r="B834" s="71"/>
      <c r="C834" s="72"/>
      <c r="D834" s="77"/>
      <c r="E834" s="78"/>
      <c r="F834" s="78"/>
      <c r="G834" s="78"/>
      <c r="H834" s="78"/>
      <c r="I834" s="79"/>
      <c r="J834" s="86"/>
      <c r="K834" s="87"/>
      <c r="L834" s="86"/>
      <c r="M834" s="87"/>
      <c r="N834" s="77"/>
      <c r="O834" s="79"/>
      <c r="P834" s="92"/>
      <c r="Q834" s="93"/>
      <c r="S834" s="99"/>
      <c r="T834" s="99"/>
      <c r="U834" s="99"/>
      <c r="V834" s="99"/>
      <c r="W834" s="99"/>
      <c r="X834" s="99"/>
      <c r="Y834" s="99"/>
      <c r="Z834" s="99"/>
      <c r="AA834" s="99"/>
      <c r="AB834" s="99"/>
      <c r="AC834" s="98"/>
      <c r="AD834" s="98"/>
      <c r="AE834" s="98"/>
      <c r="AF834" s="98"/>
      <c r="AG834" s="98"/>
      <c r="AH834" s="98"/>
    </row>
    <row r="835" spans="2:34" x14ac:dyDescent="0.25">
      <c r="B835" s="73"/>
      <c r="C835" s="74"/>
      <c r="D835" s="80"/>
      <c r="E835" s="81"/>
      <c r="F835" s="81"/>
      <c r="G835" s="81"/>
      <c r="H835" s="81"/>
      <c r="I835" s="82"/>
      <c r="J835" s="88"/>
      <c r="K835" s="89"/>
      <c r="L835" s="88"/>
      <c r="M835" s="89"/>
      <c r="N835" s="80"/>
      <c r="O835" s="82"/>
      <c r="P835" s="94"/>
      <c r="Q835" s="95"/>
      <c r="S835" s="99"/>
      <c r="T835" s="99"/>
      <c r="U835" s="99"/>
      <c r="V835" s="99"/>
      <c r="W835" s="99"/>
      <c r="X835" s="99"/>
      <c r="Y835" s="99"/>
      <c r="Z835" s="99"/>
      <c r="AA835" s="99"/>
      <c r="AB835" s="99"/>
      <c r="AC835" s="98"/>
      <c r="AD835" s="98"/>
      <c r="AE835" s="98"/>
      <c r="AF835" s="98"/>
      <c r="AG835" s="98"/>
      <c r="AH835" s="98"/>
    </row>
    <row r="836" spans="2:34" x14ac:dyDescent="0.25">
      <c r="B836" s="75"/>
      <c r="C836" s="76"/>
      <c r="D836" s="83"/>
      <c r="E836" s="84"/>
      <c r="F836" s="84"/>
      <c r="G836" s="84"/>
      <c r="H836" s="84"/>
      <c r="I836" s="85"/>
      <c r="J836" s="90"/>
      <c r="K836" s="91"/>
      <c r="L836" s="90"/>
      <c r="M836" s="91"/>
      <c r="N836" s="83"/>
      <c r="O836" s="85"/>
      <c r="P836" s="96"/>
      <c r="Q836" s="97"/>
      <c r="S836" s="99"/>
      <c r="T836" s="99"/>
      <c r="U836" s="99"/>
      <c r="V836" s="99"/>
      <c r="W836" s="99"/>
      <c r="X836" s="99"/>
      <c r="Y836" s="99"/>
      <c r="Z836" s="99"/>
      <c r="AA836" s="99"/>
      <c r="AB836" s="99"/>
      <c r="AC836" s="98"/>
      <c r="AD836" s="98"/>
      <c r="AE836" s="98"/>
      <c r="AF836" s="98"/>
      <c r="AG836" s="98"/>
      <c r="AH836" s="98"/>
    </row>
    <row r="837" spans="2:34" x14ac:dyDescent="0.25">
      <c r="B837" s="71"/>
      <c r="C837" s="72"/>
      <c r="D837" s="77"/>
      <c r="E837" s="78"/>
      <c r="F837" s="78"/>
      <c r="G837" s="78"/>
      <c r="H837" s="78"/>
      <c r="I837" s="79"/>
      <c r="J837" s="86"/>
      <c r="K837" s="87"/>
      <c r="L837" s="86"/>
      <c r="M837" s="87"/>
      <c r="N837" s="77"/>
      <c r="O837" s="79"/>
      <c r="P837" s="92"/>
      <c r="Q837" s="93"/>
      <c r="S837" s="99"/>
      <c r="T837" s="99"/>
      <c r="U837" s="99"/>
      <c r="V837" s="99"/>
      <c r="W837" s="99"/>
      <c r="X837" s="99"/>
      <c r="Y837" s="99"/>
      <c r="Z837" s="99"/>
      <c r="AA837" s="99"/>
      <c r="AB837" s="99"/>
      <c r="AC837" s="98"/>
      <c r="AD837" s="98"/>
      <c r="AE837" s="98"/>
      <c r="AF837" s="98"/>
      <c r="AG837" s="98"/>
      <c r="AH837" s="98"/>
    </row>
    <row r="838" spans="2:34" x14ac:dyDescent="0.25">
      <c r="B838" s="73"/>
      <c r="C838" s="74"/>
      <c r="D838" s="80"/>
      <c r="E838" s="81"/>
      <c r="F838" s="81"/>
      <c r="G838" s="81"/>
      <c r="H838" s="81"/>
      <c r="I838" s="82"/>
      <c r="J838" s="88"/>
      <c r="K838" s="89"/>
      <c r="L838" s="88"/>
      <c r="M838" s="89"/>
      <c r="N838" s="80"/>
      <c r="O838" s="82"/>
      <c r="P838" s="94"/>
      <c r="Q838" s="95"/>
      <c r="S838" s="99"/>
      <c r="T838" s="99"/>
      <c r="U838" s="99"/>
      <c r="V838" s="99"/>
      <c r="W838" s="99"/>
      <c r="X838" s="99"/>
      <c r="Y838" s="99"/>
      <c r="Z838" s="99"/>
      <c r="AA838" s="99"/>
      <c r="AB838" s="99"/>
      <c r="AC838" s="98"/>
      <c r="AD838" s="98"/>
      <c r="AE838" s="98"/>
      <c r="AF838" s="98"/>
      <c r="AG838" s="98"/>
      <c r="AH838" s="98"/>
    </row>
    <row r="839" spans="2:34" x14ac:dyDescent="0.25">
      <c r="B839" s="75"/>
      <c r="C839" s="76"/>
      <c r="D839" s="83"/>
      <c r="E839" s="84"/>
      <c r="F839" s="84"/>
      <c r="G839" s="84"/>
      <c r="H839" s="84"/>
      <c r="I839" s="85"/>
      <c r="J839" s="90"/>
      <c r="K839" s="91"/>
      <c r="L839" s="90"/>
      <c r="M839" s="91"/>
      <c r="N839" s="83"/>
      <c r="O839" s="85"/>
      <c r="P839" s="96"/>
      <c r="Q839" s="97"/>
      <c r="S839" s="99"/>
      <c r="T839" s="99"/>
      <c r="U839" s="99"/>
      <c r="V839" s="99"/>
      <c r="W839" s="99"/>
      <c r="X839" s="99"/>
      <c r="Y839" s="99"/>
      <c r="Z839" s="99"/>
      <c r="AA839" s="99"/>
      <c r="AB839" s="99"/>
      <c r="AC839" s="98"/>
      <c r="AD839" s="98"/>
      <c r="AE839" s="98"/>
      <c r="AF839" s="98"/>
      <c r="AG839" s="98"/>
      <c r="AH839" s="98"/>
    </row>
    <row r="840" spans="2:34" x14ac:dyDescent="0.25">
      <c r="B840" s="71"/>
      <c r="C840" s="72"/>
      <c r="D840" s="77"/>
      <c r="E840" s="78"/>
      <c r="F840" s="78"/>
      <c r="G840" s="78"/>
      <c r="H840" s="78"/>
      <c r="I840" s="79"/>
      <c r="J840" s="86"/>
      <c r="K840" s="87"/>
      <c r="L840" s="86"/>
      <c r="M840" s="87"/>
      <c r="N840" s="77"/>
      <c r="O840" s="79"/>
      <c r="P840" s="92"/>
      <c r="Q840" s="93"/>
      <c r="S840" s="99"/>
      <c r="T840" s="99"/>
      <c r="U840" s="99"/>
      <c r="V840" s="99"/>
      <c r="W840" s="99"/>
      <c r="X840" s="99"/>
      <c r="Y840" s="99"/>
      <c r="Z840" s="99"/>
      <c r="AA840" s="99"/>
      <c r="AB840" s="99"/>
      <c r="AC840" s="98"/>
      <c r="AD840" s="98"/>
      <c r="AE840" s="98"/>
      <c r="AF840" s="98"/>
      <c r="AG840" s="98"/>
      <c r="AH840" s="98"/>
    </row>
    <row r="841" spans="2:34" x14ac:dyDescent="0.25">
      <c r="B841" s="73"/>
      <c r="C841" s="74"/>
      <c r="D841" s="80"/>
      <c r="E841" s="81"/>
      <c r="F841" s="81"/>
      <c r="G841" s="81"/>
      <c r="H841" s="81"/>
      <c r="I841" s="82"/>
      <c r="J841" s="88"/>
      <c r="K841" s="89"/>
      <c r="L841" s="88"/>
      <c r="M841" s="89"/>
      <c r="N841" s="80"/>
      <c r="O841" s="82"/>
      <c r="P841" s="94"/>
      <c r="Q841" s="95"/>
      <c r="S841" s="99"/>
      <c r="T841" s="99"/>
      <c r="U841" s="99"/>
      <c r="V841" s="99"/>
      <c r="W841" s="99"/>
      <c r="X841" s="99"/>
      <c r="Y841" s="99"/>
      <c r="Z841" s="99"/>
      <c r="AA841" s="99"/>
      <c r="AB841" s="99"/>
      <c r="AC841" s="98"/>
      <c r="AD841" s="98"/>
      <c r="AE841" s="98"/>
      <c r="AF841" s="98"/>
      <c r="AG841" s="98"/>
      <c r="AH841" s="98"/>
    </row>
    <row r="842" spans="2:34" x14ac:dyDescent="0.25">
      <c r="B842" s="75"/>
      <c r="C842" s="76"/>
      <c r="D842" s="83"/>
      <c r="E842" s="84"/>
      <c r="F842" s="84"/>
      <c r="G842" s="84"/>
      <c r="H842" s="84"/>
      <c r="I842" s="85"/>
      <c r="J842" s="90"/>
      <c r="K842" s="91"/>
      <c r="L842" s="90"/>
      <c r="M842" s="91"/>
      <c r="N842" s="83"/>
      <c r="O842" s="85"/>
      <c r="P842" s="96"/>
      <c r="Q842" s="97"/>
      <c r="S842" s="99"/>
      <c r="T842" s="99"/>
      <c r="U842" s="99"/>
      <c r="V842" s="99"/>
      <c r="W842" s="99"/>
      <c r="X842" s="99"/>
      <c r="Y842" s="99"/>
      <c r="Z842" s="99"/>
      <c r="AA842" s="99"/>
      <c r="AB842" s="99"/>
      <c r="AC842" s="98"/>
      <c r="AD842" s="98"/>
      <c r="AE842" s="98"/>
      <c r="AF842" s="98"/>
      <c r="AG842" s="98"/>
      <c r="AH842" s="98"/>
    </row>
    <row r="843" spans="2:34" x14ac:dyDescent="0.25">
      <c r="B843" s="71"/>
      <c r="C843" s="72"/>
      <c r="D843" s="77"/>
      <c r="E843" s="78"/>
      <c r="F843" s="78"/>
      <c r="G843" s="78"/>
      <c r="H843" s="78"/>
      <c r="I843" s="79"/>
      <c r="J843" s="86"/>
      <c r="K843" s="87"/>
      <c r="L843" s="86"/>
      <c r="M843" s="87"/>
      <c r="N843" s="77"/>
      <c r="O843" s="79"/>
      <c r="P843" s="92"/>
      <c r="Q843" s="93"/>
      <c r="S843" s="99"/>
      <c r="T843" s="99"/>
      <c r="U843" s="99"/>
      <c r="V843" s="99"/>
      <c r="W843" s="99"/>
      <c r="X843" s="99"/>
      <c r="Y843" s="99"/>
      <c r="Z843" s="99"/>
      <c r="AA843" s="99"/>
      <c r="AB843" s="99"/>
      <c r="AC843" s="98"/>
      <c r="AD843" s="98"/>
      <c r="AE843" s="98"/>
      <c r="AF843" s="98"/>
      <c r="AG843" s="98"/>
      <c r="AH843" s="98"/>
    </row>
    <row r="844" spans="2:34" x14ac:dyDescent="0.25">
      <c r="B844" s="73"/>
      <c r="C844" s="74"/>
      <c r="D844" s="80"/>
      <c r="E844" s="81"/>
      <c r="F844" s="81"/>
      <c r="G844" s="81"/>
      <c r="H844" s="81"/>
      <c r="I844" s="82"/>
      <c r="J844" s="88"/>
      <c r="K844" s="89"/>
      <c r="L844" s="88"/>
      <c r="M844" s="89"/>
      <c r="N844" s="80"/>
      <c r="O844" s="82"/>
      <c r="P844" s="94"/>
      <c r="Q844" s="95"/>
      <c r="S844" s="99"/>
      <c r="T844" s="99"/>
      <c r="U844" s="99"/>
      <c r="V844" s="99"/>
      <c r="W844" s="99"/>
      <c r="X844" s="99"/>
      <c r="Y844" s="99"/>
      <c r="Z844" s="99"/>
      <c r="AA844" s="99"/>
      <c r="AB844" s="99"/>
      <c r="AC844" s="98"/>
      <c r="AD844" s="98"/>
      <c r="AE844" s="98"/>
      <c r="AF844" s="98"/>
      <c r="AG844" s="98"/>
      <c r="AH844" s="98"/>
    </row>
    <row r="845" spans="2:34" x14ac:dyDescent="0.25">
      <c r="B845" s="75"/>
      <c r="C845" s="76"/>
      <c r="D845" s="83"/>
      <c r="E845" s="84"/>
      <c r="F845" s="84"/>
      <c r="G845" s="84"/>
      <c r="H845" s="84"/>
      <c r="I845" s="85"/>
      <c r="J845" s="90"/>
      <c r="K845" s="91"/>
      <c r="L845" s="90"/>
      <c r="M845" s="91"/>
      <c r="N845" s="83"/>
      <c r="O845" s="85"/>
      <c r="P845" s="96"/>
      <c r="Q845" s="97"/>
      <c r="S845" s="99"/>
      <c r="T845" s="99"/>
      <c r="U845" s="99"/>
      <c r="V845" s="99"/>
      <c r="W845" s="99"/>
      <c r="X845" s="99"/>
      <c r="Y845" s="99"/>
      <c r="Z845" s="99"/>
      <c r="AA845" s="99"/>
      <c r="AB845" s="99"/>
      <c r="AC845" s="98"/>
      <c r="AD845" s="98"/>
      <c r="AE845" s="98"/>
      <c r="AF845" s="98"/>
      <c r="AG845" s="98"/>
      <c r="AH845" s="98"/>
    </row>
    <row r="846" spans="2:34" x14ac:dyDescent="0.25">
      <c r="B846" s="71"/>
      <c r="C846" s="72"/>
      <c r="D846" s="77"/>
      <c r="E846" s="78"/>
      <c r="F846" s="78"/>
      <c r="G846" s="78"/>
      <c r="H846" s="78"/>
      <c r="I846" s="79"/>
      <c r="J846" s="86"/>
      <c r="K846" s="87"/>
      <c r="L846" s="86"/>
      <c r="M846" s="87"/>
      <c r="N846" s="77"/>
      <c r="O846" s="79"/>
      <c r="P846" s="92"/>
      <c r="Q846" s="93"/>
      <c r="S846" s="99"/>
      <c r="T846" s="99"/>
      <c r="U846" s="99"/>
      <c r="V846" s="99"/>
      <c r="W846" s="99"/>
      <c r="X846" s="99"/>
      <c r="Y846" s="99"/>
      <c r="Z846" s="99"/>
      <c r="AA846" s="99"/>
      <c r="AB846" s="99"/>
      <c r="AC846" s="98"/>
      <c r="AD846" s="98"/>
      <c r="AE846" s="98"/>
      <c r="AF846" s="98"/>
      <c r="AG846" s="98"/>
      <c r="AH846" s="98"/>
    </row>
    <row r="847" spans="2:34" x14ac:dyDescent="0.25">
      <c r="B847" s="73"/>
      <c r="C847" s="74"/>
      <c r="D847" s="80"/>
      <c r="E847" s="81"/>
      <c r="F847" s="81"/>
      <c r="G847" s="81"/>
      <c r="H847" s="81"/>
      <c r="I847" s="82"/>
      <c r="J847" s="88"/>
      <c r="K847" s="89"/>
      <c r="L847" s="88"/>
      <c r="M847" s="89"/>
      <c r="N847" s="80"/>
      <c r="O847" s="82"/>
      <c r="P847" s="94"/>
      <c r="Q847" s="95"/>
      <c r="S847" s="99"/>
      <c r="T847" s="99"/>
      <c r="U847" s="99"/>
      <c r="V847" s="99"/>
      <c r="W847" s="99"/>
      <c r="X847" s="99"/>
      <c r="Y847" s="99"/>
      <c r="Z847" s="99"/>
      <c r="AA847" s="99"/>
      <c r="AB847" s="99"/>
      <c r="AC847" s="98"/>
      <c r="AD847" s="98"/>
      <c r="AE847" s="98"/>
      <c r="AF847" s="98"/>
      <c r="AG847" s="98"/>
      <c r="AH847" s="98"/>
    </row>
    <row r="848" spans="2:34" x14ac:dyDescent="0.25">
      <c r="B848" s="75"/>
      <c r="C848" s="76"/>
      <c r="D848" s="83"/>
      <c r="E848" s="84"/>
      <c r="F848" s="84"/>
      <c r="G848" s="84"/>
      <c r="H848" s="84"/>
      <c r="I848" s="85"/>
      <c r="J848" s="90"/>
      <c r="K848" s="91"/>
      <c r="L848" s="90"/>
      <c r="M848" s="91"/>
      <c r="N848" s="83"/>
      <c r="O848" s="85"/>
      <c r="P848" s="96"/>
      <c r="Q848" s="97"/>
      <c r="S848" s="99"/>
      <c r="T848" s="99"/>
      <c r="U848" s="99"/>
      <c r="V848" s="99"/>
      <c r="W848" s="99"/>
      <c r="X848" s="99"/>
      <c r="Y848" s="99"/>
      <c r="Z848" s="99"/>
      <c r="AA848" s="99"/>
      <c r="AB848" s="99"/>
      <c r="AC848" s="98"/>
      <c r="AD848" s="98"/>
      <c r="AE848" s="98"/>
      <c r="AF848" s="98"/>
      <c r="AG848" s="98"/>
      <c r="AH848" s="98"/>
    </row>
    <row r="849" spans="2:34" x14ac:dyDescent="0.25">
      <c r="B849" s="71"/>
      <c r="C849" s="72"/>
      <c r="D849" s="77"/>
      <c r="E849" s="78"/>
      <c r="F849" s="78"/>
      <c r="G849" s="78"/>
      <c r="H849" s="78"/>
      <c r="I849" s="79"/>
      <c r="J849" s="86"/>
      <c r="K849" s="87"/>
      <c r="L849" s="86"/>
      <c r="M849" s="87"/>
      <c r="N849" s="77"/>
      <c r="O849" s="79"/>
      <c r="P849" s="92"/>
      <c r="Q849" s="93"/>
      <c r="S849" s="99"/>
      <c r="T849" s="99"/>
      <c r="U849" s="99"/>
      <c r="V849" s="99"/>
      <c r="W849" s="99"/>
      <c r="X849" s="99"/>
      <c r="Y849" s="99"/>
      <c r="Z849" s="99"/>
      <c r="AA849" s="99"/>
      <c r="AB849" s="99"/>
      <c r="AC849" s="98"/>
      <c r="AD849" s="98"/>
      <c r="AE849" s="98"/>
      <c r="AF849" s="98"/>
      <c r="AG849" s="98"/>
      <c r="AH849" s="98"/>
    </row>
    <row r="850" spans="2:34" x14ac:dyDescent="0.25">
      <c r="B850" s="73"/>
      <c r="C850" s="74"/>
      <c r="D850" s="80"/>
      <c r="E850" s="81"/>
      <c r="F850" s="81"/>
      <c r="G850" s="81"/>
      <c r="H850" s="81"/>
      <c r="I850" s="82"/>
      <c r="J850" s="88"/>
      <c r="K850" s="89"/>
      <c r="L850" s="88"/>
      <c r="M850" s="89"/>
      <c r="N850" s="80"/>
      <c r="O850" s="82"/>
      <c r="P850" s="94"/>
      <c r="Q850" s="95"/>
      <c r="S850" s="99"/>
      <c r="T850" s="99"/>
      <c r="U850" s="99"/>
      <c r="V850" s="99"/>
      <c r="W850" s="99"/>
      <c r="X850" s="99"/>
      <c r="Y850" s="99"/>
      <c r="Z850" s="99"/>
      <c r="AA850" s="99"/>
      <c r="AB850" s="99"/>
      <c r="AC850" s="98"/>
      <c r="AD850" s="98"/>
      <c r="AE850" s="98"/>
      <c r="AF850" s="98"/>
      <c r="AG850" s="98"/>
      <c r="AH850" s="98"/>
    </row>
    <row r="851" spans="2:34" x14ac:dyDescent="0.25">
      <c r="B851" s="75"/>
      <c r="C851" s="76"/>
      <c r="D851" s="83"/>
      <c r="E851" s="84"/>
      <c r="F851" s="84"/>
      <c r="G851" s="84"/>
      <c r="H851" s="84"/>
      <c r="I851" s="85"/>
      <c r="J851" s="90"/>
      <c r="K851" s="91"/>
      <c r="L851" s="90"/>
      <c r="M851" s="91"/>
      <c r="N851" s="83"/>
      <c r="O851" s="85"/>
      <c r="P851" s="96"/>
      <c r="Q851" s="97"/>
      <c r="S851" s="99"/>
      <c r="T851" s="99"/>
      <c r="U851" s="99"/>
      <c r="V851" s="99"/>
      <c r="W851" s="99"/>
      <c r="X851" s="99"/>
      <c r="Y851" s="99"/>
      <c r="Z851" s="99"/>
      <c r="AA851" s="99"/>
      <c r="AB851" s="99"/>
      <c r="AC851" s="98"/>
      <c r="AD851" s="98"/>
      <c r="AE851" s="98"/>
      <c r="AF851" s="98"/>
      <c r="AG851" s="98"/>
      <c r="AH851" s="98"/>
    </row>
    <row r="852" spans="2:34" x14ac:dyDescent="0.25">
      <c r="B852" s="71"/>
      <c r="C852" s="72"/>
      <c r="D852" s="77"/>
      <c r="E852" s="78"/>
      <c r="F852" s="78"/>
      <c r="G852" s="78"/>
      <c r="H852" s="78"/>
      <c r="I852" s="79"/>
      <c r="J852" s="86"/>
      <c r="K852" s="87"/>
      <c r="L852" s="86"/>
      <c r="M852" s="87"/>
      <c r="N852" s="77"/>
      <c r="O852" s="79"/>
      <c r="P852" s="92"/>
      <c r="Q852" s="93"/>
      <c r="S852" s="99"/>
      <c r="T852" s="99"/>
      <c r="U852" s="99"/>
      <c r="V852" s="99"/>
      <c r="W852" s="99"/>
      <c r="X852" s="99"/>
      <c r="Y852" s="99"/>
      <c r="Z852" s="99"/>
      <c r="AA852" s="99"/>
      <c r="AB852" s="99"/>
      <c r="AC852" s="98"/>
      <c r="AD852" s="98"/>
      <c r="AE852" s="98"/>
      <c r="AF852" s="98"/>
      <c r="AG852" s="98"/>
      <c r="AH852" s="98"/>
    </row>
    <row r="853" spans="2:34" x14ac:dyDescent="0.25">
      <c r="B853" s="73"/>
      <c r="C853" s="74"/>
      <c r="D853" s="80"/>
      <c r="E853" s="81"/>
      <c r="F853" s="81"/>
      <c r="G853" s="81"/>
      <c r="H853" s="81"/>
      <c r="I853" s="82"/>
      <c r="J853" s="88"/>
      <c r="K853" s="89"/>
      <c r="L853" s="88"/>
      <c r="M853" s="89"/>
      <c r="N853" s="80"/>
      <c r="O853" s="82"/>
      <c r="P853" s="94"/>
      <c r="Q853" s="95"/>
      <c r="S853" s="99"/>
      <c r="T853" s="99"/>
      <c r="U853" s="99"/>
      <c r="V853" s="99"/>
      <c r="W853" s="99"/>
      <c r="X853" s="99"/>
      <c r="Y853" s="99"/>
      <c r="Z853" s="99"/>
      <c r="AA853" s="99"/>
      <c r="AB853" s="99"/>
      <c r="AC853" s="98"/>
      <c r="AD853" s="98"/>
      <c r="AE853" s="98"/>
      <c r="AF853" s="98"/>
      <c r="AG853" s="98"/>
      <c r="AH853" s="98"/>
    </row>
    <row r="854" spans="2:34" x14ac:dyDescent="0.25">
      <c r="B854" s="75"/>
      <c r="C854" s="76"/>
      <c r="D854" s="83"/>
      <c r="E854" s="84"/>
      <c r="F854" s="84"/>
      <c r="G854" s="84"/>
      <c r="H854" s="84"/>
      <c r="I854" s="85"/>
      <c r="J854" s="90"/>
      <c r="K854" s="91"/>
      <c r="L854" s="90"/>
      <c r="M854" s="91"/>
      <c r="N854" s="83"/>
      <c r="O854" s="85"/>
      <c r="P854" s="96"/>
      <c r="Q854" s="97"/>
      <c r="S854" s="99"/>
      <c r="T854" s="99"/>
      <c r="U854" s="99"/>
      <c r="V854" s="99"/>
      <c r="W854" s="99"/>
      <c r="X854" s="99"/>
      <c r="Y854" s="99"/>
      <c r="Z854" s="99"/>
      <c r="AA854" s="99"/>
      <c r="AB854" s="99"/>
      <c r="AC854" s="98"/>
      <c r="AD854" s="98"/>
      <c r="AE854" s="98"/>
      <c r="AF854" s="98"/>
      <c r="AG854" s="98"/>
      <c r="AH854" s="98"/>
    </row>
    <row r="855" spans="2:34" x14ac:dyDescent="0.25">
      <c r="B855" s="71"/>
      <c r="C855" s="72"/>
      <c r="D855" s="77"/>
      <c r="E855" s="78"/>
      <c r="F855" s="78"/>
      <c r="G855" s="78"/>
      <c r="H855" s="78"/>
      <c r="I855" s="79"/>
      <c r="J855" s="86"/>
      <c r="K855" s="87"/>
      <c r="L855" s="86"/>
      <c r="M855" s="87"/>
      <c r="N855" s="77"/>
      <c r="O855" s="79"/>
      <c r="P855" s="92"/>
      <c r="Q855" s="93"/>
      <c r="S855" s="99"/>
      <c r="T855" s="99"/>
      <c r="U855" s="99"/>
      <c r="V855" s="99"/>
      <c r="W855" s="99"/>
      <c r="X855" s="99"/>
      <c r="Y855" s="99"/>
      <c r="Z855" s="99"/>
      <c r="AA855" s="99"/>
      <c r="AB855" s="99"/>
      <c r="AC855" s="98"/>
      <c r="AD855" s="98"/>
      <c r="AE855" s="98"/>
      <c r="AF855" s="98"/>
      <c r="AG855" s="98"/>
      <c r="AH855" s="98"/>
    </row>
    <row r="856" spans="2:34" x14ac:dyDescent="0.25">
      <c r="B856" s="73"/>
      <c r="C856" s="74"/>
      <c r="D856" s="80"/>
      <c r="E856" s="81"/>
      <c r="F856" s="81"/>
      <c r="G856" s="81"/>
      <c r="H856" s="81"/>
      <c r="I856" s="82"/>
      <c r="J856" s="88"/>
      <c r="K856" s="89"/>
      <c r="L856" s="88"/>
      <c r="M856" s="89"/>
      <c r="N856" s="80"/>
      <c r="O856" s="82"/>
      <c r="P856" s="94"/>
      <c r="Q856" s="95"/>
      <c r="S856" s="99"/>
      <c r="T856" s="99"/>
      <c r="U856" s="99"/>
      <c r="V856" s="99"/>
      <c r="W856" s="99"/>
      <c r="X856" s="99"/>
      <c r="Y856" s="99"/>
      <c r="Z856" s="99"/>
      <c r="AA856" s="99"/>
      <c r="AB856" s="99"/>
      <c r="AC856" s="98"/>
      <c r="AD856" s="98"/>
      <c r="AE856" s="98"/>
      <c r="AF856" s="98"/>
      <c r="AG856" s="98"/>
      <c r="AH856" s="98"/>
    </row>
    <row r="857" spans="2:34" x14ac:dyDescent="0.25">
      <c r="B857" s="75"/>
      <c r="C857" s="76"/>
      <c r="D857" s="83"/>
      <c r="E857" s="84"/>
      <c r="F857" s="84"/>
      <c r="G857" s="84"/>
      <c r="H857" s="84"/>
      <c r="I857" s="85"/>
      <c r="J857" s="90"/>
      <c r="K857" s="91"/>
      <c r="L857" s="90"/>
      <c r="M857" s="91"/>
      <c r="N857" s="83"/>
      <c r="O857" s="85"/>
      <c r="P857" s="96"/>
      <c r="Q857" s="97"/>
      <c r="S857" s="99"/>
      <c r="T857" s="99"/>
      <c r="U857" s="99"/>
      <c r="V857" s="99"/>
      <c r="W857" s="99"/>
      <c r="X857" s="99"/>
      <c r="Y857" s="99"/>
      <c r="Z857" s="99"/>
      <c r="AA857" s="99"/>
      <c r="AB857" s="99"/>
      <c r="AC857" s="98"/>
      <c r="AD857" s="98"/>
      <c r="AE857" s="98"/>
      <c r="AF857" s="98"/>
      <c r="AG857" s="98"/>
      <c r="AH857" s="98"/>
    </row>
    <row r="858" spans="2:34" x14ac:dyDescent="0.25">
      <c r="B858" s="71"/>
      <c r="C858" s="72"/>
      <c r="D858" s="77"/>
      <c r="E858" s="78"/>
      <c r="F858" s="78"/>
      <c r="G858" s="78"/>
      <c r="H858" s="78"/>
      <c r="I858" s="79"/>
      <c r="J858" s="86"/>
      <c r="K858" s="87"/>
      <c r="L858" s="86"/>
      <c r="M858" s="87"/>
      <c r="N858" s="77"/>
      <c r="O858" s="79"/>
      <c r="P858" s="92"/>
      <c r="Q858" s="93"/>
      <c r="S858" s="99"/>
      <c r="T858" s="99"/>
      <c r="U858" s="99"/>
      <c r="V858" s="99"/>
      <c r="W858" s="99"/>
      <c r="X858" s="99"/>
      <c r="Y858" s="99"/>
      <c r="Z858" s="99"/>
      <c r="AA858" s="99"/>
      <c r="AB858" s="99"/>
      <c r="AC858" s="98"/>
      <c r="AD858" s="98"/>
      <c r="AE858" s="98"/>
      <c r="AF858" s="98"/>
      <c r="AG858" s="98"/>
      <c r="AH858" s="98"/>
    </row>
    <row r="859" spans="2:34" x14ac:dyDescent="0.25">
      <c r="B859" s="73"/>
      <c r="C859" s="74"/>
      <c r="D859" s="80"/>
      <c r="E859" s="81"/>
      <c r="F859" s="81"/>
      <c r="G859" s="81"/>
      <c r="H859" s="81"/>
      <c r="I859" s="82"/>
      <c r="J859" s="88"/>
      <c r="K859" s="89"/>
      <c r="L859" s="88"/>
      <c r="M859" s="89"/>
      <c r="N859" s="80"/>
      <c r="O859" s="82"/>
      <c r="P859" s="94"/>
      <c r="Q859" s="95"/>
      <c r="S859" s="99"/>
      <c r="T859" s="99"/>
      <c r="U859" s="99"/>
      <c r="V859" s="99"/>
      <c r="W859" s="99"/>
      <c r="X859" s="99"/>
      <c r="Y859" s="99"/>
      <c r="Z859" s="99"/>
      <c r="AA859" s="99"/>
      <c r="AB859" s="99"/>
      <c r="AC859" s="98"/>
      <c r="AD859" s="98"/>
      <c r="AE859" s="98"/>
      <c r="AF859" s="98"/>
      <c r="AG859" s="98"/>
      <c r="AH859" s="98"/>
    </row>
    <row r="860" spans="2:34" x14ac:dyDescent="0.25">
      <c r="B860" s="75"/>
      <c r="C860" s="76"/>
      <c r="D860" s="83"/>
      <c r="E860" s="84"/>
      <c r="F860" s="84"/>
      <c r="G860" s="84"/>
      <c r="H860" s="84"/>
      <c r="I860" s="85"/>
      <c r="J860" s="90"/>
      <c r="K860" s="91"/>
      <c r="L860" s="90"/>
      <c r="M860" s="91"/>
      <c r="N860" s="83"/>
      <c r="O860" s="85"/>
      <c r="P860" s="96"/>
      <c r="Q860" s="97"/>
      <c r="S860" s="99"/>
      <c r="T860" s="99"/>
      <c r="U860" s="99"/>
      <c r="V860" s="99"/>
      <c r="W860" s="99"/>
      <c r="X860" s="99"/>
      <c r="Y860" s="99"/>
      <c r="Z860" s="99"/>
      <c r="AA860" s="99"/>
      <c r="AB860" s="99"/>
      <c r="AC860" s="98"/>
      <c r="AD860" s="98"/>
      <c r="AE860" s="98"/>
      <c r="AF860" s="98"/>
      <c r="AG860" s="98"/>
      <c r="AH860" s="98"/>
    </row>
    <row r="861" spans="2:34" x14ac:dyDescent="0.25">
      <c r="B861" s="71"/>
      <c r="C861" s="72"/>
      <c r="D861" s="77"/>
      <c r="E861" s="78"/>
      <c r="F861" s="78"/>
      <c r="G861" s="78"/>
      <c r="H861" s="78"/>
      <c r="I861" s="79"/>
      <c r="J861" s="86"/>
      <c r="K861" s="87"/>
      <c r="L861" s="86"/>
      <c r="M861" s="87"/>
      <c r="N861" s="77"/>
      <c r="O861" s="79"/>
      <c r="P861" s="92"/>
      <c r="Q861" s="93"/>
      <c r="S861" s="99"/>
      <c r="T861" s="99"/>
      <c r="U861" s="99"/>
      <c r="V861" s="99"/>
      <c r="W861" s="99"/>
      <c r="X861" s="99"/>
      <c r="Y861" s="99"/>
      <c r="Z861" s="99"/>
      <c r="AA861" s="99"/>
      <c r="AB861" s="99"/>
      <c r="AC861" s="98"/>
      <c r="AD861" s="98"/>
      <c r="AE861" s="98"/>
      <c r="AF861" s="98"/>
      <c r="AG861" s="98"/>
      <c r="AH861" s="98"/>
    </row>
    <row r="862" spans="2:34" x14ac:dyDescent="0.25">
      <c r="B862" s="73"/>
      <c r="C862" s="74"/>
      <c r="D862" s="80"/>
      <c r="E862" s="81"/>
      <c r="F862" s="81"/>
      <c r="G862" s="81"/>
      <c r="H862" s="81"/>
      <c r="I862" s="82"/>
      <c r="J862" s="88"/>
      <c r="K862" s="89"/>
      <c r="L862" s="88"/>
      <c r="M862" s="89"/>
      <c r="N862" s="80"/>
      <c r="O862" s="82"/>
      <c r="P862" s="94"/>
      <c r="Q862" s="95"/>
      <c r="S862" s="99"/>
      <c r="T862" s="99"/>
      <c r="U862" s="99"/>
      <c r="V862" s="99"/>
      <c r="W862" s="99"/>
      <c r="X862" s="99"/>
      <c r="Y862" s="99"/>
      <c r="Z862" s="99"/>
      <c r="AA862" s="99"/>
      <c r="AB862" s="99"/>
      <c r="AC862" s="98"/>
      <c r="AD862" s="98"/>
      <c r="AE862" s="98"/>
      <c r="AF862" s="98"/>
      <c r="AG862" s="98"/>
      <c r="AH862" s="98"/>
    </row>
    <row r="863" spans="2:34" x14ac:dyDescent="0.25">
      <c r="B863" s="75"/>
      <c r="C863" s="76"/>
      <c r="D863" s="83"/>
      <c r="E863" s="84"/>
      <c r="F863" s="84"/>
      <c r="G863" s="84"/>
      <c r="H863" s="84"/>
      <c r="I863" s="85"/>
      <c r="J863" s="90"/>
      <c r="K863" s="91"/>
      <c r="L863" s="90"/>
      <c r="M863" s="91"/>
      <c r="N863" s="83"/>
      <c r="O863" s="85"/>
      <c r="P863" s="96"/>
      <c r="Q863" s="97"/>
      <c r="S863" s="99"/>
      <c r="T863" s="99"/>
      <c r="U863" s="99"/>
      <c r="V863" s="99"/>
      <c r="W863" s="99"/>
      <c r="X863" s="99"/>
      <c r="Y863" s="99"/>
      <c r="Z863" s="99"/>
      <c r="AA863" s="99"/>
      <c r="AB863" s="99"/>
      <c r="AC863" s="98"/>
      <c r="AD863" s="98"/>
      <c r="AE863" s="98"/>
      <c r="AF863" s="98"/>
      <c r="AG863" s="98"/>
      <c r="AH863" s="98"/>
    </row>
    <row r="864" spans="2:34" x14ac:dyDescent="0.25">
      <c r="B864" s="71"/>
      <c r="C864" s="72"/>
      <c r="D864" s="77"/>
      <c r="E864" s="78"/>
      <c r="F864" s="78"/>
      <c r="G864" s="78"/>
      <c r="H864" s="78"/>
      <c r="I864" s="79"/>
      <c r="J864" s="86"/>
      <c r="K864" s="87"/>
      <c r="L864" s="86"/>
      <c r="M864" s="87"/>
      <c r="N864" s="77"/>
      <c r="O864" s="79"/>
      <c r="P864" s="92"/>
      <c r="Q864" s="93"/>
      <c r="S864" s="99"/>
      <c r="T864" s="99"/>
      <c r="U864" s="99"/>
      <c r="V864" s="99"/>
      <c r="W864" s="99"/>
      <c r="X864" s="99"/>
      <c r="Y864" s="99"/>
      <c r="Z864" s="99"/>
      <c r="AA864" s="99"/>
      <c r="AB864" s="99"/>
      <c r="AC864" s="98"/>
      <c r="AD864" s="98"/>
      <c r="AE864" s="98"/>
      <c r="AF864" s="98"/>
      <c r="AG864" s="98"/>
      <c r="AH864" s="98"/>
    </row>
    <row r="865" spans="2:34" x14ac:dyDescent="0.25">
      <c r="B865" s="73"/>
      <c r="C865" s="74"/>
      <c r="D865" s="80"/>
      <c r="E865" s="81"/>
      <c r="F865" s="81"/>
      <c r="G865" s="81"/>
      <c r="H865" s="81"/>
      <c r="I865" s="82"/>
      <c r="J865" s="88"/>
      <c r="K865" s="89"/>
      <c r="L865" s="88"/>
      <c r="M865" s="89"/>
      <c r="N865" s="80"/>
      <c r="O865" s="82"/>
      <c r="P865" s="94"/>
      <c r="Q865" s="95"/>
      <c r="S865" s="99"/>
      <c r="T865" s="99"/>
      <c r="U865" s="99"/>
      <c r="V865" s="99"/>
      <c r="W865" s="99"/>
      <c r="X865" s="99"/>
      <c r="Y865" s="99"/>
      <c r="Z865" s="99"/>
      <c r="AA865" s="99"/>
      <c r="AB865" s="99"/>
      <c r="AC865" s="98"/>
      <c r="AD865" s="98"/>
      <c r="AE865" s="98"/>
      <c r="AF865" s="98"/>
      <c r="AG865" s="98"/>
      <c r="AH865" s="98"/>
    </row>
    <row r="866" spans="2:34" x14ac:dyDescent="0.25">
      <c r="B866" s="75"/>
      <c r="C866" s="76"/>
      <c r="D866" s="83"/>
      <c r="E866" s="84"/>
      <c r="F866" s="84"/>
      <c r="G866" s="84"/>
      <c r="H866" s="84"/>
      <c r="I866" s="85"/>
      <c r="J866" s="90"/>
      <c r="K866" s="91"/>
      <c r="L866" s="90"/>
      <c r="M866" s="91"/>
      <c r="N866" s="83"/>
      <c r="O866" s="85"/>
      <c r="P866" s="96"/>
      <c r="Q866" s="97"/>
      <c r="S866" s="99"/>
      <c r="T866" s="99"/>
      <c r="U866" s="99"/>
      <c r="V866" s="99"/>
      <c r="W866" s="99"/>
      <c r="X866" s="99"/>
      <c r="Y866" s="99"/>
      <c r="Z866" s="99"/>
      <c r="AA866" s="99"/>
      <c r="AB866" s="99"/>
      <c r="AC866" s="98"/>
      <c r="AD866" s="98"/>
      <c r="AE866" s="98"/>
      <c r="AF866" s="98"/>
      <c r="AG866" s="98"/>
      <c r="AH866" s="98"/>
    </row>
    <row r="867" spans="2:34" x14ac:dyDescent="0.25">
      <c r="B867" s="71"/>
      <c r="C867" s="72"/>
      <c r="D867" s="77"/>
      <c r="E867" s="78"/>
      <c r="F867" s="78"/>
      <c r="G867" s="78"/>
      <c r="H867" s="78"/>
      <c r="I867" s="79"/>
      <c r="J867" s="86"/>
      <c r="K867" s="87"/>
      <c r="L867" s="86"/>
      <c r="M867" s="87"/>
      <c r="N867" s="77"/>
      <c r="O867" s="79"/>
      <c r="P867" s="92"/>
      <c r="Q867" s="93"/>
      <c r="S867" s="99"/>
      <c r="T867" s="99"/>
      <c r="U867" s="99"/>
      <c r="V867" s="99"/>
      <c r="W867" s="99"/>
      <c r="X867" s="99"/>
      <c r="Y867" s="99"/>
      <c r="Z867" s="99"/>
      <c r="AA867" s="99"/>
      <c r="AB867" s="99"/>
      <c r="AC867" s="98"/>
      <c r="AD867" s="98"/>
      <c r="AE867" s="98"/>
      <c r="AF867" s="98"/>
      <c r="AG867" s="98"/>
      <c r="AH867" s="98"/>
    </row>
    <row r="868" spans="2:34" x14ac:dyDescent="0.25">
      <c r="B868" s="73"/>
      <c r="C868" s="74"/>
      <c r="D868" s="80"/>
      <c r="E868" s="81"/>
      <c r="F868" s="81"/>
      <c r="G868" s="81"/>
      <c r="H868" s="81"/>
      <c r="I868" s="82"/>
      <c r="J868" s="88"/>
      <c r="K868" s="89"/>
      <c r="L868" s="88"/>
      <c r="M868" s="89"/>
      <c r="N868" s="80"/>
      <c r="O868" s="82"/>
      <c r="P868" s="94"/>
      <c r="Q868" s="95"/>
      <c r="S868" s="99"/>
      <c r="T868" s="99"/>
      <c r="U868" s="99"/>
      <c r="V868" s="99"/>
      <c r="W868" s="99"/>
      <c r="X868" s="99"/>
      <c r="Y868" s="99"/>
      <c r="Z868" s="99"/>
      <c r="AA868" s="99"/>
      <c r="AB868" s="99"/>
      <c r="AC868" s="98"/>
      <c r="AD868" s="98"/>
      <c r="AE868" s="98"/>
      <c r="AF868" s="98"/>
      <c r="AG868" s="98"/>
      <c r="AH868" s="98"/>
    </row>
    <row r="869" spans="2:34" x14ac:dyDescent="0.25">
      <c r="B869" s="75"/>
      <c r="C869" s="76"/>
      <c r="D869" s="83"/>
      <c r="E869" s="84"/>
      <c r="F869" s="84"/>
      <c r="G869" s="84"/>
      <c r="H869" s="84"/>
      <c r="I869" s="85"/>
      <c r="J869" s="90"/>
      <c r="K869" s="91"/>
      <c r="L869" s="90"/>
      <c r="M869" s="91"/>
      <c r="N869" s="83"/>
      <c r="O869" s="85"/>
      <c r="P869" s="96"/>
      <c r="Q869" s="97"/>
      <c r="S869" s="99"/>
      <c r="T869" s="99"/>
      <c r="U869" s="99"/>
      <c r="V869" s="99"/>
      <c r="W869" s="99"/>
      <c r="X869" s="99"/>
      <c r="Y869" s="99"/>
      <c r="Z869" s="99"/>
      <c r="AA869" s="99"/>
      <c r="AB869" s="99"/>
      <c r="AC869" s="98"/>
      <c r="AD869" s="98"/>
      <c r="AE869" s="98"/>
      <c r="AF869" s="98"/>
      <c r="AG869" s="98"/>
      <c r="AH869" s="98"/>
    </row>
    <row r="870" spans="2:34" x14ac:dyDescent="0.25">
      <c r="B870" s="71"/>
      <c r="C870" s="72"/>
      <c r="D870" s="77"/>
      <c r="E870" s="78"/>
      <c r="F870" s="78"/>
      <c r="G870" s="78"/>
      <c r="H870" s="78"/>
      <c r="I870" s="79"/>
      <c r="J870" s="86"/>
      <c r="K870" s="87"/>
      <c r="L870" s="86"/>
      <c r="M870" s="87"/>
      <c r="N870" s="77"/>
      <c r="O870" s="79"/>
      <c r="P870" s="92"/>
      <c r="Q870" s="93"/>
      <c r="S870" s="99"/>
      <c r="T870" s="99"/>
      <c r="U870" s="99"/>
      <c r="V870" s="99"/>
      <c r="W870" s="99"/>
      <c r="X870" s="99"/>
      <c r="Y870" s="99"/>
      <c r="Z870" s="99"/>
      <c r="AA870" s="99"/>
      <c r="AB870" s="99"/>
      <c r="AC870" s="98"/>
      <c r="AD870" s="98"/>
      <c r="AE870" s="98"/>
      <c r="AF870" s="98"/>
      <c r="AG870" s="98"/>
      <c r="AH870" s="98"/>
    </row>
    <row r="871" spans="2:34" x14ac:dyDescent="0.25">
      <c r="B871" s="73"/>
      <c r="C871" s="74"/>
      <c r="D871" s="80"/>
      <c r="E871" s="81"/>
      <c r="F871" s="81"/>
      <c r="G871" s="81"/>
      <c r="H871" s="81"/>
      <c r="I871" s="82"/>
      <c r="J871" s="88"/>
      <c r="K871" s="89"/>
      <c r="L871" s="88"/>
      <c r="M871" s="89"/>
      <c r="N871" s="80"/>
      <c r="O871" s="82"/>
      <c r="P871" s="94"/>
      <c r="Q871" s="95"/>
      <c r="S871" s="99"/>
      <c r="T871" s="99"/>
      <c r="U871" s="99"/>
      <c r="V871" s="99"/>
      <c r="W871" s="99"/>
      <c r="X871" s="99"/>
      <c r="Y871" s="99"/>
      <c r="Z871" s="99"/>
      <c r="AA871" s="99"/>
      <c r="AB871" s="99"/>
      <c r="AC871" s="98"/>
      <c r="AD871" s="98"/>
      <c r="AE871" s="98"/>
      <c r="AF871" s="98"/>
      <c r="AG871" s="98"/>
      <c r="AH871" s="98"/>
    </row>
    <row r="872" spans="2:34" x14ac:dyDescent="0.25">
      <c r="B872" s="75"/>
      <c r="C872" s="76"/>
      <c r="D872" s="83"/>
      <c r="E872" s="84"/>
      <c r="F872" s="84"/>
      <c r="G872" s="84"/>
      <c r="H872" s="84"/>
      <c r="I872" s="85"/>
      <c r="J872" s="90"/>
      <c r="K872" s="91"/>
      <c r="L872" s="90"/>
      <c r="M872" s="91"/>
      <c r="N872" s="83"/>
      <c r="O872" s="85"/>
      <c r="P872" s="96"/>
      <c r="Q872" s="97"/>
      <c r="S872" s="99"/>
      <c r="T872" s="99"/>
      <c r="U872" s="99"/>
      <c r="V872" s="99"/>
      <c r="W872" s="99"/>
      <c r="X872" s="99"/>
      <c r="Y872" s="99"/>
      <c r="Z872" s="99"/>
      <c r="AA872" s="99"/>
      <c r="AB872" s="99"/>
      <c r="AC872" s="98"/>
      <c r="AD872" s="98"/>
      <c r="AE872" s="98"/>
      <c r="AF872" s="98"/>
      <c r="AG872" s="98"/>
      <c r="AH872" s="98"/>
    </row>
  </sheetData>
  <mergeCells count="3480">
    <mergeCell ref="S870:T872"/>
    <mergeCell ref="U870:Z872"/>
    <mergeCell ref="AA870:AB872"/>
    <mergeCell ref="AC870:AD872"/>
    <mergeCell ref="AE870:AF872"/>
    <mergeCell ref="AG870:AH872"/>
    <mergeCell ref="B870:C872"/>
    <mergeCell ref="D870:I872"/>
    <mergeCell ref="J870:K872"/>
    <mergeCell ref="L870:M872"/>
    <mergeCell ref="N870:O872"/>
    <mergeCell ref="P870:Q872"/>
    <mergeCell ref="S867:T869"/>
    <mergeCell ref="U867:Z869"/>
    <mergeCell ref="AA867:AB869"/>
    <mergeCell ref="AC867:AD869"/>
    <mergeCell ref="AE867:AF869"/>
    <mergeCell ref="AG867:AH869"/>
    <mergeCell ref="B867:C869"/>
    <mergeCell ref="D867:I869"/>
    <mergeCell ref="J867:K869"/>
    <mergeCell ref="L867:M869"/>
    <mergeCell ref="N867:O869"/>
    <mergeCell ref="P867:Q869"/>
    <mergeCell ref="S864:T866"/>
    <mergeCell ref="U864:Z866"/>
    <mergeCell ref="AA864:AB866"/>
    <mergeCell ref="AC864:AD866"/>
    <mergeCell ref="AE864:AF866"/>
    <mergeCell ref="AG864:AH866"/>
    <mergeCell ref="B864:C866"/>
    <mergeCell ref="D864:I866"/>
    <mergeCell ref="J864:K866"/>
    <mergeCell ref="L864:M866"/>
    <mergeCell ref="N864:O866"/>
    <mergeCell ref="P864:Q866"/>
    <mergeCell ref="S861:T863"/>
    <mergeCell ref="U861:Z863"/>
    <mergeCell ref="AA861:AB863"/>
    <mergeCell ref="AC861:AD863"/>
    <mergeCell ref="AE861:AF863"/>
    <mergeCell ref="AG861:AH863"/>
    <mergeCell ref="B861:C863"/>
    <mergeCell ref="D861:I863"/>
    <mergeCell ref="J861:K863"/>
    <mergeCell ref="L861:M863"/>
    <mergeCell ref="N861:O863"/>
    <mergeCell ref="P861:Q863"/>
    <mergeCell ref="S858:T860"/>
    <mergeCell ref="U858:Z860"/>
    <mergeCell ref="AA858:AB860"/>
    <mergeCell ref="AC858:AD860"/>
    <mergeCell ref="AE858:AF860"/>
    <mergeCell ref="AG858:AH860"/>
    <mergeCell ref="B858:C860"/>
    <mergeCell ref="D858:I860"/>
    <mergeCell ref="J858:K860"/>
    <mergeCell ref="L858:M860"/>
    <mergeCell ref="N858:O860"/>
    <mergeCell ref="P858:Q860"/>
    <mergeCell ref="S855:T857"/>
    <mergeCell ref="U855:Z857"/>
    <mergeCell ref="AA855:AB857"/>
    <mergeCell ref="AC855:AD857"/>
    <mergeCell ref="AE855:AF857"/>
    <mergeCell ref="AG855:AH857"/>
    <mergeCell ref="B855:C857"/>
    <mergeCell ref="D855:I857"/>
    <mergeCell ref="J855:K857"/>
    <mergeCell ref="L855:M857"/>
    <mergeCell ref="N855:O857"/>
    <mergeCell ref="P855:Q857"/>
    <mergeCell ref="S852:T854"/>
    <mergeCell ref="U852:Z854"/>
    <mergeCell ref="AA852:AB854"/>
    <mergeCell ref="AC852:AD854"/>
    <mergeCell ref="AE852:AF854"/>
    <mergeCell ref="AG852:AH854"/>
    <mergeCell ref="B852:C854"/>
    <mergeCell ref="D852:I854"/>
    <mergeCell ref="J852:K854"/>
    <mergeCell ref="L852:M854"/>
    <mergeCell ref="N852:O854"/>
    <mergeCell ref="P852:Q854"/>
    <mergeCell ref="S849:T851"/>
    <mergeCell ref="U849:Z851"/>
    <mergeCell ref="AA849:AB851"/>
    <mergeCell ref="AC849:AD851"/>
    <mergeCell ref="AE849:AF851"/>
    <mergeCell ref="AG849:AH851"/>
    <mergeCell ref="B849:C851"/>
    <mergeCell ref="D849:I851"/>
    <mergeCell ref="J849:K851"/>
    <mergeCell ref="L849:M851"/>
    <mergeCell ref="N849:O851"/>
    <mergeCell ref="P849:Q851"/>
    <mergeCell ref="S846:T848"/>
    <mergeCell ref="U846:Z848"/>
    <mergeCell ref="AA846:AB848"/>
    <mergeCell ref="AC846:AD848"/>
    <mergeCell ref="AE846:AF848"/>
    <mergeCell ref="AG846:AH848"/>
    <mergeCell ref="B846:C848"/>
    <mergeCell ref="D846:I848"/>
    <mergeCell ref="J846:K848"/>
    <mergeCell ref="L846:M848"/>
    <mergeCell ref="N846:O848"/>
    <mergeCell ref="P846:Q848"/>
    <mergeCell ref="S843:T845"/>
    <mergeCell ref="U843:Z845"/>
    <mergeCell ref="AA843:AB845"/>
    <mergeCell ref="AC843:AD845"/>
    <mergeCell ref="AE843:AF845"/>
    <mergeCell ref="AG843:AH845"/>
    <mergeCell ref="B843:C845"/>
    <mergeCell ref="D843:I845"/>
    <mergeCell ref="J843:K845"/>
    <mergeCell ref="L843:M845"/>
    <mergeCell ref="N843:O845"/>
    <mergeCell ref="P843:Q845"/>
    <mergeCell ref="S840:T842"/>
    <mergeCell ref="U840:Z842"/>
    <mergeCell ref="AA840:AB842"/>
    <mergeCell ref="AC840:AD842"/>
    <mergeCell ref="AE840:AF842"/>
    <mergeCell ref="AG840:AH842"/>
    <mergeCell ref="B840:C842"/>
    <mergeCell ref="D840:I842"/>
    <mergeCell ref="J840:K842"/>
    <mergeCell ref="L840:M842"/>
    <mergeCell ref="N840:O842"/>
    <mergeCell ref="P840:Q842"/>
    <mergeCell ref="S837:T839"/>
    <mergeCell ref="U837:Z839"/>
    <mergeCell ref="AA837:AB839"/>
    <mergeCell ref="AC837:AD839"/>
    <mergeCell ref="AE837:AF839"/>
    <mergeCell ref="AG837:AH839"/>
    <mergeCell ref="B837:C839"/>
    <mergeCell ref="D837:I839"/>
    <mergeCell ref="J837:K839"/>
    <mergeCell ref="L837:M839"/>
    <mergeCell ref="N837:O839"/>
    <mergeCell ref="P837:Q839"/>
    <mergeCell ref="S834:T836"/>
    <mergeCell ref="U834:Z836"/>
    <mergeCell ref="AA834:AB836"/>
    <mergeCell ref="AC834:AD836"/>
    <mergeCell ref="AE834:AF836"/>
    <mergeCell ref="AG834:AH836"/>
    <mergeCell ref="B834:C836"/>
    <mergeCell ref="D834:I836"/>
    <mergeCell ref="J834:K836"/>
    <mergeCell ref="L834:M836"/>
    <mergeCell ref="N834:O836"/>
    <mergeCell ref="P834:Q836"/>
    <mergeCell ref="S831:T833"/>
    <mergeCell ref="U831:Z833"/>
    <mergeCell ref="AA831:AB833"/>
    <mergeCell ref="AC831:AD833"/>
    <mergeCell ref="AE831:AF833"/>
    <mergeCell ref="AG831:AH833"/>
    <mergeCell ref="B831:C833"/>
    <mergeCell ref="D831:I833"/>
    <mergeCell ref="J831:K833"/>
    <mergeCell ref="L831:M833"/>
    <mergeCell ref="N831:O833"/>
    <mergeCell ref="P831:Q833"/>
    <mergeCell ref="S828:T830"/>
    <mergeCell ref="U828:Z830"/>
    <mergeCell ref="AA828:AB830"/>
    <mergeCell ref="AC828:AD830"/>
    <mergeCell ref="AE828:AF830"/>
    <mergeCell ref="AG828:AH830"/>
    <mergeCell ref="B828:C830"/>
    <mergeCell ref="D828:I830"/>
    <mergeCell ref="J828:K830"/>
    <mergeCell ref="L828:M830"/>
    <mergeCell ref="N828:O830"/>
    <mergeCell ref="P828:Q830"/>
    <mergeCell ref="S825:T827"/>
    <mergeCell ref="U825:Z827"/>
    <mergeCell ref="AA825:AB827"/>
    <mergeCell ref="AC825:AD827"/>
    <mergeCell ref="AE825:AF827"/>
    <mergeCell ref="AG825:AH827"/>
    <mergeCell ref="B825:C827"/>
    <mergeCell ref="D825:I827"/>
    <mergeCell ref="J825:K827"/>
    <mergeCell ref="L825:M827"/>
    <mergeCell ref="N825:O827"/>
    <mergeCell ref="P825:Q827"/>
    <mergeCell ref="S822:T824"/>
    <mergeCell ref="U822:Z824"/>
    <mergeCell ref="AA822:AB824"/>
    <mergeCell ref="AC822:AD824"/>
    <mergeCell ref="AE822:AF824"/>
    <mergeCell ref="AG822:AH824"/>
    <mergeCell ref="B822:C824"/>
    <mergeCell ref="D822:I824"/>
    <mergeCell ref="J822:K824"/>
    <mergeCell ref="L822:M824"/>
    <mergeCell ref="N822:O824"/>
    <mergeCell ref="P822:Q824"/>
    <mergeCell ref="S819:T821"/>
    <mergeCell ref="U819:Z821"/>
    <mergeCell ref="AA819:AB821"/>
    <mergeCell ref="AC819:AD821"/>
    <mergeCell ref="AE819:AF821"/>
    <mergeCell ref="AG819:AH821"/>
    <mergeCell ref="B819:C821"/>
    <mergeCell ref="D819:I821"/>
    <mergeCell ref="J819:K821"/>
    <mergeCell ref="L819:M821"/>
    <mergeCell ref="N819:O821"/>
    <mergeCell ref="P819:Q821"/>
    <mergeCell ref="S816:T818"/>
    <mergeCell ref="U816:Z818"/>
    <mergeCell ref="AA816:AB818"/>
    <mergeCell ref="AC816:AD818"/>
    <mergeCell ref="AE816:AF818"/>
    <mergeCell ref="AG816:AH818"/>
    <mergeCell ref="B816:C818"/>
    <mergeCell ref="D816:I818"/>
    <mergeCell ref="J816:K818"/>
    <mergeCell ref="L816:M818"/>
    <mergeCell ref="N816:O818"/>
    <mergeCell ref="P816:Q818"/>
    <mergeCell ref="S813:T815"/>
    <mergeCell ref="U813:Z815"/>
    <mergeCell ref="AA813:AB815"/>
    <mergeCell ref="AC813:AD815"/>
    <mergeCell ref="AE813:AF815"/>
    <mergeCell ref="AG813:AH815"/>
    <mergeCell ref="B813:C815"/>
    <mergeCell ref="D813:I815"/>
    <mergeCell ref="J813:K815"/>
    <mergeCell ref="L813:M815"/>
    <mergeCell ref="N813:O815"/>
    <mergeCell ref="P813:Q815"/>
    <mergeCell ref="S810:T812"/>
    <mergeCell ref="U810:Z812"/>
    <mergeCell ref="AA810:AB812"/>
    <mergeCell ref="AC810:AD812"/>
    <mergeCell ref="AE810:AF812"/>
    <mergeCell ref="AG810:AH812"/>
    <mergeCell ref="B810:C812"/>
    <mergeCell ref="D810:I812"/>
    <mergeCell ref="J810:K812"/>
    <mergeCell ref="L810:M812"/>
    <mergeCell ref="N810:O812"/>
    <mergeCell ref="P810:Q812"/>
    <mergeCell ref="S807:T809"/>
    <mergeCell ref="U807:Z809"/>
    <mergeCell ref="AA807:AB809"/>
    <mergeCell ref="AC807:AD809"/>
    <mergeCell ref="AE807:AF809"/>
    <mergeCell ref="AG807:AH809"/>
    <mergeCell ref="B807:C809"/>
    <mergeCell ref="D807:I809"/>
    <mergeCell ref="J807:K809"/>
    <mergeCell ref="L807:M809"/>
    <mergeCell ref="N807:O809"/>
    <mergeCell ref="P807:Q809"/>
    <mergeCell ref="S804:T806"/>
    <mergeCell ref="U804:Z806"/>
    <mergeCell ref="AA804:AB806"/>
    <mergeCell ref="AC804:AD806"/>
    <mergeCell ref="AE804:AF806"/>
    <mergeCell ref="AG804:AH806"/>
    <mergeCell ref="B804:C806"/>
    <mergeCell ref="D804:I806"/>
    <mergeCell ref="J804:K806"/>
    <mergeCell ref="L804:M806"/>
    <mergeCell ref="N804:O806"/>
    <mergeCell ref="P804:Q806"/>
    <mergeCell ref="S801:T803"/>
    <mergeCell ref="U801:Z803"/>
    <mergeCell ref="AA801:AB803"/>
    <mergeCell ref="AC801:AD803"/>
    <mergeCell ref="AE801:AF803"/>
    <mergeCell ref="AG801:AH803"/>
    <mergeCell ref="B801:C803"/>
    <mergeCell ref="D801:I803"/>
    <mergeCell ref="J801:K803"/>
    <mergeCell ref="L801:M803"/>
    <mergeCell ref="N801:O803"/>
    <mergeCell ref="P801:Q803"/>
    <mergeCell ref="S798:T800"/>
    <mergeCell ref="U798:Z800"/>
    <mergeCell ref="AA798:AB800"/>
    <mergeCell ref="AC798:AD800"/>
    <mergeCell ref="AE798:AF800"/>
    <mergeCell ref="AG798:AH800"/>
    <mergeCell ref="B798:C800"/>
    <mergeCell ref="D798:I800"/>
    <mergeCell ref="J798:K800"/>
    <mergeCell ref="L798:M800"/>
    <mergeCell ref="N798:O800"/>
    <mergeCell ref="P798:Q800"/>
    <mergeCell ref="S795:T797"/>
    <mergeCell ref="U795:Z797"/>
    <mergeCell ref="AA795:AB797"/>
    <mergeCell ref="AC795:AD797"/>
    <mergeCell ref="AE795:AF797"/>
    <mergeCell ref="AG795:AH797"/>
    <mergeCell ref="B795:C797"/>
    <mergeCell ref="D795:I797"/>
    <mergeCell ref="J795:K797"/>
    <mergeCell ref="L795:M797"/>
    <mergeCell ref="N795:O797"/>
    <mergeCell ref="P795:Q797"/>
    <mergeCell ref="S792:T794"/>
    <mergeCell ref="U792:Z794"/>
    <mergeCell ref="AA792:AB794"/>
    <mergeCell ref="AC792:AD794"/>
    <mergeCell ref="AE792:AF794"/>
    <mergeCell ref="AG792:AH794"/>
    <mergeCell ref="B792:C794"/>
    <mergeCell ref="D792:I794"/>
    <mergeCell ref="J792:K794"/>
    <mergeCell ref="L792:M794"/>
    <mergeCell ref="N792:O794"/>
    <mergeCell ref="P792:Q794"/>
    <mergeCell ref="S789:T791"/>
    <mergeCell ref="U789:Z791"/>
    <mergeCell ref="AA789:AB791"/>
    <mergeCell ref="AC789:AD791"/>
    <mergeCell ref="AE789:AF791"/>
    <mergeCell ref="AG789:AH791"/>
    <mergeCell ref="B789:C791"/>
    <mergeCell ref="D789:I791"/>
    <mergeCell ref="J789:K791"/>
    <mergeCell ref="L789:M791"/>
    <mergeCell ref="N789:O791"/>
    <mergeCell ref="P789:Q791"/>
    <mergeCell ref="S786:T788"/>
    <mergeCell ref="U786:Z788"/>
    <mergeCell ref="AA786:AB788"/>
    <mergeCell ref="AC786:AD788"/>
    <mergeCell ref="AE786:AF788"/>
    <mergeCell ref="AG786:AH788"/>
    <mergeCell ref="B786:C788"/>
    <mergeCell ref="D786:I788"/>
    <mergeCell ref="J786:K788"/>
    <mergeCell ref="L786:M788"/>
    <mergeCell ref="N786:O788"/>
    <mergeCell ref="P786:Q788"/>
    <mergeCell ref="S783:T785"/>
    <mergeCell ref="U783:Z785"/>
    <mergeCell ref="AA783:AB785"/>
    <mergeCell ref="AC783:AD785"/>
    <mergeCell ref="AE783:AF785"/>
    <mergeCell ref="AG783:AH785"/>
    <mergeCell ref="B783:C785"/>
    <mergeCell ref="D783:I785"/>
    <mergeCell ref="J783:K785"/>
    <mergeCell ref="L783:M785"/>
    <mergeCell ref="N783:O785"/>
    <mergeCell ref="P783:Q785"/>
    <mergeCell ref="S780:T782"/>
    <mergeCell ref="U780:Z782"/>
    <mergeCell ref="AA780:AB782"/>
    <mergeCell ref="AC780:AD782"/>
    <mergeCell ref="AE780:AF782"/>
    <mergeCell ref="AG780:AH782"/>
    <mergeCell ref="B780:C782"/>
    <mergeCell ref="D780:I782"/>
    <mergeCell ref="J780:K782"/>
    <mergeCell ref="L780:M782"/>
    <mergeCell ref="N780:O782"/>
    <mergeCell ref="P780:Q782"/>
    <mergeCell ref="S777:T779"/>
    <mergeCell ref="U777:Z779"/>
    <mergeCell ref="AA777:AB779"/>
    <mergeCell ref="AC777:AD779"/>
    <mergeCell ref="AE777:AF779"/>
    <mergeCell ref="AG777:AH779"/>
    <mergeCell ref="B777:C779"/>
    <mergeCell ref="D777:I779"/>
    <mergeCell ref="J777:K779"/>
    <mergeCell ref="L777:M779"/>
    <mergeCell ref="N777:O779"/>
    <mergeCell ref="P777:Q779"/>
    <mergeCell ref="S774:T776"/>
    <mergeCell ref="U774:Z776"/>
    <mergeCell ref="AA774:AB776"/>
    <mergeCell ref="AC774:AD776"/>
    <mergeCell ref="AE774:AF776"/>
    <mergeCell ref="AG774:AH776"/>
    <mergeCell ref="B774:C776"/>
    <mergeCell ref="D774:I776"/>
    <mergeCell ref="J774:K776"/>
    <mergeCell ref="L774:M776"/>
    <mergeCell ref="N774:O776"/>
    <mergeCell ref="P774:Q776"/>
    <mergeCell ref="S771:T773"/>
    <mergeCell ref="U771:Z773"/>
    <mergeCell ref="AA771:AB773"/>
    <mergeCell ref="AC771:AD773"/>
    <mergeCell ref="AE771:AF773"/>
    <mergeCell ref="AG771:AH773"/>
    <mergeCell ref="B771:C773"/>
    <mergeCell ref="D771:I773"/>
    <mergeCell ref="J771:K773"/>
    <mergeCell ref="L771:M773"/>
    <mergeCell ref="N771:O773"/>
    <mergeCell ref="P771:Q773"/>
    <mergeCell ref="S768:T770"/>
    <mergeCell ref="U768:Z770"/>
    <mergeCell ref="AA768:AB770"/>
    <mergeCell ref="AC768:AD770"/>
    <mergeCell ref="AE768:AF770"/>
    <mergeCell ref="AG768:AH770"/>
    <mergeCell ref="B768:C770"/>
    <mergeCell ref="D768:I770"/>
    <mergeCell ref="J768:K770"/>
    <mergeCell ref="L768:M770"/>
    <mergeCell ref="N768:O770"/>
    <mergeCell ref="P768:Q770"/>
    <mergeCell ref="S765:T767"/>
    <mergeCell ref="U765:Z767"/>
    <mergeCell ref="AA765:AB767"/>
    <mergeCell ref="AC765:AD767"/>
    <mergeCell ref="AE765:AF767"/>
    <mergeCell ref="AG765:AH767"/>
    <mergeCell ref="B765:C767"/>
    <mergeCell ref="D765:I767"/>
    <mergeCell ref="J765:K767"/>
    <mergeCell ref="L765:M767"/>
    <mergeCell ref="N765:O767"/>
    <mergeCell ref="P765:Q767"/>
    <mergeCell ref="S762:T764"/>
    <mergeCell ref="U762:Z764"/>
    <mergeCell ref="AA762:AB764"/>
    <mergeCell ref="AC762:AD764"/>
    <mergeCell ref="AE762:AF764"/>
    <mergeCell ref="AG762:AH764"/>
    <mergeCell ref="B762:C764"/>
    <mergeCell ref="D762:I764"/>
    <mergeCell ref="J762:K764"/>
    <mergeCell ref="L762:M764"/>
    <mergeCell ref="N762:O764"/>
    <mergeCell ref="P762:Q764"/>
    <mergeCell ref="S759:T761"/>
    <mergeCell ref="U759:Z761"/>
    <mergeCell ref="AA759:AB761"/>
    <mergeCell ref="AC759:AD761"/>
    <mergeCell ref="AE759:AF761"/>
    <mergeCell ref="AG759:AH761"/>
    <mergeCell ref="B759:C761"/>
    <mergeCell ref="D759:I761"/>
    <mergeCell ref="J759:K761"/>
    <mergeCell ref="L759:M761"/>
    <mergeCell ref="N759:O761"/>
    <mergeCell ref="P759:Q761"/>
    <mergeCell ref="S756:T758"/>
    <mergeCell ref="U756:Z758"/>
    <mergeCell ref="AA756:AB758"/>
    <mergeCell ref="AC756:AD758"/>
    <mergeCell ref="AE756:AF758"/>
    <mergeCell ref="AG756:AH758"/>
    <mergeCell ref="B756:C758"/>
    <mergeCell ref="D756:I758"/>
    <mergeCell ref="J756:K758"/>
    <mergeCell ref="L756:M758"/>
    <mergeCell ref="N756:O758"/>
    <mergeCell ref="P756:Q758"/>
    <mergeCell ref="S753:T755"/>
    <mergeCell ref="U753:Z755"/>
    <mergeCell ref="AA753:AB755"/>
    <mergeCell ref="AC753:AD755"/>
    <mergeCell ref="AE753:AF755"/>
    <mergeCell ref="AG753:AH755"/>
    <mergeCell ref="B753:C755"/>
    <mergeCell ref="D753:I755"/>
    <mergeCell ref="J753:K755"/>
    <mergeCell ref="L753:M755"/>
    <mergeCell ref="N753:O755"/>
    <mergeCell ref="P753:Q755"/>
    <mergeCell ref="S750:T752"/>
    <mergeCell ref="U750:Z752"/>
    <mergeCell ref="AA750:AB752"/>
    <mergeCell ref="AC750:AD752"/>
    <mergeCell ref="AE750:AF752"/>
    <mergeCell ref="AG750:AH752"/>
    <mergeCell ref="B750:C752"/>
    <mergeCell ref="D750:I752"/>
    <mergeCell ref="J750:K752"/>
    <mergeCell ref="L750:M752"/>
    <mergeCell ref="N750:O752"/>
    <mergeCell ref="P750:Q752"/>
    <mergeCell ref="S747:T749"/>
    <mergeCell ref="U747:Z749"/>
    <mergeCell ref="AA747:AB749"/>
    <mergeCell ref="AC747:AD749"/>
    <mergeCell ref="AE747:AF749"/>
    <mergeCell ref="AG747:AH749"/>
    <mergeCell ref="B747:C749"/>
    <mergeCell ref="D747:I749"/>
    <mergeCell ref="J747:K749"/>
    <mergeCell ref="L747:M749"/>
    <mergeCell ref="N747:O749"/>
    <mergeCell ref="P747:Q749"/>
    <mergeCell ref="S744:T746"/>
    <mergeCell ref="U744:Z746"/>
    <mergeCell ref="AA744:AB746"/>
    <mergeCell ref="AC744:AD746"/>
    <mergeCell ref="AE744:AF746"/>
    <mergeCell ref="AG744:AH746"/>
    <mergeCell ref="B744:C746"/>
    <mergeCell ref="D744:I746"/>
    <mergeCell ref="J744:K746"/>
    <mergeCell ref="L744:M746"/>
    <mergeCell ref="N744:O746"/>
    <mergeCell ref="P744:Q746"/>
    <mergeCell ref="S741:T743"/>
    <mergeCell ref="U741:Z743"/>
    <mergeCell ref="AA741:AB743"/>
    <mergeCell ref="AC741:AD743"/>
    <mergeCell ref="AE741:AF743"/>
    <mergeCell ref="AG741:AH743"/>
    <mergeCell ref="B741:C743"/>
    <mergeCell ref="D741:I743"/>
    <mergeCell ref="J741:K743"/>
    <mergeCell ref="L741:M743"/>
    <mergeCell ref="N741:O743"/>
    <mergeCell ref="P741:Q743"/>
    <mergeCell ref="S738:T740"/>
    <mergeCell ref="U738:Z740"/>
    <mergeCell ref="AA738:AB740"/>
    <mergeCell ref="AC738:AD740"/>
    <mergeCell ref="AE738:AF740"/>
    <mergeCell ref="AG738:AH740"/>
    <mergeCell ref="B738:C740"/>
    <mergeCell ref="D738:I740"/>
    <mergeCell ref="J738:K740"/>
    <mergeCell ref="L738:M740"/>
    <mergeCell ref="N738:O740"/>
    <mergeCell ref="P738:Q740"/>
    <mergeCell ref="S735:T737"/>
    <mergeCell ref="U735:Z737"/>
    <mergeCell ref="AA735:AB737"/>
    <mergeCell ref="AC735:AD737"/>
    <mergeCell ref="AE735:AF737"/>
    <mergeCell ref="AG735:AH737"/>
    <mergeCell ref="B735:C737"/>
    <mergeCell ref="D735:I737"/>
    <mergeCell ref="J735:K737"/>
    <mergeCell ref="L735:M737"/>
    <mergeCell ref="N735:O737"/>
    <mergeCell ref="P735:Q737"/>
    <mergeCell ref="S732:T734"/>
    <mergeCell ref="U732:Z734"/>
    <mergeCell ref="AA732:AB734"/>
    <mergeCell ref="AC732:AD734"/>
    <mergeCell ref="AE732:AF734"/>
    <mergeCell ref="AG732:AH734"/>
    <mergeCell ref="B732:C734"/>
    <mergeCell ref="D732:I734"/>
    <mergeCell ref="J732:K734"/>
    <mergeCell ref="L732:M734"/>
    <mergeCell ref="N732:O734"/>
    <mergeCell ref="P732:Q734"/>
    <mergeCell ref="S729:T731"/>
    <mergeCell ref="U729:Z731"/>
    <mergeCell ref="AA729:AB731"/>
    <mergeCell ref="AC729:AD731"/>
    <mergeCell ref="AE729:AF731"/>
    <mergeCell ref="AG729:AH731"/>
    <mergeCell ref="B729:C731"/>
    <mergeCell ref="D729:I731"/>
    <mergeCell ref="J729:K731"/>
    <mergeCell ref="L729:M731"/>
    <mergeCell ref="N729:O731"/>
    <mergeCell ref="P729:Q731"/>
    <mergeCell ref="S726:T728"/>
    <mergeCell ref="U726:Z728"/>
    <mergeCell ref="AA726:AB728"/>
    <mergeCell ref="AC726:AD728"/>
    <mergeCell ref="AE726:AF728"/>
    <mergeCell ref="AG726:AH728"/>
    <mergeCell ref="B726:C728"/>
    <mergeCell ref="D726:I728"/>
    <mergeCell ref="J726:K728"/>
    <mergeCell ref="L726:M728"/>
    <mergeCell ref="N726:O728"/>
    <mergeCell ref="P726:Q728"/>
    <mergeCell ref="S723:T725"/>
    <mergeCell ref="U723:Z725"/>
    <mergeCell ref="AA723:AB725"/>
    <mergeCell ref="AC723:AD725"/>
    <mergeCell ref="AE723:AF725"/>
    <mergeCell ref="AG723:AH725"/>
    <mergeCell ref="B723:C725"/>
    <mergeCell ref="D723:I725"/>
    <mergeCell ref="J723:K725"/>
    <mergeCell ref="L723:M725"/>
    <mergeCell ref="N723:O725"/>
    <mergeCell ref="P723:Q725"/>
    <mergeCell ref="S720:T722"/>
    <mergeCell ref="U720:Z722"/>
    <mergeCell ref="AA720:AB722"/>
    <mergeCell ref="AC720:AD722"/>
    <mergeCell ref="AE720:AF722"/>
    <mergeCell ref="AG720:AH722"/>
    <mergeCell ref="B720:C722"/>
    <mergeCell ref="D720:I722"/>
    <mergeCell ref="J720:K722"/>
    <mergeCell ref="L720:M722"/>
    <mergeCell ref="N720:O722"/>
    <mergeCell ref="P720:Q722"/>
    <mergeCell ref="S717:T719"/>
    <mergeCell ref="U717:Z719"/>
    <mergeCell ref="AA717:AB719"/>
    <mergeCell ref="AC717:AD719"/>
    <mergeCell ref="AE717:AF719"/>
    <mergeCell ref="AG717:AH719"/>
    <mergeCell ref="B717:C719"/>
    <mergeCell ref="D717:I719"/>
    <mergeCell ref="J717:K719"/>
    <mergeCell ref="L717:M719"/>
    <mergeCell ref="N717:O719"/>
    <mergeCell ref="P717:Q719"/>
    <mergeCell ref="S714:T716"/>
    <mergeCell ref="U714:Z716"/>
    <mergeCell ref="AA714:AB716"/>
    <mergeCell ref="AC714:AD716"/>
    <mergeCell ref="AE714:AF716"/>
    <mergeCell ref="AG714:AH716"/>
    <mergeCell ref="B714:C716"/>
    <mergeCell ref="D714:I716"/>
    <mergeCell ref="J714:K716"/>
    <mergeCell ref="L714:M716"/>
    <mergeCell ref="N714:O716"/>
    <mergeCell ref="P714:Q716"/>
    <mergeCell ref="S711:T713"/>
    <mergeCell ref="U711:Z713"/>
    <mergeCell ref="AA711:AB713"/>
    <mergeCell ref="AC711:AD713"/>
    <mergeCell ref="AE711:AF713"/>
    <mergeCell ref="AG711:AH713"/>
    <mergeCell ref="B711:C713"/>
    <mergeCell ref="D711:I713"/>
    <mergeCell ref="J711:K713"/>
    <mergeCell ref="L711:M713"/>
    <mergeCell ref="N711:O713"/>
    <mergeCell ref="P711:Q713"/>
    <mergeCell ref="S708:T710"/>
    <mergeCell ref="U708:Z710"/>
    <mergeCell ref="AA708:AB710"/>
    <mergeCell ref="AC708:AD710"/>
    <mergeCell ref="AE708:AF710"/>
    <mergeCell ref="AG708:AH710"/>
    <mergeCell ref="B708:C710"/>
    <mergeCell ref="D708:I710"/>
    <mergeCell ref="J708:K710"/>
    <mergeCell ref="L708:M710"/>
    <mergeCell ref="N708:O710"/>
    <mergeCell ref="P708:Q710"/>
    <mergeCell ref="S705:T707"/>
    <mergeCell ref="U705:Z707"/>
    <mergeCell ref="AA705:AB707"/>
    <mergeCell ref="AC705:AD707"/>
    <mergeCell ref="AE705:AF707"/>
    <mergeCell ref="AG705:AH707"/>
    <mergeCell ref="B705:C707"/>
    <mergeCell ref="D705:I707"/>
    <mergeCell ref="J705:K707"/>
    <mergeCell ref="L705:M707"/>
    <mergeCell ref="N705:O707"/>
    <mergeCell ref="P705:Q707"/>
    <mergeCell ref="S702:T704"/>
    <mergeCell ref="U702:Z704"/>
    <mergeCell ref="AA702:AB704"/>
    <mergeCell ref="AC702:AD704"/>
    <mergeCell ref="AE702:AF704"/>
    <mergeCell ref="AG702:AH704"/>
    <mergeCell ref="B702:C704"/>
    <mergeCell ref="D702:I704"/>
    <mergeCell ref="J702:K704"/>
    <mergeCell ref="L702:M704"/>
    <mergeCell ref="N702:O704"/>
    <mergeCell ref="P702:Q704"/>
    <mergeCell ref="S699:T701"/>
    <mergeCell ref="U699:Z701"/>
    <mergeCell ref="AA699:AB701"/>
    <mergeCell ref="AC699:AD701"/>
    <mergeCell ref="AE699:AF701"/>
    <mergeCell ref="AG699:AH701"/>
    <mergeCell ref="B699:C701"/>
    <mergeCell ref="D699:I701"/>
    <mergeCell ref="J699:K701"/>
    <mergeCell ref="L699:M701"/>
    <mergeCell ref="N699:O701"/>
    <mergeCell ref="P699:Q701"/>
    <mergeCell ref="S696:T698"/>
    <mergeCell ref="U696:Z698"/>
    <mergeCell ref="AA696:AB698"/>
    <mergeCell ref="AC696:AD698"/>
    <mergeCell ref="AE696:AF698"/>
    <mergeCell ref="AG696:AH698"/>
    <mergeCell ref="B696:C698"/>
    <mergeCell ref="D696:I698"/>
    <mergeCell ref="J696:K698"/>
    <mergeCell ref="L696:M698"/>
    <mergeCell ref="N696:O698"/>
    <mergeCell ref="P696:Q698"/>
    <mergeCell ref="S693:T695"/>
    <mergeCell ref="U693:Z695"/>
    <mergeCell ref="AA693:AB695"/>
    <mergeCell ref="AC693:AD695"/>
    <mergeCell ref="AE693:AF695"/>
    <mergeCell ref="AG693:AH695"/>
    <mergeCell ref="B693:C695"/>
    <mergeCell ref="D693:I695"/>
    <mergeCell ref="J693:K695"/>
    <mergeCell ref="L693:M695"/>
    <mergeCell ref="N693:O695"/>
    <mergeCell ref="P693:Q695"/>
    <mergeCell ref="S690:T692"/>
    <mergeCell ref="U690:Z692"/>
    <mergeCell ref="AA690:AB692"/>
    <mergeCell ref="AC690:AD692"/>
    <mergeCell ref="AE690:AF692"/>
    <mergeCell ref="AG690:AH692"/>
    <mergeCell ref="B690:C692"/>
    <mergeCell ref="D690:I692"/>
    <mergeCell ref="J690:K692"/>
    <mergeCell ref="L690:M692"/>
    <mergeCell ref="N690:O692"/>
    <mergeCell ref="P690:Q692"/>
    <mergeCell ref="S687:T689"/>
    <mergeCell ref="U687:Z689"/>
    <mergeCell ref="AA687:AB689"/>
    <mergeCell ref="AC687:AD689"/>
    <mergeCell ref="AE687:AF689"/>
    <mergeCell ref="AG687:AH689"/>
    <mergeCell ref="B687:C689"/>
    <mergeCell ref="D687:I689"/>
    <mergeCell ref="J687:K689"/>
    <mergeCell ref="L687:M689"/>
    <mergeCell ref="N687:O689"/>
    <mergeCell ref="P687:Q689"/>
    <mergeCell ref="S684:T686"/>
    <mergeCell ref="U684:Z686"/>
    <mergeCell ref="AA684:AB686"/>
    <mergeCell ref="AC684:AD686"/>
    <mergeCell ref="AE684:AF686"/>
    <mergeCell ref="AG684:AH686"/>
    <mergeCell ref="B684:C686"/>
    <mergeCell ref="D684:I686"/>
    <mergeCell ref="J684:K686"/>
    <mergeCell ref="L684:M686"/>
    <mergeCell ref="N684:O686"/>
    <mergeCell ref="P684:Q686"/>
    <mergeCell ref="S681:T683"/>
    <mergeCell ref="U681:Z683"/>
    <mergeCell ref="AA681:AB683"/>
    <mergeCell ref="AC681:AD683"/>
    <mergeCell ref="AE681:AF683"/>
    <mergeCell ref="AG681:AH683"/>
    <mergeCell ref="B681:C683"/>
    <mergeCell ref="D681:I683"/>
    <mergeCell ref="J681:K683"/>
    <mergeCell ref="L681:M683"/>
    <mergeCell ref="N681:O683"/>
    <mergeCell ref="P681:Q683"/>
    <mergeCell ref="S678:T680"/>
    <mergeCell ref="U678:Z680"/>
    <mergeCell ref="AA678:AB680"/>
    <mergeCell ref="AC678:AD680"/>
    <mergeCell ref="AE678:AF680"/>
    <mergeCell ref="AG678:AH680"/>
    <mergeCell ref="B678:C680"/>
    <mergeCell ref="D678:I680"/>
    <mergeCell ref="J678:K680"/>
    <mergeCell ref="L678:M680"/>
    <mergeCell ref="N678:O680"/>
    <mergeCell ref="P678:Q680"/>
    <mergeCell ref="S675:T677"/>
    <mergeCell ref="U675:Z677"/>
    <mergeCell ref="AA675:AB677"/>
    <mergeCell ref="AC675:AD677"/>
    <mergeCell ref="AE675:AF677"/>
    <mergeCell ref="AG675:AH677"/>
    <mergeCell ref="B675:C677"/>
    <mergeCell ref="D675:I677"/>
    <mergeCell ref="J675:K677"/>
    <mergeCell ref="L675:M677"/>
    <mergeCell ref="N675:O677"/>
    <mergeCell ref="P675:Q677"/>
    <mergeCell ref="S672:T674"/>
    <mergeCell ref="U672:Z674"/>
    <mergeCell ref="AA672:AB674"/>
    <mergeCell ref="AC672:AD674"/>
    <mergeCell ref="AE672:AF674"/>
    <mergeCell ref="AG672:AH674"/>
    <mergeCell ref="B672:C674"/>
    <mergeCell ref="D672:I674"/>
    <mergeCell ref="J672:K674"/>
    <mergeCell ref="L672:M674"/>
    <mergeCell ref="N672:O674"/>
    <mergeCell ref="P672:Q674"/>
    <mergeCell ref="S669:T671"/>
    <mergeCell ref="U669:Z671"/>
    <mergeCell ref="AA669:AB671"/>
    <mergeCell ref="AC669:AD671"/>
    <mergeCell ref="AE669:AF671"/>
    <mergeCell ref="AG669:AH671"/>
    <mergeCell ref="B669:C671"/>
    <mergeCell ref="D669:I671"/>
    <mergeCell ref="J669:K671"/>
    <mergeCell ref="L669:M671"/>
    <mergeCell ref="N669:O671"/>
    <mergeCell ref="P669:Q671"/>
    <mergeCell ref="S666:T668"/>
    <mergeCell ref="U666:Z668"/>
    <mergeCell ref="AA666:AB668"/>
    <mergeCell ref="AC666:AD668"/>
    <mergeCell ref="AE666:AF668"/>
    <mergeCell ref="AG666:AH668"/>
    <mergeCell ref="B666:C668"/>
    <mergeCell ref="D666:I668"/>
    <mergeCell ref="J666:K668"/>
    <mergeCell ref="L666:M668"/>
    <mergeCell ref="N666:O668"/>
    <mergeCell ref="P666:Q668"/>
    <mergeCell ref="S663:T665"/>
    <mergeCell ref="U663:Z665"/>
    <mergeCell ref="AA663:AB665"/>
    <mergeCell ref="AC663:AD665"/>
    <mergeCell ref="AE663:AF665"/>
    <mergeCell ref="AG663:AH665"/>
    <mergeCell ref="B663:C665"/>
    <mergeCell ref="D663:I665"/>
    <mergeCell ref="J663:K665"/>
    <mergeCell ref="L663:M665"/>
    <mergeCell ref="N663:O665"/>
    <mergeCell ref="P663:Q665"/>
    <mergeCell ref="S660:T662"/>
    <mergeCell ref="U660:Z662"/>
    <mergeCell ref="AA660:AB662"/>
    <mergeCell ref="AC660:AD662"/>
    <mergeCell ref="AE660:AF662"/>
    <mergeCell ref="AG660:AH662"/>
    <mergeCell ref="B660:C662"/>
    <mergeCell ref="D660:I662"/>
    <mergeCell ref="J660:K662"/>
    <mergeCell ref="L660:M662"/>
    <mergeCell ref="N660:O662"/>
    <mergeCell ref="P660:Q662"/>
    <mergeCell ref="S657:T659"/>
    <mergeCell ref="U657:Z659"/>
    <mergeCell ref="AA657:AB659"/>
    <mergeCell ref="AC657:AD659"/>
    <mergeCell ref="AE657:AF659"/>
    <mergeCell ref="AG657:AH659"/>
    <mergeCell ref="B657:C659"/>
    <mergeCell ref="D657:I659"/>
    <mergeCell ref="J657:K659"/>
    <mergeCell ref="L657:M659"/>
    <mergeCell ref="N657:O659"/>
    <mergeCell ref="P657:Q659"/>
    <mergeCell ref="S654:T656"/>
    <mergeCell ref="U654:Z656"/>
    <mergeCell ref="AA654:AB656"/>
    <mergeCell ref="AC654:AD656"/>
    <mergeCell ref="AE654:AF656"/>
    <mergeCell ref="AG654:AH656"/>
    <mergeCell ref="B654:C656"/>
    <mergeCell ref="D654:I656"/>
    <mergeCell ref="J654:K656"/>
    <mergeCell ref="L654:M656"/>
    <mergeCell ref="N654:O656"/>
    <mergeCell ref="P654:Q656"/>
    <mergeCell ref="S651:T653"/>
    <mergeCell ref="U651:Z653"/>
    <mergeCell ref="AA651:AB653"/>
    <mergeCell ref="AC651:AD653"/>
    <mergeCell ref="AE651:AF653"/>
    <mergeCell ref="AG651:AH653"/>
    <mergeCell ref="B651:C653"/>
    <mergeCell ref="D651:I653"/>
    <mergeCell ref="J651:K653"/>
    <mergeCell ref="L651:M653"/>
    <mergeCell ref="N651:O653"/>
    <mergeCell ref="P651:Q653"/>
    <mergeCell ref="S648:T650"/>
    <mergeCell ref="U648:Z650"/>
    <mergeCell ref="AA648:AB650"/>
    <mergeCell ref="AC648:AD650"/>
    <mergeCell ref="AE648:AF650"/>
    <mergeCell ref="AG648:AH650"/>
    <mergeCell ref="B648:C650"/>
    <mergeCell ref="D648:I650"/>
    <mergeCell ref="J648:K650"/>
    <mergeCell ref="L648:M650"/>
    <mergeCell ref="N648:O650"/>
    <mergeCell ref="P648:Q650"/>
    <mergeCell ref="S645:T647"/>
    <mergeCell ref="U645:Z647"/>
    <mergeCell ref="AA645:AB647"/>
    <mergeCell ref="AC645:AD647"/>
    <mergeCell ref="AE645:AF647"/>
    <mergeCell ref="AG645:AH647"/>
    <mergeCell ref="B645:C647"/>
    <mergeCell ref="D645:I647"/>
    <mergeCell ref="J645:K647"/>
    <mergeCell ref="L645:M647"/>
    <mergeCell ref="N645:O647"/>
    <mergeCell ref="P645:Q647"/>
    <mergeCell ref="S642:T644"/>
    <mergeCell ref="U642:Z644"/>
    <mergeCell ref="AA642:AB644"/>
    <mergeCell ref="AC642:AD644"/>
    <mergeCell ref="AE642:AF644"/>
    <mergeCell ref="AG642:AH644"/>
    <mergeCell ref="B642:C644"/>
    <mergeCell ref="D642:I644"/>
    <mergeCell ref="J642:K644"/>
    <mergeCell ref="L642:M644"/>
    <mergeCell ref="N642:O644"/>
    <mergeCell ref="P642:Q644"/>
    <mergeCell ref="S639:T641"/>
    <mergeCell ref="U639:Z641"/>
    <mergeCell ref="AA639:AB641"/>
    <mergeCell ref="AC639:AD641"/>
    <mergeCell ref="AE639:AF641"/>
    <mergeCell ref="AG639:AH641"/>
    <mergeCell ref="B639:C641"/>
    <mergeCell ref="D639:I641"/>
    <mergeCell ref="J639:K641"/>
    <mergeCell ref="L639:M641"/>
    <mergeCell ref="N639:O641"/>
    <mergeCell ref="P639:Q641"/>
    <mergeCell ref="S636:T638"/>
    <mergeCell ref="U636:Z638"/>
    <mergeCell ref="AA636:AB638"/>
    <mergeCell ref="AC636:AD638"/>
    <mergeCell ref="AE636:AF638"/>
    <mergeCell ref="AG636:AH638"/>
    <mergeCell ref="B636:C638"/>
    <mergeCell ref="D636:I638"/>
    <mergeCell ref="J636:K638"/>
    <mergeCell ref="L636:M638"/>
    <mergeCell ref="N636:O638"/>
    <mergeCell ref="P636:Q638"/>
    <mergeCell ref="S633:T635"/>
    <mergeCell ref="U633:Z635"/>
    <mergeCell ref="AA633:AB635"/>
    <mergeCell ref="AC633:AD635"/>
    <mergeCell ref="AE633:AF635"/>
    <mergeCell ref="AG633:AH635"/>
    <mergeCell ref="B633:C635"/>
    <mergeCell ref="D633:I635"/>
    <mergeCell ref="J633:K635"/>
    <mergeCell ref="L633:M635"/>
    <mergeCell ref="N633:O635"/>
    <mergeCell ref="P633:Q635"/>
    <mergeCell ref="S630:T632"/>
    <mergeCell ref="U630:Z632"/>
    <mergeCell ref="AA630:AB632"/>
    <mergeCell ref="AC630:AD632"/>
    <mergeCell ref="AE630:AF632"/>
    <mergeCell ref="AG630:AH632"/>
    <mergeCell ref="B630:C632"/>
    <mergeCell ref="D630:I632"/>
    <mergeCell ref="J630:K632"/>
    <mergeCell ref="L630:M632"/>
    <mergeCell ref="N630:O632"/>
    <mergeCell ref="P630:Q632"/>
    <mergeCell ref="S627:T629"/>
    <mergeCell ref="U627:Z629"/>
    <mergeCell ref="AA627:AB629"/>
    <mergeCell ref="AC627:AD629"/>
    <mergeCell ref="AE627:AF629"/>
    <mergeCell ref="AG627:AH629"/>
    <mergeCell ref="B627:C629"/>
    <mergeCell ref="D627:I629"/>
    <mergeCell ref="J627:K629"/>
    <mergeCell ref="L627:M629"/>
    <mergeCell ref="N627:O629"/>
    <mergeCell ref="P627:Q629"/>
    <mergeCell ref="S624:T626"/>
    <mergeCell ref="U624:Z626"/>
    <mergeCell ref="AA624:AB626"/>
    <mergeCell ref="AC624:AD626"/>
    <mergeCell ref="AE624:AF626"/>
    <mergeCell ref="AG624:AH626"/>
    <mergeCell ref="B624:C626"/>
    <mergeCell ref="D624:I626"/>
    <mergeCell ref="J624:K626"/>
    <mergeCell ref="L624:M626"/>
    <mergeCell ref="N624:O626"/>
    <mergeCell ref="P624:Q626"/>
    <mergeCell ref="S621:T623"/>
    <mergeCell ref="U621:Z623"/>
    <mergeCell ref="AA621:AB623"/>
    <mergeCell ref="AC621:AD623"/>
    <mergeCell ref="AE621:AF623"/>
    <mergeCell ref="AG621:AH623"/>
    <mergeCell ref="B621:C623"/>
    <mergeCell ref="D621:I623"/>
    <mergeCell ref="J621:K623"/>
    <mergeCell ref="L621:M623"/>
    <mergeCell ref="N621:O623"/>
    <mergeCell ref="P621:Q623"/>
    <mergeCell ref="S618:T620"/>
    <mergeCell ref="U618:Z620"/>
    <mergeCell ref="AA618:AB620"/>
    <mergeCell ref="AC618:AD620"/>
    <mergeCell ref="AE618:AF620"/>
    <mergeCell ref="AG618:AH620"/>
    <mergeCell ref="B618:C620"/>
    <mergeCell ref="D618:I620"/>
    <mergeCell ref="J618:K620"/>
    <mergeCell ref="L618:M620"/>
    <mergeCell ref="N618:O620"/>
    <mergeCell ref="P618:Q620"/>
    <mergeCell ref="S615:T617"/>
    <mergeCell ref="U615:Z617"/>
    <mergeCell ref="AA615:AB617"/>
    <mergeCell ref="AC615:AD617"/>
    <mergeCell ref="AE615:AF617"/>
    <mergeCell ref="AG615:AH617"/>
    <mergeCell ref="B615:C617"/>
    <mergeCell ref="D615:I617"/>
    <mergeCell ref="J615:K617"/>
    <mergeCell ref="L615:M617"/>
    <mergeCell ref="N615:O617"/>
    <mergeCell ref="P615:Q617"/>
    <mergeCell ref="S612:T614"/>
    <mergeCell ref="U612:Z614"/>
    <mergeCell ref="AA612:AB614"/>
    <mergeCell ref="AC612:AD614"/>
    <mergeCell ref="AE612:AF614"/>
    <mergeCell ref="AG612:AH614"/>
    <mergeCell ref="B612:C614"/>
    <mergeCell ref="D612:I614"/>
    <mergeCell ref="J612:K614"/>
    <mergeCell ref="L612:M614"/>
    <mergeCell ref="N612:O614"/>
    <mergeCell ref="P612:Q614"/>
    <mergeCell ref="S609:T611"/>
    <mergeCell ref="U609:Z611"/>
    <mergeCell ref="AA609:AB611"/>
    <mergeCell ref="AC609:AD611"/>
    <mergeCell ref="AE609:AF611"/>
    <mergeCell ref="AG609:AH611"/>
    <mergeCell ref="B609:C611"/>
    <mergeCell ref="D609:I611"/>
    <mergeCell ref="J609:K611"/>
    <mergeCell ref="L609:M611"/>
    <mergeCell ref="N609:O611"/>
    <mergeCell ref="P609:Q611"/>
    <mergeCell ref="S606:T608"/>
    <mergeCell ref="U606:Z608"/>
    <mergeCell ref="AA606:AB608"/>
    <mergeCell ref="AC606:AD608"/>
    <mergeCell ref="AE606:AF608"/>
    <mergeCell ref="AG606:AH608"/>
    <mergeCell ref="B606:C608"/>
    <mergeCell ref="D606:I608"/>
    <mergeCell ref="J606:K608"/>
    <mergeCell ref="L606:M608"/>
    <mergeCell ref="N606:O608"/>
    <mergeCell ref="P606:Q608"/>
    <mergeCell ref="S603:T605"/>
    <mergeCell ref="U603:Z605"/>
    <mergeCell ref="AA603:AB605"/>
    <mergeCell ref="AC603:AD605"/>
    <mergeCell ref="AE603:AF605"/>
    <mergeCell ref="AG603:AH605"/>
    <mergeCell ref="B603:C605"/>
    <mergeCell ref="D603:I605"/>
    <mergeCell ref="J603:K605"/>
    <mergeCell ref="L603:M605"/>
    <mergeCell ref="N603:O605"/>
    <mergeCell ref="P603:Q605"/>
    <mergeCell ref="S600:T602"/>
    <mergeCell ref="U600:Z602"/>
    <mergeCell ref="AA600:AB602"/>
    <mergeCell ref="AC600:AD602"/>
    <mergeCell ref="AE600:AF602"/>
    <mergeCell ref="AG600:AH602"/>
    <mergeCell ref="B600:C602"/>
    <mergeCell ref="D600:I602"/>
    <mergeCell ref="J600:K602"/>
    <mergeCell ref="L600:M602"/>
    <mergeCell ref="N600:O602"/>
    <mergeCell ref="P600:Q602"/>
    <mergeCell ref="S597:T599"/>
    <mergeCell ref="U597:Z599"/>
    <mergeCell ref="AA597:AB599"/>
    <mergeCell ref="AC597:AD599"/>
    <mergeCell ref="AE597:AF599"/>
    <mergeCell ref="AG597:AH599"/>
    <mergeCell ref="B597:C599"/>
    <mergeCell ref="D597:I599"/>
    <mergeCell ref="J597:K599"/>
    <mergeCell ref="L597:M599"/>
    <mergeCell ref="N597:O599"/>
    <mergeCell ref="P597:Q599"/>
    <mergeCell ref="S594:T596"/>
    <mergeCell ref="U594:Z596"/>
    <mergeCell ref="AA594:AB596"/>
    <mergeCell ref="AC594:AD596"/>
    <mergeCell ref="AE594:AF596"/>
    <mergeCell ref="AG594:AH596"/>
    <mergeCell ref="B594:C596"/>
    <mergeCell ref="D594:I596"/>
    <mergeCell ref="J594:K596"/>
    <mergeCell ref="L594:M596"/>
    <mergeCell ref="N594:O596"/>
    <mergeCell ref="P594:Q596"/>
    <mergeCell ref="S591:T593"/>
    <mergeCell ref="U591:Z593"/>
    <mergeCell ref="AA591:AB593"/>
    <mergeCell ref="AC591:AD593"/>
    <mergeCell ref="AE591:AF593"/>
    <mergeCell ref="AG591:AH593"/>
    <mergeCell ref="B591:C593"/>
    <mergeCell ref="D591:I593"/>
    <mergeCell ref="J591:K593"/>
    <mergeCell ref="L591:M593"/>
    <mergeCell ref="N591:O593"/>
    <mergeCell ref="P591:Q593"/>
    <mergeCell ref="S588:T590"/>
    <mergeCell ref="U588:Z590"/>
    <mergeCell ref="AA588:AB590"/>
    <mergeCell ref="AC588:AD590"/>
    <mergeCell ref="AE588:AF590"/>
    <mergeCell ref="AG588:AH590"/>
    <mergeCell ref="B588:C590"/>
    <mergeCell ref="D588:I590"/>
    <mergeCell ref="J588:K590"/>
    <mergeCell ref="L588:M590"/>
    <mergeCell ref="N588:O590"/>
    <mergeCell ref="P588:Q590"/>
    <mergeCell ref="S585:T587"/>
    <mergeCell ref="U585:Z587"/>
    <mergeCell ref="AA585:AB587"/>
    <mergeCell ref="AC585:AD587"/>
    <mergeCell ref="AE585:AF587"/>
    <mergeCell ref="AG585:AH587"/>
    <mergeCell ref="B585:C587"/>
    <mergeCell ref="D585:I587"/>
    <mergeCell ref="J585:K587"/>
    <mergeCell ref="L585:M587"/>
    <mergeCell ref="N585:O587"/>
    <mergeCell ref="P585:Q587"/>
    <mergeCell ref="S582:T584"/>
    <mergeCell ref="U582:Z584"/>
    <mergeCell ref="AA582:AB584"/>
    <mergeCell ref="AC582:AD584"/>
    <mergeCell ref="AE582:AF584"/>
    <mergeCell ref="AG582:AH584"/>
    <mergeCell ref="B582:C584"/>
    <mergeCell ref="D582:I584"/>
    <mergeCell ref="J582:K584"/>
    <mergeCell ref="L582:M584"/>
    <mergeCell ref="N582:O584"/>
    <mergeCell ref="P582:Q584"/>
    <mergeCell ref="S579:T581"/>
    <mergeCell ref="U579:Z581"/>
    <mergeCell ref="AA579:AB581"/>
    <mergeCell ref="AC579:AD581"/>
    <mergeCell ref="AE579:AF581"/>
    <mergeCell ref="AG579:AH581"/>
    <mergeCell ref="B579:C581"/>
    <mergeCell ref="D579:I581"/>
    <mergeCell ref="J579:K581"/>
    <mergeCell ref="L579:M581"/>
    <mergeCell ref="N579:O581"/>
    <mergeCell ref="P579:Q581"/>
    <mergeCell ref="S576:T578"/>
    <mergeCell ref="U576:Z578"/>
    <mergeCell ref="AA576:AB578"/>
    <mergeCell ref="AC576:AD578"/>
    <mergeCell ref="AE576:AF578"/>
    <mergeCell ref="AG576:AH578"/>
    <mergeCell ref="B576:C578"/>
    <mergeCell ref="D576:I578"/>
    <mergeCell ref="J576:K578"/>
    <mergeCell ref="L576:M578"/>
    <mergeCell ref="N576:O578"/>
    <mergeCell ref="P576:Q578"/>
    <mergeCell ref="S573:T575"/>
    <mergeCell ref="U573:Z575"/>
    <mergeCell ref="AA573:AB575"/>
    <mergeCell ref="AC573:AD575"/>
    <mergeCell ref="AE573:AF575"/>
    <mergeCell ref="AG573:AH575"/>
    <mergeCell ref="B573:C575"/>
    <mergeCell ref="D573:I575"/>
    <mergeCell ref="J573:K575"/>
    <mergeCell ref="L573:M575"/>
    <mergeCell ref="N573:O575"/>
    <mergeCell ref="P573:Q575"/>
    <mergeCell ref="S570:T572"/>
    <mergeCell ref="U570:Z572"/>
    <mergeCell ref="AA570:AB572"/>
    <mergeCell ref="AC570:AD572"/>
    <mergeCell ref="AE570:AF572"/>
    <mergeCell ref="AG570:AH572"/>
    <mergeCell ref="B570:C572"/>
    <mergeCell ref="D570:I572"/>
    <mergeCell ref="J570:K572"/>
    <mergeCell ref="L570:M572"/>
    <mergeCell ref="N570:O572"/>
    <mergeCell ref="P570:Q572"/>
    <mergeCell ref="S567:T569"/>
    <mergeCell ref="U567:Z569"/>
    <mergeCell ref="AA567:AB569"/>
    <mergeCell ref="AC567:AD569"/>
    <mergeCell ref="AE567:AF569"/>
    <mergeCell ref="AG567:AH569"/>
    <mergeCell ref="B567:C569"/>
    <mergeCell ref="D567:I569"/>
    <mergeCell ref="J567:K569"/>
    <mergeCell ref="L567:M569"/>
    <mergeCell ref="N567:O569"/>
    <mergeCell ref="P567:Q569"/>
    <mergeCell ref="S564:T566"/>
    <mergeCell ref="U564:Z566"/>
    <mergeCell ref="AA564:AB566"/>
    <mergeCell ref="AC564:AD566"/>
    <mergeCell ref="AE564:AF566"/>
    <mergeCell ref="AG564:AH566"/>
    <mergeCell ref="B564:C566"/>
    <mergeCell ref="D564:I566"/>
    <mergeCell ref="J564:K566"/>
    <mergeCell ref="L564:M566"/>
    <mergeCell ref="N564:O566"/>
    <mergeCell ref="P564:Q566"/>
    <mergeCell ref="S561:T563"/>
    <mergeCell ref="U561:Z563"/>
    <mergeCell ref="AA561:AB563"/>
    <mergeCell ref="AC561:AD563"/>
    <mergeCell ref="AE561:AF563"/>
    <mergeCell ref="AG561:AH563"/>
    <mergeCell ref="B561:C563"/>
    <mergeCell ref="D561:I563"/>
    <mergeCell ref="J561:K563"/>
    <mergeCell ref="L561:M563"/>
    <mergeCell ref="N561:O563"/>
    <mergeCell ref="P561:Q563"/>
    <mergeCell ref="S558:T560"/>
    <mergeCell ref="U558:Z560"/>
    <mergeCell ref="AA558:AB560"/>
    <mergeCell ref="AC558:AD560"/>
    <mergeCell ref="AE558:AF560"/>
    <mergeCell ref="AG558:AH560"/>
    <mergeCell ref="B558:C560"/>
    <mergeCell ref="D558:I560"/>
    <mergeCell ref="J558:K560"/>
    <mergeCell ref="L558:M560"/>
    <mergeCell ref="N558:O560"/>
    <mergeCell ref="P558:Q560"/>
    <mergeCell ref="S555:T557"/>
    <mergeCell ref="U555:Z557"/>
    <mergeCell ref="AA555:AB557"/>
    <mergeCell ref="AC555:AD557"/>
    <mergeCell ref="AE555:AF557"/>
    <mergeCell ref="AG555:AH557"/>
    <mergeCell ref="B555:C557"/>
    <mergeCell ref="D555:I557"/>
    <mergeCell ref="J555:K557"/>
    <mergeCell ref="L555:M557"/>
    <mergeCell ref="N555:O557"/>
    <mergeCell ref="P555:Q557"/>
    <mergeCell ref="S552:T554"/>
    <mergeCell ref="U552:Z554"/>
    <mergeCell ref="AA552:AB554"/>
    <mergeCell ref="AC552:AD554"/>
    <mergeCell ref="AE552:AF554"/>
    <mergeCell ref="AG552:AH554"/>
    <mergeCell ref="B552:C554"/>
    <mergeCell ref="D552:I554"/>
    <mergeCell ref="J552:K554"/>
    <mergeCell ref="L552:M554"/>
    <mergeCell ref="N552:O554"/>
    <mergeCell ref="P552:Q554"/>
    <mergeCell ref="S549:T551"/>
    <mergeCell ref="U549:Z551"/>
    <mergeCell ref="AA549:AB551"/>
    <mergeCell ref="AC549:AD551"/>
    <mergeCell ref="AE549:AF551"/>
    <mergeCell ref="AG549:AH551"/>
    <mergeCell ref="B549:C551"/>
    <mergeCell ref="D549:I551"/>
    <mergeCell ref="J549:K551"/>
    <mergeCell ref="L549:M551"/>
    <mergeCell ref="N549:O551"/>
    <mergeCell ref="P549:Q551"/>
    <mergeCell ref="S546:T548"/>
    <mergeCell ref="U546:Z548"/>
    <mergeCell ref="AA546:AB548"/>
    <mergeCell ref="AC546:AD548"/>
    <mergeCell ref="AE546:AF548"/>
    <mergeCell ref="AG546:AH548"/>
    <mergeCell ref="B546:C548"/>
    <mergeCell ref="D546:I548"/>
    <mergeCell ref="J546:K548"/>
    <mergeCell ref="L546:M548"/>
    <mergeCell ref="N546:O548"/>
    <mergeCell ref="P546:Q548"/>
    <mergeCell ref="S543:T545"/>
    <mergeCell ref="U543:Z545"/>
    <mergeCell ref="AA543:AB545"/>
    <mergeCell ref="AC543:AD545"/>
    <mergeCell ref="AE543:AF545"/>
    <mergeCell ref="AG543:AH545"/>
    <mergeCell ref="B543:C545"/>
    <mergeCell ref="D543:I545"/>
    <mergeCell ref="J543:K545"/>
    <mergeCell ref="L543:M545"/>
    <mergeCell ref="N543:O545"/>
    <mergeCell ref="P543:Q545"/>
    <mergeCell ref="S540:T542"/>
    <mergeCell ref="U540:Z542"/>
    <mergeCell ref="AA540:AB542"/>
    <mergeCell ref="AC540:AD542"/>
    <mergeCell ref="AE540:AF542"/>
    <mergeCell ref="AG540:AH542"/>
    <mergeCell ref="B540:C542"/>
    <mergeCell ref="D540:I542"/>
    <mergeCell ref="J540:K542"/>
    <mergeCell ref="L540:M542"/>
    <mergeCell ref="N540:O542"/>
    <mergeCell ref="P540:Q542"/>
    <mergeCell ref="S537:T539"/>
    <mergeCell ref="U537:Z539"/>
    <mergeCell ref="AA537:AB539"/>
    <mergeCell ref="AC537:AD539"/>
    <mergeCell ref="AE537:AF539"/>
    <mergeCell ref="AG537:AH539"/>
    <mergeCell ref="B537:C539"/>
    <mergeCell ref="D537:I539"/>
    <mergeCell ref="J537:K539"/>
    <mergeCell ref="L537:M539"/>
    <mergeCell ref="N537:O539"/>
    <mergeCell ref="P537:Q539"/>
    <mergeCell ref="S534:T536"/>
    <mergeCell ref="U534:Z536"/>
    <mergeCell ref="AA534:AB536"/>
    <mergeCell ref="AC534:AD536"/>
    <mergeCell ref="AE534:AF536"/>
    <mergeCell ref="AG534:AH536"/>
    <mergeCell ref="B534:C536"/>
    <mergeCell ref="D534:I536"/>
    <mergeCell ref="J534:K536"/>
    <mergeCell ref="L534:M536"/>
    <mergeCell ref="N534:O536"/>
    <mergeCell ref="P534:Q536"/>
    <mergeCell ref="S531:T533"/>
    <mergeCell ref="U531:Z533"/>
    <mergeCell ref="AA531:AB533"/>
    <mergeCell ref="AC531:AD533"/>
    <mergeCell ref="AE531:AF533"/>
    <mergeCell ref="AG531:AH533"/>
    <mergeCell ref="B531:C533"/>
    <mergeCell ref="D531:I533"/>
    <mergeCell ref="J531:K533"/>
    <mergeCell ref="L531:M533"/>
    <mergeCell ref="N531:O533"/>
    <mergeCell ref="P531:Q533"/>
    <mergeCell ref="S528:T530"/>
    <mergeCell ref="U528:Z530"/>
    <mergeCell ref="AA528:AB530"/>
    <mergeCell ref="AC528:AD530"/>
    <mergeCell ref="AE528:AF530"/>
    <mergeCell ref="AG528:AH530"/>
    <mergeCell ref="B528:C530"/>
    <mergeCell ref="D528:I530"/>
    <mergeCell ref="J528:K530"/>
    <mergeCell ref="L528:M530"/>
    <mergeCell ref="N528:O530"/>
    <mergeCell ref="P528:Q530"/>
    <mergeCell ref="S525:T527"/>
    <mergeCell ref="U525:Z527"/>
    <mergeCell ref="AA525:AB527"/>
    <mergeCell ref="AC525:AD527"/>
    <mergeCell ref="AE525:AF527"/>
    <mergeCell ref="AG525:AH527"/>
    <mergeCell ref="B525:C527"/>
    <mergeCell ref="D525:I527"/>
    <mergeCell ref="J525:K527"/>
    <mergeCell ref="L525:M527"/>
    <mergeCell ref="N525:O527"/>
    <mergeCell ref="P525:Q527"/>
    <mergeCell ref="S522:T524"/>
    <mergeCell ref="U522:Z524"/>
    <mergeCell ref="AA522:AB524"/>
    <mergeCell ref="AC522:AD524"/>
    <mergeCell ref="AE522:AF524"/>
    <mergeCell ref="AG522:AH524"/>
    <mergeCell ref="B522:C524"/>
    <mergeCell ref="D522:I524"/>
    <mergeCell ref="J522:K524"/>
    <mergeCell ref="L522:M524"/>
    <mergeCell ref="N522:O524"/>
    <mergeCell ref="P522:Q524"/>
    <mergeCell ref="S519:T521"/>
    <mergeCell ref="U519:Z521"/>
    <mergeCell ref="AA519:AB521"/>
    <mergeCell ref="AC519:AD521"/>
    <mergeCell ref="AE519:AF521"/>
    <mergeCell ref="AG519:AH521"/>
    <mergeCell ref="B519:C521"/>
    <mergeCell ref="D519:I521"/>
    <mergeCell ref="J519:K521"/>
    <mergeCell ref="L519:M521"/>
    <mergeCell ref="N519:O521"/>
    <mergeCell ref="P519:Q521"/>
    <mergeCell ref="S516:T518"/>
    <mergeCell ref="U516:Z518"/>
    <mergeCell ref="AA516:AB518"/>
    <mergeCell ref="AC516:AD518"/>
    <mergeCell ref="AE516:AF518"/>
    <mergeCell ref="AG516:AH518"/>
    <mergeCell ref="B516:C518"/>
    <mergeCell ref="D516:I518"/>
    <mergeCell ref="J516:K518"/>
    <mergeCell ref="L516:M518"/>
    <mergeCell ref="N516:O518"/>
    <mergeCell ref="P516:Q518"/>
    <mergeCell ref="S513:T515"/>
    <mergeCell ref="U513:Z515"/>
    <mergeCell ref="AA513:AB515"/>
    <mergeCell ref="AC513:AD515"/>
    <mergeCell ref="AE513:AF515"/>
    <mergeCell ref="AG513:AH515"/>
    <mergeCell ref="B513:C515"/>
    <mergeCell ref="D513:I515"/>
    <mergeCell ref="J513:K515"/>
    <mergeCell ref="L513:M515"/>
    <mergeCell ref="N513:O515"/>
    <mergeCell ref="P513:Q515"/>
    <mergeCell ref="S510:T512"/>
    <mergeCell ref="U510:Z512"/>
    <mergeCell ref="AA510:AB512"/>
    <mergeCell ref="AC510:AD512"/>
    <mergeCell ref="AE510:AF512"/>
    <mergeCell ref="AG510:AH512"/>
    <mergeCell ref="B510:C512"/>
    <mergeCell ref="D510:I512"/>
    <mergeCell ref="J510:K512"/>
    <mergeCell ref="L510:M512"/>
    <mergeCell ref="N510:O512"/>
    <mergeCell ref="P510:Q512"/>
    <mergeCell ref="S507:T509"/>
    <mergeCell ref="U507:Z509"/>
    <mergeCell ref="AA507:AB509"/>
    <mergeCell ref="AC507:AD509"/>
    <mergeCell ref="AE507:AF509"/>
    <mergeCell ref="AG507:AH509"/>
    <mergeCell ref="B507:C509"/>
    <mergeCell ref="D507:I509"/>
    <mergeCell ref="J507:K509"/>
    <mergeCell ref="L507:M509"/>
    <mergeCell ref="N507:O509"/>
    <mergeCell ref="P507:Q509"/>
    <mergeCell ref="S504:T506"/>
    <mergeCell ref="U504:Z506"/>
    <mergeCell ref="AA504:AB506"/>
    <mergeCell ref="AC504:AD506"/>
    <mergeCell ref="AE504:AF506"/>
    <mergeCell ref="AG504:AH506"/>
    <mergeCell ref="B504:C506"/>
    <mergeCell ref="D504:I506"/>
    <mergeCell ref="J504:K506"/>
    <mergeCell ref="L504:M506"/>
    <mergeCell ref="N504:O506"/>
    <mergeCell ref="P504:Q506"/>
    <mergeCell ref="S501:T503"/>
    <mergeCell ref="U501:Z503"/>
    <mergeCell ref="AA501:AB503"/>
    <mergeCell ref="AC501:AD503"/>
    <mergeCell ref="AE501:AF503"/>
    <mergeCell ref="AG501:AH503"/>
    <mergeCell ref="B501:C503"/>
    <mergeCell ref="D501:I503"/>
    <mergeCell ref="J501:K503"/>
    <mergeCell ref="L501:M503"/>
    <mergeCell ref="N501:O503"/>
    <mergeCell ref="P501:Q503"/>
    <mergeCell ref="S498:T500"/>
    <mergeCell ref="U498:Z500"/>
    <mergeCell ref="AA498:AB500"/>
    <mergeCell ref="AC498:AD500"/>
    <mergeCell ref="AE498:AF500"/>
    <mergeCell ref="AG498:AH500"/>
    <mergeCell ref="B498:C500"/>
    <mergeCell ref="D498:I500"/>
    <mergeCell ref="J498:K500"/>
    <mergeCell ref="L498:M500"/>
    <mergeCell ref="N498:O500"/>
    <mergeCell ref="P498:Q500"/>
    <mergeCell ref="S495:T497"/>
    <mergeCell ref="U495:Z497"/>
    <mergeCell ref="AA495:AB497"/>
    <mergeCell ref="AC495:AD497"/>
    <mergeCell ref="AE495:AF497"/>
    <mergeCell ref="AG495:AH497"/>
    <mergeCell ref="B495:C497"/>
    <mergeCell ref="D495:I497"/>
    <mergeCell ref="J495:K497"/>
    <mergeCell ref="L495:M497"/>
    <mergeCell ref="N495:O497"/>
    <mergeCell ref="P495:Q497"/>
    <mergeCell ref="S492:T494"/>
    <mergeCell ref="U492:Z494"/>
    <mergeCell ref="AA492:AB494"/>
    <mergeCell ref="AC492:AD494"/>
    <mergeCell ref="AE492:AF494"/>
    <mergeCell ref="AG492:AH494"/>
    <mergeCell ref="B492:C494"/>
    <mergeCell ref="D492:I494"/>
    <mergeCell ref="J492:K494"/>
    <mergeCell ref="L492:M494"/>
    <mergeCell ref="N492:O494"/>
    <mergeCell ref="P492:Q494"/>
    <mergeCell ref="S489:T491"/>
    <mergeCell ref="U489:Z491"/>
    <mergeCell ref="AA489:AB491"/>
    <mergeCell ref="AC489:AD491"/>
    <mergeCell ref="AE489:AF491"/>
    <mergeCell ref="AG489:AH491"/>
    <mergeCell ref="B489:C491"/>
    <mergeCell ref="D489:I491"/>
    <mergeCell ref="J489:K491"/>
    <mergeCell ref="L489:M491"/>
    <mergeCell ref="N489:O491"/>
    <mergeCell ref="P489:Q491"/>
    <mergeCell ref="S486:T488"/>
    <mergeCell ref="U486:Z488"/>
    <mergeCell ref="AA486:AB488"/>
    <mergeCell ref="AC486:AD488"/>
    <mergeCell ref="AE486:AF488"/>
    <mergeCell ref="AG486:AH488"/>
    <mergeCell ref="B486:C488"/>
    <mergeCell ref="D486:I488"/>
    <mergeCell ref="J486:K488"/>
    <mergeCell ref="L486:M488"/>
    <mergeCell ref="N486:O488"/>
    <mergeCell ref="P486:Q488"/>
    <mergeCell ref="S483:T485"/>
    <mergeCell ref="U483:Z485"/>
    <mergeCell ref="AA483:AB485"/>
    <mergeCell ref="AC483:AD485"/>
    <mergeCell ref="AE483:AF485"/>
    <mergeCell ref="AG483:AH485"/>
    <mergeCell ref="B483:C485"/>
    <mergeCell ref="D483:I485"/>
    <mergeCell ref="J483:K485"/>
    <mergeCell ref="L483:M485"/>
    <mergeCell ref="N483:O485"/>
    <mergeCell ref="P483:Q485"/>
    <mergeCell ref="S480:T482"/>
    <mergeCell ref="U480:Z482"/>
    <mergeCell ref="AA480:AB482"/>
    <mergeCell ref="AC480:AD482"/>
    <mergeCell ref="AE480:AF482"/>
    <mergeCell ref="AG480:AH482"/>
    <mergeCell ref="B480:C482"/>
    <mergeCell ref="D480:I482"/>
    <mergeCell ref="J480:K482"/>
    <mergeCell ref="L480:M482"/>
    <mergeCell ref="N480:O482"/>
    <mergeCell ref="P480:Q482"/>
    <mergeCell ref="S477:T479"/>
    <mergeCell ref="U477:Z479"/>
    <mergeCell ref="AA477:AB479"/>
    <mergeCell ref="AC477:AD479"/>
    <mergeCell ref="AE477:AF479"/>
    <mergeCell ref="AG477:AH479"/>
    <mergeCell ref="B477:C479"/>
    <mergeCell ref="D477:I479"/>
    <mergeCell ref="J477:K479"/>
    <mergeCell ref="L477:M479"/>
    <mergeCell ref="N477:O479"/>
    <mergeCell ref="P477:Q479"/>
    <mergeCell ref="S474:T476"/>
    <mergeCell ref="U474:Z476"/>
    <mergeCell ref="AA474:AB476"/>
    <mergeCell ref="AC474:AD476"/>
    <mergeCell ref="AE474:AF476"/>
    <mergeCell ref="AG474:AH476"/>
    <mergeCell ref="B474:C476"/>
    <mergeCell ref="D474:I476"/>
    <mergeCell ref="J474:K476"/>
    <mergeCell ref="L474:M476"/>
    <mergeCell ref="N474:O476"/>
    <mergeCell ref="P474:Q476"/>
    <mergeCell ref="S471:T473"/>
    <mergeCell ref="U471:Z473"/>
    <mergeCell ref="AA471:AB473"/>
    <mergeCell ref="AC471:AD473"/>
    <mergeCell ref="AE471:AF473"/>
    <mergeCell ref="AG471:AH473"/>
    <mergeCell ref="B471:C473"/>
    <mergeCell ref="D471:I473"/>
    <mergeCell ref="J471:K473"/>
    <mergeCell ref="L471:M473"/>
    <mergeCell ref="N471:O473"/>
    <mergeCell ref="P471:Q473"/>
    <mergeCell ref="S468:T470"/>
    <mergeCell ref="U468:Z470"/>
    <mergeCell ref="AA468:AB470"/>
    <mergeCell ref="AC468:AD470"/>
    <mergeCell ref="AE468:AF470"/>
    <mergeCell ref="AG468:AH470"/>
    <mergeCell ref="B468:C470"/>
    <mergeCell ref="D468:I470"/>
    <mergeCell ref="J468:K470"/>
    <mergeCell ref="L468:M470"/>
    <mergeCell ref="N468:O470"/>
    <mergeCell ref="P468:Q470"/>
    <mergeCell ref="S465:T467"/>
    <mergeCell ref="U465:Z467"/>
    <mergeCell ref="AA465:AB467"/>
    <mergeCell ref="AC465:AD467"/>
    <mergeCell ref="AE465:AF467"/>
    <mergeCell ref="AG465:AH467"/>
    <mergeCell ref="B465:C467"/>
    <mergeCell ref="D465:I467"/>
    <mergeCell ref="J465:K467"/>
    <mergeCell ref="L465:M467"/>
    <mergeCell ref="N465:O467"/>
    <mergeCell ref="P465:Q467"/>
    <mergeCell ref="S462:T464"/>
    <mergeCell ref="U462:Z464"/>
    <mergeCell ref="AA462:AB464"/>
    <mergeCell ref="AC462:AD464"/>
    <mergeCell ref="AE462:AF464"/>
    <mergeCell ref="AG462:AH464"/>
    <mergeCell ref="B462:C464"/>
    <mergeCell ref="D462:I464"/>
    <mergeCell ref="J462:K464"/>
    <mergeCell ref="L462:M464"/>
    <mergeCell ref="N462:O464"/>
    <mergeCell ref="P462:Q464"/>
    <mergeCell ref="S459:T461"/>
    <mergeCell ref="U459:Z461"/>
    <mergeCell ref="AA459:AB461"/>
    <mergeCell ref="AC459:AD461"/>
    <mergeCell ref="AE459:AF461"/>
    <mergeCell ref="AG459:AH461"/>
    <mergeCell ref="B459:C461"/>
    <mergeCell ref="D459:I461"/>
    <mergeCell ref="J459:K461"/>
    <mergeCell ref="L459:M461"/>
    <mergeCell ref="N459:O461"/>
    <mergeCell ref="P459:Q461"/>
    <mergeCell ref="S456:T458"/>
    <mergeCell ref="U456:Z458"/>
    <mergeCell ref="AA456:AB458"/>
    <mergeCell ref="AC456:AD458"/>
    <mergeCell ref="AE456:AF458"/>
    <mergeCell ref="AG456:AH458"/>
    <mergeCell ref="B456:C458"/>
    <mergeCell ref="D456:I458"/>
    <mergeCell ref="J456:K458"/>
    <mergeCell ref="L456:M458"/>
    <mergeCell ref="N456:O458"/>
    <mergeCell ref="P456:Q458"/>
    <mergeCell ref="S453:T455"/>
    <mergeCell ref="U453:Z455"/>
    <mergeCell ref="AA453:AB455"/>
    <mergeCell ref="AC453:AD455"/>
    <mergeCell ref="AE453:AF455"/>
    <mergeCell ref="AG453:AH455"/>
    <mergeCell ref="B453:C455"/>
    <mergeCell ref="D453:I455"/>
    <mergeCell ref="J453:K455"/>
    <mergeCell ref="L453:M455"/>
    <mergeCell ref="N453:O455"/>
    <mergeCell ref="P453:Q455"/>
    <mergeCell ref="S450:T452"/>
    <mergeCell ref="U450:Z452"/>
    <mergeCell ref="AA450:AB452"/>
    <mergeCell ref="AC450:AD452"/>
    <mergeCell ref="AE450:AF452"/>
    <mergeCell ref="AG450:AH452"/>
    <mergeCell ref="B450:C452"/>
    <mergeCell ref="D450:I452"/>
    <mergeCell ref="J450:K452"/>
    <mergeCell ref="L450:M452"/>
    <mergeCell ref="N450:O452"/>
    <mergeCell ref="P450:Q452"/>
    <mergeCell ref="S447:T449"/>
    <mergeCell ref="U447:Z449"/>
    <mergeCell ref="AA447:AB449"/>
    <mergeCell ref="AC447:AD449"/>
    <mergeCell ref="AE447:AF449"/>
    <mergeCell ref="AG447:AH449"/>
    <mergeCell ref="B447:C449"/>
    <mergeCell ref="D447:I449"/>
    <mergeCell ref="J447:K449"/>
    <mergeCell ref="L447:M449"/>
    <mergeCell ref="N447:O449"/>
    <mergeCell ref="P447:Q449"/>
    <mergeCell ref="S444:T446"/>
    <mergeCell ref="U444:Z446"/>
    <mergeCell ref="AA444:AB446"/>
    <mergeCell ref="AC444:AD446"/>
    <mergeCell ref="AE444:AF446"/>
    <mergeCell ref="AG444:AH446"/>
    <mergeCell ref="B444:C446"/>
    <mergeCell ref="D444:I446"/>
    <mergeCell ref="J444:K446"/>
    <mergeCell ref="L444:M446"/>
    <mergeCell ref="N444:O446"/>
    <mergeCell ref="P444:Q446"/>
    <mergeCell ref="S441:T443"/>
    <mergeCell ref="U441:Z443"/>
    <mergeCell ref="AA441:AB443"/>
    <mergeCell ref="AC441:AD443"/>
    <mergeCell ref="AE441:AF443"/>
    <mergeCell ref="AG441:AH443"/>
    <mergeCell ref="B441:C443"/>
    <mergeCell ref="D441:I443"/>
    <mergeCell ref="J441:K443"/>
    <mergeCell ref="L441:M443"/>
    <mergeCell ref="N441:O443"/>
    <mergeCell ref="P441:Q443"/>
    <mergeCell ref="S438:T440"/>
    <mergeCell ref="U438:Z440"/>
    <mergeCell ref="AA438:AB440"/>
    <mergeCell ref="AC438:AD440"/>
    <mergeCell ref="AE438:AF440"/>
    <mergeCell ref="AG438:AH440"/>
    <mergeCell ref="B438:C440"/>
    <mergeCell ref="D438:I440"/>
    <mergeCell ref="J438:K440"/>
    <mergeCell ref="L438:M440"/>
    <mergeCell ref="N438:O440"/>
    <mergeCell ref="P438:Q440"/>
    <mergeCell ref="S435:T437"/>
    <mergeCell ref="U435:Z437"/>
    <mergeCell ref="AA435:AB437"/>
    <mergeCell ref="AC435:AD437"/>
    <mergeCell ref="AE435:AF437"/>
    <mergeCell ref="AG435:AH437"/>
    <mergeCell ref="B435:C437"/>
    <mergeCell ref="D435:I437"/>
    <mergeCell ref="J435:K437"/>
    <mergeCell ref="L435:M437"/>
    <mergeCell ref="N435:O437"/>
    <mergeCell ref="P435:Q437"/>
    <mergeCell ref="S432:T434"/>
    <mergeCell ref="U432:Z434"/>
    <mergeCell ref="AA432:AB434"/>
    <mergeCell ref="AC432:AD434"/>
    <mergeCell ref="AE432:AF434"/>
    <mergeCell ref="AG432:AH434"/>
    <mergeCell ref="B432:C434"/>
    <mergeCell ref="D432:I434"/>
    <mergeCell ref="J432:K434"/>
    <mergeCell ref="L432:M434"/>
    <mergeCell ref="N432:O434"/>
    <mergeCell ref="P432:Q434"/>
    <mergeCell ref="S429:T431"/>
    <mergeCell ref="U429:Z431"/>
    <mergeCell ref="AA429:AB431"/>
    <mergeCell ref="AC429:AD431"/>
    <mergeCell ref="AE429:AF431"/>
    <mergeCell ref="AG429:AH431"/>
    <mergeCell ref="B429:C431"/>
    <mergeCell ref="D429:I431"/>
    <mergeCell ref="J429:K431"/>
    <mergeCell ref="L429:M431"/>
    <mergeCell ref="N429:O431"/>
    <mergeCell ref="P429:Q431"/>
    <mergeCell ref="S426:T428"/>
    <mergeCell ref="U426:Z428"/>
    <mergeCell ref="AA426:AB428"/>
    <mergeCell ref="AC426:AD428"/>
    <mergeCell ref="AE426:AF428"/>
    <mergeCell ref="AG426:AH428"/>
    <mergeCell ref="B426:C428"/>
    <mergeCell ref="D426:I428"/>
    <mergeCell ref="J426:K428"/>
    <mergeCell ref="L426:M428"/>
    <mergeCell ref="N426:O428"/>
    <mergeCell ref="P426:Q428"/>
    <mergeCell ref="S423:T425"/>
    <mergeCell ref="U423:Z425"/>
    <mergeCell ref="AA423:AB425"/>
    <mergeCell ref="AC423:AD425"/>
    <mergeCell ref="AE423:AF425"/>
    <mergeCell ref="AG423:AH425"/>
    <mergeCell ref="B423:C425"/>
    <mergeCell ref="D423:I425"/>
    <mergeCell ref="J423:K425"/>
    <mergeCell ref="L423:M425"/>
    <mergeCell ref="N423:O425"/>
    <mergeCell ref="P423:Q425"/>
    <mergeCell ref="S420:T422"/>
    <mergeCell ref="U420:Z422"/>
    <mergeCell ref="AA420:AB422"/>
    <mergeCell ref="AC420:AD422"/>
    <mergeCell ref="AE420:AF422"/>
    <mergeCell ref="AG420:AH422"/>
    <mergeCell ref="B420:C422"/>
    <mergeCell ref="D420:I422"/>
    <mergeCell ref="J420:K422"/>
    <mergeCell ref="L420:M422"/>
    <mergeCell ref="N420:O422"/>
    <mergeCell ref="P420:Q422"/>
    <mergeCell ref="S417:T419"/>
    <mergeCell ref="U417:Z419"/>
    <mergeCell ref="AA417:AB419"/>
    <mergeCell ref="AC417:AD419"/>
    <mergeCell ref="AE417:AF419"/>
    <mergeCell ref="AG417:AH419"/>
    <mergeCell ref="B417:C419"/>
    <mergeCell ref="D417:I419"/>
    <mergeCell ref="J417:K419"/>
    <mergeCell ref="L417:M419"/>
    <mergeCell ref="N417:O419"/>
    <mergeCell ref="P417:Q419"/>
    <mergeCell ref="S414:T416"/>
    <mergeCell ref="U414:Z416"/>
    <mergeCell ref="AA414:AB416"/>
    <mergeCell ref="AC414:AD416"/>
    <mergeCell ref="AE414:AF416"/>
    <mergeCell ref="AG414:AH416"/>
    <mergeCell ref="B414:C416"/>
    <mergeCell ref="D414:I416"/>
    <mergeCell ref="J414:K416"/>
    <mergeCell ref="L414:M416"/>
    <mergeCell ref="N414:O416"/>
    <mergeCell ref="P414:Q416"/>
    <mergeCell ref="S411:T413"/>
    <mergeCell ref="U411:Z413"/>
    <mergeCell ref="AA411:AB413"/>
    <mergeCell ref="AC411:AD413"/>
    <mergeCell ref="AE411:AF413"/>
    <mergeCell ref="AG411:AH413"/>
    <mergeCell ref="B411:C413"/>
    <mergeCell ref="D411:I413"/>
    <mergeCell ref="J411:K413"/>
    <mergeCell ref="L411:M413"/>
    <mergeCell ref="N411:O413"/>
    <mergeCell ref="P411:Q413"/>
    <mergeCell ref="S408:T410"/>
    <mergeCell ref="U408:Z410"/>
    <mergeCell ref="AA408:AB410"/>
    <mergeCell ref="AC408:AD410"/>
    <mergeCell ref="AE408:AF410"/>
    <mergeCell ref="AG408:AH410"/>
    <mergeCell ref="B408:C410"/>
    <mergeCell ref="D408:I410"/>
    <mergeCell ref="J408:K410"/>
    <mergeCell ref="L408:M410"/>
    <mergeCell ref="N408:O410"/>
    <mergeCell ref="P408:Q410"/>
    <mergeCell ref="S405:T407"/>
    <mergeCell ref="U405:Z407"/>
    <mergeCell ref="AA405:AB407"/>
    <mergeCell ref="AC405:AD407"/>
    <mergeCell ref="AE405:AF407"/>
    <mergeCell ref="AG405:AH407"/>
    <mergeCell ref="B405:C407"/>
    <mergeCell ref="D405:I407"/>
    <mergeCell ref="J405:K407"/>
    <mergeCell ref="L405:M407"/>
    <mergeCell ref="N405:O407"/>
    <mergeCell ref="P405:Q407"/>
    <mergeCell ref="S402:T404"/>
    <mergeCell ref="U402:Z404"/>
    <mergeCell ref="AA402:AB404"/>
    <mergeCell ref="AC402:AD404"/>
    <mergeCell ref="AE402:AF404"/>
    <mergeCell ref="AG402:AH404"/>
    <mergeCell ref="B402:C404"/>
    <mergeCell ref="D402:I404"/>
    <mergeCell ref="J402:K404"/>
    <mergeCell ref="L402:M404"/>
    <mergeCell ref="N402:O404"/>
    <mergeCell ref="P402:Q404"/>
    <mergeCell ref="S399:T401"/>
    <mergeCell ref="U399:Z401"/>
    <mergeCell ref="AA399:AB401"/>
    <mergeCell ref="AC399:AD401"/>
    <mergeCell ref="AE399:AF401"/>
    <mergeCell ref="AG399:AH401"/>
    <mergeCell ref="B399:C401"/>
    <mergeCell ref="D399:I401"/>
    <mergeCell ref="J399:K401"/>
    <mergeCell ref="L399:M401"/>
    <mergeCell ref="N399:O401"/>
    <mergeCell ref="P399:Q401"/>
    <mergeCell ref="S396:T398"/>
    <mergeCell ref="U396:Z398"/>
    <mergeCell ref="AA396:AB398"/>
    <mergeCell ref="AC396:AD398"/>
    <mergeCell ref="AE396:AF398"/>
    <mergeCell ref="AG396:AH398"/>
    <mergeCell ref="B396:C398"/>
    <mergeCell ref="D396:I398"/>
    <mergeCell ref="J396:K398"/>
    <mergeCell ref="L396:M398"/>
    <mergeCell ref="N396:O398"/>
    <mergeCell ref="P396:Q398"/>
    <mergeCell ref="S393:T395"/>
    <mergeCell ref="U393:Z395"/>
    <mergeCell ref="AA393:AB395"/>
    <mergeCell ref="AC393:AD395"/>
    <mergeCell ref="AE393:AF395"/>
    <mergeCell ref="AG393:AH395"/>
    <mergeCell ref="B393:C395"/>
    <mergeCell ref="D393:I395"/>
    <mergeCell ref="J393:K395"/>
    <mergeCell ref="L393:M395"/>
    <mergeCell ref="N393:O395"/>
    <mergeCell ref="P393:Q395"/>
    <mergeCell ref="S390:T392"/>
    <mergeCell ref="U390:Z392"/>
    <mergeCell ref="AA390:AB392"/>
    <mergeCell ref="AC390:AD392"/>
    <mergeCell ref="AE390:AF392"/>
    <mergeCell ref="AG390:AH392"/>
    <mergeCell ref="B390:C392"/>
    <mergeCell ref="D390:I392"/>
    <mergeCell ref="J390:K392"/>
    <mergeCell ref="L390:M392"/>
    <mergeCell ref="N390:O392"/>
    <mergeCell ref="P390:Q392"/>
    <mergeCell ref="S387:T389"/>
    <mergeCell ref="U387:Z389"/>
    <mergeCell ref="AA387:AB389"/>
    <mergeCell ref="AC387:AD389"/>
    <mergeCell ref="AE387:AF389"/>
    <mergeCell ref="AG387:AH389"/>
    <mergeCell ref="B387:C389"/>
    <mergeCell ref="D387:I389"/>
    <mergeCell ref="J387:K389"/>
    <mergeCell ref="L387:M389"/>
    <mergeCell ref="N387:O389"/>
    <mergeCell ref="P387:Q389"/>
    <mergeCell ref="S384:T386"/>
    <mergeCell ref="U384:Z386"/>
    <mergeCell ref="AA384:AB386"/>
    <mergeCell ref="AC384:AD386"/>
    <mergeCell ref="AE384:AF386"/>
    <mergeCell ref="AG384:AH386"/>
    <mergeCell ref="B384:C386"/>
    <mergeCell ref="D384:I386"/>
    <mergeCell ref="J384:K386"/>
    <mergeCell ref="L384:M386"/>
    <mergeCell ref="N384:O386"/>
    <mergeCell ref="P384:Q386"/>
    <mergeCell ref="S381:T383"/>
    <mergeCell ref="U381:Z383"/>
    <mergeCell ref="AA381:AB383"/>
    <mergeCell ref="AC381:AD383"/>
    <mergeCell ref="AE381:AF383"/>
    <mergeCell ref="AG381:AH383"/>
    <mergeCell ref="B381:C383"/>
    <mergeCell ref="D381:I383"/>
    <mergeCell ref="J381:K383"/>
    <mergeCell ref="L381:M383"/>
    <mergeCell ref="N381:O383"/>
    <mergeCell ref="P381:Q383"/>
    <mergeCell ref="S378:T380"/>
    <mergeCell ref="U378:Z380"/>
    <mergeCell ref="AA378:AB380"/>
    <mergeCell ref="AC378:AD380"/>
    <mergeCell ref="AE378:AF380"/>
    <mergeCell ref="AG378:AH380"/>
    <mergeCell ref="B378:C380"/>
    <mergeCell ref="D378:I380"/>
    <mergeCell ref="J378:K380"/>
    <mergeCell ref="L378:M380"/>
    <mergeCell ref="N378:O380"/>
    <mergeCell ref="P378:Q380"/>
    <mergeCell ref="S375:T377"/>
    <mergeCell ref="U375:Z377"/>
    <mergeCell ref="AA375:AB377"/>
    <mergeCell ref="AC375:AD377"/>
    <mergeCell ref="AE375:AF377"/>
    <mergeCell ref="AG375:AH377"/>
    <mergeCell ref="B375:C377"/>
    <mergeCell ref="D375:I377"/>
    <mergeCell ref="J375:K377"/>
    <mergeCell ref="L375:M377"/>
    <mergeCell ref="N375:O377"/>
    <mergeCell ref="P375:Q377"/>
    <mergeCell ref="S372:T374"/>
    <mergeCell ref="U372:Z374"/>
    <mergeCell ref="AA372:AB374"/>
    <mergeCell ref="AC372:AD374"/>
    <mergeCell ref="AE372:AF374"/>
    <mergeCell ref="AG372:AH374"/>
    <mergeCell ref="B372:C374"/>
    <mergeCell ref="D372:I374"/>
    <mergeCell ref="J372:K374"/>
    <mergeCell ref="L372:M374"/>
    <mergeCell ref="N372:O374"/>
    <mergeCell ref="P372:Q374"/>
    <mergeCell ref="S369:T371"/>
    <mergeCell ref="U369:Z371"/>
    <mergeCell ref="AA369:AB371"/>
    <mergeCell ref="AC369:AD371"/>
    <mergeCell ref="AE369:AF371"/>
    <mergeCell ref="AG369:AH371"/>
    <mergeCell ref="B369:C371"/>
    <mergeCell ref="D369:I371"/>
    <mergeCell ref="J369:K371"/>
    <mergeCell ref="L369:M371"/>
    <mergeCell ref="N369:O371"/>
    <mergeCell ref="P369:Q371"/>
    <mergeCell ref="S366:T368"/>
    <mergeCell ref="U366:Z368"/>
    <mergeCell ref="AA366:AB368"/>
    <mergeCell ref="AC366:AD368"/>
    <mergeCell ref="AE366:AF368"/>
    <mergeCell ref="AG366:AH368"/>
    <mergeCell ref="B366:C368"/>
    <mergeCell ref="D366:I368"/>
    <mergeCell ref="J366:K368"/>
    <mergeCell ref="L366:M368"/>
    <mergeCell ref="N366:O368"/>
    <mergeCell ref="P366:Q368"/>
    <mergeCell ref="S363:T365"/>
    <mergeCell ref="U363:Z365"/>
    <mergeCell ref="AA363:AB365"/>
    <mergeCell ref="AC363:AD365"/>
    <mergeCell ref="AE363:AF365"/>
    <mergeCell ref="AG363:AH365"/>
    <mergeCell ref="B363:C365"/>
    <mergeCell ref="D363:I365"/>
    <mergeCell ref="J363:K365"/>
    <mergeCell ref="L363:M365"/>
    <mergeCell ref="N363:O365"/>
    <mergeCell ref="P363:Q365"/>
    <mergeCell ref="S360:T362"/>
    <mergeCell ref="U360:Z362"/>
    <mergeCell ref="AA360:AB362"/>
    <mergeCell ref="AC360:AD362"/>
    <mergeCell ref="AE360:AF362"/>
    <mergeCell ref="AG360:AH362"/>
    <mergeCell ref="B360:C362"/>
    <mergeCell ref="D360:I362"/>
    <mergeCell ref="J360:K362"/>
    <mergeCell ref="L360:M362"/>
    <mergeCell ref="N360:O362"/>
    <mergeCell ref="P360:Q362"/>
    <mergeCell ref="S357:T359"/>
    <mergeCell ref="U357:Z359"/>
    <mergeCell ref="AA357:AB359"/>
    <mergeCell ref="AC357:AD359"/>
    <mergeCell ref="AE357:AF359"/>
    <mergeCell ref="AG357:AH359"/>
    <mergeCell ref="B357:C359"/>
    <mergeCell ref="D357:I359"/>
    <mergeCell ref="J357:K359"/>
    <mergeCell ref="L357:M359"/>
    <mergeCell ref="N357:O359"/>
    <mergeCell ref="P357:Q359"/>
    <mergeCell ref="S354:T356"/>
    <mergeCell ref="U354:Z356"/>
    <mergeCell ref="AA354:AB356"/>
    <mergeCell ref="AC354:AD356"/>
    <mergeCell ref="AE354:AF356"/>
    <mergeCell ref="AG354:AH356"/>
    <mergeCell ref="B354:C356"/>
    <mergeCell ref="D354:I356"/>
    <mergeCell ref="J354:K356"/>
    <mergeCell ref="L354:M356"/>
    <mergeCell ref="N354:O356"/>
    <mergeCell ref="P354:Q356"/>
    <mergeCell ref="S351:T353"/>
    <mergeCell ref="U351:Z353"/>
    <mergeCell ref="AA351:AB353"/>
    <mergeCell ref="AC351:AD353"/>
    <mergeCell ref="AE351:AF353"/>
    <mergeCell ref="AG351:AH353"/>
    <mergeCell ref="B351:C353"/>
    <mergeCell ref="D351:I353"/>
    <mergeCell ref="J351:K353"/>
    <mergeCell ref="L351:M353"/>
    <mergeCell ref="N351:O353"/>
    <mergeCell ref="P351:Q353"/>
    <mergeCell ref="S348:T350"/>
    <mergeCell ref="U348:Z350"/>
    <mergeCell ref="AA348:AB350"/>
    <mergeCell ref="AC348:AD350"/>
    <mergeCell ref="AE348:AF350"/>
    <mergeCell ref="AG348:AH350"/>
    <mergeCell ref="B348:C350"/>
    <mergeCell ref="D348:I350"/>
    <mergeCell ref="J348:K350"/>
    <mergeCell ref="L348:M350"/>
    <mergeCell ref="N348:O350"/>
    <mergeCell ref="P348:Q350"/>
    <mergeCell ref="S345:T347"/>
    <mergeCell ref="U345:Z347"/>
    <mergeCell ref="AA345:AB347"/>
    <mergeCell ref="AC345:AD347"/>
    <mergeCell ref="AE345:AF347"/>
    <mergeCell ref="AG345:AH347"/>
    <mergeCell ref="B345:C347"/>
    <mergeCell ref="D345:I347"/>
    <mergeCell ref="J345:K347"/>
    <mergeCell ref="L345:M347"/>
    <mergeCell ref="N345:O347"/>
    <mergeCell ref="P345:Q347"/>
    <mergeCell ref="S342:T344"/>
    <mergeCell ref="U342:Z344"/>
    <mergeCell ref="AA342:AB344"/>
    <mergeCell ref="AC342:AD344"/>
    <mergeCell ref="AE342:AF344"/>
    <mergeCell ref="AG342:AH344"/>
    <mergeCell ref="B342:C344"/>
    <mergeCell ref="D342:I344"/>
    <mergeCell ref="J342:K344"/>
    <mergeCell ref="L342:M344"/>
    <mergeCell ref="N342:O344"/>
    <mergeCell ref="P342:Q344"/>
    <mergeCell ref="S339:T341"/>
    <mergeCell ref="U339:Z341"/>
    <mergeCell ref="AA339:AB341"/>
    <mergeCell ref="AC339:AD341"/>
    <mergeCell ref="AE339:AF341"/>
    <mergeCell ref="AG339:AH341"/>
    <mergeCell ref="B339:C341"/>
    <mergeCell ref="D339:I341"/>
    <mergeCell ref="J339:K341"/>
    <mergeCell ref="L339:M341"/>
    <mergeCell ref="N339:O341"/>
    <mergeCell ref="P339:Q341"/>
    <mergeCell ref="S336:T338"/>
    <mergeCell ref="U336:Z338"/>
    <mergeCell ref="AA336:AB338"/>
    <mergeCell ref="AC336:AD338"/>
    <mergeCell ref="AE336:AF338"/>
    <mergeCell ref="AG336:AH338"/>
    <mergeCell ref="B336:C338"/>
    <mergeCell ref="D336:I338"/>
    <mergeCell ref="J336:K338"/>
    <mergeCell ref="L336:M338"/>
    <mergeCell ref="N336:O338"/>
    <mergeCell ref="P336:Q338"/>
    <mergeCell ref="S333:T335"/>
    <mergeCell ref="U333:Z335"/>
    <mergeCell ref="AA333:AB335"/>
    <mergeCell ref="AC333:AD335"/>
    <mergeCell ref="AE333:AF335"/>
    <mergeCell ref="AG333:AH335"/>
    <mergeCell ref="B333:C335"/>
    <mergeCell ref="D333:I335"/>
    <mergeCell ref="J333:K335"/>
    <mergeCell ref="L333:M335"/>
    <mergeCell ref="N333:O335"/>
    <mergeCell ref="P333:Q335"/>
    <mergeCell ref="S330:T332"/>
    <mergeCell ref="U330:Z332"/>
    <mergeCell ref="AA330:AB332"/>
    <mergeCell ref="AC330:AD332"/>
    <mergeCell ref="AE330:AF332"/>
    <mergeCell ref="AG330:AH332"/>
    <mergeCell ref="B330:C332"/>
    <mergeCell ref="D330:I332"/>
    <mergeCell ref="J330:K332"/>
    <mergeCell ref="L330:M332"/>
    <mergeCell ref="N330:O332"/>
    <mergeCell ref="P330:Q332"/>
    <mergeCell ref="S327:T329"/>
    <mergeCell ref="U327:Z329"/>
    <mergeCell ref="AA327:AB329"/>
    <mergeCell ref="AC327:AD329"/>
    <mergeCell ref="AE327:AF329"/>
    <mergeCell ref="AG327:AH329"/>
    <mergeCell ref="B327:C329"/>
    <mergeCell ref="D327:I329"/>
    <mergeCell ref="J327:K329"/>
    <mergeCell ref="L327:M329"/>
    <mergeCell ref="N327:O329"/>
    <mergeCell ref="P327:Q329"/>
    <mergeCell ref="S324:T326"/>
    <mergeCell ref="U324:Z326"/>
    <mergeCell ref="AA324:AB326"/>
    <mergeCell ref="AC324:AD326"/>
    <mergeCell ref="AE324:AF326"/>
    <mergeCell ref="AG324:AH326"/>
    <mergeCell ref="B324:C326"/>
    <mergeCell ref="D324:I326"/>
    <mergeCell ref="J324:K326"/>
    <mergeCell ref="L324:M326"/>
    <mergeCell ref="N324:O326"/>
    <mergeCell ref="P324:Q326"/>
    <mergeCell ref="S321:T323"/>
    <mergeCell ref="U321:Z323"/>
    <mergeCell ref="AA321:AB323"/>
    <mergeCell ref="AC321:AD323"/>
    <mergeCell ref="AE321:AF323"/>
    <mergeCell ref="AG321:AH323"/>
    <mergeCell ref="B321:C323"/>
    <mergeCell ref="D321:I323"/>
    <mergeCell ref="J321:K323"/>
    <mergeCell ref="L321:M323"/>
    <mergeCell ref="N321:O323"/>
    <mergeCell ref="P321:Q323"/>
    <mergeCell ref="S318:T320"/>
    <mergeCell ref="U318:Z320"/>
    <mergeCell ref="AA318:AB320"/>
    <mergeCell ref="AC318:AD320"/>
    <mergeCell ref="AE318:AF320"/>
    <mergeCell ref="AG318:AH320"/>
    <mergeCell ref="B318:C320"/>
    <mergeCell ref="D318:I320"/>
    <mergeCell ref="J318:K320"/>
    <mergeCell ref="L318:M320"/>
    <mergeCell ref="N318:O320"/>
    <mergeCell ref="P318:Q320"/>
    <mergeCell ref="S315:T317"/>
    <mergeCell ref="U315:Z317"/>
    <mergeCell ref="AA315:AB317"/>
    <mergeCell ref="AC315:AD317"/>
    <mergeCell ref="AE315:AF317"/>
    <mergeCell ref="AG315:AH317"/>
    <mergeCell ref="B315:C317"/>
    <mergeCell ref="D315:I317"/>
    <mergeCell ref="J315:K317"/>
    <mergeCell ref="L315:M317"/>
    <mergeCell ref="N315:O317"/>
    <mergeCell ref="P315:Q317"/>
    <mergeCell ref="S312:T314"/>
    <mergeCell ref="U312:Z314"/>
    <mergeCell ref="AA312:AB314"/>
    <mergeCell ref="AC312:AD314"/>
    <mergeCell ref="AE312:AF314"/>
    <mergeCell ref="AG312:AH314"/>
    <mergeCell ref="B312:C314"/>
    <mergeCell ref="D312:I314"/>
    <mergeCell ref="J312:K314"/>
    <mergeCell ref="L312:M314"/>
    <mergeCell ref="N312:O314"/>
    <mergeCell ref="P312:Q314"/>
    <mergeCell ref="S309:T311"/>
    <mergeCell ref="U309:Z311"/>
    <mergeCell ref="AA309:AB311"/>
    <mergeCell ref="AC309:AD311"/>
    <mergeCell ref="AE309:AF311"/>
    <mergeCell ref="AG309:AH311"/>
    <mergeCell ref="B309:C311"/>
    <mergeCell ref="D309:I311"/>
    <mergeCell ref="J309:K311"/>
    <mergeCell ref="L309:M311"/>
    <mergeCell ref="N309:O311"/>
    <mergeCell ref="P309:Q311"/>
    <mergeCell ref="S306:T308"/>
    <mergeCell ref="U306:Z308"/>
    <mergeCell ref="AA306:AB308"/>
    <mergeCell ref="AC306:AD308"/>
    <mergeCell ref="AE306:AF308"/>
    <mergeCell ref="AG306:AH308"/>
    <mergeCell ref="B306:C308"/>
    <mergeCell ref="D306:I308"/>
    <mergeCell ref="J306:K308"/>
    <mergeCell ref="L306:M308"/>
    <mergeCell ref="N306:O308"/>
    <mergeCell ref="P306:Q308"/>
    <mergeCell ref="S303:T305"/>
    <mergeCell ref="U303:Z305"/>
    <mergeCell ref="AA303:AB305"/>
    <mergeCell ref="AC303:AD305"/>
    <mergeCell ref="AE303:AF305"/>
    <mergeCell ref="AG303:AH305"/>
    <mergeCell ref="B303:C305"/>
    <mergeCell ref="D303:I305"/>
    <mergeCell ref="J303:K305"/>
    <mergeCell ref="L303:M305"/>
    <mergeCell ref="N303:O305"/>
    <mergeCell ref="P303:Q305"/>
    <mergeCell ref="S300:T302"/>
    <mergeCell ref="U300:Z302"/>
    <mergeCell ref="AA300:AB302"/>
    <mergeCell ref="AC300:AD302"/>
    <mergeCell ref="AE300:AF302"/>
    <mergeCell ref="AG300:AH302"/>
    <mergeCell ref="B300:C302"/>
    <mergeCell ref="D300:I302"/>
    <mergeCell ref="J300:K302"/>
    <mergeCell ref="L300:M302"/>
    <mergeCell ref="N300:O302"/>
    <mergeCell ref="P300:Q302"/>
    <mergeCell ref="S297:T299"/>
    <mergeCell ref="U297:Z299"/>
    <mergeCell ref="AA297:AB299"/>
    <mergeCell ref="AC297:AD299"/>
    <mergeCell ref="AE297:AF299"/>
    <mergeCell ref="AG297:AH299"/>
    <mergeCell ref="B297:C299"/>
    <mergeCell ref="D297:I299"/>
    <mergeCell ref="J297:K299"/>
    <mergeCell ref="L297:M299"/>
    <mergeCell ref="N297:O299"/>
    <mergeCell ref="P297:Q299"/>
    <mergeCell ref="S294:T296"/>
    <mergeCell ref="U294:Z296"/>
    <mergeCell ref="AA294:AB296"/>
    <mergeCell ref="AC294:AD296"/>
    <mergeCell ref="AE294:AF296"/>
    <mergeCell ref="AG294:AH296"/>
    <mergeCell ref="B294:C296"/>
    <mergeCell ref="D294:I296"/>
    <mergeCell ref="J294:K296"/>
    <mergeCell ref="L294:M296"/>
    <mergeCell ref="N294:O296"/>
    <mergeCell ref="P294:Q296"/>
    <mergeCell ref="S291:T293"/>
    <mergeCell ref="U291:Z293"/>
    <mergeCell ref="AA291:AB293"/>
    <mergeCell ref="AC291:AD293"/>
    <mergeCell ref="AE291:AF293"/>
    <mergeCell ref="AG291:AH293"/>
    <mergeCell ref="B291:C293"/>
    <mergeCell ref="D291:I293"/>
    <mergeCell ref="J291:K293"/>
    <mergeCell ref="L291:M293"/>
    <mergeCell ref="N291:O293"/>
    <mergeCell ref="P291:Q293"/>
    <mergeCell ref="S288:T290"/>
    <mergeCell ref="U288:Z290"/>
    <mergeCell ref="AA288:AB290"/>
    <mergeCell ref="AC288:AD290"/>
    <mergeCell ref="AE288:AF290"/>
    <mergeCell ref="AG288:AH290"/>
    <mergeCell ref="B288:C290"/>
    <mergeCell ref="D288:I290"/>
    <mergeCell ref="J288:K290"/>
    <mergeCell ref="L288:M290"/>
    <mergeCell ref="N288:O290"/>
    <mergeCell ref="P288:Q290"/>
    <mergeCell ref="S285:T287"/>
    <mergeCell ref="U285:Z287"/>
    <mergeCell ref="AA285:AB287"/>
    <mergeCell ref="AC285:AD287"/>
    <mergeCell ref="AE285:AF287"/>
    <mergeCell ref="AG285:AH287"/>
    <mergeCell ref="B285:C287"/>
    <mergeCell ref="D285:I287"/>
    <mergeCell ref="J285:K287"/>
    <mergeCell ref="L285:M287"/>
    <mergeCell ref="N285:O287"/>
    <mergeCell ref="P285:Q287"/>
    <mergeCell ref="S282:T284"/>
    <mergeCell ref="U282:Z284"/>
    <mergeCell ref="AA282:AB284"/>
    <mergeCell ref="AC282:AD284"/>
    <mergeCell ref="AE282:AF284"/>
    <mergeCell ref="AG282:AH284"/>
    <mergeCell ref="B282:C284"/>
    <mergeCell ref="D282:I284"/>
    <mergeCell ref="J282:K284"/>
    <mergeCell ref="L282:M284"/>
    <mergeCell ref="N282:O284"/>
    <mergeCell ref="P282:Q284"/>
    <mergeCell ref="S279:T281"/>
    <mergeCell ref="U279:Z281"/>
    <mergeCell ref="AA279:AB281"/>
    <mergeCell ref="AC279:AD281"/>
    <mergeCell ref="AE279:AF281"/>
    <mergeCell ref="AG279:AH281"/>
    <mergeCell ref="B279:C281"/>
    <mergeCell ref="D279:I281"/>
    <mergeCell ref="J279:K281"/>
    <mergeCell ref="L279:M281"/>
    <mergeCell ref="N279:O281"/>
    <mergeCell ref="P279:Q281"/>
    <mergeCell ref="S276:T278"/>
    <mergeCell ref="U276:Z278"/>
    <mergeCell ref="AA276:AB278"/>
    <mergeCell ref="AC276:AD278"/>
    <mergeCell ref="AE276:AF278"/>
    <mergeCell ref="AG276:AH278"/>
    <mergeCell ref="B276:C278"/>
    <mergeCell ref="D276:I278"/>
    <mergeCell ref="J276:K278"/>
    <mergeCell ref="L276:M278"/>
    <mergeCell ref="N276:O278"/>
    <mergeCell ref="P276:Q278"/>
    <mergeCell ref="S273:T275"/>
    <mergeCell ref="U273:Z275"/>
    <mergeCell ref="AA273:AB275"/>
    <mergeCell ref="AC273:AD275"/>
    <mergeCell ref="AE273:AF275"/>
    <mergeCell ref="AG273:AH275"/>
    <mergeCell ref="B273:C275"/>
    <mergeCell ref="D273:I275"/>
    <mergeCell ref="J273:K275"/>
    <mergeCell ref="L273:M275"/>
    <mergeCell ref="N273:O275"/>
    <mergeCell ref="P273:Q275"/>
    <mergeCell ref="S270:T272"/>
    <mergeCell ref="U270:Z272"/>
    <mergeCell ref="AA270:AB272"/>
    <mergeCell ref="AC270:AD272"/>
    <mergeCell ref="AE270:AF272"/>
    <mergeCell ref="AG270:AH272"/>
    <mergeCell ref="B270:C272"/>
    <mergeCell ref="D270:I272"/>
    <mergeCell ref="J270:K272"/>
    <mergeCell ref="L270:M272"/>
    <mergeCell ref="N270:O272"/>
    <mergeCell ref="P270:Q272"/>
    <mergeCell ref="S267:T269"/>
    <mergeCell ref="U267:Z269"/>
    <mergeCell ref="AA267:AB269"/>
    <mergeCell ref="AC267:AD269"/>
    <mergeCell ref="AE267:AF269"/>
    <mergeCell ref="AG267:AH269"/>
    <mergeCell ref="B267:C269"/>
    <mergeCell ref="D267:I269"/>
    <mergeCell ref="J267:K269"/>
    <mergeCell ref="L267:M269"/>
    <mergeCell ref="N267:O269"/>
    <mergeCell ref="P267:Q269"/>
    <mergeCell ref="S264:T266"/>
    <mergeCell ref="U264:Z266"/>
    <mergeCell ref="AA264:AB266"/>
    <mergeCell ref="AC264:AD266"/>
    <mergeCell ref="AE264:AF266"/>
    <mergeCell ref="AG264:AH266"/>
    <mergeCell ref="B264:C266"/>
    <mergeCell ref="D264:I266"/>
    <mergeCell ref="J264:K266"/>
    <mergeCell ref="L264:M266"/>
    <mergeCell ref="N264:O266"/>
    <mergeCell ref="P264:Q266"/>
    <mergeCell ref="S261:T263"/>
    <mergeCell ref="U261:Z263"/>
    <mergeCell ref="AA261:AB263"/>
    <mergeCell ref="AC261:AD263"/>
    <mergeCell ref="AE261:AF263"/>
    <mergeCell ref="AG261:AH263"/>
    <mergeCell ref="B261:C263"/>
    <mergeCell ref="D261:I263"/>
    <mergeCell ref="J261:K263"/>
    <mergeCell ref="L261:M263"/>
    <mergeCell ref="N261:O263"/>
    <mergeCell ref="P261:Q263"/>
    <mergeCell ref="S258:T260"/>
    <mergeCell ref="U258:Z260"/>
    <mergeCell ref="AA258:AB260"/>
    <mergeCell ref="AC258:AD260"/>
    <mergeCell ref="AE258:AF260"/>
    <mergeCell ref="AG258:AH260"/>
    <mergeCell ref="B258:C260"/>
    <mergeCell ref="D258:I260"/>
    <mergeCell ref="J258:K260"/>
    <mergeCell ref="L258:M260"/>
    <mergeCell ref="N258:O260"/>
    <mergeCell ref="P258:Q260"/>
    <mergeCell ref="S255:T257"/>
    <mergeCell ref="U255:Z257"/>
    <mergeCell ref="AA255:AB257"/>
    <mergeCell ref="AC255:AD257"/>
    <mergeCell ref="AE255:AF257"/>
    <mergeCell ref="AG255:AH257"/>
    <mergeCell ref="B255:C257"/>
    <mergeCell ref="D255:I257"/>
    <mergeCell ref="J255:K257"/>
    <mergeCell ref="L255:M257"/>
    <mergeCell ref="N255:O257"/>
    <mergeCell ref="P255:Q257"/>
    <mergeCell ref="S252:T254"/>
    <mergeCell ref="U252:Z254"/>
    <mergeCell ref="AA252:AB254"/>
    <mergeCell ref="AC252:AD254"/>
    <mergeCell ref="AE252:AF254"/>
    <mergeCell ref="AG252:AH254"/>
    <mergeCell ref="B252:C254"/>
    <mergeCell ref="D252:I254"/>
    <mergeCell ref="J252:K254"/>
    <mergeCell ref="L252:M254"/>
    <mergeCell ref="N252:O254"/>
    <mergeCell ref="P252:Q254"/>
    <mergeCell ref="S249:T251"/>
    <mergeCell ref="U249:Z251"/>
    <mergeCell ref="AA249:AB251"/>
    <mergeCell ref="AC249:AD251"/>
    <mergeCell ref="AE249:AF251"/>
    <mergeCell ref="AG249:AH251"/>
    <mergeCell ref="B249:C251"/>
    <mergeCell ref="D249:I251"/>
    <mergeCell ref="J249:K251"/>
    <mergeCell ref="L249:M251"/>
    <mergeCell ref="N249:O251"/>
    <mergeCell ref="P249:Q251"/>
    <mergeCell ref="S246:T248"/>
    <mergeCell ref="U246:Z248"/>
    <mergeCell ref="AA246:AB248"/>
    <mergeCell ref="AC246:AD248"/>
    <mergeCell ref="AE246:AF248"/>
    <mergeCell ref="AG246:AH248"/>
    <mergeCell ref="B246:C248"/>
    <mergeCell ref="D246:I248"/>
    <mergeCell ref="J246:K248"/>
    <mergeCell ref="L246:M248"/>
    <mergeCell ref="N246:O248"/>
    <mergeCell ref="P246:Q248"/>
    <mergeCell ref="S243:T245"/>
    <mergeCell ref="U243:Z245"/>
    <mergeCell ref="AA243:AB245"/>
    <mergeCell ref="AC243:AD245"/>
    <mergeCell ref="AE243:AF245"/>
    <mergeCell ref="AG243:AH245"/>
    <mergeCell ref="B243:C245"/>
    <mergeCell ref="D243:I245"/>
    <mergeCell ref="J243:K245"/>
    <mergeCell ref="L243:M245"/>
    <mergeCell ref="N243:O245"/>
    <mergeCell ref="P243:Q245"/>
    <mergeCell ref="S240:T242"/>
    <mergeCell ref="U240:Z242"/>
    <mergeCell ref="AA240:AB242"/>
    <mergeCell ref="AC240:AD242"/>
    <mergeCell ref="AE240:AF242"/>
    <mergeCell ref="AG240:AH242"/>
    <mergeCell ref="B240:C242"/>
    <mergeCell ref="D240:I242"/>
    <mergeCell ref="J240:K242"/>
    <mergeCell ref="L240:M242"/>
    <mergeCell ref="N240:O242"/>
    <mergeCell ref="P240:Q242"/>
    <mergeCell ref="S237:T239"/>
    <mergeCell ref="U237:Z239"/>
    <mergeCell ref="AA237:AB239"/>
    <mergeCell ref="AC237:AD239"/>
    <mergeCell ref="AE237:AF239"/>
    <mergeCell ref="AG237:AH239"/>
    <mergeCell ref="B237:C239"/>
    <mergeCell ref="D237:I239"/>
    <mergeCell ref="J237:K239"/>
    <mergeCell ref="L237:M239"/>
    <mergeCell ref="N237:O239"/>
    <mergeCell ref="P237:Q239"/>
    <mergeCell ref="S234:T236"/>
    <mergeCell ref="U234:Z236"/>
    <mergeCell ref="AA234:AB236"/>
    <mergeCell ref="AC234:AD236"/>
    <mergeCell ref="AE234:AF236"/>
    <mergeCell ref="AG234:AH236"/>
    <mergeCell ref="B234:C236"/>
    <mergeCell ref="D234:I236"/>
    <mergeCell ref="J234:K236"/>
    <mergeCell ref="L234:M236"/>
    <mergeCell ref="N234:O236"/>
    <mergeCell ref="P234:Q236"/>
    <mergeCell ref="S231:T233"/>
    <mergeCell ref="U231:Z233"/>
    <mergeCell ref="AA231:AB233"/>
    <mergeCell ref="AC231:AD233"/>
    <mergeCell ref="AE231:AF233"/>
    <mergeCell ref="AG231:AH233"/>
    <mergeCell ref="B231:C233"/>
    <mergeCell ref="D231:I233"/>
    <mergeCell ref="J231:K233"/>
    <mergeCell ref="L231:M233"/>
    <mergeCell ref="N231:O233"/>
    <mergeCell ref="P231:Q233"/>
    <mergeCell ref="S228:T230"/>
    <mergeCell ref="U228:Z230"/>
    <mergeCell ref="AA228:AB230"/>
    <mergeCell ref="AC228:AD230"/>
    <mergeCell ref="AE228:AF230"/>
    <mergeCell ref="AG228:AH230"/>
    <mergeCell ref="B228:C230"/>
    <mergeCell ref="D228:I230"/>
    <mergeCell ref="J228:K230"/>
    <mergeCell ref="L228:M230"/>
    <mergeCell ref="N228:O230"/>
    <mergeCell ref="P228:Q230"/>
    <mergeCell ref="S225:T227"/>
    <mergeCell ref="U225:Z227"/>
    <mergeCell ref="AA225:AB227"/>
    <mergeCell ref="AC225:AD227"/>
    <mergeCell ref="AE225:AF227"/>
    <mergeCell ref="AG225:AH227"/>
    <mergeCell ref="B225:C227"/>
    <mergeCell ref="D225:I227"/>
    <mergeCell ref="J225:K227"/>
    <mergeCell ref="L225:M227"/>
    <mergeCell ref="N225:O227"/>
    <mergeCell ref="P225:Q227"/>
    <mergeCell ref="S222:T224"/>
    <mergeCell ref="U222:Z224"/>
    <mergeCell ref="AA222:AB224"/>
    <mergeCell ref="AC222:AD224"/>
    <mergeCell ref="AE222:AF224"/>
    <mergeCell ref="AG222:AH224"/>
    <mergeCell ref="B222:C224"/>
    <mergeCell ref="D222:I224"/>
    <mergeCell ref="J222:K224"/>
    <mergeCell ref="L222:M224"/>
    <mergeCell ref="N222:O224"/>
    <mergeCell ref="P222:Q224"/>
    <mergeCell ref="S219:T221"/>
    <mergeCell ref="U219:Z221"/>
    <mergeCell ref="AA219:AB221"/>
    <mergeCell ref="AC219:AD221"/>
    <mergeCell ref="AE219:AF221"/>
    <mergeCell ref="AG219:AH221"/>
    <mergeCell ref="B219:C221"/>
    <mergeCell ref="D219:I221"/>
    <mergeCell ref="J219:K221"/>
    <mergeCell ref="L219:M221"/>
    <mergeCell ref="N219:O221"/>
    <mergeCell ref="P219:Q221"/>
    <mergeCell ref="S216:T218"/>
    <mergeCell ref="U216:Z218"/>
    <mergeCell ref="AA216:AB218"/>
    <mergeCell ref="AC216:AD218"/>
    <mergeCell ref="AE216:AF218"/>
    <mergeCell ref="AG216:AH218"/>
    <mergeCell ref="B216:C218"/>
    <mergeCell ref="D216:I218"/>
    <mergeCell ref="J216:K218"/>
    <mergeCell ref="L216:M218"/>
    <mergeCell ref="N216:O218"/>
    <mergeCell ref="P216:Q218"/>
    <mergeCell ref="S213:T215"/>
    <mergeCell ref="U213:Z215"/>
    <mergeCell ref="AA213:AB215"/>
    <mergeCell ref="AC213:AD215"/>
    <mergeCell ref="AE213:AF215"/>
    <mergeCell ref="AG213:AH215"/>
    <mergeCell ref="B213:C215"/>
    <mergeCell ref="D213:I215"/>
    <mergeCell ref="J213:K215"/>
    <mergeCell ref="L213:M215"/>
    <mergeCell ref="N213:O215"/>
    <mergeCell ref="P213:Q215"/>
    <mergeCell ref="S210:T212"/>
    <mergeCell ref="U210:Z212"/>
    <mergeCell ref="AA210:AB212"/>
    <mergeCell ref="AC210:AD212"/>
    <mergeCell ref="AE210:AF212"/>
    <mergeCell ref="AG210:AH212"/>
    <mergeCell ref="B210:C212"/>
    <mergeCell ref="D210:I212"/>
    <mergeCell ref="J210:K212"/>
    <mergeCell ref="L210:M212"/>
    <mergeCell ref="N210:O212"/>
    <mergeCell ref="P210:Q212"/>
    <mergeCell ref="S207:T209"/>
    <mergeCell ref="U207:Z209"/>
    <mergeCell ref="AA207:AB209"/>
    <mergeCell ref="AC207:AD209"/>
    <mergeCell ref="AE207:AF209"/>
    <mergeCell ref="AG207:AH209"/>
    <mergeCell ref="B207:C209"/>
    <mergeCell ref="D207:I209"/>
    <mergeCell ref="J207:K209"/>
    <mergeCell ref="L207:M209"/>
    <mergeCell ref="N207:O209"/>
    <mergeCell ref="P207:Q209"/>
    <mergeCell ref="S204:T206"/>
    <mergeCell ref="U204:Z206"/>
    <mergeCell ref="AA204:AB206"/>
    <mergeCell ref="AC204:AD206"/>
    <mergeCell ref="AE204:AF206"/>
    <mergeCell ref="AG204:AH206"/>
    <mergeCell ref="B204:C206"/>
    <mergeCell ref="D204:I206"/>
    <mergeCell ref="J204:K206"/>
    <mergeCell ref="L204:M206"/>
    <mergeCell ref="N204:O206"/>
    <mergeCell ref="P204:Q206"/>
    <mergeCell ref="S201:T203"/>
    <mergeCell ref="U201:Z203"/>
    <mergeCell ref="AA201:AB203"/>
    <mergeCell ref="AC201:AD203"/>
    <mergeCell ref="AE201:AF203"/>
    <mergeCell ref="AG201:AH203"/>
    <mergeCell ref="B201:C203"/>
    <mergeCell ref="D201:I203"/>
    <mergeCell ref="J201:K203"/>
    <mergeCell ref="L201:M203"/>
    <mergeCell ref="N201:O203"/>
    <mergeCell ref="P201:Q203"/>
    <mergeCell ref="S198:T200"/>
    <mergeCell ref="U198:Z200"/>
    <mergeCell ref="AA198:AB200"/>
    <mergeCell ref="AC198:AD200"/>
    <mergeCell ref="AE198:AF200"/>
    <mergeCell ref="AG198:AH200"/>
    <mergeCell ref="B198:C200"/>
    <mergeCell ref="D198:I200"/>
    <mergeCell ref="J198:K200"/>
    <mergeCell ref="L198:M200"/>
    <mergeCell ref="N198:O200"/>
    <mergeCell ref="P198:Q200"/>
    <mergeCell ref="S195:T197"/>
    <mergeCell ref="U195:Z197"/>
    <mergeCell ref="AA195:AB197"/>
    <mergeCell ref="AC195:AD197"/>
    <mergeCell ref="AE195:AF197"/>
    <mergeCell ref="AG195:AH197"/>
    <mergeCell ref="B195:C197"/>
    <mergeCell ref="D195:I197"/>
    <mergeCell ref="J195:K197"/>
    <mergeCell ref="L195:M197"/>
    <mergeCell ref="N195:O197"/>
    <mergeCell ref="P195:Q197"/>
    <mergeCell ref="S192:T194"/>
    <mergeCell ref="U192:Z194"/>
    <mergeCell ref="AA192:AB194"/>
    <mergeCell ref="AC192:AD194"/>
    <mergeCell ref="AE192:AF194"/>
    <mergeCell ref="AG192:AH194"/>
    <mergeCell ref="B192:C194"/>
    <mergeCell ref="D192:I194"/>
    <mergeCell ref="J192:K194"/>
    <mergeCell ref="L192:M194"/>
    <mergeCell ref="N192:O194"/>
    <mergeCell ref="P192:Q194"/>
    <mergeCell ref="S189:T191"/>
    <mergeCell ref="U189:Z191"/>
    <mergeCell ref="AA189:AB191"/>
    <mergeCell ref="AC189:AD191"/>
    <mergeCell ref="AE189:AF191"/>
    <mergeCell ref="AG189:AH191"/>
    <mergeCell ref="B189:C191"/>
    <mergeCell ref="D189:I191"/>
    <mergeCell ref="J189:K191"/>
    <mergeCell ref="L189:M191"/>
    <mergeCell ref="N189:O191"/>
    <mergeCell ref="P189:Q191"/>
    <mergeCell ref="S186:T188"/>
    <mergeCell ref="U186:Z188"/>
    <mergeCell ref="AA186:AB188"/>
    <mergeCell ref="AC186:AD188"/>
    <mergeCell ref="AE186:AF188"/>
    <mergeCell ref="AG186:AH188"/>
    <mergeCell ref="B186:C188"/>
    <mergeCell ref="D186:I188"/>
    <mergeCell ref="J186:K188"/>
    <mergeCell ref="L186:M188"/>
    <mergeCell ref="N186:O188"/>
    <mergeCell ref="P186:Q188"/>
    <mergeCell ref="S183:T185"/>
    <mergeCell ref="U183:Z185"/>
    <mergeCell ref="AA183:AB185"/>
    <mergeCell ref="AC183:AD185"/>
    <mergeCell ref="AE183:AF185"/>
    <mergeCell ref="AG183:AH185"/>
    <mergeCell ref="B183:C185"/>
    <mergeCell ref="D183:I185"/>
    <mergeCell ref="J183:K185"/>
    <mergeCell ref="L183:M185"/>
    <mergeCell ref="N183:O185"/>
    <mergeCell ref="P183:Q185"/>
    <mergeCell ref="S180:T182"/>
    <mergeCell ref="U180:Z182"/>
    <mergeCell ref="AA180:AB182"/>
    <mergeCell ref="AC180:AD182"/>
    <mergeCell ref="AE180:AF182"/>
    <mergeCell ref="AG180:AH182"/>
    <mergeCell ref="B180:C182"/>
    <mergeCell ref="D180:I182"/>
    <mergeCell ref="J180:K182"/>
    <mergeCell ref="L180:M182"/>
    <mergeCell ref="N180:O182"/>
    <mergeCell ref="P180:Q182"/>
    <mergeCell ref="S177:T179"/>
    <mergeCell ref="U177:Z179"/>
    <mergeCell ref="AA177:AB179"/>
    <mergeCell ref="AC177:AD179"/>
    <mergeCell ref="AE177:AF179"/>
    <mergeCell ref="AG177:AH179"/>
    <mergeCell ref="B177:C179"/>
    <mergeCell ref="D177:I179"/>
    <mergeCell ref="J177:K179"/>
    <mergeCell ref="L177:M179"/>
    <mergeCell ref="N177:O179"/>
    <mergeCell ref="P177:Q179"/>
    <mergeCell ref="S174:T176"/>
    <mergeCell ref="U174:Z176"/>
    <mergeCell ref="AA174:AB176"/>
    <mergeCell ref="AC174:AD176"/>
    <mergeCell ref="AE174:AF176"/>
    <mergeCell ref="AG174:AH176"/>
    <mergeCell ref="B174:C176"/>
    <mergeCell ref="D174:I176"/>
    <mergeCell ref="J174:K176"/>
    <mergeCell ref="L174:M176"/>
    <mergeCell ref="N174:O176"/>
    <mergeCell ref="P174:Q176"/>
    <mergeCell ref="S171:T173"/>
    <mergeCell ref="U171:Z173"/>
    <mergeCell ref="AA171:AB173"/>
    <mergeCell ref="AC171:AD173"/>
    <mergeCell ref="AE171:AF173"/>
    <mergeCell ref="AG171:AH173"/>
    <mergeCell ref="B171:C173"/>
    <mergeCell ref="D171:I173"/>
    <mergeCell ref="J171:K173"/>
    <mergeCell ref="L171:M173"/>
    <mergeCell ref="N171:O173"/>
    <mergeCell ref="P171:Q173"/>
    <mergeCell ref="S168:T170"/>
    <mergeCell ref="U168:Z170"/>
    <mergeCell ref="AA168:AB170"/>
    <mergeCell ref="AC168:AD170"/>
    <mergeCell ref="AE168:AF170"/>
    <mergeCell ref="AG168:AH170"/>
    <mergeCell ref="B168:C170"/>
    <mergeCell ref="D168:I170"/>
    <mergeCell ref="J168:K170"/>
    <mergeCell ref="L168:M170"/>
    <mergeCell ref="N168:O170"/>
    <mergeCell ref="P168:Q170"/>
    <mergeCell ref="S165:T167"/>
    <mergeCell ref="U165:Z167"/>
    <mergeCell ref="AA165:AB167"/>
    <mergeCell ref="AC165:AD167"/>
    <mergeCell ref="AE165:AF167"/>
    <mergeCell ref="AG165:AH167"/>
    <mergeCell ref="B165:C167"/>
    <mergeCell ref="D165:I167"/>
    <mergeCell ref="J165:K167"/>
    <mergeCell ref="L165:M167"/>
    <mergeCell ref="N165:O167"/>
    <mergeCell ref="P165:Q167"/>
    <mergeCell ref="S162:T164"/>
    <mergeCell ref="U162:Z164"/>
    <mergeCell ref="AA162:AB164"/>
    <mergeCell ref="AC162:AD164"/>
    <mergeCell ref="AE162:AF164"/>
    <mergeCell ref="AG162:AH164"/>
    <mergeCell ref="B162:C164"/>
    <mergeCell ref="D162:I164"/>
    <mergeCell ref="J162:K164"/>
    <mergeCell ref="L162:M164"/>
    <mergeCell ref="N162:O164"/>
    <mergeCell ref="P162:Q164"/>
    <mergeCell ref="S159:T161"/>
    <mergeCell ref="U159:Z161"/>
    <mergeCell ref="AA159:AB161"/>
    <mergeCell ref="AC159:AD161"/>
    <mergeCell ref="AE159:AF161"/>
    <mergeCell ref="AG159:AH161"/>
    <mergeCell ref="B159:C161"/>
    <mergeCell ref="D159:I161"/>
    <mergeCell ref="J159:K161"/>
    <mergeCell ref="L159:M161"/>
    <mergeCell ref="N159:O161"/>
    <mergeCell ref="P159:Q161"/>
    <mergeCell ref="S156:T158"/>
    <mergeCell ref="U156:Z158"/>
    <mergeCell ref="AA156:AB158"/>
    <mergeCell ref="AC156:AD158"/>
    <mergeCell ref="AE156:AF158"/>
    <mergeCell ref="AG156:AH158"/>
    <mergeCell ref="B156:C158"/>
    <mergeCell ref="D156:I158"/>
    <mergeCell ref="J156:K158"/>
    <mergeCell ref="L156:M158"/>
    <mergeCell ref="N156:O158"/>
    <mergeCell ref="P156:Q158"/>
    <mergeCell ref="S153:T155"/>
    <mergeCell ref="U153:Z155"/>
    <mergeCell ref="AA153:AB155"/>
    <mergeCell ref="AC153:AD155"/>
    <mergeCell ref="AE153:AF155"/>
    <mergeCell ref="AG153:AH155"/>
    <mergeCell ref="B153:C155"/>
    <mergeCell ref="D153:I155"/>
    <mergeCell ref="J153:K155"/>
    <mergeCell ref="L153:M155"/>
    <mergeCell ref="N153:O155"/>
    <mergeCell ref="P153:Q155"/>
    <mergeCell ref="S150:T152"/>
    <mergeCell ref="U150:Z152"/>
    <mergeCell ref="AA150:AB152"/>
    <mergeCell ref="AC150:AD152"/>
    <mergeCell ref="AE150:AF152"/>
    <mergeCell ref="AG150:AH152"/>
    <mergeCell ref="B150:C152"/>
    <mergeCell ref="D150:I152"/>
    <mergeCell ref="J150:K152"/>
    <mergeCell ref="L150:M152"/>
    <mergeCell ref="N150:O152"/>
    <mergeCell ref="P150:Q152"/>
    <mergeCell ref="S147:T149"/>
    <mergeCell ref="U147:Z149"/>
    <mergeCell ref="AA147:AB149"/>
    <mergeCell ref="AC147:AD149"/>
    <mergeCell ref="AE147:AF149"/>
    <mergeCell ref="AG147:AH149"/>
    <mergeCell ref="B147:C149"/>
    <mergeCell ref="D147:I149"/>
    <mergeCell ref="J147:K149"/>
    <mergeCell ref="L147:M149"/>
    <mergeCell ref="N147:O149"/>
    <mergeCell ref="P147:Q149"/>
    <mergeCell ref="S144:T146"/>
    <mergeCell ref="U144:Z146"/>
    <mergeCell ref="AA144:AB146"/>
    <mergeCell ref="AC144:AD146"/>
    <mergeCell ref="AE144:AF146"/>
    <mergeCell ref="AG144:AH146"/>
    <mergeCell ref="B144:C146"/>
    <mergeCell ref="D144:I146"/>
    <mergeCell ref="J144:K146"/>
    <mergeCell ref="L144:M146"/>
    <mergeCell ref="N144:O146"/>
    <mergeCell ref="P144:Q146"/>
    <mergeCell ref="S141:T143"/>
    <mergeCell ref="U141:Z143"/>
    <mergeCell ref="AA141:AB143"/>
    <mergeCell ref="AC141:AD143"/>
    <mergeCell ref="AE141:AF143"/>
    <mergeCell ref="AG141:AH143"/>
    <mergeCell ref="B141:C143"/>
    <mergeCell ref="D141:I143"/>
    <mergeCell ref="J141:K143"/>
    <mergeCell ref="L141:M143"/>
    <mergeCell ref="N141:O143"/>
    <mergeCell ref="P141:Q143"/>
    <mergeCell ref="S138:T140"/>
    <mergeCell ref="U138:Z140"/>
    <mergeCell ref="AA138:AB140"/>
    <mergeCell ref="AC138:AD140"/>
    <mergeCell ref="AE138:AF140"/>
    <mergeCell ref="AG138:AH140"/>
    <mergeCell ref="B138:C140"/>
    <mergeCell ref="D138:I140"/>
    <mergeCell ref="J138:K140"/>
    <mergeCell ref="L138:M140"/>
    <mergeCell ref="N138:O140"/>
    <mergeCell ref="P138:Q140"/>
    <mergeCell ref="S135:T137"/>
    <mergeCell ref="U135:Z137"/>
    <mergeCell ref="AA135:AB137"/>
    <mergeCell ref="AC135:AD137"/>
    <mergeCell ref="AE135:AF137"/>
    <mergeCell ref="AG135:AH137"/>
    <mergeCell ref="B135:C137"/>
    <mergeCell ref="D135:I137"/>
    <mergeCell ref="J135:K137"/>
    <mergeCell ref="L135:M137"/>
    <mergeCell ref="N135:O137"/>
    <mergeCell ref="P135:Q137"/>
    <mergeCell ref="S132:T134"/>
    <mergeCell ref="U132:Z134"/>
    <mergeCell ref="AA132:AB134"/>
    <mergeCell ref="AC132:AD134"/>
    <mergeCell ref="AE132:AF134"/>
    <mergeCell ref="AG132:AH134"/>
    <mergeCell ref="B132:C134"/>
    <mergeCell ref="D132:I134"/>
    <mergeCell ref="J132:K134"/>
    <mergeCell ref="L132:M134"/>
    <mergeCell ref="N132:O134"/>
    <mergeCell ref="P132:Q134"/>
    <mergeCell ref="S129:T131"/>
    <mergeCell ref="U129:Z131"/>
    <mergeCell ref="AA129:AB131"/>
    <mergeCell ref="AC129:AD131"/>
    <mergeCell ref="AE129:AF131"/>
    <mergeCell ref="AG129:AH131"/>
    <mergeCell ref="B129:C131"/>
    <mergeCell ref="D129:I131"/>
    <mergeCell ref="J129:K131"/>
    <mergeCell ref="L129:M131"/>
    <mergeCell ref="N129:O131"/>
    <mergeCell ref="P129:Q131"/>
    <mergeCell ref="S126:T128"/>
    <mergeCell ref="U126:Z128"/>
    <mergeCell ref="AA126:AB128"/>
    <mergeCell ref="AC126:AD128"/>
    <mergeCell ref="AE126:AF128"/>
    <mergeCell ref="AG126:AH128"/>
    <mergeCell ref="B126:C128"/>
    <mergeCell ref="D126:I128"/>
    <mergeCell ref="J126:K128"/>
    <mergeCell ref="L126:M128"/>
    <mergeCell ref="N126:O128"/>
    <mergeCell ref="P126:Q128"/>
    <mergeCell ref="S123:T125"/>
    <mergeCell ref="U123:Z125"/>
    <mergeCell ref="AA123:AB125"/>
    <mergeCell ref="AC123:AD125"/>
    <mergeCell ref="AE123:AF125"/>
    <mergeCell ref="AG123:AH125"/>
    <mergeCell ref="B123:C125"/>
    <mergeCell ref="D123:I125"/>
    <mergeCell ref="J123:K125"/>
    <mergeCell ref="L123:M125"/>
    <mergeCell ref="N123:O125"/>
    <mergeCell ref="P123:Q125"/>
    <mergeCell ref="S120:T122"/>
    <mergeCell ref="U120:Z122"/>
    <mergeCell ref="AA120:AB122"/>
    <mergeCell ref="AC120:AD122"/>
    <mergeCell ref="AE120:AF122"/>
    <mergeCell ref="AG120:AH122"/>
    <mergeCell ref="B120:C122"/>
    <mergeCell ref="D120:I122"/>
    <mergeCell ref="J120:K122"/>
    <mergeCell ref="L120:M122"/>
    <mergeCell ref="N120:O122"/>
    <mergeCell ref="P120:Q122"/>
    <mergeCell ref="S117:T119"/>
    <mergeCell ref="U117:Z119"/>
    <mergeCell ref="AA117:AB119"/>
    <mergeCell ref="AC117:AD119"/>
    <mergeCell ref="AE117:AF119"/>
    <mergeCell ref="AG117:AH119"/>
    <mergeCell ref="B117:C119"/>
    <mergeCell ref="D117:I119"/>
    <mergeCell ref="J117:K119"/>
    <mergeCell ref="L117:M119"/>
    <mergeCell ref="N117:O119"/>
    <mergeCell ref="P117:Q119"/>
    <mergeCell ref="S114:T116"/>
    <mergeCell ref="U114:Z116"/>
    <mergeCell ref="AA114:AB116"/>
    <mergeCell ref="AC114:AD116"/>
    <mergeCell ref="AE114:AF116"/>
    <mergeCell ref="AG114:AH116"/>
    <mergeCell ref="B114:C116"/>
    <mergeCell ref="D114:I116"/>
    <mergeCell ref="J114:K116"/>
    <mergeCell ref="L114:M116"/>
    <mergeCell ref="N114:O116"/>
    <mergeCell ref="P114:Q116"/>
    <mergeCell ref="S111:T113"/>
    <mergeCell ref="U111:Z113"/>
    <mergeCell ref="AA111:AB113"/>
    <mergeCell ref="AC111:AD113"/>
    <mergeCell ref="AE111:AF113"/>
    <mergeCell ref="AG111:AH113"/>
    <mergeCell ref="B111:C113"/>
    <mergeCell ref="D111:I113"/>
    <mergeCell ref="J111:K113"/>
    <mergeCell ref="L111:M113"/>
    <mergeCell ref="N111:O113"/>
    <mergeCell ref="P111:Q113"/>
    <mergeCell ref="S108:T110"/>
    <mergeCell ref="U108:Z110"/>
    <mergeCell ref="AA108:AB110"/>
    <mergeCell ref="AC108:AD110"/>
    <mergeCell ref="AE108:AF110"/>
    <mergeCell ref="AG108:AH110"/>
    <mergeCell ref="B108:C110"/>
    <mergeCell ref="D108:I110"/>
    <mergeCell ref="J108:K110"/>
    <mergeCell ref="L108:M110"/>
    <mergeCell ref="N108:O110"/>
    <mergeCell ref="P108:Q110"/>
    <mergeCell ref="S105:T107"/>
    <mergeCell ref="U105:Z107"/>
    <mergeCell ref="AA105:AB107"/>
    <mergeCell ref="AC105:AD107"/>
    <mergeCell ref="AE105:AF107"/>
    <mergeCell ref="AG105:AH107"/>
    <mergeCell ref="B105:C107"/>
    <mergeCell ref="D105:I107"/>
    <mergeCell ref="J105:K107"/>
    <mergeCell ref="L105:M107"/>
    <mergeCell ref="N105:O107"/>
    <mergeCell ref="P105:Q107"/>
    <mergeCell ref="S102:T104"/>
    <mergeCell ref="U102:Z104"/>
    <mergeCell ref="AA102:AB104"/>
    <mergeCell ref="AC102:AD104"/>
    <mergeCell ref="AE102:AF104"/>
    <mergeCell ref="AG102:AH104"/>
    <mergeCell ref="B102:C104"/>
    <mergeCell ref="D102:I104"/>
    <mergeCell ref="J102:K104"/>
    <mergeCell ref="L102:M104"/>
    <mergeCell ref="N102:O104"/>
    <mergeCell ref="P102:Q104"/>
    <mergeCell ref="S99:T101"/>
    <mergeCell ref="U99:Z101"/>
    <mergeCell ref="AA99:AB101"/>
    <mergeCell ref="AC99:AD101"/>
    <mergeCell ref="AE99:AF101"/>
    <mergeCell ref="AG99:AH101"/>
    <mergeCell ref="B99:C101"/>
    <mergeCell ref="D99:I101"/>
    <mergeCell ref="J99:K101"/>
    <mergeCell ref="L99:M101"/>
    <mergeCell ref="N99:O101"/>
    <mergeCell ref="P99:Q101"/>
    <mergeCell ref="S96:T98"/>
    <mergeCell ref="U96:Z98"/>
    <mergeCell ref="AA96:AB98"/>
    <mergeCell ref="AC96:AD98"/>
    <mergeCell ref="AE96:AF98"/>
    <mergeCell ref="AG96:AH98"/>
    <mergeCell ref="B96:C98"/>
    <mergeCell ref="D96:I98"/>
    <mergeCell ref="J96:K98"/>
    <mergeCell ref="L96:M98"/>
    <mergeCell ref="N96:O98"/>
    <mergeCell ref="P96:Q98"/>
    <mergeCell ref="S93:T95"/>
    <mergeCell ref="U93:Z95"/>
    <mergeCell ref="AA93:AB95"/>
    <mergeCell ref="AC93:AD95"/>
    <mergeCell ref="AE93:AF95"/>
    <mergeCell ref="AG93:AH95"/>
    <mergeCell ref="B93:C95"/>
    <mergeCell ref="D93:I95"/>
    <mergeCell ref="J93:K95"/>
    <mergeCell ref="L93:M95"/>
    <mergeCell ref="N93:O95"/>
    <mergeCell ref="P93:Q95"/>
    <mergeCell ref="S90:T92"/>
    <mergeCell ref="U90:Z92"/>
    <mergeCell ref="AA90:AB92"/>
    <mergeCell ref="AC90:AD92"/>
    <mergeCell ref="AE90:AF92"/>
    <mergeCell ref="AG90:AH92"/>
    <mergeCell ref="B90:C92"/>
    <mergeCell ref="D90:I92"/>
    <mergeCell ref="J90:K92"/>
    <mergeCell ref="L90:M92"/>
    <mergeCell ref="N90:O92"/>
    <mergeCell ref="P90:Q92"/>
    <mergeCell ref="S87:T89"/>
    <mergeCell ref="U87:Z89"/>
    <mergeCell ref="AA87:AB89"/>
    <mergeCell ref="AC87:AD89"/>
    <mergeCell ref="AE87:AF89"/>
    <mergeCell ref="AG87:AH89"/>
    <mergeCell ref="B87:C89"/>
    <mergeCell ref="D87:I89"/>
    <mergeCell ref="J87:K89"/>
    <mergeCell ref="L87:M89"/>
    <mergeCell ref="N87:O89"/>
    <mergeCell ref="P87:Q89"/>
    <mergeCell ref="S84:T86"/>
    <mergeCell ref="U84:Z86"/>
    <mergeCell ref="AA84:AB86"/>
    <mergeCell ref="AC84:AD86"/>
    <mergeCell ref="AE84:AF86"/>
    <mergeCell ref="AG84:AH86"/>
    <mergeCell ref="B84:C86"/>
    <mergeCell ref="D84:I86"/>
    <mergeCell ref="J84:K86"/>
    <mergeCell ref="L84:M86"/>
    <mergeCell ref="N84:O86"/>
    <mergeCell ref="P84:Q86"/>
    <mergeCell ref="S81:T83"/>
    <mergeCell ref="U81:Z83"/>
    <mergeCell ref="AA81:AB83"/>
    <mergeCell ref="AC81:AD83"/>
    <mergeCell ref="AE81:AF83"/>
    <mergeCell ref="AG81:AH83"/>
    <mergeCell ref="B81:C83"/>
    <mergeCell ref="D81:I83"/>
    <mergeCell ref="J81:K83"/>
    <mergeCell ref="L81:M83"/>
    <mergeCell ref="N81:O83"/>
    <mergeCell ref="P81:Q83"/>
    <mergeCell ref="S78:T80"/>
    <mergeCell ref="U78:Z80"/>
    <mergeCell ref="AA78:AB80"/>
    <mergeCell ref="AC78:AD80"/>
    <mergeCell ref="AE78:AF80"/>
    <mergeCell ref="AG78:AH80"/>
    <mergeCell ref="B78:C80"/>
    <mergeCell ref="D78:I80"/>
    <mergeCell ref="J78:K80"/>
    <mergeCell ref="L78:M80"/>
    <mergeCell ref="N78:O80"/>
    <mergeCell ref="P78:Q80"/>
    <mergeCell ref="S75:T77"/>
    <mergeCell ref="U75:Z77"/>
    <mergeCell ref="AA75:AB77"/>
    <mergeCell ref="AC75:AD77"/>
    <mergeCell ref="AE75:AF77"/>
    <mergeCell ref="AG75:AH77"/>
    <mergeCell ref="B75:C77"/>
    <mergeCell ref="D75:I77"/>
    <mergeCell ref="J75:K77"/>
    <mergeCell ref="L75:M77"/>
    <mergeCell ref="N75:O77"/>
    <mergeCell ref="P75:Q77"/>
    <mergeCell ref="S72:T74"/>
    <mergeCell ref="U72:Z74"/>
    <mergeCell ref="AA72:AB74"/>
    <mergeCell ref="AC72:AD74"/>
    <mergeCell ref="AE72:AF74"/>
    <mergeCell ref="AG72:AH74"/>
    <mergeCell ref="B72:C74"/>
    <mergeCell ref="D72:I74"/>
    <mergeCell ref="J72:K74"/>
    <mergeCell ref="L72:M74"/>
    <mergeCell ref="N72:O74"/>
    <mergeCell ref="P72:Q74"/>
    <mergeCell ref="S69:T71"/>
    <mergeCell ref="U69:Z71"/>
    <mergeCell ref="AA69:AB71"/>
    <mergeCell ref="AC69:AD71"/>
    <mergeCell ref="AE69:AF71"/>
    <mergeCell ref="AG69:AH71"/>
    <mergeCell ref="B69:C71"/>
    <mergeCell ref="D69:I71"/>
    <mergeCell ref="J69:K71"/>
    <mergeCell ref="L69:M71"/>
    <mergeCell ref="N69:O71"/>
    <mergeCell ref="P69:Q71"/>
    <mergeCell ref="S66:T68"/>
    <mergeCell ref="U66:Z68"/>
    <mergeCell ref="AA66:AB68"/>
    <mergeCell ref="AC66:AD68"/>
    <mergeCell ref="AE66:AF68"/>
    <mergeCell ref="AG66:AH68"/>
    <mergeCell ref="B66:C68"/>
    <mergeCell ref="D66:I68"/>
    <mergeCell ref="J66:K68"/>
    <mergeCell ref="L66:M68"/>
    <mergeCell ref="N66:O68"/>
    <mergeCell ref="P66:Q68"/>
    <mergeCell ref="S63:T65"/>
    <mergeCell ref="U63:Z65"/>
    <mergeCell ref="AA63:AB65"/>
    <mergeCell ref="AC63:AD65"/>
    <mergeCell ref="AE63:AF65"/>
    <mergeCell ref="AG63:AH65"/>
    <mergeCell ref="B63:C65"/>
    <mergeCell ref="D63:I65"/>
    <mergeCell ref="J63:K65"/>
    <mergeCell ref="L63:M65"/>
    <mergeCell ref="N63:O65"/>
    <mergeCell ref="P63:Q65"/>
    <mergeCell ref="S60:T62"/>
    <mergeCell ref="U60:Z62"/>
    <mergeCell ref="AA60:AB62"/>
    <mergeCell ref="AC60:AD62"/>
    <mergeCell ref="AE60:AF62"/>
    <mergeCell ref="AG60:AH62"/>
    <mergeCell ref="B60:C62"/>
    <mergeCell ref="D60:I62"/>
    <mergeCell ref="J60:K62"/>
    <mergeCell ref="L60:M62"/>
    <mergeCell ref="N60:O62"/>
    <mergeCell ref="P60:Q62"/>
    <mergeCell ref="S57:T59"/>
    <mergeCell ref="U57:Z59"/>
    <mergeCell ref="AA57:AB59"/>
    <mergeCell ref="AC57:AD59"/>
    <mergeCell ref="AE57:AF59"/>
    <mergeCell ref="AG57:AH59"/>
    <mergeCell ref="B57:C59"/>
    <mergeCell ref="D57:I59"/>
    <mergeCell ref="J57:K59"/>
    <mergeCell ref="L57:M59"/>
    <mergeCell ref="N57:O59"/>
    <mergeCell ref="P57:Q59"/>
    <mergeCell ref="S54:T56"/>
    <mergeCell ref="U54:Z56"/>
    <mergeCell ref="AA54:AB56"/>
    <mergeCell ref="AC54:AD56"/>
    <mergeCell ref="AE54:AF56"/>
    <mergeCell ref="AG54:AH56"/>
    <mergeCell ref="B54:C56"/>
    <mergeCell ref="D54:I56"/>
    <mergeCell ref="J54:K56"/>
    <mergeCell ref="L54:M56"/>
    <mergeCell ref="N54:O56"/>
    <mergeCell ref="P54:Q56"/>
    <mergeCell ref="S51:T53"/>
    <mergeCell ref="U51:Z53"/>
    <mergeCell ref="AA51:AB53"/>
    <mergeCell ref="AC51:AD53"/>
    <mergeCell ref="AE51:AF53"/>
    <mergeCell ref="AG51:AH53"/>
    <mergeCell ref="B51:C53"/>
    <mergeCell ref="D51:I53"/>
    <mergeCell ref="J51:K53"/>
    <mergeCell ref="L51:M53"/>
    <mergeCell ref="N51:O53"/>
    <mergeCell ref="P51:Q53"/>
    <mergeCell ref="S48:T50"/>
    <mergeCell ref="U48:Z50"/>
    <mergeCell ref="AA48:AB50"/>
    <mergeCell ref="AC48:AD50"/>
    <mergeCell ref="AE48:AF50"/>
    <mergeCell ref="AG48:AH50"/>
    <mergeCell ref="B48:C50"/>
    <mergeCell ref="D48:I50"/>
    <mergeCell ref="J48:K50"/>
    <mergeCell ref="L48:M50"/>
    <mergeCell ref="N48:O50"/>
    <mergeCell ref="P48:Q50"/>
    <mergeCell ref="S45:T47"/>
    <mergeCell ref="U45:Z47"/>
    <mergeCell ref="AA45:AB47"/>
    <mergeCell ref="AC45:AD47"/>
    <mergeCell ref="AE45:AF47"/>
    <mergeCell ref="AG45:AH47"/>
    <mergeCell ref="B45:C47"/>
    <mergeCell ref="D45:I47"/>
    <mergeCell ref="J45:K47"/>
    <mergeCell ref="L45:M47"/>
    <mergeCell ref="N45:O47"/>
    <mergeCell ref="P45:Q47"/>
    <mergeCell ref="S42:T44"/>
    <mergeCell ref="U42:Z44"/>
    <mergeCell ref="AA42:AB44"/>
    <mergeCell ref="AC42:AD44"/>
    <mergeCell ref="AE42:AF44"/>
    <mergeCell ref="AG42:AH44"/>
    <mergeCell ref="B42:C44"/>
    <mergeCell ref="D42:I44"/>
    <mergeCell ref="J42:K44"/>
    <mergeCell ref="L42:M44"/>
    <mergeCell ref="N42:O44"/>
    <mergeCell ref="P42:Q44"/>
    <mergeCell ref="S39:T41"/>
    <mergeCell ref="U39:Z41"/>
    <mergeCell ref="AA39:AB41"/>
    <mergeCell ref="AC39:AD41"/>
    <mergeCell ref="AE39:AF41"/>
    <mergeCell ref="AG39:AH41"/>
    <mergeCell ref="B39:C41"/>
    <mergeCell ref="D39:I41"/>
    <mergeCell ref="J39:K41"/>
    <mergeCell ref="L39:M41"/>
    <mergeCell ref="N39:O41"/>
    <mergeCell ref="P39:Q41"/>
    <mergeCell ref="S36:T38"/>
    <mergeCell ref="U36:Z38"/>
    <mergeCell ref="AA36:AB38"/>
    <mergeCell ref="AC36:AD38"/>
    <mergeCell ref="AE36:AF38"/>
    <mergeCell ref="AG36:AH38"/>
    <mergeCell ref="B36:C38"/>
    <mergeCell ref="D36:I38"/>
    <mergeCell ref="J36:K38"/>
    <mergeCell ref="L36:M38"/>
    <mergeCell ref="N36:O38"/>
    <mergeCell ref="P36:Q38"/>
    <mergeCell ref="S33:T35"/>
    <mergeCell ref="U33:Z35"/>
    <mergeCell ref="AA33:AB35"/>
    <mergeCell ref="AC33:AD35"/>
    <mergeCell ref="AE33:AF35"/>
    <mergeCell ref="AG33:AH35"/>
    <mergeCell ref="B33:C35"/>
    <mergeCell ref="D33:I35"/>
    <mergeCell ref="J33:K35"/>
    <mergeCell ref="L33:M35"/>
    <mergeCell ref="N33:O35"/>
    <mergeCell ref="P33:Q35"/>
    <mergeCell ref="S30:T32"/>
    <mergeCell ref="U30:Z32"/>
    <mergeCell ref="AA30:AB32"/>
    <mergeCell ref="AC30:AD32"/>
    <mergeCell ref="AE30:AF32"/>
    <mergeCell ref="AG30:AH32"/>
    <mergeCell ref="B30:C32"/>
    <mergeCell ref="D30:I32"/>
    <mergeCell ref="J30:K32"/>
    <mergeCell ref="L30:M32"/>
    <mergeCell ref="N30:O32"/>
    <mergeCell ref="P30:Q32"/>
    <mergeCell ref="S27:T29"/>
    <mergeCell ref="U27:Z29"/>
    <mergeCell ref="AA27:AB29"/>
    <mergeCell ref="AC27:AD29"/>
    <mergeCell ref="AE27:AF29"/>
    <mergeCell ref="AG27:AH29"/>
    <mergeCell ref="B27:C29"/>
    <mergeCell ref="D27:I29"/>
    <mergeCell ref="J27:K29"/>
    <mergeCell ref="L27:M29"/>
    <mergeCell ref="N27:O29"/>
    <mergeCell ref="P27:Q29"/>
    <mergeCell ref="S24:T26"/>
    <mergeCell ref="U24:Z26"/>
    <mergeCell ref="AA24:AB26"/>
    <mergeCell ref="AC24:AD26"/>
    <mergeCell ref="AE24:AF26"/>
    <mergeCell ref="AG24:AH26"/>
    <mergeCell ref="B24:C26"/>
    <mergeCell ref="D24:I26"/>
    <mergeCell ref="J24:K26"/>
    <mergeCell ref="L24:M26"/>
    <mergeCell ref="N24:O26"/>
    <mergeCell ref="P24:Q26"/>
    <mergeCell ref="S21:T23"/>
    <mergeCell ref="U21:Z23"/>
    <mergeCell ref="AA21:AB23"/>
    <mergeCell ref="AC21:AD23"/>
    <mergeCell ref="AE21:AF23"/>
    <mergeCell ref="AG21:AH23"/>
    <mergeCell ref="B21:C23"/>
    <mergeCell ref="D21:I23"/>
    <mergeCell ref="J21:K23"/>
    <mergeCell ref="L21:M23"/>
    <mergeCell ref="N21:O23"/>
    <mergeCell ref="P21:Q23"/>
    <mergeCell ref="S18:T20"/>
    <mergeCell ref="U18:Z20"/>
    <mergeCell ref="AA18:AB20"/>
    <mergeCell ref="AC18:AD20"/>
    <mergeCell ref="AE18:AF20"/>
    <mergeCell ref="AG18:AH20"/>
    <mergeCell ref="B18:C20"/>
    <mergeCell ref="D18:I20"/>
    <mergeCell ref="J18:K20"/>
    <mergeCell ref="L18:M20"/>
    <mergeCell ref="N18:O20"/>
    <mergeCell ref="P18:Q20"/>
    <mergeCell ref="S15:T17"/>
    <mergeCell ref="U15:Z17"/>
    <mergeCell ref="AA15:AB17"/>
    <mergeCell ref="AC15:AD17"/>
    <mergeCell ref="AE15:AF17"/>
    <mergeCell ref="AG15:AH17"/>
    <mergeCell ref="B15:C17"/>
    <mergeCell ref="D15:I17"/>
    <mergeCell ref="J15:K17"/>
    <mergeCell ref="L15:M17"/>
    <mergeCell ref="N15:O17"/>
    <mergeCell ref="P15:Q17"/>
    <mergeCell ref="S12:T14"/>
    <mergeCell ref="U12:Z14"/>
    <mergeCell ref="AA12:AB14"/>
    <mergeCell ref="AC12:AD14"/>
    <mergeCell ref="AE12:AF14"/>
    <mergeCell ref="AG12:AH14"/>
    <mergeCell ref="B12:C14"/>
    <mergeCell ref="D12:I14"/>
    <mergeCell ref="J12:K14"/>
    <mergeCell ref="L12:M14"/>
    <mergeCell ref="N12:O14"/>
    <mergeCell ref="P12:Q14"/>
    <mergeCell ref="S9:T11"/>
    <mergeCell ref="U9:Z11"/>
    <mergeCell ref="AA9:AB11"/>
    <mergeCell ref="AC9:AD11"/>
    <mergeCell ref="AE9:AF11"/>
    <mergeCell ref="AG9:AH11"/>
    <mergeCell ref="B9:C11"/>
    <mergeCell ref="D9:I11"/>
    <mergeCell ref="J9:K11"/>
    <mergeCell ref="L9:M11"/>
    <mergeCell ref="N9:O11"/>
    <mergeCell ref="P9:Q11"/>
    <mergeCell ref="S6:T8"/>
    <mergeCell ref="U6:Z8"/>
    <mergeCell ref="AA6:AB8"/>
    <mergeCell ref="AC6:AD8"/>
    <mergeCell ref="AE6:AF8"/>
    <mergeCell ref="AG6:AH8"/>
    <mergeCell ref="B6:C8"/>
    <mergeCell ref="D6:I8"/>
    <mergeCell ref="J6:K8"/>
    <mergeCell ref="L6:M8"/>
    <mergeCell ref="N6:O8"/>
    <mergeCell ref="P6:Q8"/>
    <mergeCell ref="S3:T5"/>
    <mergeCell ref="U3:Z5"/>
    <mergeCell ref="AA3:AB5"/>
    <mergeCell ref="AC3:AD5"/>
    <mergeCell ref="AE3:AF5"/>
    <mergeCell ref="AG3:AH5"/>
    <mergeCell ref="B3:C5"/>
    <mergeCell ref="D3:I5"/>
    <mergeCell ref="J3:K5"/>
    <mergeCell ref="L3:M5"/>
    <mergeCell ref="N3:O5"/>
    <mergeCell ref="P3:Q5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1D4BC9-C087-408C-ADDB-82B18CFD7E52}">
          <x14:formula1>
            <xm:f>DataBase!$F$3:$F$5</xm:f>
          </x14:formula1>
          <xm:sqref>AG6:AH23 P6:Q872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FEF64-29FD-4819-8838-FD7C3297ED13}">
  <sheetPr codeName="Planilha4"/>
  <dimension ref="A1:X298"/>
  <sheetViews>
    <sheetView showGridLines="0" showRowColHeaders="0" workbookViewId="0">
      <pane ySplit="5" topLeftCell="A6" activePane="bottomLeft" state="frozen"/>
      <selection pane="bottomLeft" sqref="A1:C3"/>
    </sheetView>
  </sheetViews>
  <sheetFormatPr defaultRowHeight="15" x14ac:dyDescent="0.25"/>
  <sheetData>
    <row r="1" spans="1:24" ht="15" customHeight="1" x14ac:dyDescent="0.25">
      <c r="A1" s="32"/>
      <c r="B1" s="32"/>
      <c r="C1" s="32"/>
      <c r="D1" s="5"/>
      <c r="E1" s="35"/>
      <c r="F1" s="35"/>
      <c r="G1" s="116" t="s">
        <v>3</v>
      </c>
      <c r="H1" s="4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2"/>
      <c r="B2" s="32"/>
      <c r="C2" s="32"/>
      <c r="D2" s="5"/>
      <c r="E2" s="35"/>
      <c r="F2" s="35"/>
      <c r="G2" s="46"/>
      <c r="H2" s="4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3"/>
      <c r="B3" s="33"/>
      <c r="C3" s="33"/>
      <c r="D3" s="4"/>
      <c r="E3" s="36"/>
      <c r="F3" s="36"/>
      <c r="G3" s="46"/>
      <c r="H3" s="46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29"/>
      <c r="F5" s="129"/>
      <c r="G5" s="115" t="s">
        <v>5</v>
      </c>
      <c r="H5" s="115"/>
      <c r="I5" s="81" t="s">
        <v>6</v>
      </c>
      <c r="J5" s="81"/>
      <c r="K5" s="115"/>
      <c r="L5" s="115"/>
      <c r="M5" s="115"/>
      <c r="N5" s="115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B7" s="8"/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x14ac:dyDescent="0.25">
      <c r="B8" s="119" t="s">
        <v>9</v>
      </c>
      <c r="C8" s="119"/>
      <c r="D8" s="118" t="s">
        <v>10</v>
      </c>
      <c r="E8" s="118"/>
      <c r="F8" s="118"/>
      <c r="G8" s="118"/>
      <c r="H8" s="118"/>
      <c r="I8" s="118"/>
      <c r="J8" s="119" t="s">
        <v>11</v>
      </c>
      <c r="K8" s="119"/>
      <c r="L8" s="119" t="s">
        <v>12</v>
      </c>
      <c r="M8" s="119"/>
      <c r="N8" s="119" t="s">
        <v>13</v>
      </c>
      <c r="O8" s="119"/>
      <c r="P8" s="119" t="s">
        <v>14</v>
      </c>
      <c r="Q8" s="119"/>
      <c r="R8" s="8"/>
    </row>
    <row r="9" spans="1:24" x14ac:dyDescent="0.25">
      <c r="B9" s="119"/>
      <c r="C9" s="119"/>
      <c r="D9" s="118"/>
      <c r="E9" s="118"/>
      <c r="F9" s="118"/>
      <c r="G9" s="118"/>
      <c r="H9" s="118"/>
      <c r="I9" s="118"/>
      <c r="J9" s="119"/>
      <c r="K9" s="119"/>
      <c r="L9" s="119"/>
      <c r="M9" s="119"/>
      <c r="N9" s="119"/>
      <c r="O9" s="119"/>
      <c r="P9" s="119"/>
      <c r="Q9" s="119"/>
      <c r="R9" s="8"/>
    </row>
    <row r="10" spans="1:24" x14ac:dyDescent="0.25">
      <c r="B10" s="119"/>
      <c r="C10" s="119"/>
      <c r="D10" s="118"/>
      <c r="E10" s="118"/>
      <c r="F10" s="118"/>
      <c r="G10" s="118"/>
      <c r="H10" s="118"/>
      <c r="I10" s="118"/>
      <c r="J10" s="119"/>
      <c r="K10" s="119"/>
      <c r="L10" s="119"/>
      <c r="M10" s="119"/>
      <c r="N10" s="119"/>
      <c r="O10" s="119"/>
      <c r="P10" s="119"/>
      <c r="Q10" s="119"/>
      <c r="R10" s="8"/>
    </row>
    <row r="11" spans="1:24" x14ac:dyDescent="0.25">
      <c r="B11" s="77"/>
      <c r="C11" s="79"/>
      <c r="D11" s="77"/>
      <c r="E11" s="78"/>
      <c r="F11" s="78"/>
      <c r="G11" s="78"/>
      <c r="H11" s="78"/>
      <c r="I11" s="79"/>
      <c r="J11" s="86"/>
      <c r="K11" s="87"/>
      <c r="L11" s="86"/>
      <c r="M11" s="87"/>
      <c r="N11" s="77"/>
      <c r="O11" s="79"/>
      <c r="P11" s="92"/>
      <c r="Q11" s="93"/>
      <c r="R11" s="80" t="str">
        <f ca="1">IF(L11=""," ",IF(P11="Concluída"," ",IF(TODAY()&gt;L11,"EM ATRASO",IF(TODAY()=L11,"HOJE"," "))))</f>
        <v xml:space="preserve"> </v>
      </c>
      <c r="S11" s="81"/>
    </row>
    <row r="12" spans="1:24" x14ac:dyDescent="0.25">
      <c r="B12" s="80"/>
      <c r="C12" s="82"/>
      <c r="D12" s="80"/>
      <c r="E12" s="81"/>
      <c r="F12" s="81"/>
      <c r="G12" s="81"/>
      <c r="H12" s="81"/>
      <c r="I12" s="82"/>
      <c r="J12" s="88"/>
      <c r="K12" s="89"/>
      <c r="L12" s="88"/>
      <c r="M12" s="89"/>
      <c r="N12" s="80"/>
      <c r="O12" s="82"/>
      <c r="P12" s="94"/>
      <c r="Q12" s="95"/>
      <c r="R12" s="80"/>
      <c r="S12" s="81"/>
    </row>
    <row r="13" spans="1:24" x14ac:dyDescent="0.25">
      <c r="B13" s="83"/>
      <c r="C13" s="85"/>
      <c r="D13" s="83"/>
      <c r="E13" s="84"/>
      <c r="F13" s="84"/>
      <c r="G13" s="84"/>
      <c r="H13" s="84"/>
      <c r="I13" s="85"/>
      <c r="J13" s="90"/>
      <c r="K13" s="91"/>
      <c r="L13" s="90"/>
      <c r="M13" s="91"/>
      <c r="N13" s="83"/>
      <c r="O13" s="85"/>
      <c r="P13" s="96"/>
      <c r="Q13" s="97"/>
      <c r="R13" s="80"/>
      <c r="S13" s="81"/>
    </row>
    <row r="14" spans="1:24" x14ac:dyDescent="0.25">
      <c r="B14" s="73"/>
      <c r="C14" s="74"/>
      <c r="D14" s="77"/>
      <c r="E14" s="78"/>
      <c r="F14" s="78"/>
      <c r="G14" s="78"/>
      <c r="H14" s="78"/>
      <c r="I14" s="79"/>
      <c r="J14" s="86"/>
      <c r="K14" s="79"/>
      <c r="L14" s="86"/>
      <c r="M14" s="79"/>
      <c r="N14" s="77"/>
      <c r="O14" s="79"/>
      <c r="P14" s="92"/>
      <c r="Q14" s="93"/>
      <c r="R14" s="80" t="str">
        <f t="shared" ref="R14" ca="1" si="0">IF(L14=""," ",IF(P14="Concluída"," ",IF(TODAY()&gt;L14,"EM ATRASO",IF(TODAY()=L14,"HOJE"," "))))</f>
        <v xml:space="preserve"> </v>
      </c>
      <c r="S14" s="81"/>
    </row>
    <row r="15" spans="1:24" x14ac:dyDescent="0.25">
      <c r="B15" s="73"/>
      <c r="C15" s="74"/>
      <c r="D15" s="80"/>
      <c r="E15" s="81"/>
      <c r="F15" s="81"/>
      <c r="G15" s="81"/>
      <c r="H15" s="81"/>
      <c r="I15" s="82"/>
      <c r="J15" s="80"/>
      <c r="K15" s="82"/>
      <c r="L15" s="80"/>
      <c r="M15" s="82"/>
      <c r="N15" s="80"/>
      <c r="O15" s="82"/>
      <c r="P15" s="94"/>
      <c r="Q15" s="95"/>
      <c r="R15" s="80"/>
      <c r="S15" s="81"/>
    </row>
    <row r="16" spans="1:24" x14ac:dyDescent="0.25">
      <c r="B16" s="75"/>
      <c r="C16" s="76"/>
      <c r="D16" s="83"/>
      <c r="E16" s="84"/>
      <c r="F16" s="84"/>
      <c r="G16" s="84"/>
      <c r="H16" s="84"/>
      <c r="I16" s="85"/>
      <c r="J16" s="83"/>
      <c r="K16" s="85"/>
      <c r="L16" s="83"/>
      <c r="M16" s="85"/>
      <c r="N16" s="83"/>
      <c r="O16" s="85"/>
      <c r="P16" s="96"/>
      <c r="Q16" s="97"/>
      <c r="R16" s="80"/>
      <c r="S16" s="81"/>
    </row>
    <row r="17" spans="2:19" x14ac:dyDescent="0.25">
      <c r="B17" s="71"/>
      <c r="C17" s="72"/>
      <c r="D17" s="77"/>
      <c r="E17" s="78"/>
      <c r="F17" s="78"/>
      <c r="G17" s="78"/>
      <c r="H17" s="78"/>
      <c r="I17" s="79"/>
      <c r="J17" s="86"/>
      <c r="K17" s="79"/>
      <c r="L17" s="86"/>
      <c r="M17" s="79"/>
      <c r="N17" s="77"/>
      <c r="O17" s="79"/>
      <c r="P17" s="92"/>
      <c r="Q17" s="93"/>
      <c r="R17" s="80" t="str">
        <f t="shared" ref="R17" ca="1" si="1">IF(L17=""," ",IF(P17="Concluída"," ",IF(TODAY()&gt;L17,"EM ATRASO",IF(TODAY()=L17,"HOJE"," "))))</f>
        <v xml:space="preserve"> </v>
      </c>
      <c r="S17" s="81"/>
    </row>
    <row r="18" spans="2:19" x14ac:dyDescent="0.25">
      <c r="B18" s="73"/>
      <c r="C18" s="74"/>
      <c r="D18" s="80"/>
      <c r="E18" s="81"/>
      <c r="F18" s="81"/>
      <c r="G18" s="81"/>
      <c r="H18" s="81"/>
      <c r="I18" s="82"/>
      <c r="J18" s="80"/>
      <c r="K18" s="82"/>
      <c r="L18" s="80"/>
      <c r="M18" s="82"/>
      <c r="N18" s="80"/>
      <c r="O18" s="82"/>
      <c r="P18" s="94"/>
      <c r="Q18" s="95"/>
      <c r="R18" s="80"/>
      <c r="S18" s="81"/>
    </row>
    <row r="19" spans="2:19" x14ac:dyDescent="0.25">
      <c r="B19" s="75"/>
      <c r="C19" s="76"/>
      <c r="D19" s="83"/>
      <c r="E19" s="84"/>
      <c r="F19" s="84"/>
      <c r="G19" s="84"/>
      <c r="H19" s="84"/>
      <c r="I19" s="85"/>
      <c r="J19" s="83"/>
      <c r="K19" s="85"/>
      <c r="L19" s="83"/>
      <c r="M19" s="85"/>
      <c r="N19" s="83"/>
      <c r="O19" s="85"/>
      <c r="P19" s="96"/>
      <c r="Q19" s="97"/>
      <c r="R19" s="80"/>
      <c r="S19" s="81"/>
    </row>
    <row r="20" spans="2:19" x14ac:dyDescent="0.25">
      <c r="B20" s="71"/>
      <c r="C20" s="72"/>
      <c r="D20" s="77"/>
      <c r="E20" s="78"/>
      <c r="F20" s="78"/>
      <c r="G20" s="78"/>
      <c r="H20" s="78"/>
      <c r="I20" s="79"/>
      <c r="J20" s="77"/>
      <c r="K20" s="79"/>
      <c r="L20" s="77"/>
      <c r="M20" s="79"/>
      <c r="N20" s="77"/>
      <c r="O20" s="79"/>
      <c r="P20" s="92"/>
      <c r="Q20" s="93"/>
      <c r="R20" s="80" t="str">
        <f t="shared" ref="R20" ca="1" si="2">IF(L20=""," ",IF(P20="Concluída"," ",IF(TODAY()&gt;L20,"EM ATRASO",IF(TODAY()=L20,"HOJE"," "))))</f>
        <v xml:space="preserve"> </v>
      </c>
      <c r="S20" s="81"/>
    </row>
    <row r="21" spans="2:19" x14ac:dyDescent="0.25">
      <c r="B21" s="73"/>
      <c r="C21" s="74"/>
      <c r="D21" s="80"/>
      <c r="E21" s="81"/>
      <c r="F21" s="81"/>
      <c r="G21" s="81"/>
      <c r="H21" s="81"/>
      <c r="I21" s="82"/>
      <c r="J21" s="80"/>
      <c r="K21" s="82"/>
      <c r="L21" s="80"/>
      <c r="M21" s="82"/>
      <c r="N21" s="80"/>
      <c r="O21" s="82"/>
      <c r="P21" s="94"/>
      <c r="Q21" s="95"/>
      <c r="R21" s="80"/>
      <c r="S21" s="81"/>
    </row>
    <row r="22" spans="2:19" ht="15" customHeight="1" x14ac:dyDescent="0.25">
      <c r="B22" s="75"/>
      <c r="C22" s="76"/>
      <c r="D22" s="83"/>
      <c r="E22" s="84"/>
      <c r="F22" s="84"/>
      <c r="G22" s="84"/>
      <c r="H22" s="84"/>
      <c r="I22" s="85"/>
      <c r="J22" s="83"/>
      <c r="K22" s="85"/>
      <c r="L22" s="83"/>
      <c r="M22" s="85"/>
      <c r="N22" s="83"/>
      <c r="O22" s="85"/>
      <c r="P22" s="96"/>
      <c r="Q22" s="97"/>
      <c r="R22" s="80"/>
      <c r="S22" s="81"/>
    </row>
    <row r="23" spans="2:19" ht="15" customHeight="1" x14ac:dyDescent="0.25">
      <c r="B23" s="71"/>
      <c r="C23" s="72"/>
      <c r="D23" s="77"/>
      <c r="E23" s="78"/>
      <c r="F23" s="78"/>
      <c r="G23" s="78"/>
      <c r="H23" s="78"/>
      <c r="I23" s="79"/>
      <c r="J23" s="77"/>
      <c r="K23" s="79"/>
      <c r="L23" s="77"/>
      <c r="M23" s="79"/>
      <c r="N23" s="77"/>
      <c r="O23" s="79"/>
      <c r="P23" s="92"/>
      <c r="Q23" s="93"/>
      <c r="R23" s="80" t="str">
        <f t="shared" ref="R23" ca="1" si="3">IF(L23=""," ",IF(P23="Concluída"," ",IF(TODAY()&gt;L23,"EM ATRASO",IF(TODAY()=L23,"HOJE"," "))))</f>
        <v xml:space="preserve"> </v>
      </c>
      <c r="S23" s="81"/>
    </row>
    <row r="24" spans="2:19" x14ac:dyDescent="0.25">
      <c r="B24" s="73"/>
      <c r="C24" s="74"/>
      <c r="D24" s="80"/>
      <c r="E24" s="81"/>
      <c r="F24" s="81"/>
      <c r="G24" s="81"/>
      <c r="H24" s="81"/>
      <c r="I24" s="82"/>
      <c r="J24" s="80"/>
      <c r="K24" s="82"/>
      <c r="L24" s="80"/>
      <c r="M24" s="82"/>
      <c r="N24" s="80"/>
      <c r="O24" s="82"/>
      <c r="P24" s="94"/>
      <c r="Q24" s="95"/>
      <c r="R24" s="80"/>
      <c r="S24" s="81"/>
    </row>
    <row r="25" spans="2:19" x14ac:dyDescent="0.25">
      <c r="B25" s="75"/>
      <c r="C25" s="76"/>
      <c r="D25" s="83"/>
      <c r="E25" s="84"/>
      <c r="F25" s="84"/>
      <c r="G25" s="84"/>
      <c r="H25" s="84"/>
      <c r="I25" s="85"/>
      <c r="J25" s="83"/>
      <c r="K25" s="85"/>
      <c r="L25" s="83"/>
      <c r="M25" s="85"/>
      <c r="N25" s="83"/>
      <c r="O25" s="85"/>
      <c r="P25" s="96"/>
      <c r="Q25" s="97"/>
      <c r="R25" s="80"/>
      <c r="S25" s="81"/>
    </row>
    <row r="26" spans="2:19" x14ac:dyDescent="0.25">
      <c r="B26" s="71"/>
      <c r="C26" s="72"/>
      <c r="D26" s="77"/>
      <c r="E26" s="78"/>
      <c r="F26" s="78"/>
      <c r="G26" s="78"/>
      <c r="H26" s="78"/>
      <c r="I26" s="79"/>
      <c r="J26" s="77"/>
      <c r="K26" s="79"/>
      <c r="L26" s="77"/>
      <c r="M26" s="79"/>
      <c r="N26" s="77"/>
      <c r="O26" s="79"/>
      <c r="P26" s="92"/>
      <c r="Q26" s="93"/>
      <c r="R26" s="80" t="str">
        <f t="shared" ref="R26" ca="1" si="4">IF(L26=""," ",IF(P26="Concluída"," ",IF(TODAY()&gt;L26,"EM ATRASO",IF(TODAY()=L26,"HOJE"," "))))</f>
        <v xml:space="preserve"> </v>
      </c>
      <c r="S26" s="81"/>
    </row>
    <row r="27" spans="2:19" x14ac:dyDescent="0.25">
      <c r="B27" s="73"/>
      <c r="C27" s="74"/>
      <c r="D27" s="80"/>
      <c r="E27" s="81"/>
      <c r="F27" s="81"/>
      <c r="G27" s="81"/>
      <c r="H27" s="81"/>
      <c r="I27" s="82"/>
      <c r="J27" s="80"/>
      <c r="K27" s="82"/>
      <c r="L27" s="80"/>
      <c r="M27" s="82"/>
      <c r="N27" s="80"/>
      <c r="O27" s="82"/>
      <c r="P27" s="94"/>
      <c r="Q27" s="95"/>
      <c r="R27" s="80"/>
      <c r="S27" s="81"/>
    </row>
    <row r="28" spans="2:19" x14ac:dyDescent="0.25">
      <c r="B28" s="75"/>
      <c r="C28" s="76"/>
      <c r="D28" s="83"/>
      <c r="E28" s="84"/>
      <c r="F28" s="84"/>
      <c r="G28" s="84"/>
      <c r="H28" s="84"/>
      <c r="I28" s="85"/>
      <c r="J28" s="83"/>
      <c r="K28" s="85"/>
      <c r="L28" s="83"/>
      <c r="M28" s="85"/>
      <c r="N28" s="83"/>
      <c r="O28" s="85"/>
      <c r="P28" s="96"/>
      <c r="Q28" s="97"/>
      <c r="R28" s="80"/>
      <c r="S28" s="81"/>
    </row>
    <row r="29" spans="2:19" x14ac:dyDescent="0.25">
      <c r="B29" s="71"/>
      <c r="C29" s="72"/>
      <c r="D29" s="77"/>
      <c r="E29" s="78"/>
      <c r="F29" s="78"/>
      <c r="G29" s="78"/>
      <c r="H29" s="78"/>
      <c r="I29" s="79"/>
      <c r="J29" s="77"/>
      <c r="K29" s="79"/>
      <c r="L29" s="77"/>
      <c r="M29" s="79"/>
      <c r="N29" s="77"/>
      <c r="O29" s="79"/>
      <c r="P29" s="92"/>
      <c r="Q29" s="93"/>
      <c r="R29" s="80" t="str">
        <f t="shared" ref="R29" ca="1" si="5">IF(L29=""," ",IF(P29="Concluída"," ",IF(TODAY()&gt;L29,"EM ATRASO",IF(TODAY()=L29,"HOJE"," "))))</f>
        <v xml:space="preserve"> </v>
      </c>
      <c r="S29" s="81"/>
    </row>
    <row r="30" spans="2:19" x14ac:dyDescent="0.25">
      <c r="B30" s="73"/>
      <c r="C30" s="74"/>
      <c r="D30" s="80"/>
      <c r="E30" s="81"/>
      <c r="F30" s="81"/>
      <c r="G30" s="81"/>
      <c r="H30" s="81"/>
      <c r="I30" s="82"/>
      <c r="J30" s="80"/>
      <c r="K30" s="82"/>
      <c r="L30" s="80"/>
      <c r="M30" s="82"/>
      <c r="N30" s="80"/>
      <c r="O30" s="82"/>
      <c r="P30" s="94"/>
      <c r="Q30" s="95"/>
      <c r="R30" s="80"/>
      <c r="S30" s="81"/>
    </row>
    <row r="31" spans="2:19" x14ac:dyDescent="0.25">
      <c r="B31" s="75"/>
      <c r="C31" s="76"/>
      <c r="D31" s="83"/>
      <c r="E31" s="84"/>
      <c r="F31" s="84"/>
      <c r="G31" s="84"/>
      <c r="H31" s="84"/>
      <c r="I31" s="85"/>
      <c r="J31" s="83"/>
      <c r="K31" s="85"/>
      <c r="L31" s="83"/>
      <c r="M31" s="85"/>
      <c r="N31" s="83"/>
      <c r="O31" s="85"/>
      <c r="P31" s="96"/>
      <c r="Q31" s="97"/>
      <c r="R31" s="80"/>
      <c r="S31" s="81"/>
    </row>
    <row r="32" spans="2:19" x14ac:dyDescent="0.25">
      <c r="B32" s="71"/>
      <c r="C32" s="72"/>
      <c r="D32" s="77"/>
      <c r="E32" s="78"/>
      <c r="F32" s="78"/>
      <c r="G32" s="78"/>
      <c r="H32" s="78"/>
      <c r="I32" s="79"/>
      <c r="J32" s="77"/>
      <c r="K32" s="79"/>
      <c r="L32" s="77"/>
      <c r="M32" s="79"/>
      <c r="N32" s="77"/>
      <c r="O32" s="79"/>
      <c r="P32" s="92"/>
      <c r="Q32" s="93"/>
      <c r="R32" s="80" t="str">
        <f t="shared" ref="R32" ca="1" si="6">IF(L32=""," ",IF(P32="Concluída"," ",IF(TODAY()&gt;L32,"EM ATRASO",IF(TODAY()=L32,"HOJE"," "))))</f>
        <v xml:space="preserve"> </v>
      </c>
      <c r="S32" s="81"/>
    </row>
    <row r="33" spans="2:19" x14ac:dyDescent="0.25">
      <c r="B33" s="73"/>
      <c r="C33" s="74"/>
      <c r="D33" s="80"/>
      <c r="E33" s="81"/>
      <c r="F33" s="81"/>
      <c r="G33" s="81"/>
      <c r="H33" s="81"/>
      <c r="I33" s="82"/>
      <c r="J33" s="80"/>
      <c r="K33" s="82"/>
      <c r="L33" s="80"/>
      <c r="M33" s="82"/>
      <c r="N33" s="80"/>
      <c r="O33" s="82"/>
      <c r="P33" s="94"/>
      <c r="Q33" s="95"/>
      <c r="R33" s="80"/>
      <c r="S33" s="81"/>
    </row>
    <row r="34" spans="2:19" x14ac:dyDescent="0.25">
      <c r="B34" s="75"/>
      <c r="C34" s="76"/>
      <c r="D34" s="83"/>
      <c r="E34" s="84"/>
      <c r="F34" s="84"/>
      <c r="G34" s="84"/>
      <c r="H34" s="84"/>
      <c r="I34" s="85"/>
      <c r="J34" s="83"/>
      <c r="K34" s="85"/>
      <c r="L34" s="83"/>
      <c r="M34" s="85"/>
      <c r="N34" s="83"/>
      <c r="O34" s="85"/>
      <c r="P34" s="96"/>
      <c r="Q34" s="97"/>
      <c r="R34" s="80"/>
      <c r="S34" s="81"/>
    </row>
    <row r="35" spans="2:19" x14ac:dyDescent="0.25">
      <c r="B35" s="71"/>
      <c r="C35" s="72"/>
      <c r="D35" s="77"/>
      <c r="E35" s="78"/>
      <c r="F35" s="78"/>
      <c r="G35" s="78"/>
      <c r="H35" s="78"/>
      <c r="I35" s="79"/>
      <c r="J35" s="77"/>
      <c r="K35" s="79"/>
      <c r="L35" s="77"/>
      <c r="M35" s="79"/>
      <c r="N35" s="77"/>
      <c r="O35" s="79"/>
      <c r="P35" s="92"/>
      <c r="Q35" s="93"/>
      <c r="R35" s="80" t="str">
        <f t="shared" ref="R35" ca="1" si="7">IF(L35=""," ",IF(P35="Concluída"," ",IF(TODAY()&gt;L35,"EM ATRASO",IF(TODAY()=L35,"HOJE"," "))))</f>
        <v xml:space="preserve"> </v>
      </c>
      <c r="S35" s="81"/>
    </row>
    <row r="36" spans="2:19" x14ac:dyDescent="0.25">
      <c r="B36" s="73"/>
      <c r="C36" s="74"/>
      <c r="D36" s="80"/>
      <c r="E36" s="81"/>
      <c r="F36" s="81"/>
      <c r="G36" s="81"/>
      <c r="H36" s="81"/>
      <c r="I36" s="82"/>
      <c r="J36" s="80"/>
      <c r="K36" s="82"/>
      <c r="L36" s="80"/>
      <c r="M36" s="82"/>
      <c r="N36" s="80"/>
      <c r="O36" s="82"/>
      <c r="P36" s="94"/>
      <c r="Q36" s="95"/>
      <c r="R36" s="80"/>
      <c r="S36" s="81"/>
    </row>
    <row r="37" spans="2:19" x14ac:dyDescent="0.25">
      <c r="B37" s="75"/>
      <c r="C37" s="76"/>
      <c r="D37" s="83"/>
      <c r="E37" s="84"/>
      <c r="F37" s="84"/>
      <c r="G37" s="84"/>
      <c r="H37" s="84"/>
      <c r="I37" s="85"/>
      <c r="J37" s="83"/>
      <c r="K37" s="85"/>
      <c r="L37" s="83"/>
      <c r="M37" s="85"/>
      <c r="N37" s="83"/>
      <c r="O37" s="85"/>
      <c r="P37" s="96"/>
      <c r="Q37" s="97"/>
      <c r="R37" s="80"/>
      <c r="S37" s="81"/>
    </row>
    <row r="38" spans="2:19" x14ac:dyDescent="0.25">
      <c r="B38" s="71"/>
      <c r="C38" s="72"/>
      <c r="D38" s="77"/>
      <c r="E38" s="78"/>
      <c r="F38" s="78"/>
      <c r="G38" s="78"/>
      <c r="H38" s="78"/>
      <c r="I38" s="79"/>
      <c r="J38" s="77"/>
      <c r="K38" s="79"/>
      <c r="L38" s="77"/>
      <c r="M38" s="79"/>
      <c r="N38" s="77"/>
      <c r="O38" s="79"/>
      <c r="P38" s="92"/>
      <c r="Q38" s="93"/>
      <c r="R38" s="80" t="str">
        <f t="shared" ref="R38" ca="1" si="8">IF(L38=""," ",IF(P38="Concluída"," ",IF(TODAY()&gt;L38,"EM ATRASO",IF(TODAY()=L38,"HOJE"," "))))</f>
        <v xml:space="preserve"> </v>
      </c>
      <c r="S38" s="81"/>
    </row>
    <row r="39" spans="2:19" x14ac:dyDescent="0.25">
      <c r="B39" s="73"/>
      <c r="C39" s="74"/>
      <c r="D39" s="80"/>
      <c r="E39" s="81"/>
      <c r="F39" s="81"/>
      <c r="G39" s="81"/>
      <c r="H39" s="81"/>
      <c r="I39" s="82"/>
      <c r="J39" s="80"/>
      <c r="K39" s="82"/>
      <c r="L39" s="80"/>
      <c r="M39" s="82"/>
      <c r="N39" s="80"/>
      <c r="O39" s="82"/>
      <c r="P39" s="94"/>
      <c r="Q39" s="95"/>
      <c r="R39" s="80"/>
      <c r="S39" s="81"/>
    </row>
    <row r="40" spans="2:19" x14ac:dyDescent="0.25">
      <c r="B40" s="75"/>
      <c r="C40" s="76"/>
      <c r="D40" s="83"/>
      <c r="E40" s="84"/>
      <c r="F40" s="84"/>
      <c r="G40" s="84"/>
      <c r="H40" s="84"/>
      <c r="I40" s="85"/>
      <c r="J40" s="83"/>
      <c r="K40" s="85"/>
      <c r="L40" s="83"/>
      <c r="M40" s="85"/>
      <c r="N40" s="83"/>
      <c r="O40" s="85"/>
      <c r="P40" s="96"/>
      <c r="Q40" s="97"/>
      <c r="R40" s="80"/>
      <c r="S40" s="81"/>
    </row>
    <row r="41" spans="2:19" x14ac:dyDescent="0.25">
      <c r="B41" s="71"/>
      <c r="C41" s="72"/>
      <c r="D41" s="77"/>
      <c r="E41" s="78"/>
      <c r="F41" s="78"/>
      <c r="G41" s="78"/>
      <c r="H41" s="78"/>
      <c r="I41" s="79"/>
      <c r="J41" s="77"/>
      <c r="K41" s="79"/>
      <c r="L41" s="77"/>
      <c r="M41" s="79"/>
      <c r="N41" s="77"/>
      <c r="O41" s="79"/>
      <c r="P41" s="92"/>
      <c r="Q41" s="93"/>
      <c r="R41" s="80" t="str">
        <f t="shared" ref="R41" ca="1" si="9">IF(L41=""," ",IF(P41="Concluída"," ",IF(TODAY()&gt;L41,"EM ATRASO",IF(TODAY()=L41,"HOJE"," "))))</f>
        <v xml:space="preserve"> </v>
      </c>
      <c r="S41" s="81"/>
    </row>
    <row r="42" spans="2:19" x14ac:dyDescent="0.25">
      <c r="B42" s="73"/>
      <c r="C42" s="74"/>
      <c r="D42" s="80"/>
      <c r="E42" s="81"/>
      <c r="F42" s="81"/>
      <c r="G42" s="81"/>
      <c r="H42" s="81"/>
      <c r="I42" s="82"/>
      <c r="J42" s="80"/>
      <c r="K42" s="82"/>
      <c r="L42" s="80"/>
      <c r="M42" s="82"/>
      <c r="N42" s="80"/>
      <c r="O42" s="82"/>
      <c r="P42" s="94"/>
      <c r="Q42" s="95"/>
      <c r="R42" s="80"/>
      <c r="S42" s="81"/>
    </row>
    <row r="43" spans="2:19" x14ac:dyDescent="0.25">
      <c r="B43" s="75"/>
      <c r="C43" s="76"/>
      <c r="D43" s="83"/>
      <c r="E43" s="84"/>
      <c r="F43" s="84"/>
      <c r="G43" s="84"/>
      <c r="H43" s="84"/>
      <c r="I43" s="85"/>
      <c r="J43" s="83"/>
      <c r="K43" s="85"/>
      <c r="L43" s="83"/>
      <c r="M43" s="85"/>
      <c r="N43" s="83"/>
      <c r="O43" s="85"/>
      <c r="P43" s="96"/>
      <c r="Q43" s="97"/>
      <c r="R43" s="80"/>
      <c r="S43" s="81"/>
    </row>
    <row r="44" spans="2:19" x14ac:dyDescent="0.25">
      <c r="B44" s="71"/>
      <c r="C44" s="72"/>
      <c r="D44" s="77"/>
      <c r="E44" s="78"/>
      <c r="F44" s="78"/>
      <c r="G44" s="78"/>
      <c r="H44" s="78"/>
      <c r="I44" s="79"/>
      <c r="J44" s="77"/>
      <c r="K44" s="79"/>
      <c r="L44" s="77"/>
      <c r="M44" s="79"/>
      <c r="N44" s="77"/>
      <c r="O44" s="79"/>
      <c r="P44" s="92"/>
      <c r="Q44" s="93"/>
      <c r="R44" s="80" t="str">
        <f t="shared" ref="R44" ca="1" si="10">IF(L44=""," ",IF(P44="Concluída"," ",IF(TODAY()&gt;L44,"EM ATRASO",IF(TODAY()=L44,"HOJE"," "))))</f>
        <v xml:space="preserve"> </v>
      </c>
      <c r="S44" s="81"/>
    </row>
    <row r="45" spans="2:19" x14ac:dyDescent="0.25">
      <c r="B45" s="73"/>
      <c r="C45" s="74"/>
      <c r="D45" s="80"/>
      <c r="E45" s="81"/>
      <c r="F45" s="81"/>
      <c r="G45" s="81"/>
      <c r="H45" s="81"/>
      <c r="I45" s="82"/>
      <c r="J45" s="80"/>
      <c r="K45" s="82"/>
      <c r="L45" s="80"/>
      <c r="M45" s="82"/>
      <c r="N45" s="80"/>
      <c r="O45" s="82"/>
      <c r="P45" s="94"/>
      <c r="Q45" s="95"/>
      <c r="R45" s="80"/>
      <c r="S45" s="81"/>
    </row>
    <row r="46" spans="2:19" x14ac:dyDescent="0.25">
      <c r="B46" s="75"/>
      <c r="C46" s="76"/>
      <c r="D46" s="83"/>
      <c r="E46" s="84"/>
      <c r="F46" s="84"/>
      <c r="G46" s="84"/>
      <c r="H46" s="84"/>
      <c r="I46" s="85"/>
      <c r="J46" s="83"/>
      <c r="K46" s="85"/>
      <c r="L46" s="83"/>
      <c r="M46" s="85"/>
      <c r="N46" s="83"/>
      <c r="O46" s="85"/>
      <c r="P46" s="96"/>
      <c r="Q46" s="97"/>
      <c r="R46" s="80"/>
      <c r="S46" s="81"/>
    </row>
    <row r="47" spans="2:19" x14ac:dyDescent="0.25">
      <c r="B47" s="71"/>
      <c r="C47" s="72"/>
      <c r="D47" s="77"/>
      <c r="E47" s="78"/>
      <c r="F47" s="78"/>
      <c r="G47" s="78"/>
      <c r="H47" s="78"/>
      <c r="I47" s="79"/>
      <c r="J47" s="77"/>
      <c r="K47" s="79"/>
      <c r="L47" s="77"/>
      <c r="M47" s="79"/>
      <c r="N47" s="77"/>
      <c r="O47" s="79"/>
      <c r="P47" s="92"/>
      <c r="Q47" s="93"/>
      <c r="R47" s="80" t="str">
        <f t="shared" ref="R47" ca="1" si="11">IF(L47=""," ",IF(P47="Concluída"," ",IF(TODAY()&gt;L47,"EM ATRASO",IF(TODAY()=L47,"HOJE"," "))))</f>
        <v xml:space="preserve"> </v>
      </c>
      <c r="S47" s="81"/>
    </row>
    <row r="48" spans="2:19" x14ac:dyDescent="0.25">
      <c r="B48" s="73"/>
      <c r="C48" s="74"/>
      <c r="D48" s="80"/>
      <c r="E48" s="81"/>
      <c r="F48" s="81"/>
      <c r="G48" s="81"/>
      <c r="H48" s="81"/>
      <c r="I48" s="82"/>
      <c r="J48" s="80"/>
      <c r="K48" s="82"/>
      <c r="L48" s="80"/>
      <c r="M48" s="82"/>
      <c r="N48" s="80"/>
      <c r="O48" s="82"/>
      <c r="P48" s="94"/>
      <c r="Q48" s="95"/>
      <c r="R48" s="80"/>
      <c r="S48" s="81"/>
    </row>
    <row r="49" spans="2:19" x14ac:dyDescent="0.25">
      <c r="B49" s="75"/>
      <c r="C49" s="76"/>
      <c r="D49" s="83"/>
      <c r="E49" s="84"/>
      <c r="F49" s="84"/>
      <c r="G49" s="84"/>
      <c r="H49" s="84"/>
      <c r="I49" s="85"/>
      <c r="J49" s="83"/>
      <c r="K49" s="85"/>
      <c r="L49" s="83"/>
      <c r="M49" s="85"/>
      <c r="N49" s="83"/>
      <c r="O49" s="85"/>
      <c r="P49" s="96"/>
      <c r="Q49" s="97"/>
      <c r="R49" s="80"/>
      <c r="S49" s="81"/>
    </row>
    <row r="50" spans="2:19" x14ac:dyDescent="0.25">
      <c r="B50" s="71"/>
      <c r="C50" s="72"/>
      <c r="D50" s="77"/>
      <c r="E50" s="78"/>
      <c r="F50" s="78"/>
      <c r="G50" s="78"/>
      <c r="H50" s="78"/>
      <c r="I50" s="79"/>
      <c r="J50" s="77"/>
      <c r="K50" s="79"/>
      <c r="L50" s="77"/>
      <c r="M50" s="79"/>
      <c r="N50" s="77"/>
      <c r="O50" s="79"/>
      <c r="P50" s="92"/>
      <c r="Q50" s="93"/>
      <c r="R50" s="80" t="str">
        <f t="shared" ref="R50" ca="1" si="12">IF(L50=""," ",IF(P50="Concluída"," ",IF(TODAY()&gt;L50,"EM ATRASO",IF(TODAY()=L50,"HOJE"," "))))</f>
        <v xml:space="preserve"> </v>
      </c>
      <c r="S50" s="81"/>
    </row>
    <row r="51" spans="2:19" x14ac:dyDescent="0.25">
      <c r="B51" s="73"/>
      <c r="C51" s="74"/>
      <c r="D51" s="80"/>
      <c r="E51" s="81"/>
      <c r="F51" s="81"/>
      <c r="G51" s="81"/>
      <c r="H51" s="81"/>
      <c r="I51" s="82"/>
      <c r="J51" s="80"/>
      <c r="K51" s="82"/>
      <c r="L51" s="80"/>
      <c r="M51" s="82"/>
      <c r="N51" s="80"/>
      <c r="O51" s="82"/>
      <c r="P51" s="94"/>
      <c r="Q51" s="95"/>
      <c r="R51" s="80"/>
      <c r="S51" s="81"/>
    </row>
    <row r="52" spans="2:19" x14ac:dyDescent="0.25">
      <c r="B52" s="75"/>
      <c r="C52" s="76"/>
      <c r="D52" s="83"/>
      <c r="E52" s="84"/>
      <c r="F52" s="84"/>
      <c r="G52" s="84"/>
      <c r="H52" s="84"/>
      <c r="I52" s="85"/>
      <c r="J52" s="83"/>
      <c r="K52" s="85"/>
      <c r="L52" s="83"/>
      <c r="M52" s="85"/>
      <c r="N52" s="83"/>
      <c r="O52" s="85"/>
      <c r="P52" s="96"/>
      <c r="Q52" s="97"/>
      <c r="R52" s="80"/>
      <c r="S52" s="81"/>
    </row>
    <row r="53" spans="2:19" x14ac:dyDescent="0.25">
      <c r="B53" s="71"/>
      <c r="C53" s="72"/>
      <c r="D53" s="77"/>
      <c r="E53" s="78"/>
      <c r="F53" s="78"/>
      <c r="G53" s="78"/>
      <c r="H53" s="78"/>
      <c r="I53" s="79"/>
      <c r="J53" s="77"/>
      <c r="K53" s="79"/>
      <c r="L53" s="77"/>
      <c r="M53" s="79"/>
      <c r="N53" s="77"/>
      <c r="O53" s="79"/>
      <c r="P53" s="92"/>
      <c r="Q53" s="93"/>
      <c r="R53" s="80" t="str">
        <f t="shared" ref="R53" ca="1" si="13">IF(L53=""," ",IF(P53="Concluída"," ",IF(TODAY()&gt;L53,"EM ATRASO",IF(TODAY()=L53,"HOJE"," "))))</f>
        <v xml:space="preserve"> </v>
      </c>
      <c r="S53" s="81"/>
    </row>
    <row r="54" spans="2:19" x14ac:dyDescent="0.25">
      <c r="B54" s="73"/>
      <c r="C54" s="74"/>
      <c r="D54" s="80"/>
      <c r="E54" s="81"/>
      <c r="F54" s="81"/>
      <c r="G54" s="81"/>
      <c r="H54" s="81"/>
      <c r="I54" s="82"/>
      <c r="J54" s="80"/>
      <c r="K54" s="82"/>
      <c r="L54" s="80"/>
      <c r="M54" s="82"/>
      <c r="N54" s="80"/>
      <c r="O54" s="82"/>
      <c r="P54" s="94"/>
      <c r="Q54" s="95"/>
      <c r="R54" s="80"/>
      <c r="S54" s="81"/>
    </row>
    <row r="55" spans="2:19" x14ac:dyDescent="0.25">
      <c r="B55" s="75"/>
      <c r="C55" s="76"/>
      <c r="D55" s="83"/>
      <c r="E55" s="84"/>
      <c r="F55" s="84"/>
      <c r="G55" s="84"/>
      <c r="H55" s="84"/>
      <c r="I55" s="85"/>
      <c r="J55" s="83"/>
      <c r="K55" s="85"/>
      <c r="L55" s="83"/>
      <c r="M55" s="85"/>
      <c r="N55" s="83"/>
      <c r="O55" s="85"/>
      <c r="P55" s="96"/>
      <c r="Q55" s="97"/>
      <c r="R55" s="80"/>
      <c r="S55" s="81"/>
    </row>
    <row r="56" spans="2:19" x14ac:dyDescent="0.25">
      <c r="B56" s="71"/>
      <c r="C56" s="72"/>
      <c r="D56" s="77"/>
      <c r="E56" s="78"/>
      <c r="F56" s="78"/>
      <c r="G56" s="78"/>
      <c r="H56" s="78"/>
      <c r="I56" s="79"/>
      <c r="J56" s="77"/>
      <c r="K56" s="79"/>
      <c r="L56" s="77"/>
      <c r="M56" s="79"/>
      <c r="N56" s="77"/>
      <c r="O56" s="79"/>
      <c r="P56" s="92"/>
      <c r="Q56" s="93"/>
      <c r="R56" s="80" t="str">
        <f t="shared" ref="R56" ca="1" si="14">IF(L56=""," ",IF(P56="Concluída"," ",IF(TODAY()&gt;L56,"EM ATRASO",IF(TODAY()=L56,"HOJE"," "))))</f>
        <v xml:space="preserve"> </v>
      </c>
      <c r="S56" s="81"/>
    </row>
    <row r="57" spans="2:19" x14ac:dyDescent="0.25">
      <c r="B57" s="73"/>
      <c r="C57" s="74"/>
      <c r="D57" s="80"/>
      <c r="E57" s="81"/>
      <c r="F57" s="81"/>
      <c r="G57" s="81"/>
      <c r="H57" s="81"/>
      <c r="I57" s="82"/>
      <c r="J57" s="80"/>
      <c r="K57" s="82"/>
      <c r="L57" s="80"/>
      <c r="M57" s="82"/>
      <c r="N57" s="80"/>
      <c r="O57" s="82"/>
      <c r="P57" s="94"/>
      <c r="Q57" s="95"/>
      <c r="R57" s="80"/>
      <c r="S57" s="81"/>
    </row>
    <row r="58" spans="2:19" x14ac:dyDescent="0.25">
      <c r="B58" s="75"/>
      <c r="C58" s="76"/>
      <c r="D58" s="83"/>
      <c r="E58" s="84"/>
      <c r="F58" s="84"/>
      <c r="G58" s="84"/>
      <c r="H58" s="84"/>
      <c r="I58" s="85"/>
      <c r="J58" s="83"/>
      <c r="K58" s="85"/>
      <c r="L58" s="83"/>
      <c r="M58" s="85"/>
      <c r="N58" s="83"/>
      <c r="O58" s="85"/>
      <c r="P58" s="96"/>
      <c r="Q58" s="97"/>
      <c r="R58" s="80"/>
      <c r="S58" s="81"/>
    </row>
    <row r="59" spans="2:19" x14ac:dyDescent="0.25">
      <c r="B59" s="71"/>
      <c r="C59" s="72"/>
      <c r="D59" s="77"/>
      <c r="E59" s="78"/>
      <c r="F59" s="78"/>
      <c r="G59" s="78"/>
      <c r="H59" s="78"/>
      <c r="I59" s="79"/>
      <c r="J59" s="77"/>
      <c r="K59" s="79"/>
      <c r="L59" s="77"/>
      <c r="M59" s="79"/>
      <c r="N59" s="77"/>
      <c r="O59" s="79"/>
      <c r="P59" s="92"/>
      <c r="Q59" s="93"/>
      <c r="R59" s="80" t="str">
        <f t="shared" ref="R59" ca="1" si="15">IF(L59=""," ",IF(P59="Concluída"," ",IF(TODAY()&gt;L59,"EM ATRASO",IF(TODAY()=L59,"HOJE"," "))))</f>
        <v xml:space="preserve"> </v>
      </c>
      <c r="S59" s="81"/>
    </row>
    <row r="60" spans="2:19" x14ac:dyDescent="0.25">
      <c r="B60" s="73"/>
      <c r="C60" s="74"/>
      <c r="D60" s="80"/>
      <c r="E60" s="81"/>
      <c r="F60" s="81"/>
      <c r="G60" s="81"/>
      <c r="H60" s="81"/>
      <c r="I60" s="82"/>
      <c r="J60" s="80"/>
      <c r="K60" s="82"/>
      <c r="L60" s="80"/>
      <c r="M60" s="82"/>
      <c r="N60" s="80"/>
      <c r="O60" s="82"/>
      <c r="P60" s="94"/>
      <c r="Q60" s="95"/>
      <c r="R60" s="80"/>
      <c r="S60" s="81"/>
    </row>
    <row r="61" spans="2:19" x14ac:dyDescent="0.25">
      <c r="B61" s="75"/>
      <c r="C61" s="76"/>
      <c r="D61" s="83"/>
      <c r="E61" s="84"/>
      <c r="F61" s="84"/>
      <c r="G61" s="84"/>
      <c r="H61" s="84"/>
      <c r="I61" s="85"/>
      <c r="J61" s="83"/>
      <c r="K61" s="85"/>
      <c r="L61" s="83"/>
      <c r="M61" s="85"/>
      <c r="N61" s="83"/>
      <c r="O61" s="85"/>
      <c r="P61" s="96"/>
      <c r="Q61" s="97"/>
      <c r="R61" s="80"/>
      <c r="S61" s="81"/>
    </row>
    <row r="62" spans="2:19" x14ac:dyDescent="0.25">
      <c r="B62" s="71"/>
      <c r="C62" s="72"/>
      <c r="D62" s="77"/>
      <c r="E62" s="78"/>
      <c r="F62" s="78"/>
      <c r="G62" s="78"/>
      <c r="H62" s="78"/>
      <c r="I62" s="79"/>
      <c r="J62" s="77"/>
      <c r="K62" s="79"/>
      <c r="L62" s="77"/>
      <c r="M62" s="79"/>
      <c r="N62" s="77"/>
      <c r="O62" s="79"/>
      <c r="P62" s="92"/>
      <c r="Q62" s="93"/>
      <c r="R62" s="80" t="str">
        <f t="shared" ref="R62" ca="1" si="16">IF(L62=""," ",IF(P62="Concluída"," ",IF(TODAY()&gt;L62,"EM ATRASO",IF(TODAY()=L62,"HOJE"," "))))</f>
        <v xml:space="preserve"> </v>
      </c>
      <c r="S62" s="81"/>
    </row>
    <row r="63" spans="2:19" x14ac:dyDescent="0.25">
      <c r="B63" s="73"/>
      <c r="C63" s="74"/>
      <c r="D63" s="80"/>
      <c r="E63" s="81"/>
      <c r="F63" s="81"/>
      <c r="G63" s="81"/>
      <c r="H63" s="81"/>
      <c r="I63" s="82"/>
      <c r="J63" s="80"/>
      <c r="K63" s="82"/>
      <c r="L63" s="80"/>
      <c r="M63" s="82"/>
      <c r="N63" s="80"/>
      <c r="O63" s="82"/>
      <c r="P63" s="94"/>
      <c r="Q63" s="95"/>
      <c r="R63" s="80"/>
      <c r="S63" s="81"/>
    </row>
    <row r="64" spans="2:19" x14ac:dyDescent="0.25">
      <c r="B64" s="75"/>
      <c r="C64" s="76"/>
      <c r="D64" s="83"/>
      <c r="E64" s="84"/>
      <c r="F64" s="84"/>
      <c r="G64" s="84"/>
      <c r="H64" s="84"/>
      <c r="I64" s="85"/>
      <c r="J64" s="83"/>
      <c r="K64" s="85"/>
      <c r="L64" s="83"/>
      <c r="M64" s="85"/>
      <c r="N64" s="83"/>
      <c r="O64" s="85"/>
      <c r="P64" s="96"/>
      <c r="Q64" s="97"/>
      <c r="R64" s="80"/>
      <c r="S64" s="81"/>
    </row>
    <row r="65" spans="2:19" x14ac:dyDescent="0.25">
      <c r="B65" s="71"/>
      <c r="C65" s="72"/>
      <c r="D65" s="77"/>
      <c r="E65" s="78"/>
      <c r="F65" s="78"/>
      <c r="G65" s="78"/>
      <c r="H65" s="78"/>
      <c r="I65" s="79"/>
      <c r="J65" s="77"/>
      <c r="K65" s="79"/>
      <c r="L65" s="77"/>
      <c r="M65" s="79"/>
      <c r="N65" s="77"/>
      <c r="O65" s="79"/>
      <c r="P65" s="92"/>
      <c r="Q65" s="93"/>
      <c r="R65" s="80" t="str">
        <f t="shared" ref="R65" ca="1" si="17">IF(L65=""," ",IF(P65="Concluída"," ",IF(TODAY()&gt;L65,"EM ATRASO",IF(TODAY()=L65,"HOJE"," "))))</f>
        <v xml:space="preserve"> </v>
      </c>
      <c r="S65" s="81"/>
    </row>
    <row r="66" spans="2:19" x14ac:dyDescent="0.25">
      <c r="B66" s="73"/>
      <c r="C66" s="74"/>
      <c r="D66" s="80"/>
      <c r="E66" s="81"/>
      <c r="F66" s="81"/>
      <c r="G66" s="81"/>
      <c r="H66" s="81"/>
      <c r="I66" s="82"/>
      <c r="J66" s="80"/>
      <c r="K66" s="82"/>
      <c r="L66" s="80"/>
      <c r="M66" s="82"/>
      <c r="N66" s="80"/>
      <c r="O66" s="82"/>
      <c r="P66" s="94"/>
      <c r="Q66" s="95"/>
      <c r="R66" s="80"/>
      <c r="S66" s="81"/>
    </row>
    <row r="67" spans="2:19" x14ac:dyDescent="0.25">
      <c r="B67" s="75"/>
      <c r="C67" s="76"/>
      <c r="D67" s="83"/>
      <c r="E67" s="84"/>
      <c r="F67" s="84"/>
      <c r="G67" s="84"/>
      <c r="H67" s="84"/>
      <c r="I67" s="85"/>
      <c r="J67" s="83"/>
      <c r="K67" s="85"/>
      <c r="L67" s="83"/>
      <c r="M67" s="85"/>
      <c r="N67" s="83"/>
      <c r="O67" s="85"/>
      <c r="P67" s="96"/>
      <c r="Q67" s="97"/>
      <c r="R67" s="80"/>
      <c r="S67" s="81"/>
    </row>
    <row r="68" spans="2:19" x14ac:dyDescent="0.25">
      <c r="B68" s="71"/>
      <c r="C68" s="72"/>
      <c r="D68" s="77"/>
      <c r="E68" s="78"/>
      <c r="F68" s="78"/>
      <c r="G68" s="78"/>
      <c r="H68" s="78"/>
      <c r="I68" s="79"/>
      <c r="J68" s="77"/>
      <c r="K68" s="79"/>
      <c r="L68" s="77"/>
      <c r="M68" s="79"/>
      <c r="N68" s="77"/>
      <c r="O68" s="79"/>
      <c r="P68" s="92"/>
      <c r="Q68" s="93"/>
      <c r="R68" s="80" t="str">
        <f t="shared" ref="R68" ca="1" si="18">IF(L68=""," ",IF(P68="Concluída"," ",IF(TODAY()&gt;L68,"EM ATRASO",IF(TODAY()=L68,"HOJE"," "))))</f>
        <v xml:space="preserve"> </v>
      </c>
      <c r="S68" s="81"/>
    </row>
    <row r="69" spans="2:19" x14ac:dyDescent="0.25">
      <c r="B69" s="73"/>
      <c r="C69" s="74"/>
      <c r="D69" s="80"/>
      <c r="E69" s="81"/>
      <c r="F69" s="81"/>
      <c r="G69" s="81"/>
      <c r="H69" s="81"/>
      <c r="I69" s="82"/>
      <c r="J69" s="80"/>
      <c r="K69" s="82"/>
      <c r="L69" s="80"/>
      <c r="M69" s="82"/>
      <c r="N69" s="80"/>
      <c r="O69" s="82"/>
      <c r="P69" s="94"/>
      <c r="Q69" s="95"/>
      <c r="R69" s="80"/>
      <c r="S69" s="81"/>
    </row>
    <row r="70" spans="2:19" x14ac:dyDescent="0.25">
      <c r="B70" s="75"/>
      <c r="C70" s="76"/>
      <c r="D70" s="83"/>
      <c r="E70" s="84"/>
      <c r="F70" s="84"/>
      <c r="G70" s="84"/>
      <c r="H70" s="84"/>
      <c r="I70" s="85"/>
      <c r="J70" s="83"/>
      <c r="K70" s="85"/>
      <c r="L70" s="83"/>
      <c r="M70" s="85"/>
      <c r="N70" s="83"/>
      <c r="O70" s="85"/>
      <c r="P70" s="96"/>
      <c r="Q70" s="97"/>
      <c r="R70" s="80"/>
      <c r="S70" s="81"/>
    </row>
    <row r="71" spans="2:19" x14ac:dyDescent="0.25">
      <c r="B71" s="71"/>
      <c r="C71" s="72"/>
      <c r="D71" s="77"/>
      <c r="E71" s="78"/>
      <c r="F71" s="78"/>
      <c r="G71" s="78"/>
      <c r="H71" s="78"/>
      <c r="I71" s="79"/>
      <c r="J71" s="77"/>
      <c r="K71" s="79"/>
      <c r="L71" s="77"/>
      <c r="M71" s="79"/>
      <c r="N71" s="77"/>
      <c r="O71" s="79"/>
      <c r="P71" s="92"/>
      <c r="Q71" s="93"/>
      <c r="R71" s="80" t="str">
        <f t="shared" ref="R71" ca="1" si="19">IF(L71=""," ",IF(P71="Concluída"," ",IF(TODAY()&gt;L71,"EM ATRASO",IF(TODAY()=L71,"HOJE"," "))))</f>
        <v xml:space="preserve"> </v>
      </c>
      <c r="S71" s="81"/>
    </row>
    <row r="72" spans="2:19" x14ac:dyDescent="0.25">
      <c r="B72" s="73"/>
      <c r="C72" s="74"/>
      <c r="D72" s="80"/>
      <c r="E72" s="81"/>
      <c r="F72" s="81"/>
      <c r="G72" s="81"/>
      <c r="H72" s="81"/>
      <c r="I72" s="82"/>
      <c r="J72" s="80"/>
      <c r="K72" s="82"/>
      <c r="L72" s="80"/>
      <c r="M72" s="82"/>
      <c r="N72" s="80"/>
      <c r="O72" s="82"/>
      <c r="P72" s="94"/>
      <c r="Q72" s="95"/>
      <c r="R72" s="80"/>
      <c r="S72" s="81"/>
    </row>
    <row r="73" spans="2:19" x14ac:dyDescent="0.25">
      <c r="B73" s="75"/>
      <c r="C73" s="76"/>
      <c r="D73" s="83"/>
      <c r="E73" s="84"/>
      <c r="F73" s="84"/>
      <c r="G73" s="84"/>
      <c r="H73" s="84"/>
      <c r="I73" s="85"/>
      <c r="J73" s="83"/>
      <c r="K73" s="85"/>
      <c r="L73" s="83"/>
      <c r="M73" s="85"/>
      <c r="N73" s="83"/>
      <c r="O73" s="85"/>
      <c r="P73" s="96"/>
      <c r="Q73" s="97"/>
      <c r="R73" s="80"/>
      <c r="S73" s="81"/>
    </row>
    <row r="74" spans="2:19" x14ac:dyDescent="0.25">
      <c r="B74" s="71"/>
      <c r="C74" s="72"/>
      <c r="D74" s="77"/>
      <c r="E74" s="78"/>
      <c r="F74" s="78"/>
      <c r="G74" s="78"/>
      <c r="H74" s="78"/>
      <c r="I74" s="79"/>
      <c r="J74" s="77"/>
      <c r="K74" s="79"/>
      <c r="L74" s="77"/>
      <c r="M74" s="79"/>
      <c r="N74" s="77"/>
      <c r="O74" s="79"/>
      <c r="P74" s="92"/>
      <c r="Q74" s="93"/>
      <c r="R74" s="80" t="str">
        <f t="shared" ref="R74" ca="1" si="20">IF(L74=""," ",IF(P74="Concluída"," ",IF(TODAY()&gt;L74,"EM ATRASO",IF(TODAY()=L74,"HOJE"," "))))</f>
        <v xml:space="preserve"> </v>
      </c>
      <c r="S74" s="81"/>
    </row>
    <row r="75" spans="2:19" x14ac:dyDescent="0.25">
      <c r="B75" s="73"/>
      <c r="C75" s="74"/>
      <c r="D75" s="80"/>
      <c r="E75" s="81"/>
      <c r="F75" s="81"/>
      <c r="G75" s="81"/>
      <c r="H75" s="81"/>
      <c r="I75" s="82"/>
      <c r="J75" s="80"/>
      <c r="K75" s="82"/>
      <c r="L75" s="80"/>
      <c r="M75" s="82"/>
      <c r="N75" s="80"/>
      <c r="O75" s="82"/>
      <c r="P75" s="94"/>
      <c r="Q75" s="95"/>
      <c r="R75" s="80"/>
      <c r="S75" s="81"/>
    </row>
    <row r="76" spans="2:19" x14ac:dyDescent="0.25">
      <c r="B76" s="75"/>
      <c r="C76" s="76"/>
      <c r="D76" s="83"/>
      <c r="E76" s="84"/>
      <c r="F76" s="84"/>
      <c r="G76" s="84"/>
      <c r="H76" s="84"/>
      <c r="I76" s="85"/>
      <c r="J76" s="83"/>
      <c r="K76" s="85"/>
      <c r="L76" s="83"/>
      <c r="M76" s="85"/>
      <c r="N76" s="83"/>
      <c r="O76" s="85"/>
      <c r="P76" s="96"/>
      <c r="Q76" s="97"/>
      <c r="R76" s="80"/>
      <c r="S76" s="81"/>
    </row>
    <row r="77" spans="2:19" x14ac:dyDescent="0.25">
      <c r="B77" s="71"/>
      <c r="C77" s="72"/>
      <c r="D77" s="77"/>
      <c r="E77" s="78"/>
      <c r="F77" s="78"/>
      <c r="G77" s="78"/>
      <c r="H77" s="78"/>
      <c r="I77" s="79"/>
      <c r="J77" s="77"/>
      <c r="K77" s="79"/>
      <c r="L77" s="77"/>
      <c r="M77" s="79"/>
      <c r="N77" s="77"/>
      <c r="O77" s="79"/>
      <c r="P77" s="92"/>
      <c r="Q77" s="93"/>
      <c r="R77" s="80" t="str">
        <f t="shared" ref="R77" ca="1" si="21">IF(L77=""," ",IF(P77="Concluída"," ",IF(TODAY()&gt;L77,"EM ATRASO",IF(TODAY()=L77,"HOJE"," "))))</f>
        <v xml:space="preserve"> </v>
      </c>
      <c r="S77" s="81"/>
    </row>
    <row r="78" spans="2:19" x14ac:dyDescent="0.25">
      <c r="B78" s="73"/>
      <c r="C78" s="74"/>
      <c r="D78" s="80"/>
      <c r="E78" s="81"/>
      <c r="F78" s="81"/>
      <c r="G78" s="81"/>
      <c r="H78" s="81"/>
      <c r="I78" s="82"/>
      <c r="J78" s="80"/>
      <c r="K78" s="82"/>
      <c r="L78" s="80"/>
      <c r="M78" s="82"/>
      <c r="N78" s="80"/>
      <c r="O78" s="82"/>
      <c r="P78" s="94"/>
      <c r="Q78" s="95"/>
      <c r="R78" s="80"/>
      <c r="S78" s="81"/>
    </row>
    <row r="79" spans="2:19" x14ac:dyDescent="0.25">
      <c r="B79" s="75"/>
      <c r="C79" s="76"/>
      <c r="D79" s="83"/>
      <c r="E79" s="84"/>
      <c r="F79" s="84"/>
      <c r="G79" s="84"/>
      <c r="H79" s="84"/>
      <c r="I79" s="85"/>
      <c r="J79" s="83"/>
      <c r="K79" s="85"/>
      <c r="L79" s="83"/>
      <c r="M79" s="85"/>
      <c r="N79" s="83"/>
      <c r="O79" s="85"/>
      <c r="P79" s="96"/>
      <c r="Q79" s="97"/>
      <c r="R79" s="80"/>
      <c r="S79" s="81"/>
    </row>
    <row r="80" spans="2:19" x14ac:dyDescent="0.25">
      <c r="B80" s="71"/>
      <c r="C80" s="72"/>
      <c r="D80" s="77"/>
      <c r="E80" s="78"/>
      <c r="F80" s="78"/>
      <c r="G80" s="78"/>
      <c r="H80" s="78"/>
      <c r="I80" s="79"/>
      <c r="J80" s="77"/>
      <c r="K80" s="79"/>
      <c r="L80" s="77"/>
      <c r="M80" s="79"/>
      <c r="N80" s="77"/>
      <c r="O80" s="79"/>
      <c r="P80" s="92"/>
      <c r="Q80" s="93"/>
      <c r="R80" s="80" t="str">
        <f t="shared" ref="R80" ca="1" si="22">IF(L80=""," ",IF(P80="Concluída"," ",IF(TODAY()&gt;L80,"EM ATRASO",IF(TODAY()=L80,"HOJE"," "))))</f>
        <v xml:space="preserve"> </v>
      </c>
      <c r="S80" s="81"/>
    </row>
    <row r="81" spans="2:19" x14ac:dyDescent="0.25">
      <c r="B81" s="73"/>
      <c r="C81" s="74"/>
      <c r="D81" s="80"/>
      <c r="E81" s="81"/>
      <c r="F81" s="81"/>
      <c r="G81" s="81"/>
      <c r="H81" s="81"/>
      <c r="I81" s="82"/>
      <c r="J81" s="80"/>
      <c r="K81" s="82"/>
      <c r="L81" s="80"/>
      <c r="M81" s="82"/>
      <c r="N81" s="80"/>
      <c r="O81" s="82"/>
      <c r="P81" s="94"/>
      <c r="Q81" s="95"/>
      <c r="R81" s="80"/>
      <c r="S81" s="81"/>
    </row>
    <row r="82" spans="2:19" x14ac:dyDescent="0.25">
      <c r="B82" s="75"/>
      <c r="C82" s="76"/>
      <c r="D82" s="83"/>
      <c r="E82" s="84"/>
      <c r="F82" s="84"/>
      <c r="G82" s="84"/>
      <c r="H82" s="84"/>
      <c r="I82" s="85"/>
      <c r="J82" s="83"/>
      <c r="K82" s="85"/>
      <c r="L82" s="83"/>
      <c r="M82" s="85"/>
      <c r="N82" s="83"/>
      <c r="O82" s="85"/>
      <c r="P82" s="96"/>
      <c r="Q82" s="97"/>
      <c r="R82" s="80"/>
      <c r="S82" s="81"/>
    </row>
    <row r="83" spans="2:19" x14ac:dyDescent="0.25">
      <c r="B83" s="71"/>
      <c r="C83" s="72"/>
      <c r="D83" s="77"/>
      <c r="E83" s="78"/>
      <c r="F83" s="78"/>
      <c r="G83" s="78"/>
      <c r="H83" s="78"/>
      <c r="I83" s="79"/>
      <c r="J83" s="77"/>
      <c r="K83" s="79"/>
      <c r="L83" s="77"/>
      <c r="M83" s="79"/>
      <c r="N83" s="77"/>
      <c r="O83" s="79"/>
      <c r="P83" s="92"/>
      <c r="Q83" s="93"/>
      <c r="R83" s="80" t="str">
        <f t="shared" ref="R83" ca="1" si="23">IF(L83=""," ",IF(P83="Concluída"," ",IF(TODAY()&gt;L83,"EM ATRASO",IF(TODAY()=L83,"HOJE"," "))))</f>
        <v xml:space="preserve"> </v>
      </c>
      <c r="S83" s="81"/>
    </row>
    <row r="84" spans="2:19" x14ac:dyDescent="0.25">
      <c r="B84" s="73"/>
      <c r="C84" s="74"/>
      <c r="D84" s="80"/>
      <c r="E84" s="81"/>
      <c r="F84" s="81"/>
      <c r="G84" s="81"/>
      <c r="H84" s="81"/>
      <c r="I84" s="82"/>
      <c r="J84" s="80"/>
      <c r="K84" s="82"/>
      <c r="L84" s="80"/>
      <c r="M84" s="82"/>
      <c r="N84" s="80"/>
      <c r="O84" s="82"/>
      <c r="P84" s="94"/>
      <c r="Q84" s="95"/>
      <c r="R84" s="80"/>
      <c r="S84" s="81"/>
    </row>
    <row r="85" spans="2:19" x14ac:dyDescent="0.25">
      <c r="B85" s="75"/>
      <c r="C85" s="76"/>
      <c r="D85" s="83"/>
      <c r="E85" s="84"/>
      <c r="F85" s="84"/>
      <c r="G85" s="84"/>
      <c r="H85" s="84"/>
      <c r="I85" s="85"/>
      <c r="J85" s="83"/>
      <c r="K85" s="85"/>
      <c r="L85" s="83"/>
      <c r="M85" s="85"/>
      <c r="N85" s="83"/>
      <c r="O85" s="85"/>
      <c r="P85" s="96"/>
      <c r="Q85" s="97"/>
      <c r="R85" s="80"/>
      <c r="S85" s="81"/>
    </row>
    <row r="86" spans="2:19" x14ac:dyDescent="0.25">
      <c r="B86" s="71"/>
      <c r="C86" s="72"/>
      <c r="D86" s="77"/>
      <c r="E86" s="78"/>
      <c r="F86" s="78"/>
      <c r="G86" s="78"/>
      <c r="H86" s="78"/>
      <c r="I86" s="79"/>
      <c r="J86" s="77"/>
      <c r="K86" s="79"/>
      <c r="L86" s="77"/>
      <c r="M86" s="79"/>
      <c r="N86" s="77"/>
      <c r="O86" s="79"/>
      <c r="P86" s="92"/>
      <c r="Q86" s="93"/>
      <c r="R86" s="80" t="str">
        <f t="shared" ref="R86" ca="1" si="24">IF(L86=""," ",IF(P86="Concluída"," ",IF(TODAY()&gt;L86,"EM ATRASO",IF(TODAY()=L86,"HOJE"," "))))</f>
        <v xml:space="preserve"> </v>
      </c>
      <c r="S86" s="81"/>
    </row>
    <row r="87" spans="2:19" x14ac:dyDescent="0.25">
      <c r="B87" s="73"/>
      <c r="C87" s="74"/>
      <c r="D87" s="80"/>
      <c r="E87" s="81"/>
      <c r="F87" s="81"/>
      <c r="G87" s="81"/>
      <c r="H87" s="81"/>
      <c r="I87" s="82"/>
      <c r="J87" s="80"/>
      <c r="K87" s="82"/>
      <c r="L87" s="80"/>
      <c r="M87" s="82"/>
      <c r="N87" s="80"/>
      <c r="O87" s="82"/>
      <c r="P87" s="94"/>
      <c r="Q87" s="95"/>
      <c r="R87" s="80"/>
      <c r="S87" s="81"/>
    </row>
    <row r="88" spans="2:19" x14ac:dyDescent="0.25">
      <c r="B88" s="75"/>
      <c r="C88" s="76"/>
      <c r="D88" s="83"/>
      <c r="E88" s="84"/>
      <c r="F88" s="84"/>
      <c r="G88" s="84"/>
      <c r="H88" s="84"/>
      <c r="I88" s="85"/>
      <c r="J88" s="83"/>
      <c r="K88" s="85"/>
      <c r="L88" s="83"/>
      <c r="M88" s="85"/>
      <c r="N88" s="83"/>
      <c r="O88" s="85"/>
      <c r="P88" s="96"/>
      <c r="Q88" s="97"/>
      <c r="R88" s="80"/>
      <c r="S88" s="81"/>
    </row>
    <row r="89" spans="2:19" x14ac:dyDescent="0.25">
      <c r="B89" s="71"/>
      <c r="C89" s="72"/>
      <c r="D89" s="77"/>
      <c r="E89" s="78"/>
      <c r="F89" s="78"/>
      <c r="G89" s="78"/>
      <c r="H89" s="78"/>
      <c r="I89" s="79"/>
      <c r="J89" s="77"/>
      <c r="K89" s="79"/>
      <c r="L89" s="77"/>
      <c r="M89" s="79"/>
      <c r="N89" s="77"/>
      <c r="O89" s="79"/>
      <c r="P89" s="92"/>
      <c r="Q89" s="93"/>
      <c r="R89" s="80" t="str">
        <f t="shared" ref="R89" ca="1" si="25">IF(L89=""," ",IF(P89="Concluída"," ",IF(TODAY()&gt;L89,"EM ATRASO",IF(TODAY()=L89,"HOJE"," "))))</f>
        <v xml:space="preserve"> </v>
      </c>
      <c r="S89" s="81"/>
    </row>
    <row r="90" spans="2:19" x14ac:dyDescent="0.25">
      <c r="B90" s="73"/>
      <c r="C90" s="74"/>
      <c r="D90" s="80"/>
      <c r="E90" s="81"/>
      <c r="F90" s="81"/>
      <c r="G90" s="81"/>
      <c r="H90" s="81"/>
      <c r="I90" s="82"/>
      <c r="J90" s="80"/>
      <c r="K90" s="82"/>
      <c r="L90" s="80"/>
      <c r="M90" s="82"/>
      <c r="N90" s="80"/>
      <c r="O90" s="82"/>
      <c r="P90" s="94"/>
      <c r="Q90" s="95"/>
      <c r="R90" s="80"/>
      <c r="S90" s="81"/>
    </row>
    <row r="91" spans="2:19" x14ac:dyDescent="0.25">
      <c r="B91" s="75"/>
      <c r="C91" s="76"/>
      <c r="D91" s="83"/>
      <c r="E91" s="84"/>
      <c r="F91" s="84"/>
      <c r="G91" s="84"/>
      <c r="H91" s="84"/>
      <c r="I91" s="85"/>
      <c r="J91" s="83"/>
      <c r="K91" s="85"/>
      <c r="L91" s="83"/>
      <c r="M91" s="85"/>
      <c r="N91" s="83"/>
      <c r="O91" s="85"/>
      <c r="P91" s="96"/>
      <c r="Q91" s="97"/>
      <c r="R91" s="80"/>
      <c r="S91" s="81"/>
    </row>
    <row r="92" spans="2:19" x14ac:dyDescent="0.25">
      <c r="B92" s="71"/>
      <c r="C92" s="72"/>
      <c r="D92" s="77"/>
      <c r="E92" s="78"/>
      <c r="F92" s="78"/>
      <c r="G92" s="78"/>
      <c r="H92" s="78"/>
      <c r="I92" s="79"/>
      <c r="J92" s="77"/>
      <c r="K92" s="79"/>
      <c r="L92" s="77"/>
      <c r="M92" s="79"/>
      <c r="N92" s="77"/>
      <c r="O92" s="79"/>
      <c r="P92" s="92"/>
      <c r="Q92" s="93"/>
      <c r="R92" s="80" t="str">
        <f t="shared" ref="R92" ca="1" si="26">IF(L92=""," ",IF(P92="Concluída"," ",IF(TODAY()&gt;L92,"EM ATRASO",IF(TODAY()=L92,"HOJE"," "))))</f>
        <v xml:space="preserve"> </v>
      </c>
      <c r="S92" s="81"/>
    </row>
    <row r="93" spans="2:19" x14ac:dyDescent="0.25">
      <c r="B93" s="73"/>
      <c r="C93" s="74"/>
      <c r="D93" s="80"/>
      <c r="E93" s="81"/>
      <c r="F93" s="81"/>
      <c r="G93" s="81"/>
      <c r="H93" s="81"/>
      <c r="I93" s="82"/>
      <c r="J93" s="80"/>
      <c r="K93" s="82"/>
      <c r="L93" s="80"/>
      <c r="M93" s="82"/>
      <c r="N93" s="80"/>
      <c r="O93" s="82"/>
      <c r="P93" s="94"/>
      <c r="Q93" s="95"/>
      <c r="R93" s="80"/>
      <c r="S93" s="81"/>
    </row>
    <row r="94" spans="2:19" x14ac:dyDescent="0.25">
      <c r="B94" s="75"/>
      <c r="C94" s="76"/>
      <c r="D94" s="83"/>
      <c r="E94" s="84"/>
      <c r="F94" s="84"/>
      <c r="G94" s="84"/>
      <c r="H94" s="84"/>
      <c r="I94" s="85"/>
      <c r="J94" s="83"/>
      <c r="K94" s="85"/>
      <c r="L94" s="83"/>
      <c r="M94" s="85"/>
      <c r="N94" s="83"/>
      <c r="O94" s="85"/>
      <c r="P94" s="96"/>
      <c r="Q94" s="97"/>
      <c r="R94" s="80"/>
      <c r="S94" s="81"/>
    </row>
    <row r="95" spans="2:19" x14ac:dyDescent="0.25">
      <c r="B95" s="71"/>
      <c r="C95" s="72"/>
      <c r="D95" s="77"/>
      <c r="E95" s="78"/>
      <c r="F95" s="78"/>
      <c r="G95" s="78"/>
      <c r="H95" s="78"/>
      <c r="I95" s="79"/>
      <c r="J95" s="77"/>
      <c r="K95" s="79"/>
      <c r="L95" s="77"/>
      <c r="M95" s="79"/>
      <c r="N95" s="77"/>
      <c r="O95" s="79"/>
      <c r="P95" s="92"/>
      <c r="Q95" s="93"/>
      <c r="R95" s="80" t="str">
        <f t="shared" ref="R95" ca="1" si="27">IF(L95=""," ",IF(P95="Concluída"," ",IF(TODAY()&gt;L95,"EM ATRASO",IF(TODAY()=L95,"HOJE"," "))))</f>
        <v xml:space="preserve"> </v>
      </c>
      <c r="S95" s="81"/>
    </row>
    <row r="96" spans="2:19" x14ac:dyDescent="0.25">
      <c r="B96" s="73"/>
      <c r="C96" s="74"/>
      <c r="D96" s="80"/>
      <c r="E96" s="81"/>
      <c r="F96" s="81"/>
      <c r="G96" s="81"/>
      <c r="H96" s="81"/>
      <c r="I96" s="82"/>
      <c r="J96" s="80"/>
      <c r="K96" s="82"/>
      <c r="L96" s="80"/>
      <c r="M96" s="82"/>
      <c r="N96" s="80"/>
      <c r="O96" s="82"/>
      <c r="P96" s="94"/>
      <c r="Q96" s="95"/>
      <c r="R96" s="80"/>
      <c r="S96" s="81"/>
    </row>
    <row r="97" spans="2:19" x14ac:dyDescent="0.25">
      <c r="B97" s="75"/>
      <c r="C97" s="76"/>
      <c r="D97" s="83"/>
      <c r="E97" s="84"/>
      <c r="F97" s="84"/>
      <c r="G97" s="84"/>
      <c r="H97" s="84"/>
      <c r="I97" s="85"/>
      <c r="J97" s="83"/>
      <c r="K97" s="85"/>
      <c r="L97" s="83"/>
      <c r="M97" s="85"/>
      <c r="N97" s="83"/>
      <c r="O97" s="85"/>
      <c r="P97" s="96"/>
      <c r="Q97" s="97"/>
      <c r="R97" s="80"/>
      <c r="S97" s="81"/>
    </row>
    <row r="98" spans="2:19" x14ac:dyDescent="0.25">
      <c r="B98" s="71"/>
      <c r="C98" s="72"/>
      <c r="D98" s="77"/>
      <c r="E98" s="78"/>
      <c r="F98" s="78"/>
      <c r="G98" s="78"/>
      <c r="H98" s="78"/>
      <c r="I98" s="79"/>
      <c r="J98" s="77"/>
      <c r="K98" s="79"/>
      <c r="L98" s="77"/>
      <c r="M98" s="79"/>
      <c r="N98" s="77"/>
      <c r="O98" s="79"/>
      <c r="P98" s="92"/>
      <c r="Q98" s="93"/>
      <c r="R98" s="80" t="str">
        <f t="shared" ref="R98" ca="1" si="28">IF(L98=""," ",IF(P98="Concluída"," ",IF(TODAY()&gt;L98,"EM ATRASO",IF(TODAY()=L98,"HOJE"," "))))</f>
        <v xml:space="preserve"> </v>
      </c>
      <c r="S98" s="81"/>
    </row>
    <row r="99" spans="2:19" x14ac:dyDescent="0.25">
      <c r="B99" s="73"/>
      <c r="C99" s="74"/>
      <c r="D99" s="80"/>
      <c r="E99" s="81"/>
      <c r="F99" s="81"/>
      <c r="G99" s="81"/>
      <c r="H99" s="81"/>
      <c r="I99" s="82"/>
      <c r="J99" s="80"/>
      <c r="K99" s="82"/>
      <c r="L99" s="80"/>
      <c r="M99" s="82"/>
      <c r="N99" s="80"/>
      <c r="O99" s="82"/>
      <c r="P99" s="94"/>
      <c r="Q99" s="95"/>
      <c r="R99" s="80"/>
      <c r="S99" s="81"/>
    </row>
    <row r="100" spans="2:19" x14ac:dyDescent="0.25">
      <c r="B100" s="75"/>
      <c r="C100" s="76"/>
      <c r="D100" s="83"/>
      <c r="E100" s="84"/>
      <c r="F100" s="84"/>
      <c r="G100" s="84"/>
      <c r="H100" s="84"/>
      <c r="I100" s="85"/>
      <c r="J100" s="83"/>
      <c r="K100" s="85"/>
      <c r="L100" s="83"/>
      <c r="M100" s="85"/>
      <c r="N100" s="83"/>
      <c r="O100" s="85"/>
      <c r="P100" s="96"/>
      <c r="Q100" s="97"/>
      <c r="R100" s="80"/>
      <c r="S100" s="81"/>
    </row>
    <row r="101" spans="2:19" x14ac:dyDescent="0.25">
      <c r="B101" s="71"/>
      <c r="C101" s="72"/>
      <c r="D101" s="77"/>
      <c r="E101" s="78"/>
      <c r="F101" s="78"/>
      <c r="G101" s="78"/>
      <c r="H101" s="78"/>
      <c r="I101" s="79"/>
      <c r="J101" s="77"/>
      <c r="K101" s="79"/>
      <c r="L101" s="77"/>
      <c r="M101" s="79"/>
      <c r="N101" s="77"/>
      <c r="O101" s="79"/>
      <c r="P101" s="92"/>
      <c r="Q101" s="93"/>
    </row>
    <row r="102" spans="2:19" x14ac:dyDescent="0.25">
      <c r="B102" s="73"/>
      <c r="C102" s="74"/>
      <c r="D102" s="80"/>
      <c r="E102" s="81"/>
      <c r="F102" s="81"/>
      <c r="G102" s="81"/>
      <c r="H102" s="81"/>
      <c r="I102" s="82"/>
      <c r="J102" s="80"/>
      <c r="K102" s="82"/>
      <c r="L102" s="80"/>
      <c r="M102" s="82"/>
      <c r="N102" s="80"/>
      <c r="O102" s="82"/>
      <c r="P102" s="94"/>
      <c r="Q102" s="95"/>
    </row>
    <row r="103" spans="2:19" x14ac:dyDescent="0.25">
      <c r="B103" s="75"/>
      <c r="C103" s="76"/>
      <c r="D103" s="83"/>
      <c r="E103" s="84"/>
      <c r="F103" s="84"/>
      <c r="G103" s="84"/>
      <c r="H103" s="84"/>
      <c r="I103" s="85"/>
      <c r="J103" s="83"/>
      <c r="K103" s="85"/>
      <c r="L103" s="83"/>
      <c r="M103" s="85"/>
      <c r="N103" s="83"/>
      <c r="O103" s="85"/>
      <c r="P103" s="96"/>
      <c r="Q103" s="97"/>
    </row>
    <row r="104" spans="2:19" x14ac:dyDescent="0.25">
      <c r="B104" s="71"/>
      <c r="C104" s="72"/>
      <c r="D104" s="77"/>
      <c r="E104" s="78"/>
      <c r="F104" s="78"/>
      <c r="G104" s="78"/>
      <c r="H104" s="78"/>
      <c r="I104" s="79"/>
      <c r="J104" s="77"/>
      <c r="K104" s="79"/>
      <c r="L104" s="77"/>
      <c r="M104" s="79"/>
      <c r="N104" s="77"/>
      <c r="O104" s="79"/>
      <c r="P104" s="92"/>
      <c r="Q104" s="93"/>
    </row>
    <row r="105" spans="2:19" x14ac:dyDescent="0.25">
      <c r="B105" s="73"/>
      <c r="C105" s="74"/>
      <c r="D105" s="80"/>
      <c r="E105" s="81"/>
      <c r="F105" s="81"/>
      <c r="G105" s="81"/>
      <c r="H105" s="81"/>
      <c r="I105" s="82"/>
      <c r="J105" s="80"/>
      <c r="K105" s="82"/>
      <c r="L105" s="80"/>
      <c r="M105" s="82"/>
      <c r="N105" s="80"/>
      <c r="O105" s="82"/>
      <c r="P105" s="94"/>
      <c r="Q105" s="95"/>
    </row>
    <row r="106" spans="2:19" x14ac:dyDescent="0.25">
      <c r="B106" s="75"/>
      <c r="C106" s="76"/>
      <c r="D106" s="83"/>
      <c r="E106" s="84"/>
      <c r="F106" s="84"/>
      <c r="G106" s="84"/>
      <c r="H106" s="84"/>
      <c r="I106" s="85"/>
      <c r="J106" s="83"/>
      <c r="K106" s="85"/>
      <c r="L106" s="83"/>
      <c r="M106" s="85"/>
      <c r="N106" s="83"/>
      <c r="O106" s="85"/>
      <c r="P106" s="96"/>
      <c r="Q106" s="97"/>
    </row>
    <row r="107" spans="2:19" x14ac:dyDescent="0.25">
      <c r="B107" s="71"/>
      <c r="C107" s="72"/>
      <c r="D107" s="77"/>
      <c r="E107" s="78"/>
      <c r="F107" s="78"/>
      <c r="G107" s="78"/>
      <c r="H107" s="78"/>
      <c r="I107" s="79"/>
      <c r="J107" s="77"/>
      <c r="K107" s="79"/>
      <c r="L107" s="77"/>
      <c r="M107" s="79"/>
      <c r="N107" s="77"/>
      <c r="O107" s="79"/>
      <c r="P107" s="92"/>
      <c r="Q107" s="93"/>
    </row>
    <row r="108" spans="2:19" x14ac:dyDescent="0.25">
      <c r="B108" s="73"/>
      <c r="C108" s="74"/>
      <c r="D108" s="80"/>
      <c r="E108" s="81"/>
      <c r="F108" s="81"/>
      <c r="G108" s="81"/>
      <c r="H108" s="81"/>
      <c r="I108" s="82"/>
      <c r="J108" s="80"/>
      <c r="K108" s="82"/>
      <c r="L108" s="80"/>
      <c r="M108" s="82"/>
      <c r="N108" s="80"/>
      <c r="O108" s="82"/>
      <c r="P108" s="94"/>
      <c r="Q108" s="95"/>
    </row>
    <row r="109" spans="2:19" x14ac:dyDescent="0.25">
      <c r="B109" s="75"/>
      <c r="C109" s="76"/>
      <c r="D109" s="83"/>
      <c r="E109" s="84"/>
      <c r="F109" s="84"/>
      <c r="G109" s="84"/>
      <c r="H109" s="84"/>
      <c r="I109" s="85"/>
      <c r="J109" s="83"/>
      <c r="K109" s="85"/>
      <c r="L109" s="83"/>
      <c r="M109" s="85"/>
      <c r="N109" s="83"/>
      <c r="O109" s="85"/>
      <c r="P109" s="96"/>
      <c r="Q109" s="97"/>
    </row>
    <row r="110" spans="2:19" x14ac:dyDescent="0.25">
      <c r="B110" s="71"/>
      <c r="C110" s="72"/>
      <c r="D110" s="77"/>
      <c r="E110" s="78"/>
      <c r="F110" s="78"/>
      <c r="G110" s="78"/>
      <c r="H110" s="78"/>
      <c r="I110" s="79"/>
      <c r="J110" s="77"/>
      <c r="K110" s="79"/>
      <c r="L110" s="77"/>
      <c r="M110" s="79"/>
      <c r="N110" s="77"/>
      <c r="O110" s="79"/>
      <c r="P110" s="92"/>
      <c r="Q110" s="93"/>
    </row>
    <row r="111" spans="2:19" x14ac:dyDescent="0.25">
      <c r="B111" s="73"/>
      <c r="C111" s="74"/>
      <c r="D111" s="80"/>
      <c r="E111" s="81"/>
      <c r="F111" s="81"/>
      <c r="G111" s="81"/>
      <c r="H111" s="81"/>
      <c r="I111" s="82"/>
      <c r="J111" s="80"/>
      <c r="K111" s="82"/>
      <c r="L111" s="80"/>
      <c r="M111" s="82"/>
      <c r="N111" s="80"/>
      <c r="O111" s="82"/>
      <c r="P111" s="94"/>
      <c r="Q111" s="95"/>
    </row>
    <row r="112" spans="2:19" x14ac:dyDescent="0.25">
      <c r="B112" s="75"/>
      <c r="C112" s="76"/>
      <c r="D112" s="83"/>
      <c r="E112" s="84"/>
      <c r="F112" s="84"/>
      <c r="G112" s="84"/>
      <c r="H112" s="84"/>
      <c r="I112" s="85"/>
      <c r="J112" s="83"/>
      <c r="K112" s="85"/>
      <c r="L112" s="83"/>
      <c r="M112" s="85"/>
      <c r="N112" s="83"/>
      <c r="O112" s="85"/>
      <c r="P112" s="96"/>
      <c r="Q112" s="97"/>
    </row>
    <row r="113" spans="2:17" x14ac:dyDescent="0.25">
      <c r="B113" s="71"/>
      <c r="C113" s="72"/>
      <c r="D113" s="77"/>
      <c r="E113" s="78"/>
      <c r="F113" s="78"/>
      <c r="G113" s="78"/>
      <c r="H113" s="78"/>
      <c r="I113" s="79"/>
      <c r="J113" s="77"/>
      <c r="K113" s="79"/>
      <c r="L113" s="77"/>
      <c r="M113" s="79"/>
      <c r="N113" s="77"/>
      <c r="O113" s="79"/>
      <c r="P113" s="92"/>
      <c r="Q113" s="93"/>
    </row>
    <row r="114" spans="2:17" x14ac:dyDescent="0.25">
      <c r="B114" s="73"/>
      <c r="C114" s="74"/>
      <c r="D114" s="80"/>
      <c r="E114" s="81"/>
      <c r="F114" s="81"/>
      <c r="G114" s="81"/>
      <c r="H114" s="81"/>
      <c r="I114" s="82"/>
      <c r="J114" s="80"/>
      <c r="K114" s="82"/>
      <c r="L114" s="80"/>
      <c r="M114" s="82"/>
      <c r="N114" s="80"/>
      <c r="O114" s="82"/>
      <c r="P114" s="94"/>
      <c r="Q114" s="95"/>
    </row>
    <row r="115" spans="2:17" x14ac:dyDescent="0.25">
      <c r="B115" s="75"/>
      <c r="C115" s="76"/>
      <c r="D115" s="83"/>
      <c r="E115" s="84"/>
      <c r="F115" s="84"/>
      <c r="G115" s="84"/>
      <c r="H115" s="84"/>
      <c r="I115" s="85"/>
      <c r="J115" s="83"/>
      <c r="K115" s="85"/>
      <c r="L115" s="83"/>
      <c r="M115" s="85"/>
      <c r="N115" s="83"/>
      <c r="O115" s="85"/>
      <c r="P115" s="96"/>
      <c r="Q115" s="97"/>
    </row>
    <row r="116" spans="2:17" x14ac:dyDescent="0.25">
      <c r="B116" s="71"/>
      <c r="C116" s="72"/>
      <c r="D116" s="77"/>
      <c r="E116" s="78"/>
      <c r="F116" s="78"/>
      <c r="G116" s="78"/>
      <c r="H116" s="78"/>
      <c r="I116" s="79"/>
      <c r="J116" s="77"/>
      <c r="K116" s="79"/>
      <c r="L116" s="77"/>
      <c r="M116" s="79"/>
      <c r="N116" s="77"/>
      <c r="O116" s="79"/>
      <c r="P116" s="92"/>
      <c r="Q116" s="93"/>
    </row>
    <row r="117" spans="2:17" x14ac:dyDescent="0.25">
      <c r="B117" s="73"/>
      <c r="C117" s="74"/>
      <c r="D117" s="80"/>
      <c r="E117" s="81"/>
      <c r="F117" s="81"/>
      <c r="G117" s="81"/>
      <c r="H117" s="81"/>
      <c r="I117" s="82"/>
      <c r="J117" s="80"/>
      <c r="K117" s="82"/>
      <c r="L117" s="80"/>
      <c r="M117" s="82"/>
      <c r="N117" s="80"/>
      <c r="O117" s="82"/>
      <c r="P117" s="94"/>
      <c r="Q117" s="95"/>
    </row>
    <row r="118" spans="2:17" x14ac:dyDescent="0.25">
      <c r="B118" s="75"/>
      <c r="C118" s="76"/>
      <c r="D118" s="83"/>
      <c r="E118" s="84"/>
      <c r="F118" s="84"/>
      <c r="G118" s="84"/>
      <c r="H118" s="84"/>
      <c r="I118" s="85"/>
      <c r="J118" s="83"/>
      <c r="K118" s="85"/>
      <c r="L118" s="83"/>
      <c r="M118" s="85"/>
      <c r="N118" s="83"/>
      <c r="O118" s="85"/>
      <c r="P118" s="96"/>
      <c r="Q118" s="97"/>
    </row>
    <row r="119" spans="2:17" x14ac:dyDescent="0.25">
      <c r="B119" s="71"/>
      <c r="C119" s="72"/>
      <c r="D119" s="77"/>
      <c r="E119" s="78"/>
      <c r="F119" s="78"/>
      <c r="G119" s="78"/>
      <c r="H119" s="78"/>
      <c r="I119" s="79"/>
      <c r="J119" s="77"/>
      <c r="K119" s="79"/>
      <c r="L119" s="77"/>
      <c r="M119" s="79"/>
      <c r="N119" s="77"/>
      <c r="O119" s="79"/>
      <c r="P119" s="92"/>
      <c r="Q119" s="93"/>
    </row>
    <row r="120" spans="2:17" x14ac:dyDescent="0.25">
      <c r="B120" s="73"/>
      <c r="C120" s="74"/>
      <c r="D120" s="80"/>
      <c r="E120" s="81"/>
      <c r="F120" s="81"/>
      <c r="G120" s="81"/>
      <c r="H120" s="81"/>
      <c r="I120" s="82"/>
      <c r="J120" s="80"/>
      <c r="K120" s="82"/>
      <c r="L120" s="80"/>
      <c r="M120" s="82"/>
      <c r="N120" s="80"/>
      <c r="O120" s="82"/>
      <c r="P120" s="94"/>
      <c r="Q120" s="95"/>
    </row>
    <row r="121" spans="2:17" x14ac:dyDescent="0.25">
      <c r="B121" s="75"/>
      <c r="C121" s="76"/>
      <c r="D121" s="83"/>
      <c r="E121" s="84"/>
      <c r="F121" s="84"/>
      <c r="G121" s="84"/>
      <c r="H121" s="84"/>
      <c r="I121" s="85"/>
      <c r="J121" s="83"/>
      <c r="K121" s="85"/>
      <c r="L121" s="83"/>
      <c r="M121" s="85"/>
      <c r="N121" s="83"/>
      <c r="O121" s="85"/>
      <c r="P121" s="96"/>
      <c r="Q121" s="97"/>
    </row>
    <row r="122" spans="2:17" x14ac:dyDescent="0.25">
      <c r="B122" s="71"/>
      <c r="C122" s="72"/>
      <c r="D122" s="77"/>
      <c r="E122" s="78"/>
      <c r="F122" s="78"/>
      <c r="G122" s="78"/>
      <c r="H122" s="78"/>
      <c r="I122" s="79"/>
      <c r="J122" s="77"/>
      <c r="K122" s="79"/>
      <c r="L122" s="77"/>
      <c r="M122" s="79"/>
      <c r="N122" s="77"/>
      <c r="O122" s="79"/>
      <c r="P122" s="92"/>
      <c r="Q122" s="93"/>
    </row>
    <row r="123" spans="2:17" x14ac:dyDescent="0.25">
      <c r="B123" s="73"/>
      <c r="C123" s="74"/>
      <c r="D123" s="80"/>
      <c r="E123" s="81"/>
      <c r="F123" s="81"/>
      <c r="G123" s="81"/>
      <c r="H123" s="81"/>
      <c r="I123" s="82"/>
      <c r="J123" s="80"/>
      <c r="K123" s="82"/>
      <c r="L123" s="80"/>
      <c r="M123" s="82"/>
      <c r="N123" s="80"/>
      <c r="O123" s="82"/>
      <c r="P123" s="94"/>
      <c r="Q123" s="95"/>
    </row>
    <row r="124" spans="2:17" x14ac:dyDescent="0.25">
      <c r="B124" s="75"/>
      <c r="C124" s="76"/>
      <c r="D124" s="83"/>
      <c r="E124" s="84"/>
      <c r="F124" s="84"/>
      <c r="G124" s="84"/>
      <c r="H124" s="84"/>
      <c r="I124" s="85"/>
      <c r="J124" s="83"/>
      <c r="K124" s="85"/>
      <c r="L124" s="83"/>
      <c r="M124" s="85"/>
      <c r="N124" s="83"/>
      <c r="O124" s="85"/>
      <c r="P124" s="96"/>
      <c r="Q124" s="97"/>
    </row>
    <row r="125" spans="2:17" x14ac:dyDescent="0.25">
      <c r="B125" s="71"/>
      <c r="C125" s="72"/>
      <c r="D125" s="77"/>
      <c r="E125" s="78"/>
      <c r="F125" s="78"/>
      <c r="G125" s="78"/>
      <c r="H125" s="78"/>
      <c r="I125" s="79"/>
      <c r="J125" s="77"/>
      <c r="K125" s="79"/>
      <c r="L125" s="77"/>
      <c r="M125" s="79"/>
      <c r="N125" s="77"/>
      <c r="O125" s="79"/>
      <c r="P125" s="92"/>
      <c r="Q125" s="93"/>
    </row>
    <row r="126" spans="2:17" x14ac:dyDescent="0.25">
      <c r="B126" s="73"/>
      <c r="C126" s="74"/>
      <c r="D126" s="80"/>
      <c r="E126" s="81"/>
      <c r="F126" s="81"/>
      <c r="G126" s="81"/>
      <c r="H126" s="81"/>
      <c r="I126" s="82"/>
      <c r="J126" s="80"/>
      <c r="K126" s="82"/>
      <c r="L126" s="80"/>
      <c r="M126" s="82"/>
      <c r="N126" s="80"/>
      <c r="O126" s="82"/>
      <c r="P126" s="94"/>
      <c r="Q126" s="95"/>
    </row>
    <row r="127" spans="2:17" x14ac:dyDescent="0.25">
      <c r="B127" s="75"/>
      <c r="C127" s="76"/>
      <c r="D127" s="83"/>
      <c r="E127" s="84"/>
      <c r="F127" s="84"/>
      <c r="G127" s="84"/>
      <c r="H127" s="84"/>
      <c r="I127" s="85"/>
      <c r="J127" s="83"/>
      <c r="K127" s="85"/>
      <c r="L127" s="83"/>
      <c r="M127" s="85"/>
      <c r="N127" s="83"/>
      <c r="O127" s="85"/>
      <c r="P127" s="96"/>
      <c r="Q127" s="97"/>
    </row>
    <row r="128" spans="2:17" x14ac:dyDescent="0.25">
      <c r="B128" s="71"/>
      <c r="C128" s="72"/>
      <c r="D128" s="77"/>
      <c r="E128" s="78"/>
      <c r="F128" s="78"/>
      <c r="G128" s="78"/>
      <c r="H128" s="78"/>
      <c r="I128" s="79"/>
      <c r="J128" s="77"/>
      <c r="K128" s="79"/>
      <c r="L128" s="77"/>
      <c r="M128" s="79"/>
      <c r="N128" s="77"/>
      <c r="O128" s="79"/>
      <c r="P128" s="92"/>
      <c r="Q128" s="93"/>
    </row>
    <row r="129" spans="2:17" x14ac:dyDescent="0.25">
      <c r="B129" s="73"/>
      <c r="C129" s="74"/>
      <c r="D129" s="80"/>
      <c r="E129" s="81"/>
      <c r="F129" s="81"/>
      <c r="G129" s="81"/>
      <c r="H129" s="81"/>
      <c r="I129" s="82"/>
      <c r="J129" s="80"/>
      <c r="K129" s="82"/>
      <c r="L129" s="80"/>
      <c r="M129" s="82"/>
      <c r="N129" s="80"/>
      <c r="O129" s="82"/>
      <c r="P129" s="94"/>
      <c r="Q129" s="95"/>
    </row>
    <row r="130" spans="2:17" x14ac:dyDescent="0.25">
      <c r="B130" s="75"/>
      <c r="C130" s="76"/>
      <c r="D130" s="83"/>
      <c r="E130" s="84"/>
      <c r="F130" s="84"/>
      <c r="G130" s="84"/>
      <c r="H130" s="84"/>
      <c r="I130" s="85"/>
      <c r="J130" s="83"/>
      <c r="K130" s="85"/>
      <c r="L130" s="83"/>
      <c r="M130" s="85"/>
      <c r="N130" s="83"/>
      <c r="O130" s="85"/>
      <c r="P130" s="96"/>
      <c r="Q130" s="97"/>
    </row>
    <row r="131" spans="2:17" x14ac:dyDescent="0.25">
      <c r="B131" s="71"/>
      <c r="C131" s="72"/>
      <c r="D131" s="77"/>
      <c r="E131" s="78"/>
      <c r="F131" s="78"/>
      <c r="G131" s="78"/>
      <c r="H131" s="78"/>
      <c r="I131" s="79"/>
      <c r="J131" s="77"/>
      <c r="K131" s="79"/>
      <c r="L131" s="77"/>
      <c r="M131" s="79"/>
      <c r="N131" s="77"/>
      <c r="O131" s="79"/>
      <c r="P131" s="92"/>
      <c r="Q131" s="93"/>
    </row>
    <row r="132" spans="2:17" x14ac:dyDescent="0.25">
      <c r="B132" s="73"/>
      <c r="C132" s="74"/>
      <c r="D132" s="80"/>
      <c r="E132" s="81"/>
      <c r="F132" s="81"/>
      <c r="G132" s="81"/>
      <c r="H132" s="81"/>
      <c r="I132" s="82"/>
      <c r="J132" s="80"/>
      <c r="K132" s="82"/>
      <c r="L132" s="80"/>
      <c r="M132" s="82"/>
      <c r="N132" s="80"/>
      <c r="O132" s="82"/>
      <c r="P132" s="94"/>
      <c r="Q132" s="95"/>
    </row>
    <row r="133" spans="2:17" x14ac:dyDescent="0.25">
      <c r="B133" s="75"/>
      <c r="C133" s="76"/>
      <c r="D133" s="83"/>
      <c r="E133" s="84"/>
      <c r="F133" s="84"/>
      <c r="G133" s="84"/>
      <c r="H133" s="84"/>
      <c r="I133" s="85"/>
      <c r="J133" s="83"/>
      <c r="K133" s="85"/>
      <c r="L133" s="83"/>
      <c r="M133" s="85"/>
      <c r="N133" s="83"/>
      <c r="O133" s="85"/>
      <c r="P133" s="96"/>
      <c r="Q133" s="97"/>
    </row>
    <row r="134" spans="2:17" x14ac:dyDescent="0.25">
      <c r="B134" s="71"/>
      <c r="C134" s="72"/>
      <c r="D134" s="77"/>
      <c r="E134" s="78"/>
      <c r="F134" s="78"/>
      <c r="G134" s="78"/>
      <c r="H134" s="78"/>
      <c r="I134" s="79"/>
      <c r="J134" s="77"/>
      <c r="K134" s="79"/>
      <c r="L134" s="77"/>
      <c r="M134" s="79"/>
      <c r="N134" s="77"/>
      <c r="O134" s="79"/>
      <c r="P134" s="92"/>
      <c r="Q134" s="93"/>
    </row>
    <row r="135" spans="2:17" x14ac:dyDescent="0.25">
      <c r="B135" s="73"/>
      <c r="C135" s="74"/>
      <c r="D135" s="80"/>
      <c r="E135" s="81"/>
      <c r="F135" s="81"/>
      <c r="G135" s="81"/>
      <c r="H135" s="81"/>
      <c r="I135" s="82"/>
      <c r="J135" s="80"/>
      <c r="K135" s="82"/>
      <c r="L135" s="80"/>
      <c r="M135" s="82"/>
      <c r="N135" s="80"/>
      <c r="O135" s="82"/>
      <c r="P135" s="94"/>
      <c r="Q135" s="95"/>
    </row>
    <row r="136" spans="2:17" x14ac:dyDescent="0.25">
      <c r="B136" s="75"/>
      <c r="C136" s="76"/>
      <c r="D136" s="83"/>
      <c r="E136" s="84"/>
      <c r="F136" s="84"/>
      <c r="G136" s="84"/>
      <c r="H136" s="84"/>
      <c r="I136" s="85"/>
      <c r="J136" s="83"/>
      <c r="K136" s="85"/>
      <c r="L136" s="83"/>
      <c r="M136" s="85"/>
      <c r="N136" s="83"/>
      <c r="O136" s="85"/>
      <c r="P136" s="96"/>
      <c r="Q136" s="97"/>
    </row>
    <row r="137" spans="2:17" x14ac:dyDescent="0.25">
      <c r="B137" s="71"/>
      <c r="C137" s="72"/>
      <c r="D137" s="77"/>
      <c r="E137" s="78"/>
      <c r="F137" s="78"/>
      <c r="G137" s="78"/>
      <c r="H137" s="78"/>
      <c r="I137" s="79"/>
      <c r="J137" s="77"/>
      <c r="K137" s="79"/>
      <c r="L137" s="77"/>
      <c r="M137" s="79"/>
      <c r="N137" s="77"/>
      <c r="O137" s="79"/>
      <c r="P137" s="92"/>
      <c r="Q137" s="93"/>
    </row>
    <row r="138" spans="2:17" x14ac:dyDescent="0.25">
      <c r="B138" s="73"/>
      <c r="C138" s="74"/>
      <c r="D138" s="80"/>
      <c r="E138" s="81"/>
      <c r="F138" s="81"/>
      <c r="G138" s="81"/>
      <c r="H138" s="81"/>
      <c r="I138" s="82"/>
      <c r="J138" s="80"/>
      <c r="K138" s="82"/>
      <c r="L138" s="80"/>
      <c r="M138" s="82"/>
      <c r="N138" s="80"/>
      <c r="O138" s="82"/>
      <c r="P138" s="94"/>
      <c r="Q138" s="95"/>
    </row>
    <row r="139" spans="2:17" x14ac:dyDescent="0.25">
      <c r="B139" s="75"/>
      <c r="C139" s="76"/>
      <c r="D139" s="83"/>
      <c r="E139" s="84"/>
      <c r="F139" s="84"/>
      <c r="G139" s="84"/>
      <c r="H139" s="84"/>
      <c r="I139" s="85"/>
      <c r="J139" s="83"/>
      <c r="K139" s="85"/>
      <c r="L139" s="83"/>
      <c r="M139" s="85"/>
      <c r="N139" s="83"/>
      <c r="O139" s="85"/>
      <c r="P139" s="96"/>
      <c r="Q139" s="97"/>
    </row>
    <row r="140" spans="2:17" x14ac:dyDescent="0.25">
      <c r="B140" s="71"/>
      <c r="C140" s="72"/>
      <c r="D140" s="77"/>
      <c r="E140" s="78"/>
      <c r="F140" s="78"/>
      <c r="G140" s="78"/>
      <c r="H140" s="78"/>
      <c r="I140" s="79"/>
      <c r="J140" s="77"/>
      <c r="K140" s="79"/>
      <c r="L140" s="77"/>
      <c r="M140" s="79"/>
      <c r="N140" s="77"/>
      <c r="O140" s="79"/>
      <c r="P140" s="92"/>
      <c r="Q140" s="93"/>
    </row>
    <row r="141" spans="2:17" x14ac:dyDescent="0.25">
      <c r="B141" s="73"/>
      <c r="C141" s="74"/>
      <c r="D141" s="80"/>
      <c r="E141" s="81"/>
      <c r="F141" s="81"/>
      <c r="G141" s="81"/>
      <c r="H141" s="81"/>
      <c r="I141" s="82"/>
      <c r="J141" s="80"/>
      <c r="K141" s="82"/>
      <c r="L141" s="80"/>
      <c r="M141" s="82"/>
      <c r="N141" s="80"/>
      <c r="O141" s="82"/>
      <c r="P141" s="94"/>
      <c r="Q141" s="95"/>
    </row>
    <row r="142" spans="2:17" x14ac:dyDescent="0.25">
      <c r="B142" s="75"/>
      <c r="C142" s="76"/>
      <c r="D142" s="83"/>
      <c r="E142" s="84"/>
      <c r="F142" s="84"/>
      <c r="G142" s="84"/>
      <c r="H142" s="84"/>
      <c r="I142" s="85"/>
      <c r="J142" s="83"/>
      <c r="K142" s="85"/>
      <c r="L142" s="83"/>
      <c r="M142" s="85"/>
      <c r="N142" s="83"/>
      <c r="O142" s="85"/>
      <c r="P142" s="96"/>
      <c r="Q142" s="97"/>
    </row>
    <row r="143" spans="2:17" x14ac:dyDescent="0.25">
      <c r="B143" s="71"/>
      <c r="C143" s="72"/>
      <c r="D143" s="77"/>
      <c r="E143" s="78"/>
      <c r="F143" s="78"/>
      <c r="G143" s="78"/>
      <c r="H143" s="78"/>
      <c r="I143" s="79"/>
      <c r="J143" s="77"/>
      <c r="K143" s="79"/>
      <c r="L143" s="77"/>
      <c r="M143" s="79"/>
      <c r="N143" s="77"/>
      <c r="O143" s="79"/>
      <c r="P143" s="92"/>
      <c r="Q143" s="93"/>
    </row>
    <row r="144" spans="2:17" x14ac:dyDescent="0.25">
      <c r="B144" s="73"/>
      <c r="C144" s="74"/>
      <c r="D144" s="80"/>
      <c r="E144" s="81"/>
      <c r="F144" s="81"/>
      <c r="G144" s="81"/>
      <c r="H144" s="81"/>
      <c r="I144" s="82"/>
      <c r="J144" s="80"/>
      <c r="K144" s="82"/>
      <c r="L144" s="80"/>
      <c r="M144" s="82"/>
      <c r="N144" s="80"/>
      <c r="O144" s="82"/>
      <c r="P144" s="94"/>
      <c r="Q144" s="95"/>
    </row>
    <row r="145" spans="2:17" x14ac:dyDescent="0.25">
      <c r="B145" s="75"/>
      <c r="C145" s="76"/>
      <c r="D145" s="83"/>
      <c r="E145" s="84"/>
      <c r="F145" s="84"/>
      <c r="G145" s="84"/>
      <c r="H145" s="84"/>
      <c r="I145" s="85"/>
      <c r="J145" s="83"/>
      <c r="K145" s="85"/>
      <c r="L145" s="83"/>
      <c r="M145" s="85"/>
      <c r="N145" s="83"/>
      <c r="O145" s="85"/>
      <c r="P145" s="96"/>
      <c r="Q145" s="97"/>
    </row>
    <row r="146" spans="2:17" x14ac:dyDescent="0.25">
      <c r="B146" s="71"/>
      <c r="C146" s="72"/>
      <c r="D146" s="77"/>
      <c r="E146" s="78"/>
      <c r="F146" s="78"/>
      <c r="G146" s="78"/>
      <c r="H146" s="78"/>
      <c r="I146" s="79"/>
      <c r="J146" s="77"/>
      <c r="K146" s="79"/>
      <c r="L146" s="77"/>
      <c r="M146" s="79"/>
      <c r="N146" s="77"/>
      <c r="O146" s="79"/>
      <c r="P146" s="92"/>
      <c r="Q146" s="93"/>
    </row>
    <row r="147" spans="2:17" x14ac:dyDescent="0.25">
      <c r="B147" s="73"/>
      <c r="C147" s="74"/>
      <c r="D147" s="80"/>
      <c r="E147" s="81"/>
      <c r="F147" s="81"/>
      <c r="G147" s="81"/>
      <c r="H147" s="81"/>
      <c r="I147" s="82"/>
      <c r="J147" s="80"/>
      <c r="K147" s="82"/>
      <c r="L147" s="80"/>
      <c r="M147" s="82"/>
      <c r="N147" s="80"/>
      <c r="O147" s="82"/>
      <c r="P147" s="94"/>
      <c r="Q147" s="95"/>
    </row>
    <row r="148" spans="2:17" x14ac:dyDescent="0.25">
      <c r="B148" s="75"/>
      <c r="C148" s="76"/>
      <c r="D148" s="83"/>
      <c r="E148" s="84"/>
      <c r="F148" s="84"/>
      <c r="G148" s="84"/>
      <c r="H148" s="84"/>
      <c r="I148" s="85"/>
      <c r="J148" s="83"/>
      <c r="K148" s="85"/>
      <c r="L148" s="83"/>
      <c r="M148" s="85"/>
      <c r="N148" s="83"/>
      <c r="O148" s="85"/>
      <c r="P148" s="96"/>
      <c r="Q148" s="97"/>
    </row>
    <row r="149" spans="2:17" x14ac:dyDescent="0.25">
      <c r="B149" s="71"/>
      <c r="C149" s="72"/>
      <c r="D149" s="77"/>
      <c r="E149" s="78"/>
      <c r="F149" s="78"/>
      <c r="G149" s="78"/>
      <c r="H149" s="78"/>
      <c r="I149" s="79"/>
      <c r="J149" s="77"/>
      <c r="K149" s="79"/>
      <c r="L149" s="77"/>
      <c r="M149" s="79"/>
      <c r="N149" s="77"/>
      <c r="O149" s="79"/>
      <c r="P149" s="92"/>
      <c r="Q149" s="93"/>
    </row>
    <row r="150" spans="2:17" x14ac:dyDescent="0.25">
      <c r="B150" s="73"/>
      <c r="C150" s="74"/>
      <c r="D150" s="80"/>
      <c r="E150" s="81"/>
      <c r="F150" s="81"/>
      <c r="G150" s="81"/>
      <c r="H150" s="81"/>
      <c r="I150" s="82"/>
      <c r="J150" s="80"/>
      <c r="K150" s="82"/>
      <c r="L150" s="80"/>
      <c r="M150" s="82"/>
      <c r="N150" s="80"/>
      <c r="O150" s="82"/>
      <c r="P150" s="94"/>
      <c r="Q150" s="95"/>
    </row>
    <row r="151" spans="2:17" x14ac:dyDescent="0.25">
      <c r="B151" s="75"/>
      <c r="C151" s="76"/>
      <c r="D151" s="83"/>
      <c r="E151" s="84"/>
      <c r="F151" s="84"/>
      <c r="G151" s="84"/>
      <c r="H151" s="84"/>
      <c r="I151" s="85"/>
      <c r="J151" s="83"/>
      <c r="K151" s="85"/>
      <c r="L151" s="83"/>
      <c r="M151" s="85"/>
      <c r="N151" s="83"/>
      <c r="O151" s="85"/>
      <c r="P151" s="96"/>
      <c r="Q151" s="97"/>
    </row>
    <row r="152" spans="2:17" x14ac:dyDescent="0.25">
      <c r="B152" s="71"/>
      <c r="C152" s="72"/>
      <c r="D152" s="77"/>
      <c r="E152" s="78"/>
      <c r="F152" s="78"/>
      <c r="G152" s="78"/>
      <c r="H152" s="78"/>
      <c r="I152" s="79"/>
      <c r="J152" s="77"/>
      <c r="K152" s="79"/>
      <c r="L152" s="77"/>
      <c r="M152" s="79"/>
      <c r="N152" s="77"/>
      <c r="O152" s="79"/>
      <c r="P152" s="92"/>
      <c r="Q152" s="93"/>
    </row>
    <row r="153" spans="2:17" x14ac:dyDescent="0.25">
      <c r="B153" s="73"/>
      <c r="C153" s="74"/>
      <c r="D153" s="80"/>
      <c r="E153" s="81"/>
      <c r="F153" s="81"/>
      <c r="G153" s="81"/>
      <c r="H153" s="81"/>
      <c r="I153" s="82"/>
      <c r="J153" s="80"/>
      <c r="K153" s="82"/>
      <c r="L153" s="80"/>
      <c r="M153" s="82"/>
      <c r="N153" s="80"/>
      <c r="O153" s="82"/>
      <c r="P153" s="94"/>
      <c r="Q153" s="95"/>
    </row>
    <row r="154" spans="2:17" x14ac:dyDescent="0.25">
      <c r="B154" s="75"/>
      <c r="C154" s="76"/>
      <c r="D154" s="83"/>
      <c r="E154" s="84"/>
      <c r="F154" s="84"/>
      <c r="G154" s="84"/>
      <c r="H154" s="84"/>
      <c r="I154" s="85"/>
      <c r="J154" s="83"/>
      <c r="K154" s="85"/>
      <c r="L154" s="83"/>
      <c r="M154" s="85"/>
      <c r="N154" s="83"/>
      <c r="O154" s="85"/>
      <c r="P154" s="96"/>
      <c r="Q154" s="97"/>
    </row>
    <row r="155" spans="2:17" x14ac:dyDescent="0.25">
      <c r="B155" s="71"/>
      <c r="C155" s="72"/>
      <c r="D155" s="77"/>
      <c r="E155" s="78"/>
      <c r="F155" s="78"/>
      <c r="G155" s="78"/>
      <c r="H155" s="78"/>
      <c r="I155" s="79"/>
      <c r="J155" s="77"/>
      <c r="K155" s="79"/>
      <c r="L155" s="77"/>
      <c r="M155" s="79"/>
      <c r="N155" s="77"/>
      <c r="O155" s="79"/>
      <c r="P155" s="92"/>
      <c r="Q155" s="93"/>
    </row>
    <row r="156" spans="2:17" x14ac:dyDescent="0.25">
      <c r="B156" s="73"/>
      <c r="C156" s="74"/>
      <c r="D156" s="80"/>
      <c r="E156" s="81"/>
      <c r="F156" s="81"/>
      <c r="G156" s="81"/>
      <c r="H156" s="81"/>
      <c r="I156" s="82"/>
      <c r="J156" s="80"/>
      <c r="K156" s="82"/>
      <c r="L156" s="80"/>
      <c r="M156" s="82"/>
      <c r="N156" s="80"/>
      <c r="O156" s="82"/>
      <c r="P156" s="94"/>
      <c r="Q156" s="95"/>
    </row>
    <row r="157" spans="2:17" x14ac:dyDescent="0.25">
      <c r="B157" s="75"/>
      <c r="C157" s="76"/>
      <c r="D157" s="83"/>
      <c r="E157" s="84"/>
      <c r="F157" s="84"/>
      <c r="G157" s="84"/>
      <c r="H157" s="84"/>
      <c r="I157" s="85"/>
      <c r="J157" s="83"/>
      <c r="K157" s="85"/>
      <c r="L157" s="83"/>
      <c r="M157" s="85"/>
      <c r="N157" s="83"/>
      <c r="O157" s="85"/>
      <c r="P157" s="96"/>
      <c r="Q157" s="97"/>
    </row>
    <row r="158" spans="2:17" x14ac:dyDescent="0.25">
      <c r="B158" s="71"/>
      <c r="C158" s="72"/>
      <c r="D158" s="77"/>
      <c r="E158" s="78"/>
      <c r="F158" s="78"/>
      <c r="G158" s="78"/>
      <c r="H158" s="78"/>
      <c r="I158" s="79"/>
      <c r="J158" s="77"/>
      <c r="K158" s="79"/>
      <c r="L158" s="77"/>
      <c r="M158" s="79"/>
      <c r="N158" s="77"/>
      <c r="O158" s="79"/>
      <c r="P158" s="92"/>
      <c r="Q158" s="93"/>
    </row>
    <row r="159" spans="2:17" x14ac:dyDescent="0.25">
      <c r="B159" s="73"/>
      <c r="C159" s="74"/>
      <c r="D159" s="80"/>
      <c r="E159" s="81"/>
      <c r="F159" s="81"/>
      <c r="G159" s="81"/>
      <c r="H159" s="81"/>
      <c r="I159" s="82"/>
      <c r="J159" s="80"/>
      <c r="K159" s="82"/>
      <c r="L159" s="80"/>
      <c r="M159" s="82"/>
      <c r="N159" s="80"/>
      <c r="O159" s="82"/>
      <c r="P159" s="94"/>
      <c r="Q159" s="95"/>
    </row>
    <row r="160" spans="2:17" x14ac:dyDescent="0.25">
      <c r="B160" s="75"/>
      <c r="C160" s="76"/>
      <c r="D160" s="83"/>
      <c r="E160" s="84"/>
      <c r="F160" s="84"/>
      <c r="G160" s="84"/>
      <c r="H160" s="84"/>
      <c r="I160" s="85"/>
      <c r="J160" s="83"/>
      <c r="K160" s="85"/>
      <c r="L160" s="83"/>
      <c r="M160" s="85"/>
      <c r="N160" s="83"/>
      <c r="O160" s="85"/>
      <c r="P160" s="96"/>
      <c r="Q160" s="97"/>
    </row>
    <row r="161" spans="2:17" x14ac:dyDescent="0.25">
      <c r="B161" s="71"/>
      <c r="C161" s="72"/>
      <c r="D161" s="77"/>
      <c r="E161" s="78"/>
      <c r="F161" s="78"/>
      <c r="G161" s="78"/>
      <c r="H161" s="78"/>
      <c r="I161" s="79"/>
      <c r="J161" s="77"/>
      <c r="K161" s="79"/>
      <c r="L161" s="77"/>
      <c r="M161" s="79"/>
      <c r="N161" s="77"/>
      <c r="O161" s="79"/>
      <c r="P161" s="92"/>
      <c r="Q161" s="93"/>
    </row>
    <row r="162" spans="2:17" x14ac:dyDescent="0.25">
      <c r="B162" s="73"/>
      <c r="C162" s="74"/>
      <c r="D162" s="80"/>
      <c r="E162" s="81"/>
      <c r="F162" s="81"/>
      <c r="G162" s="81"/>
      <c r="H162" s="81"/>
      <c r="I162" s="82"/>
      <c r="J162" s="80"/>
      <c r="K162" s="82"/>
      <c r="L162" s="80"/>
      <c r="M162" s="82"/>
      <c r="N162" s="80"/>
      <c r="O162" s="82"/>
      <c r="P162" s="94"/>
      <c r="Q162" s="95"/>
    </row>
    <row r="163" spans="2:17" x14ac:dyDescent="0.25">
      <c r="B163" s="75"/>
      <c r="C163" s="76"/>
      <c r="D163" s="83"/>
      <c r="E163" s="84"/>
      <c r="F163" s="84"/>
      <c r="G163" s="84"/>
      <c r="H163" s="84"/>
      <c r="I163" s="85"/>
      <c r="J163" s="83"/>
      <c r="K163" s="85"/>
      <c r="L163" s="83"/>
      <c r="M163" s="85"/>
      <c r="N163" s="83"/>
      <c r="O163" s="85"/>
      <c r="P163" s="96"/>
      <c r="Q163" s="97"/>
    </row>
    <row r="164" spans="2:17" x14ac:dyDescent="0.25">
      <c r="B164" s="71"/>
      <c r="C164" s="72"/>
      <c r="D164" s="77"/>
      <c r="E164" s="78"/>
      <c r="F164" s="78"/>
      <c r="G164" s="78"/>
      <c r="H164" s="78"/>
      <c r="I164" s="79"/>
      <c r="J164" s="77"/>
      <c r="K164" s="79"/>
      <c r="L164" s="77"/>
      <c r="M164" s="79"/>
      <c r="N164" s="77"/>
      <c r="O164" s="79"/>
      <c r="P164" s="92"/>
      <c r="Q164" s="93"/>
    </row>
    <row r="165" spans="2:17" x14ac:dyDescent="0.25">
      <c r="B165" s="73"/>
      <c r="C165" s="74"/>
      <c r="D165" s="80"/>
      <c r="E165" s="81"/>
      <c r="F165" s="81"/>
      <c r="G165" s="81"/>
      <c r="H165" s="81"/>
      <c r="I165" s="82"/>
      <c r="J165" s="80"/>
      <c r="K165" s="82"/>
      <c r="L165" s="80"/>
      <c r="M165" s="82"/>
      <c r="N165" s="80"/>
      <c r="O165" s="82"/>
      <c r="P165" s="94"/>
      <c r="Q165" s="95"/>
    </row>
    <row r="166" spans="2:17" x14ac:dyDescent="0.25">
      <c r="B166" s="75"/>
      <c r="C166" s="76"/>
      <c r="D166" s="83"/>
      <c r="E166" s="84"/>
      <c r="F166" s="84"/>
      <c r="G166" s="84"/>
      <c r="H166" s="84"/>
      <c r="I166" s="85"/>
      <c r="J166" s="83"/>
      <c r="K166" s="85"/>
      <c r="L166" s="83"/>
      <c r="M166" s="85"/>
      <c r="N166" s="83"/>
      <c r="O166" s="85"/>
      <c r="P166" s="96"/>
      <c r="Q166" s="97"/>
    </row>
    <row r="167" spans="2:17" x14ac:dyDescent="0.25">
      <c r="B167" s="71"/>
      <c r="C167" s="72"/>
      <c r="D167" s="77"/>
      <c r="E167" s="78"/>
      <c r="F167" s="78"/>
      <c r="G167" s="78"/>
      <c r="H167" s="78"/>
      <c r="I167" s="79"/>
      <c r="J167" s="77"/>
      <c r="K167" s="79"/>
      <c r="L167" s="77"/>
      <c r="M167" s="79"/>
      <c r="N167" s="77"/>
      <c r="O167" s="79"/>
      <c r="P167" s="92"/>
      <c r="Q167" s="93"/>
    </row>
    <row r="168" spans="2:17" x14ac:dyDescent="0.25">
      <c r="B168" s="73"/>
      <c r="C168" s="74"/>
      <c r="D168" s="80"/>
      <c r="E168" s="81"/>
      <c r="F168" s="81"/>
      <c r="G168" s="81"/>
      <c r="H168" s="81"/>
      <c r="I168" s="82"/>
      <c r="J168" s="80"/>
      <c r="K168" s="82"/>
      <c r="L168" s="80"/>
      <c r="M168" s="82"/>
      <c r="N168" s="80"/>
      <c r="O168" s="82"/>
      <c r="P168" s="94"/>
      <c r="Q168" s="95"/>
    </row>
    <row r="169" spans="2:17" x14ac:dyDescent="0.25">
      <c r="B169" s="75"/>
      <c r="C169" s="76"/>
      <c r="D169" s="83"/>
      <c r="E169" s="84"/>
      <c r="F169" s="84"/>
      <c r="G169" s="84"/>
      <c r="H169" s="84"/>
      <c r="I169" s="85"/>
      <c r="J169" s="83"/>
      <c r="K169" s="85"/>
      <c r="L169" s="83"/>
      <c r="M169" s="85"/>
      <c r="N169" s="83"/>
      <c r="O169" s="85"/>
      <c r="P169" s="96"/>
      <c r="Q169" s="97"/>
    </row>
    <row r="170" spans="2:17" x14ac:dyDescent="0.25">
      <c r="B170" s="71"/>
      <c r="C170" s="72"/>
      <c r="D170" s="77"/>
      <c r="E170" s="78"/>
      <c r="F170" s="78"/>
      <c r="G170" s="78"/>
      <c r="H170" s="78"/>
      <c r="I170" s="79"/>
      <c r="J170" s="77"/>
      <c r="K170" s="79"/>
      <c r="L170" s="77"/>
      <c r="M170" s="79"/>
      <c r="N170" s="77"/>
      <c r="O170" s="79"/>
      <c r="P170" s="92"/>
      <c r="Q170" s="93"/>
    </row>
    <row r="171" spans="2:17" x14ac:dyDescent="0.25">
      <c r="B171" s="73"/>
      <c r="C171" s="74"/>
      <c r="D171" s="80"/>
      <c r="E171" s="81"/>
      <c r="F171" s="81"/>
      <c r="G171" s="81"/>
      <c r="H171" s="81"/>
      <c r="I171" s="82"/>
      <c r="J171" s="80"/>
      <c r="K171" s="82"/>
      <c r="L171" s="80"/>
      <c r="M171" s="82"/>
      <c r="N171" s="80"/>
      <c r="O171" s="82"/>
      <c r="P171" s="94"/>
      <c r="Q171" s="95"/>
    </row>
    <row r="172" spans="2:17" x14ac:dyDescent="0.25">
      <c r="B172" s="75"/>
      <c r="C172" s="76"/>
      <c r="D172" s="83"/>
      <c r="E172" s="84"/>
      <c r="F172" s="84"/>
      <c r="G172" s="84"/>
      <c r="H172" s="84"/>
      <c r="I172" s="85"/>
      <c r="J172" s="83"/>
      <c r="K172" s="85"/>
      <c r="L172" s="83"/>
      <c r="M172" s="85"/>
      <c r="N172" s="83"/>
      <c r="O172" s="85"/>
      <c r="P172" s="96"/>
      <c r="Q172" s="97"/>
    </row>
    <row r="173" spans="2:17" x14ac:dyDescent="0.25">
      <c r="B173" s="71"/>
      <c r="C173" s="72"/>
      <c r="D173" s="77"/>
      <c r="E173" s="78"/>
      <c r="F173" s="78"/>
      <c r="G173" s="78"/>
      <c r="H173" s="78"/>
      <c r="I173" s="79"/>
      <c r="J173" s="77"/>
      <c r="K173" s="79"/>
      <c r="L173" s="77"/>
      <c r="M173" s="79"/>
      <c r="N173" s="77"/>
      <c r="O173" s="79"/>
      <c r="P173" s="92"/>
      <c r="Q173" s="93"/>
    </row>
    <row r="174" spans="2:17" x14ac:dyDescent="0.25">
      <c r="B174" s="73"/>
      <c r="C174" s="74"/>
      <c r="D174" s="80"/>
      <c r="E174" s="81"/>
      <c r="F174" s="81"/>
      <c r="G174" s="81"/>
      <c r="H174" s="81"/>
      <c r="I174" s="82"/>
      <c r="J174" s="80"/>
      <c r="K174" s="82"/>
      <c r="L174" s="80"/>
      <c r="M174" s="82"/>
      <c r="N174" s="80"/>
      <c r="O174" s="82"/>
      <c r="P174" s="94"/>
      <c r="Q174" s="95"/>
    </row>
    <row r="175" spans="2:17" x14ac:dyDescent="0.25">
      <c r="B175" s="75"/>
      <c r="C175" s="76"/>
      <c r="D175" s="83"/>
      <c r="E175" s="84"/>
      <c r="F175" s="84"/>
      <c r="G175" s="84"/>
      <c r="H175" s="84"/>
      <c r="I175" s="85"/>
      <c r="J175" s="83"/>
      <c r="K175" s="85"/>
      <c r="L175" s="83"/>
      <c r="M175" s="85"/>
      <c r="N175" s="83"/>
      <c r="O175" s="85"/>
      <c r="P175" s="96"/>
      <c r="Q175" s="97"/>
    </row>
    <row r="176" spans="2:17" x14ac:dyDescent="0.25">
      <c r="B176" s="71"/>
      <c r="C176" s="72"/>
      <c r="D176" s="77"/>
      <c r="E176" s="78"/>
      <c r="F176" s="78"/>
      <c r="G176" s="78"/>
      <c r="H176" s="78"/>
      <c r="I176" s="79"/>
      <c r="J176" s="77"/>
      <c r="K176" s="79"/>
      <c r="L176" s="77"/>
      <c r="M176" s="79"/>
      <c r="N176" s="77"/>
      <c r="O176" s="79"/>
      <c r="P176" s="92"/>
      <c r="Q176" s="93"/>
    </row>
    <row r="177" spans="2:17" x14ac:dyDescent="0.25">
      <c r="B177" s="73"/>
      <c r="C177" s="74"/>
      <c r="D177" s="80"/>
      <c r="E177" s="81"/>
      <c r="F177" s="81"/>
      <c r="G177" s="81"/>
      <c r="H177" s="81"/>
      <c r="I177" s="82"/>
      <c r="J177" s="80"/>
      <c r="K177" s="82"/>
      <c r="L177" s="80"/>
      <c r="M177" s="82"/>
      <c r="N177" s="80"/>
      <c r="O177" s="82"/>
      <c r="P177" s="94"/>
      <c r="Q177" s="95"/>
    </row>
    <row r="178" spans="2:17" x14ac:dyDescent="0.25">
      <c r="B178" s="75"/>
      <c r="C178" s="76"/>
      <c r="D178" s="83"/>
      <c r="E178" s="84"/>
      <c r="F178" s="84"/>
      <c r="G178" s="84"/>
      <c r="H178" s="84"/>
      <c r="I178" s="85"/>
      <c r="J178" s="83"/>
      <c r="K178" s="85"/>
      <c r="L178" s="83"/>
      <c r="M178" s="85"/>
      <c r="N178" s="83"/>
      <c r="O178" s="85"/>
      <c r="P178" s="96"/>
      <c r="Q178" s="97"/>
    </row>
    <row r="179" spans="2:17" x14ac:dyDescent="0.25">
      <c r="B179" s="71"/>
      <c r="C179" s="72"/>
      <c r="D179" s="77"/>
      <c r="E179" s="78"/>
      <c r="F179" s="78"/>
      <c r="G179" s="78"/>
      <c r="H179" s="78"/>
      <c r="I179" s="79"/>
      <c r="J179" s="77"/>
      <c r="K179" s="79"/>
      <c r="L179" s="77"/>
      <c r="M179" s="79"/>
      <c r="N179" s="77"/>
      <c r="O179" s="79"/>
      <c r="P179" s="92"/>
      <c r="Q179" s="93"/>
    </row>
    <row r="180" spans="2:17" x14ac:dyDescent="0.25">
      <c r="B180" s="73"/>
      <c r="C180" s="74"/>
      <c r="D180" s="80"/>
      <c r="E180" s="81"/>
      <c r="F180" s="81"/>
      <c r="G180" s="81"/>
      <c r="H180" s="81"/>
      <c r="I180" s="82"/>
      <c r="J180" s="80"/>
      <c r="K180" s="82"/>
      <c r="L180" s="80"/>
      <c r="M180" s="82"/>
      <c r="N180" s="80"/>
      <c r="O180" s="82"/>
      <c r="P180" s="94"/>
      <c r="Q180" s="95"/>
    </row>
    <row r="181" spans="2:17" x14ac:dyDescent="0.25">
      <c r="B181" s="75"/>
      <c r="C181" s="76"/>
      <c r="D181" s="83"/>
      <c r="E181" s="84"/>
      <c r="F181" s="84"/>
      <c r="G181" s="84"/>
      <c r="H181" s="84"/>
      <c r="I181" s="85"/>
      <c r="J181" s="83"/>
      <c r="K181" s="85"/>
      <c r="L181" s="83"/>
      <c r="M181" s="85"/>
      <c r="N181" s="83"/>
      <c r="O181" s="85"/>
      <c r="P181" s="96"/>
      <c r="Q181" s="97"/>
    </row>
    <row r="182" spans="2:17" x14ac:dyDescent="0.25">
      <c r="B182" s="71"/>
      <c r="C182" s="72"/>
      <c r="D182" s="77"/>
      <c r="E182" s="78"/>
      <c r="F182" s="78"/>
      <c r="G182" s="78"/>
      <c r="H182" s="78"/>
      <c r="I182" s="79"/>
      <c r="J182" s="77"/>
      <c r="K182" s="79"/>
      <c r="L182" s="77"/>
      <c r="M182" s="79"/>
      <c r="N182" s="77"/>
      <c r="O182" s="79"/>
      <c r="P182" s="92"/>
      <c r="Q182" s="93"/>
    </row>
    <row r="183" spans="2:17" x14ac:dyDescent="0.25">
      <c r="B183" s="73"/>
      <c r="C183" s="74"/>
      <c r="D183" s="80"/>
      <c r="E183" s="81"/>
      <c r="F183" s="81"/>
      <c r="G183" s="81"/>
      <c r="H183" s="81"/>
      <c r="I183" s="82"/>
      <c r="J183" s="80"/>
      <c r="K183" s="82"/>
      <c r="L183" s="80"/>
      <c r="M183" s="82"/>
      <c r="N183" s="80"/>
      <c r="O183" s="82"/>
      <c r="P183" s="94"/>
      <c r="Q183" s="95"/>
    </row>
    <row r="184" spans="2:17" x14ac:dyDescent="0.25">
      <c r="B184" s="75"/>
      <c r="C184" s="76"/>
      <c r="D184" s="83"/>
      <c r="E184" s="84"/>
      <c r="F184" s="84"/>
      <c r="G184" s="84"/>
      <c r="H184" s="84"/>
      <c r="I184" s="85"/>
      <c r="J184" s="83"/>
      <c r="K184" s="85"/>
      <c r="L184" s="83"/>
      <c r="M184" s="85"/>
      <c r="N184" s="83"/>
      <c r="O184" s="85"/>
      <c r="P184" s="96"/>
      <c r="Q184" s="97"/>
    </row>
    <row r="185" spans="2:17" x14ac:dyDescent="0.25">
      <c r="B185" s="71"/>
      <c r="C185" s="72"/>
      <c r="D185" s="77"/>
      <c r="E185" s="78"/>
      <c r="F185" s="78"/>
      <c r="G185" s="78"/>
      <c r="H185" s="78"/>
      <c r="I185" s="79"/>
      <c r="J185" s="77"/>
      <c r="K185" s="79"/>
      <c r="L185" s="77"/>
      <c r="M185" s="79"/>
      <c r="N185" s="77"/>
      <c r="O185" s="79"/>
      <c r="P185" s="92"/>
      <c r="Q185" s="93"/>
    </row>
    <row r="186" spans="2:17" x14ac:dyDescent="0.25">
      <c r="B186" s="73"/>
      <c r="C186" s="74"/>
      <c r="D186" s="80"/>
      <c r="E186" s="81"/>
      <c r="F186" s="81"/>
      <c r="G186" s="81"/>
      <c r="H186" s="81"/>
      <c r="I186" s="82"/>
      <c r="J186" s="80"/>
      <c r="K186" s="82"/>
      <c r="L186" s="80"/>
      <c r="M186" s="82"/>
      <c r="N186" s="80"/>
      <c r="O186" s="82"/>
      <c r="P186" s="94"/>
      <c r="Q186" s="95"/>
    </row>
    <row r="187" spans="2:17" x14ac:dyDescent="0.25">
      <c r="B187" s="75"/>
      <c r="C187" s="76"/>
      <c r="D187" s="83"/>
      <c r="E187" s="84"/>
      <c r="F187" s="84"/>
      <c r="G187" s="84"/>
      <c r="H187" s="84"/>
      <c r="I187" s="85"/>
      <c r="J187" s="83"/>
      <c r="K187" s="85"/>
      <c r="L187" s="83"/>
      <c r="M187" s="85"/>
      <c r="N187" s="83"/>
      <c r="O187" s="85"/>
      <c r="P187" s="96"/>
      <c r="Q187" s="97"/>
    </row>
    <row r="188" spans="2:17" x14ac:dyDescent="0.25">
      <c r="B188" s="71"/>
      <c r="C188" s="72"/>
      <c r="D188" s="77"/>
      <c r="E188" s="78"/>
      <c r="F188" s="78"/>
      <c r="G188" s="78"/>
      <c r="H188" s="78"/>
      <c r="I188" s="79"/>
      <c r="J188" s="77"/>
      <c r="K188" s="79"/>
      <c r="L188" s="77"/>
      <c r="M188" s="79"/>
      <c r="N188" s="77"/>
      <c r="O188" s="79"/>
      <c r="P188" s="92"/>
      <c r="Q188" s="93"/>
    </row>
    <row r="189" spans="2:17" x14ac:dyDescent="0.25">
      <c r="B189" s="73"/>
      <c r="C189" s="74"/>
      <c r="D189" s="80"/>
      <c r="E189" s="81"/>
      <c r="F189" s="81"/>
      <c r="G189" s="81"/>
      <c r="H189" s="81"/>
      <c r="I189" s="82"/>
      <c r="J189" s="80"/>
      <c r="K189" s="82"/>
      <c r="L189" s="80"/>
      <c r="M189" s="82"/>
      <c r="N189" s="80"/>
      <c r="O189" s="82"/>
      <c r="P189" s="94"/>
      <c r="Q189" s="95"/>
    </row>
    <row r="190" spans="2:17" x14ac:dyDescent="0.25">
      <c r="B190" s="75"/>
      <c r="C190" s="76"/>
      <c r="D190" s="83"/>
      <c r="E190" s="84"/>
      <c r="F190" s="84"/>
      <c r="G190" s="84"/>
      <c r="H190" s="84"/>
      <c r="I190" s="85"/>
      <c r="J190" s="83"/>
      <c r="K190" s="85"/>
      <c r="L190" s="83"/>
      <c r="M190" s="85"/>
      <c r="N190" s="83"/>
      <c r="O190" s="85"/>
      <c r="P190" s="96"/>
      <c r="Q190" s="97"/>
    </row>
    <row r="191" spans="2:17" x14ac:dyDescent="0.25">
      <c r="B191" s="71"/>
      <c r="C191" s="72"/>
      <c r="D191" s="77"/>
      <c r="E191" s="78"/>
      <c r="F191" s="78"/>
      <c r="G191" s="78"/>
      <c r="H191" s="78"/>
      <c r="I191" s="79"/>
      <c r="J191" s="77"/>
      <c r="K191" s="79"/>
      <c r="L191" s="77"/>
      <c r="M191" s="79"/>
      <c r="N191" s="77"/>
      <c r="O191" s="79"/>
      <c r="P191" s="92"/>
      <c r="Q191" s="93"/>
    </row>
    <row r="192" spans="2:17" x14ac:dyDescent="0.25">
      <c r="B192" s="73"/>
      <c r="C192" s="74"/>
      <c r="D192" s="80"/>
      <c r="E192" s="81"/>
      <c r="F192" s="81"/>
      <c r="G192" s="81"/>
      <c r="H192" s="81"/>
      <c r="I192" s="82"/>
      <c r="J192" s="80"/>
      <c r="K192" s="82"/>
      <c r="L192" s="80"/>
      <c r="M192" s="82"/>
      <c r="N192" s="80"/>
      <c r="O192" s="82"/>
      <c r="P192" s="94"/>
      <c r="Q192" s="95"/>
    </row>
    <row r="193" spans="2:17" x14ac:dyDescent="0.25">
      <c r="B193" s="75"/>
      <c r="C193" s="76"/>
      <c r="D193" s="83"/>
      <c r="E193" s="84"/>
      <c r="F193" s="84"/>
      <c r="G193" s="84"/>
      <c r="H193" s="84"/>
      <c r="I193" s="85"/>
      <c r="J193" s="83"/>
      <c r="K193" s="85"/>
      <c r="L193" s="83"/>
      <c r="M193" s="85"/>
      <c r="N193" s="83"/>
      <c r="O193" s="85"/>
      <c r="P193" s="96"/>
      <c r="Q193" s="97"/>
    </row>
    <row r="194" spans="2:17" x14ac:dyDescent="0.25">
      <c r="B194" s="71"/>
      <c r="C194" s="72"/>
      <c r="D194" s="77"/>
      <c r="E194" s="78"/>
      <c r="F194" s="78"/>
      <c r="G194" s="78"/>
      <c r="H194" s="78"/>
      <c r="I194" s="79"/>
      <c r="J194" s="77"/>
      <c r="K194" s="79"/>
      <c r="L194" s="77"/>
      <c r="M194" s="79"/>
      <c r="N194" s="77"/>
      <c r="O194" s="79"/>
      <c r="P194" s="92"/>
      <c r="Q194" s="93"/>
    </row>
    <row r="195" spans="2:17" x14ac:dyDescent="0.25">
      <c r="B195" s="73"/>
      <c r="C195" s="74"/>
      <c r="D195" s="80"/>
      <c r="E195" s="81"/>
      <c r="F195" s="81"/>
      <c r="G195" s="81"/>
      <c r="H195" s="81"/>
      <c r="I195" s="82"/>
      <c r="J195" s="80"/>
      <c r="K195" s="82"/>
      <c r="L195" s="80"/>
      <c r="M195" s="82"/>
      <c r="N195" s="80"/>
      <c r="O195" s="82"/>
      <c r="P195" s="94"/>
      <c r="Q195" s="95"/>
    </row>
    <row r="196" spans="2:17" x14ac:dyDescent="0.25">
      <c r="B196" s="75"/>
      <c r="C196" s="76"/>
      <c r="D196" s="83"/>
      <c r="E196" s="84"/>
      <c r="F196" s="84"/>
      <c r="G196" s="84"/>
      <c r="H196" s="84"/>
      <c r="I196" s="85"/>
      <c r="J196" s="83"/>
      <c r="K196" s="85"/>
      <c r="L196" s="83"/>
      <c r="M196" s="85"/>
      <c r="N196" s="83"/>
      <c r="O196" s="85"/>
      <c r="P196" s="96"/>
      <c r="Q196" s="97"/>
    </row>
    <row r="197" spans="2:17" x14ac:dyDescent="0.25">
      <c r="B197" s="71"/>
      <c r="C197" s="72"/>
      <c r="D197" s="77"/>
      <c r="E197" s="78"/>
      <c r="F197" s="78"/>
      <c r="G197" s="78"/>
      <c r="H197" s="78"/>
      <c r="I197" s="79"/>
      <c r="J197" s="77"/>
      <c r="K197" s="79"/>
      <c r="L197" s="77"/>
      <c r="M197" s="79"/>
      <c r="N197" s="77"/>
      <c r="O197" s="79"/>
      <c r="P197" s="92"/>
      <c r="Q197" s="93"/>
    </row>
    <row r="198" spans="2:17" x14ac:dyDescent="0.25">
      <c r="B198" s="73"/>
      <c r="C198" s="74"/>
      <c r="D198" s="80"/>
      <c r="E198" s="81"/>
      <c r="F198" s="81"/>
      <c r="G198" s="81"/>
      <c r="H198" s="81"/>
      <c r="I198" s="82"/>
      <c r="J198" s="80"/>
      <c r="K198" s="82"/>
      <c r="L198" s="80"/>
      <c r="M198" s="82"/>
      <c r="N198" s="80"/>
      <c r="O198" s="82"/>
      <c r="P198" s="94"/>
      <c r="Q198" s="95"/>
    </row>
    <row r="199" spans="2:17" x14ac:dyDescent="0.25">
      <c r="B199" s="75"/>
      <c r="C199" s="76"/>
      <c r="D199" s="83"/>
      <c r="E199" s="84"/>
      <c r="F199" s="84"/>
      <c r="G199" s="84"/>
      <c r="H199" s="84"/>
      <c r="I199" s="85"/>
      <c r="J199" s="83"/>
      <c r="K199" s="85"/>
      <c r="L199" s="83"/>
      <c r="M199" s="85"/>
      <c r="N199" s="83"/>
      <c r="O199" s="85"/>
      <c r="P199" s="96"/>
      <c r="Q199" s="97"/>
    </row>
    <row r="200" spans="2:17" x14ac:dyDescent="0.25">
      <c r="B200" s="71"/>
      <c r="C200" s="72"/>
      <c r="D200" s="77"/>
      <c r="E200" s="78"/>
      <c r="F200" s="78"/>
      <c r="G200" s="78"/>
      <c r="H200" s="78"/>
      <c r="I200" s="79"/>
      <c r="J200" s="77"/>
      <c r="K200" s="79"/>
      <c r="L200" s="77"/>
      <c r="M200" s="79"/>
      <c r="N200" s="77"/>
      <c r="O200" s="79"/>
      <c r="P200" s="92"/>
      <c r="Q200" s="93"/>
    </row>
    <row r="201" spans="2:17" x14ac:dyDescent="0.25">
      <c r="B201" s="73"/>
      <c r="C201" s="74"/>
      <c r="D201" s="80"/>
      <c r="E201" s="81"/>
      <c r="F201" s="81"/>
      <c r="G201" s="81"/>
      <c r="H201" s="81"/>
      <c r="I201" s="82"/>
      <c r="J201" s="80"/>
      <c r="K201" s="82"/>
      <c r="L201" s="80"/>
      <c r="M201" s="82"/>
      <c r="N201" s="80"/>
      <c r="O201" s="82"/>
      <c r="P201" s="94"/>
      <c r="Q201" s="95"/>
    </row>
    <row r="202" spans="2:17" x14ac:dyDescent="0.25">
      <c r="B202" s="75"/>
      <c r="C202" s="76"/>
      <c r="D202" s="83"/>
      <c r="E202" s="84"/>
      <c r="F202" s="84"/>
      <c r="G202" s="84"/>
      <c r="H202" s="84"/>
      <c r="I202" s="85"/>
      <c r="J202" s="83"/>
      <c r="K202" s="85"/>
      <c r="L202" s="83"/>
      <c r="M202" s="85"/>
      <c r="N202" s="83"/>
      <c r="O202" s="85"/>
      <c r="P202" s="96"/>
      <c r="Q202" s="97"/>
    </row>
    <row r="203" spans="2:17" x14ac:dyDescent="0.25">
      <c r="B203" s="71"/>
      <c r="C203" s="72"/>
      <c r="D203" s="77"/>
      <c r="E203" s="78"/>
      <c r="F203" s="78"/>
      <c r="G203" s="78"/>
      <c r="H203" s="78"/>
      <c r="I203" s="79"/>
      <c r="J203" s="77"/>
      <c r="K203" s="79"/>
      <c r="L203" s="77"/>
      <c r="M203" s="79"/>
      <c r="N203" s="77"/>
      <c r="O203" s="79"/>
      <c r="P203" s="92"/>
      <c r="Q203" s="93"/>
    </row>
    <row r="204" spans="2:17" x14ac:dyDescent="0.25">
      <c r="B204" s="73"/>
      <c r="C204" s="74"/>
      <c r="D204" s="80"/>
      <c r="E204" s="81"/>
      <c r="F204" s="81"/>
      <c r="G204" s="81"/>
      <c r="H204" s="81"/>
      <c r="I204" s="82"/>
      <c r="J204" s="80"/>
      <c r="K204" s="82"/>
      <c r="L204" s="80"/>
      <c r="M204" s="82"/>
      <c r="N204" s="80"/>
      <c r="O204" s="82"/>
      <c r="P204" s="94"/>
      <c r="Q204" s="95"/>
    </row>
    <row r="205" spans="2:17" x14ac:dyDescent="0.25">
      <c r="B205" s="75"/>
      <c r="C205" s="76"/>
      <c r="D205" s="83"/>
      <c r="E205" s="84"/>
      <c r="F205" s="84"/>
      <c r="G205" s="84"/>
      <c r="H205" s="84"/>
      <c r="I205" s="85"/>
      <c r="J205" s="83"/>
      <c r="K205" s="85"/>
      <c r="L205" s="83"/>
      <c r="M205" s="85"/>
      <c r="N205" s="83"/>
      <c r="O205" s="85"/>
      <c r="P205" s="96"/>
      <c r="Q205" s="97"/>
    </row>
    <row r="206" spans="2:17" x14ac:dyDescent="0.25">
      <c r="B206" s="71"/>
      <c r="C206" s="72"/>
      <c r="D206" s="77"/>
      <c r="E206" s="78"/>
      <c r="F206" s="78"/>
      <c r="G206" s="78"/>
      <c r="H206" s="78"/>
      <c r="I206" s="79"/>
      <c r="J206" s="77"/>
      <c r="K206" s="79"/>
      <c r="L206" s="77"/>
      <c r="M206" s="79"/>
      <c r="N206" s="77"/>
      <c r="O206" s="79"/>
      <c r="P206" s="92"/>
      <c r="Q206" s="93"/>
    </row>
    <row r="207" spans="2:17" x14ac:dyDescent="0.25">
      <c r="B207" s="73"/>
      <c r="C207" s="74"/>
      <c r="D207" s="80"/>
      <c r="E207" s="81"/>
      <c r="F207" s="81"/>
      <c r="G207" s="81"/>
      <c r="H207" s="81"/>
      <c r="I207" s="82"/>
      <c r="J207" s="80"/>
      <c r="K207" s="82"/>
      <c r="L207" s="80"/>
      <c r="M207" s="82"/>
      <c r="N207" s="80"/>
      <c r="O207" s="82"/>
      <c r="P207" s="94"/>
      <c r="Q207" s="95"/>
    </row>
    <row r="208" spans="2:17" x14ac:dyDescent="0.25">
      <c r="B208" s="75"/>
      <c r="C208" s="76"/>
      <c r="D208" s="83"/>
      <c r="E208" s="84"/>
      <c r="F208" s="84"/>
      <c r="G208" s="84"/>
      <c r="H208" s="84"/>
      <c r="I208" s="85"/>
      <c r="J208" s="83"/>
      <c r="K208" s="85"/>
      <c r="L208" s="83"/>
      <c r="M208" s="85"/>
      <c r="N208" s="83"/>
      <c r="O208" s="85"/>
      <c r="P208" s="96"/>
      <c r="Q208" s="97"/>
    </row>
    <row r="209" spans="2:17" x14ac:dyDescent="0.25">
      <c r="B209" s="71"/>
      <c r="C209" s="72"/>
      <c r="D209" s="77"/>
      <c r="E209" s="78"/>
      <c r="F209" s="78"/>
      <c r="G209" s="78"/>
      <c r="H209" s="78"/>
      <c r="I209" s="79"/>
      <c r="J209" s="77"/>
      <c r="K209" s="79"/>
      <c r="L209" s="77"/>
      <c r="M209" s="79"/>
      <c r="N209" s="77"/>
      <c r="O209" s="79"/>
      <c r="P209" s="92"/>
      <c r="Q209" s="93"/>
    </row>
    <row r="210" spans="2:17" x14ac:dyDescent="0.25">
      <c r="B210" s="73"/>
      <c r="C210" s="74"/>
      <c r="D210" s="80"/>
      <c r="E210" s="81"/>
      <c r="F210" s="81"/>
      <c r="G210" s="81"/>
      <c r="H210" s="81"/>
      <c r="I210" s="82"/>
      <c r="J210" s="80"/>
      <c r="K210" s="82"/>
      <c r="L210" s="80"/>
      <c r="M210" s="82"/>
      <c r="N210" s="80"/>
      <c r="O210" s="82"/>
      <c r="P210" s="94"/>
      <c r="Q210" s="95"/>
    </row>
    <row r="211" spans="2:17" x14ac:dyDescent="0.25">
      <c r="B211" s="75"/>
      <c r="C211" s="76"/>
      <c r="D211" s="83"/>
      <c r="E211" s="84"/>
      <c r="F211" s="84"/>
      <c r="G211" s="84"/>
      <c r="H211" s="84"/>
      <c r="I211" s="85"/>
      <c r="J211" s="83"/>
      <c r="K211" s="85"/>
      <c r="L211" s="83"/>
      <c r="M211" s="85"/>
      <c r="N211" s="83"/>
      <c r="O211" s="85"/>
      <c r="P211" s="96"/>
      <c r="Q211" s="97"/>
    </row>
    <row r="212" spans="2:17" x14ac:dyDescent="0.25">
      <c r="B212" s="71"/>
      <c r="C212" s="72"/>
      <c r="D212" s="77"/>
      <c r="E212" s="78"/>
      <c r="F212" s="78"/>
      <c r="G212" s="78"/>
      <c r="H212" s="78"/>
      <c r="I212" s="79"/>
      <c r="J212" s="77"/>
      <c r="K212" s="79"/>
      <c r="L212" s="77"/>
      <c r="M212" s="79"/>
      <c r="N212" s="77"/>
      <c r="O212" s="79"/>
      <c r="P212" s="92"/>
      <c r="Q212" s="93"/>
    </row>
    <row r="213" spans="2:17" x14ac:dyDescent="0.25">
      <c r="B213" s="73"/>
      <c r="C213" s="74"/>
      <c r="D213" s="80"/>
      <c r="E213" s="81"/>
      <c r="F213" s="81"/>
      <c r="G213" s="81"/>
      <c r="H213" s="81"/>
      <c r="I213" s="82"/>
      <c r="J213" s="80"/>
      <c r="K213" s="82"/>
      <c r="L213" s="80"/>
      <c r="M213" s="82"/>
      <c r="N213" s="80"/>
      <c r="O213" s="82"/>
      <c r="P213" s="94"/>
      <c r="Q213" s="95"/>
    </row>
    <row r="214" spans="2:17" x14ac:dyDescent="0.25">
      <c r="B214" s="75"/>
      <c r="C214" s="76"/>
      <c r="D214" s="83"/>
      <c r="E214" s="84"/>
      <c r="F214" s="84"/>
      <c r="G214" s="84"/>
      <c r="H214" s="84"/>
      <c r="I214" s="85"/>
      <c r="J214" s="83"/>
      <c r="K214" s="85"/>
      <c r="L214" s="83"/>
      <c r="M214" s="85"/>
      <c r="N214" s="83"/>
      <c r="O214" s="85"/>
      <c r="P214" s="96"/>
      <c r="Q214" s="97"/>
    </row>
    <row r="215" spans="2:17" x14ac:dyDescent="0.25">
      <c r="B215" s="71"/>
      <c r="C215" s="72"/>
      <c r="D215" s="77"/>
      <c r="E215" s="78"/>
      <c r="F215" s="78"/>
      <c r="G215" s="78"/>
      <c r="H215" s="78"/>
      <c r="I215" s="79"/>
      <c r="J215" s="77"/>
      <c r="K215" s="79"/>
      <c r="L215" s="77"/>
      <c r="M215" s="79"/>
      <c r="N215" s="77"/>
      <c r="O215" s="79"/>
      <c r="P215" s="92"/>
      <c r="Q215" s="93"/>
    </row>
    <row r="216" spans="2:17" x14ac:dyDescent="0.25">
      <c r="B216" s="73"/>
      <c r="C216" s="74"/>
      <c r="D216" s="80"/>
      <c r="E216" s="81"/>
      <c r="F216" s="81"/>
      <c r="G216" s="81"/>
      <c r="H216" s="81"/>
      <c r="I216" s="82"/>
      <c r="J216" s="80"/>
      <c r="K216" s="82"/>
      <c r="L216" s="80"/>
      <c r="M216" s="82"/>
      <c r="N216" s="80"/>
      <c r="O216" s="82"/>
      <c r="P216" s="94"/>
      <c r="Q216" s="95"/>
    </row>
    <row r="217" spans="2:17" x14ac:dyDescent="0.25">
      <c r="B217" s="75"/>
      <c r="C217" s="76"/>
      <c r="D217" s="83"/>
      <c r="E217" s="84"/>
      <c r="F217" s="84"/>
      <c r="G217" s="84"/>
      <c r="H217" s="84"/>
      <c r="I217" s="85"/>
      <c r="J217" s="83"/>
      <c r="K217" s="85"/>
      <c r="L217" s="83"/>
      <c r="M217" s="85"/>
      <c r="N217" s="83"/>
      <c r="O217" s="85"/>
      <c r="P217" s="96"/>
      <c r="Q217" s="97"/>
    </row>
    <row r="218" spans="2:17" x14ac:dyDescent="0.25">
      <c r="B218" s="71"/>
      <c r="C218" s="72"/>
      <c r="D218" s="77"/>
      <c r="E218" s="78"/>
      <c r="F218" s="78"/>
      <c r="G218" s="78"/>
      <c r="H218" s="78"/>
      <c r="I218" s="79"/>
      <c r="J218" s="77"/>
      <c r="K218" s="79"/>
      <c r="L218" s="77"/>
      <c r="M218" s="79"/>
      <c r="N218" s="77"/>
      <c r="O218" s="79"/>
      <c r="P218" s="92"/>
      <c r="Q218" s="93"/>
    </row>
    <row r="219" spans="2:17" x14ac:dyDescent="0.25">
      <c r="B219" s="73"/>
      <c r="C219" s="74"/>
      <c r="D219" s="80"/>
      <c r="E219" s="81"/>
      <c r="F219" s="81"/>
      <c r="G219" s="81"/>
      <c r="H219" s="81"/>
      <c r="I219" s="82"/>
      <c r="J219" s="80"/>
      <c r="K219" s="82"/>
      <c r="L219" s="80"/>
      <c r="M219" s="82"/>
      <c r="N219" s="80"/>
      <c r="O219" s="82"/>
      <c r="P219" s="94"/>
      <c r="Q219" s="95"/>
    </row>
    <row r="220" spans="2:17" x14ac:dyDescent="0.25">
      <c r="B220" s="75"/>
      <c r="C220" s="76"/>
      <c r="D220" s="83"/>
      <c r="E220" s="84"/>
      <c r="F220" s="84"/>
      <c r="G220" s="84"/>
      <c r="H220" s="84"/>
      <c r="I220" s="85"/>
      <c r="J220" s="83"/>
      <c r="K220" s="85"/>
      <c r="L220" s="83"/>
      <c r="M220" s="85"/>
      <c r="N220" s="83"/>
      <c r="O220" s="85"/>
      <c r="P220" s="96"/>
      <c r="Q220" s="97"/>
    </row>
    <row r="221" spans="2:17" x14ac:dyDescent="0.25">
      <c r="B221" s="71"/>
      <c r="C221" s="72"/>
      <c r="D221" s="77"/>
      <c r="E221" s="78"/>
      <c r="F221" s="78"/>
      <c r="G221" s="78"/>
      <c r="H221" s="78"/>
      <c r="I221" s="79"/>
      <c r="J221" s="77"/>
      <c r="K221" s="79"/>
      <c r="L221" s="77"/>
      <c r="M221" s="79"/>
      <c r="N221" s="77"/>
      <c r="O221" s="79"/>
      <c r="P221" s="92"/>
      <c r="Q221" s="93"/>
    </row>
    <row r="222" spans="2:17" x14ac:dyDescent="0.25">
      <c r="B222" s="73"/>
      <c r="C222" s="74"/>
      <c r="D222" s="80"/>
      <c r="E222" s="81"/>
      <c r="F222" s="81"/>
      <c r="G222" s="81"/>
      <c r="H222" s="81"/>
      <c r="I222" s="82"/>
      <c r="J222" s="80"/>
      <c r="K222" s="82"/>
      <c r="L222" s="80"/>
      <c r="M222" s="82"/>
      <c r="N222" s="80"/>
      <c r="O222" s="82"/>
      <c r="P222" s="94"/>
      <c r="Q222" s="95"/>
    </row>
    <row r="223" spans="2:17" x14ac:dyDescent="0.25">
      <c r="B223" s="75"/>
      <c r="C223" s="76"/>
      <c r="D223" s="83"/>
      <c r="E223" s="84"/>
      <c r="F223" s="84"/>
      <c r="G223" s="84"/>
      <c r="H223" s="84"/>
      <c r="I223" s="85"/>
      <c r="J223" s="83"/>
      <c r="K223" s="85"/>
      <c r="L223" s="83"/>
      <c r="M223" s="85"/>
      <c r="N223" s="83"/>
      <c r="O223" s="85"/>
      <c r="P223" s="96"/>
      <c r="Q223" s="97"/>
    </row>
    <row r="224" spans="2:17" x14ac:dyDescent="0.25">
      <c r="B224" s="71"/>
      <c r="C224" s="72"/>
      <c r="D224" s="77"/>
      <c r="E224" s="78"/>
      <c r="F224" s="78"/>
      <c r="G224" s="78"/>
      <c r="H224" s="78"/>
      <c r="I224" s="79"/>
      <c r="J224" s="77"/>
      <c r="K224" s="79"/>
      <c r="L224" s="77"/>
      <c r="M224" s="79"/>
      <c r="N224" s="77"/>
      <c r="O224" s="79"/>
      <c r="P224" s="92"/>
      <c r="Q224" s="93"/>
    </row>
    <row r="225" spans="2:17" x14ac:dyDescent="0.25">
      <c r="B225" s="73"/>
      <c r="C225" s="74"/>
      <c r="D225" s="80"/>
      <c r="E225" s="81"/>
      <c r="F225" s="81"/>
      <c r="G225" s="81"/>
      <c r="H225" s="81"/>
      <c r="I225" s="82"/>
      <c r="J225" s="80"/>
      <c r="K225" s="82"/>
      <c r="L225" s="80"/>
      <c r="M225" s="82"/>
      <c r="N225" s="80"/>
      <c r="O225" s="82"/>
      <c r="P225" s="94"/>
      <c r="Q225" s="95"/>
    </row>
    <row r="226" spans="2:17" x14ac:dyDescent="0.25">
      <c r="B226" s="75"/>
      <c r="C226" s="76"/>
      <c r="D226" s="83"/>
      <c r="E226" s="84"/>
      <c r="F226" s="84"/>
      <c r="G226" s="84"/>
      <c r="H226" s="84"/>
      <c r="I226" s="85"/>
      <c r="J226" s="83"/>
      <c r="K226" s="85"/>
      <c r="L226" s="83"/>
      <c r="M226" s="85"/>
      <c r="N226" s="83"/>
      <c r="O226" s="85"/>
      <c r="P226" s="96"/>
      <c r="Q226" s="97"/>
    </row>
    <row r="227" spans="2:17" x14ac:dyDescent="0.25">
      <c r="B227" s="71"/>
      <c r="C227" s="72"/>
      <c r="D227" s="77"/>
      <c r="E227" s="78"/>
      <c r="F227" s="78"/>
      <c r="G227" s="78"/>
      <c r="H227" s="78"/>
      <c r="I227" s="79"/>
      <c r="J227" s="77"/>
      <c r="K227" s="79"/>
      <c r="L227" s="77"/>
      <c r="M227" s="79"/>
      <c r="N227" s="77"/>
      <c r="O227" s="79"/>
      <c r="P227" s="92"/>
      <c r="Q227" s="93"/>
    </row>
    <row r="228" spans="2:17" x14ac:dyDescent="0.25">
      <c r="B228" s="73"/>
      <c r="C228" s="74"/>
      <c r="D228" s="80"/>
      <c r="E228" s="81"/>
      <c r="F228" s="81"/>
      <c r="G228" s="81"/>
      <c r="H228" s="81"/>
      <c r="I228" s="82"/>
      <c r="J228" s="80"/>
      <c r="K228" s="82"/>
      <c r="L228" s="80"/>
      <c r="M228" s="82"/>
      <c r="N228" s="80"/>
      <c r="O228" s="82"/>
      <c r="P228" s="94"/>
      <c r="Q228" s="95"/>
    </row>
    <row r="229" spans="2:17" x14ac:dyDescent="0.25">
      <c r="B229" s="75"/>
      <c r="C229" s="76"/>
      <c r="D229" s="83"/>
      <c r="E229" s="84"/>
      <c r="F229" s="84"/>
      <c r="G229" s="84"/>
      <c r="H229" s="84"/>
      <c r="I229" s="85"/>
      <c r="J229" s="83"/>
      <c r="K229" s="85"/>
      <c r="L229" s="83"/>
      <c r="M229" s="85"/>
      <c r="N229" s="83"/>
      <c r="O229" s="85"/>
      <c r="P229" s="96"/>
      <c r="Q229" s="97"/>
    </row>
    <row r="230" spans="2:17" x14ac:dyDescent="0.25">
      <c r="B230" s="71"/>
      <c r="C230" s="72"/>
      <c r="D230" s="77"/>
      <c r="E230" s="78"/>
      <c r="F230" s="78"/>
      <c r="G230" s="78"/>
      <c r="H230" s="78"/>
      <c r="I230" s="79"/>
      <c r="J230" s="77"/>
      <c r="K230" s="79"/>
      <c r="L230" s="77"/>
      <c r="M230" s="79"/>
      <c r="N230" s="77"/>
      <c r="O230" s="79"/>
      <c r="P230" s="92"/>
      <c r="Q230" s="93"/>
    </row>
    <row r="231" spans="2:17" x14ac:dyDescent="0.25">
      <c r="B231" s="73"/>
      <c r="C231" s="74"/>
      <c r="D231" s="80"/>
      <c r="E231" s="81"/>
      <c r="F231" s="81"/>
      <c r="G231" s="81"/>
      <c r="H231" s="81"/>
      <c r="I231" s="82"/>
      <c r="J231" s="80"/>
      <c r="K231" s="82"/>
      <c r="L231" s="80"/>
      <c r="M231" s="82"/>
      <c r="N231" s="80"/>
      <c r="O231" s="82"/>
      <c r="P231" s="94"/>
      <c r="Q231" s="95"/>
    </row>
    <row r="232" spans="2:17" x14ac:dyDescent="0.25">
      <c r="B232" s="75"/>
      <c r="C232" s="76"/>
      <c r="D232" s="83"/>
      <c r="E232" s="84"/>
      <c r="F232" s="84"/>
      <c r="G232" s="84"/>
      <c r="H232" s="84"/>
      <c r="I232" s="85"/>
      <c r="J232" s="83"/>
      <c r="K232" s="85"/>
      <c r="L232" s="83"/>
      <c r="M232" s="85"/>
      <c r="N232" s="83"/>
      <c r="O232" s="85"/>
      <c r="P232" s="96"/>
      <c r="Q232" s="97"/>
    </row>
    <row r="233" spans="2:17" x14ac:dyDescent="0.25">
      <c r="B233" s="71"/>
      <c r="C233" s="72"/>
      <c r="D233" s="77"/>
      <c r="E233" s="78"/>
      <c r="F233" s="78"/>
      <c r="G233" s="78"/>
      <c r="H233" s="78"/>
      <c r="I233" s="79"/>
      <c r="J233" s="77"/>
      <c r="K233" s="79"/>
      <c r="L233" s="77"/>
      <c r="M233" s="79"/>
      <c r="N233" s="77"/>
      <c r="O233" s="79"/>
      <c r="P233" s="92"/>
      <c r="Q233" s="93"/>
    </row>
    <row r="234" spans="2:17" x14ac:dyDescent="0.25">
      <c r="B234" s="73"/>
      <c r="C234" s="74"/>
      <c r="D234" s="80"/>
      <c r="E234" s="81"/>
      <c r="F234" s="81"/>
      <c r="G234" s="81"/>
      <c r="H234" s="81"/>
      <c r="I234" s="82"/>
      <c r="J234" s="80"/>
      <c r="K234" s="82"/>
      <c r="L234" s="80"/>
      <c r="M234" s="82"/>
      <c r="N234" s="80"/>
      <c r="O234" s="82"/>
      <c r="P234" s="94"/>
      <c r="Q234" s="95"/>
    </row>
    <row r="235" spans="2:17" x14ac:dyDescent="0.25">
      <c r="B235" s="75"/>
      <c r="C235" s="76"/>
      <c r="D235" s="83"/>
      <c r="E235" s="84"/>
      <c r="F235" s="84"/>
      <c r="G235" s="84"/>
      <c r="H235" s="84"/>
      <c r="I235" s="85"/>
      <c r="J235" s="83"/>
      <c r="K235" s="85"/>
      <c r="L235" s="83"/>
      <c r="M235" s="85"/>
      <c r="N235" s="83"/>
      <c r="O235" s="85"/>
      <c r="P235" s="96"/>
      <c r="Q235" s="97"/>
    </row>
    <row r="236" spans="2:17" x14ac:dyDescent="0.25">
      <c r="B236" s="71"/>
      <c r="C236" s="72"/>
      <c r="D236" s="77"/>
      <c r="E236" s="78"/>
      <c r="F236" s="78"/>
      <c r="G236" s="78"/>
      <c r="H236" s="78"/>
      <c r="I236" s="79"/>
      <c r="J236" s="77"/>
      <c r="K236" s="79"/>
      <c r="L236" s="77"/>
      <c r="M236" s="79"/>
      <c r="N236" s="77"/>
      <c r="O236" s="79"/>
      <c r="P236" s="92"/>
      <c r="Q236" s="93"/>
    </row>
    <row r="237" spans="2:17" x14ac:dyDescent="0.25">
      <c r="B237" s="73"/>
      <c r="C237" s="74"/>
      <c r="D237" s="80"/>
      <c r="E237" s="81"/>
      <c r="F237" s="81"/>
      <c r="G237" s="81"/>
      <c r="H237" s="81"/>
      <c r="I237" s="82"/>
      <c r="J237" s="80"/>
      <c r="K237" s="82"/>
      <c r="L237" s="80"/>
      <c r="M237" s="82"/>
      <c r="N237" s="80"/>
      <c r="O237" s="82"/>
      <c r="P237" s="94"/>
      <c r="Q237" s="95"/>
    </row>
    <row r="238" spans="2:17" x14ac:dyDescent="0.25">
      <c r="B238" s="75"/>
      <c r="C238" s="76"/>
      <c r="D238" s="83"/>
      <c r="E238" s="84"/>
      <c r="F238" s="84"/>
      <c r="G238" s="84"/>
      <c r="H238" s="84"/>
      <c r="I238" s="85"/>
      <c r="J238" s="83"/>
      <c r="K238" s="85"/>
      <c r="L238" s="83"/>
      <c r="M238" s="85"/>
      <c r="N238" s="83"/>
      <c r="O238" s="85"/>
      <c r="P238" s="96"/>
      <c r="Q238" s="97"/>
    </row>
    <row r="239" spans="2:17" x14ac:dyDescent="0.25">
      <c r="B239" s="71"/>
      <c r="C239" s="72"/>
      <c r="D239" s="77"/>
      <c r="E239" s="78"/>
      <c r="F239" s="78"/>
      <c r="G239" s="78"/>
      <c r="H239" s="78"/>
      <c r="I239" s="79"/>
      <c r="J239" s="77"/>
      <c r="K239" s="79"/>
      <c r="L239" s="77"/>
      <c r="M239" s="79"/>
      <c r="N239" s="77"/>
      <c r="O239" s="79"/>
      <c r="P239" s="92"/>
      <c r="Q239" s="93"/>
    </row>
    <row r="240" spans="2:17" x14ac:dyDescent="0.25">
      <c r="B240" s="73"/>
      <c r="C240" s="74"/>
      <c r="D240" s="80"/>
      <c r="E240" s="81"/>
      <c r="F240" s="81"/>
      <c r="G240" s="81"/>
      <c r="H240" s="81"/>
      <c r="I240" s="82"/>
      <c r="J240" s="80"/>
      <c r="K240" s="82"/>
      <c r="L240" s="80"/>
      <c r="M240" s="82"/>
      <c r="N240" s="80"/>
      <c r="O240" s="82"/>
      <c r="P240" s="94"/>
      <c r="Q240" s="95"/>
    </row>
    <row r="241" spans="2:17" x14ac:dyDescent="0.25">
      <c r="B241" s="75"/>
      <c r="C241" s="76"/>
      <c r="D241" s="83"/>
      <c r="E241" s="84"/>
      <c r="F241" s="84"/>
      <c r="G241" s="84"/>
      <c r="H241" s="84"/>
      <c r="I241" s="85"/>
      <c r="J241" s="83"/>
      <c r="K241" s="85"/>
      <c r="L241" s="83"/>
      <c r="M241" s="85"/>
      <c r="N241" s="83"/>
      <c r="O241" s="85"/>
      <c r="P241" s="96"/>
      <c r="Q241" s="97"/>
    </row>
    <row r="242" spans="2:17" x14ac:dyDescent="0.25">
      <c r="B242" s="71"/>
      <c r="C242" s="72"/>
      <c r="D242" s="77"/>
      <c r="E242" s="78"/>
      <c r="F242" s="78"/>
      <c r="G242" s="78"/>
      <c r="H242" s="78"/>
      <c r="I242" s="79"/>
      <c r="J242" s="77"/>
      <c r="K242" s="79"/>
      <c r="L242" s="77"/>
      <c r="M242" s="79"/>
      <c r="N242" s="77"/>
      <c r="O242" s="79"/>
      <c r="P242" s="92"/>
      <c r="Q242" s="93"/>
    </row>
    <row r="243" spans="2:17" x14ac:dyDescent="0.25">
      <c r="B243" s="73"/>
      <c r="C243" s="74"/>
      <c r="D243" s="80"/>
      <c r="E243" s="81"/>
      <c r="F243" s="81"/>
      <c r="G243" s="81"/>
      <c r="H243" s="81"/>
      <c r="I243" s="82"/>
      <c r="J243" s="80"/>
      <c r="K243" s="82"/>
      <c r="L243" s="80"/>
      <c r="M243" s="82"/>
      <c r="N243" s="80"/>
      <c r="O243" s="82"/>
      <c r="P243" s="94"/>
      <c r="Q243" s="95"/>
    </row>
    <row r="244" spans="2:17" x14ac:dyDescent="0.25">
      <c r="B244" s="75"/>
      <c r="C244" s="76"/>
      <c r="D244" s="83"/>
      <c r="E244" s="84"/>
      <c r="F244" s="84"/>
      <c r="G244" s="84"/>
      <c r="H244" s="84"/>
      <c r="I244" s="85"/>
      <c r="J244" s="83"/>
      <c r="K244" s="85"/>
      <c r="L244" s="83"/>
      <c r="M244" s="85"/>
      <c r="N244" s="83"/>
      <c r="O244" s="85"/>
      <c r="P244" s="96"/>
      <c r="Q244" s="97"/>
    </row>
    <row r="245" spans="2:17" x14ac:dyDescent="0.25">
      <c r="B245" s="71"/>
      <c r="C245" s="72"/>
      <c r="D245" s="77"/>
      <c r="E245" s="78"/>
      <c r="F245" s="78"/>
      <c r="G245" s="78"/>
      <c r="H245" s="78"/>
      <c r="I245" s="79"/>
      <c r="J245" s="77"/>
      <c r="K245" s="79"/>
      <c r="L245" s="77"/>
      <c r="M245" s="79"/>
      <c r="N245" s="77"/>
      <c r="O245" s="79"/>
      <c r="P245" s="92"/>
      <c r="Q245" s="93"/>
    </row>
    <row r="246" spans="2:17" x14ac:dyDescent="0.25">
      <c r="B246" s="73"/>
      <c r="C246" s="74"/>
      <c r="D246" s="80"/>
      <c r="E246" s="81"/>
      <c r="F246" s="81"/>
      <c r="G246" s="81"/>
      <c r="H246" s="81"/>
      <c r="I246" s="82"/>
      <c r="J246" s="80"/>
      <c r="K246" s="82"/>
      <c r="L246" s="80"/>
      <c r="M246" s="82"/>
      <c r="N246" s="80"/>
      <c r="O246" s="82"/>
      <c r="P246" s="94"/>
      <c r="Q246" s="95"/>
    </row>
    <row r="247" spans="2:17" x14ac:dyDescent="0.25">
      <c r="B247" s="75"/>
      <c r="C247" s="76"/>
      <c r="D247" s="83"/>
      <c r="E247" s="84"/>
      <c r="F247" s="84"/>
      <c r="G247" s="84"/>
      <c r="H247" s="84"/>
      <c r="I247" s="85"/>
      <c r="J247" s="83"/>
      <c r="K247" s="85"/>
      <c r="L247" s="83"/>
      <c r="M247" s="85"/>
      <c r="N247" s="83"/>
      <c r="O247" s="85"/>
      <c r="P247" s="96"/>
      <c r="Q247" s="97"/>
    </row>
    <row r="248" spans="2:17" x14ac:dyDescent="0.25">
      <c r="B248" s="71"/>
      <c r="C248" s="72"/>
      <c r="D248" s="77"/>
      <c r="E248" s="78"/>
      <c r="F248" s="78"/>
      <c r="G248" s="78"/>
      <c r="H248" s="78"/>
      <c r="I248" s="79"/>
      <c r="J248" s="77"/>
      <c r="K248" s="79"/>
      <c r="L248" s="77"/>
      <c r="M248" s="79"/>
      <c r="N248" s="77"/>
      <c r="O248" s="79"/>
      <c r="P248" s="92"/>
      <c r="Q248" s="93"/>
    </row>
    <row r="249" spans="2:17" x14ac:dyDescent="0.25">
      <c r="B249" s="73"/>
      <c r="C249" s="74"/>
      <c r="D249" s="80"/>
      <c r="E249" s="81"/>
      <c r="F249" s="81"/>
      <c r="G249" s="81"/>
      <c r="H249" s="81"/>
      <c r="I249" s="82"/>
      <c r="J249" s="80"/>
      <c r="K249" s="82"/>
      <c r="L249" s="80"/>
      <c r="M249" s="82"/>
      <c r="N249" s="80"/>
      <c r="O249" s="82"/>
      <c r="P249" s="94"/>
      <c r="Q249" s="95"/>
    </row>
    <row r="250" spans="2:17" x14ac:dyDescent="0.25">
      <c r="B250" s="75"/>
      <c r="C250" s="76"/>
      <c r="D250" s="83"/>
      <c r="E250" s="84"/>
      <c r="F250" s="84"/>
      <c r="G250" s="84"/>
      <c r="H250" s="84"/>
      <c r="I250" s="85"/>
      <c r="J250" s="83"/>
      <c r="K250" s="85"/>
      <c r="L250" s="83"/>
      <c r="M250" s="85"/>
      <c r="N250" s="83"/>
      <c r="O250" s="85"/>
      <c r="P250" s="96"/>
      <c r="Q250" s="97"/>
    </row>
    <row r="251" spans="2:17" x14ac:dyDescent="0.25">
      <c r="B251" s="71"/>
      <c r="C251" s="72"/>
      <c r="D251" s="77"/>
      <c r="E251" s="78"/>
      <c r="F251" s="78"/>
      <c r="G251" s="78"/>
      <c r="H251" s="78"/>
      <c r="I251" s="79"/>
      <c r="J251" s="77"/>
      <c r="K251" s="79"/>
      <c r="L251" s="77"/>
      <c r="M251" s="79"/>
      <c r="N251" s="77"/>
      <c r="O251" s="79"/>
      <c r="P251" s="92"/>
      <c r="Q251" s="93"/>
    </row>
    <row r="252" spans="2:17" x14ac:dyDescent="0.25">
      <c r="B252" s="73"/>
      <c r="C252" s="74"/>
      <c r="D252" s="80"/>
      <c r="E252" s="81"/>
      <c r="F252" s="81"/>
      <c r="G252" s="81"/>
      <c r="H252" s="81"/>
      <c r="I252" s="82"/>
      <c r="J252" s="80"/>
      <c r="K252" s="82"/>
      <c r="L252" s="80"/>
      <c r="M252" s="82"/>
      <c r="N252" s="80"/>
      <c r="O252" s="82"/>
      <c r="P252" s="94"/>
      <c r="Q252" s="95"/>
    </row>
    <row r="253" spans="2:17" x14ac:dyDescent="0.25">
      <c r="B253" s="75"/>
      <c r="C253" s="76"/>
      <c r="D253" s="83"/>
      <c r="E253" s="84"/>
      <c r="F253" s="84"/>
      <c r="G253" s="84"/>
      <c r="H253" s="84"/>
      <c r="I253" s="85"/>
      <c r="J253" s="83"/>
      <c r="K253" s="85"/>
      <c r="L253" s="83"/>
      <c r="M253" s="85"/>
      <c r="N253" s="83"/>
      <c r="O253" s="85"/>
      <c r="P253" s="96"/>
      <c r="Q253" s="97"/>
    </row>
    <row r="254" spans="2:17" x14ac:dyDescent="0.25">
      <c r="B254" s="71"/>
      <c r="C254" s="72"/>
      <c r="D254" s="77"/>
      <c r="E254" s="78"/>
      <c r="F254" s="78"/>
      <c r="G254" s="78"/>
      <c r="H254" s="78"/>
      <c r="I254" s="79"/>
      <c r="J254" s="77"/>
      <c r="K254" s="79"/>
      <c r="L254" s="77"/>
      <c r="M254" s="79"/>
      <c r="N254" s="77"/>
      <c r="O254" s="79"/>
      <c r="P254" s="92"/>
      <c r="Q254" s="93"/>
    </row>
    <row r="255" spans="2:17" x14ac:dyDescent="0.25">
      <c r="B255" s="73"/>
      <c r="C255" s="74"/>
      <c r="D255" s="80"/>
      <c r="E255" s="81"/>
      <c r="F255" s="81"/>
      <c r="G255" s="81"/>
      <c r="H255" s="81"/>
      <c r="I255" s="82"/>
      <c r="J255" s="80"/>
      <c r="K255" s="82"/>
      <c r="L255" s="80"/>
      <c r="M255" s="82"/>
      <c r="N255" s="80"/>
      <c r="O255" s="82"/>
      <c r="P255" s="94"/>
      <c r="Q255" s="95"/>
    </row>
    <row r="256" spans="2:17" x14ac:dyDescent="0.25">
      <c r="B256" s="75"/>
      <c r="C256" s="76"/>
      <c r="D256" s="83"/>
      <c r="E256" s="84"/>
      <c r="F256" s="84"/>
      <c r="G256" s="84"/>
      <c r="H256" s="84"/>
      <c r="I256" s="85"/>
      <c r="J256" s="83"/>
      <c r="K256" s="85"/>
      <c r="L256" s="83"/>
      <c r="M256" s="85"/>
      <c r="N256" s="83"/>
      <c r="O256" s="85"/>
      <c r="P256" s="96"/>
      <c r="Q256" s="97"/>
    </row>
    <row r="257" spans="2:17" x14ac:dyDescent="0.25">
      <c r="B257" s="71"/>
      <c r="C257" s="72"/>
      <c r="D257" s="77"/>
      <c r="E257" s="78"/>
      <c r="F257" s="78"/>
      <c r="G257" s="78"/>
      <c r="H257" s="78"/>
      <c r="I257" s="79"/>
      <c r="J257" s="77"/>
      <c r="K257" s="79"/>
      <c r="L257" s="77"/>
      <c r="M257" s="79"/>
      <c r="N257" s="77"/>
      <c r="O257" s="79"/>
      <c r="P257" s="92"/>
      <c r="Q257" s="93"/>
    </row>
    <row r="258" spans="2:17" x14ac:dyDescent="0.25">
      <c r="B258" s="73"/>
      <c r="C258" s="74"/>
      <c r="D258" s="80"/>
      <c r="E258" s="81"/>
      <c r="F258" s="81"/>
      <c r="G258" s="81"/>
      <c r="H258" s="81"/>
      <c r="I258" s="82"/>
      <c r="J258" s="80"/>
      <c r="K258" s="82"/>
      <c r="L258" s="80"/>
      <c r="M258" s="82"/>
      <c r="N258" s="80"/>
      <c r="O258" s="82"/>
      <c r="P258" s="94"/>
      <c r="Q258" s="95"/>
    </row>
    <row r="259" spans="2:17" x14ac:dyDescent="0.25">
      <c r="B259" s="75"/>
      <c r="C259" s="76"/>
      <c r="D259" s="83"/>
      <c r="E259" s="84"/>
      <c r="F259" s="84"/>
      <c r="G259" s="84"/>
      <c r="H259" s="84"/>
      <c r="I259" s="85"/>
      <c r="J259" s="83"/>
      <c r="K259" s="85"/>
      <c r="L259" s="83"/>
      <c r="M259" s="85"/>
      <c r="N259" s="83"/>
      <c r="O259" s="85"/>
      <c r="P259" s="96"/>
      <c r="Q259" s="97"/>
    </row>
    <row r="260" spans="2:17" x14ac:dyDescent="0.25">
      <c r="B260" s="71"/>
      <c r="C260" s="72"/>
      <c r="D260" s="77"/>
      <c r="E260" s="78"/>
      <c r="F260" s="78"/>
      <c r="G260" s="78"/>
      <c r="H260" s="78"/>
      <c r="I260" s="79"/>
      <c r="J260" s="77"/>
      <c r="K260" s="79"/>
      <c r="L260" s="77"/>
      <c r="M260" s="79"/>
      <c r="N260" s="77"/>
      <c r="O260" s="79"/>
      <c r="P260" s="92"/>
      <c r="Q260" s="93"/>
    </row>
    <row r="261" spans="2:17" x14ac:dyDescent="0.25">
      <c r="B261" s="73"/>
      <c r="C261" s="74"/>
      <c r="D261" s="80"/>
      <c r="E261" s="81"/>
      <c r="F261" s="81"/>
      <c r="G261" s="81"/>
      <c r="H261" s="81"/>
      <c r="I261" s="82"/>
      <c r="J261" s="80"/>
      <c r="K261" s="82"/>
      <c r="L261" s="80"/>
      <c r="M261" s="82"/>
      <c r="N261" s="80"/>
      <c r="O261" s="82"/>
      <c r="P261" s="94"/>
      <c r="Q261" s="95"/>
    </row>
    <row r="262" spans="2:17" x14ac:dyDescent="0.25">
      <c r="B262" s="75"/>
      <c r="C262" s="76"/>
      <c r="D262" s="83"/>
      <c r="E262" s="84"/>
      <c r="F262" s="84"/>
      <c r="G262" s="84"/>
      <c r="H262" s="84"/>
      <c r="I262" s="85"/>
      <c r="J262" s="83"/>
      <c r="K262" s="85"/>
      <c r="L262" s="83"/>
      <c r="M262" s="85"/>
      <c r="N262" s="83"/>
      <c r="O262" s="85"/>
      <c r="P262" s="96"/>
      <c r="Q262" s="97"/>
    </row>
    <row r="263" spans="2:17" x14ac:dyDescent="0.25">
      <c r="B263" s="71"/>
      <c r="C263" s="72"/>
      <c r="D263" s="77"/>
      <c r="E263" s="78"/>
      <c r="F263" s="78"/>
      <c r="G263" s="78"/>
      <c r="H263" s="78"/>
      <c r="I263" s="79"/>
      <c r="J263" s="77"/>
      <c r="K263" s="79"/>
      <c r="L263" s="77"/>
      <c r="M263" s="79"/>
      <c r="N263" s="77"/>
      <c r="O263" s="79"/>
      <c r="P263" s="92"/>
      <c r="Q263" s="93"/>
    </row>
    <row r="264" spans="2:17" x14ac:dyDescent="0.25">
      <c r="B264" s="73"/>
      <c r="C264" s="74"/>
      <c r="D264" s="80"/>
      <c r="E264" s="81"/>
      <c r="F264" s="81"/>
      <c r="G264" s="81"/>
      <c r="H264" s="81"/>
      <c r="I264" s="82"/>
      <c r="J264" s="80"/>
      <c r="K264" s="82"/>
      <c r="L264" s="80"/>
      <c r="M264" s="82"/>
      <c r="N264" s="80"/>
      <c r="O264" s="82"/>
      <c r="P264" s="94"/>
      <c r="Q264" s="95"/>
    </row>
    <row r="265" spans="2:17" x14ac:dyDescent="0.25">
      <c r="B265" s="75"/>
      <c r="C265" s="76"/>
      <c r="D265" s="83"/>
      <c r="E265" s="84"/>
      <c r="F265" s="84"/>
      <c r="G265" s="84"/>
      <c r="H265" s="84"/>
      <c r="I265" s="85"/>
      <c r="J265" s="83"/>
      <c r="K265" s="85"/>
      <c r="L265" s="83"/>
      <c r="M265" s="85"/>
      <c r="N265" s="83"/>
      <c r="O265" s="85"/>
      <c r="P265" s="96"/>
      <c r="Q265" s="97"/>
    </row>
    <row r="266" spans="2:17" x14ac:dyDescent="0.25">
      <c r="B266" s="71"/>
      <c r="C266" s="72"/>
      <c r="D266" s="77"/>
      <c r="E266" s="78"/>
      <c r="F266" s="78"/>
      <c r="G266" s="78"/>
      <c r="H266" s="78"/>
      <c r="I266" s="79"/>
      <c r="J266" s="77"/>
      <c r="K266" s="79"/>
      <c r="L266" s="77"/>
      <c r="M266" s="79"/>
      <c r="N266" s="77"/>
      <c r="O266" s="79"/>
      <c r="P266" s="92"/>
      <c r="Q266" s="93"/>
    </row>
    <row r="267" spans="2:17" x14ac:dyDescent="0.25">
      <c r="B267" s="73"/>
      <c r="C267" s="74"/>
      <c r="D267" s="80"/>
      <c r="E267" s="81"/>
      <c r="F267" s="81"/>
      <c r="G267" s="81"/>
      <c r="H267" s="81"/>
      <c r="I267" s="82"/>
      <c r="J267" s="80"/>
      <c r="K267" s="82"/>
      <c r="L267" s="80"/>
      <c r="M267" s="82"/>
      <c r="N267" s="80"/>
      <c r="O267" s="82"/>
      <c r="P267" s="94"/>
      <c r="Q267" s="95"/>
    </row>
    <row r="268" spans="2:17" x14ac:dyDescent="0.25">
      <c r="B268" s="75"/>
      <c r="C268" s="76"/>
      <c r="D268" s="83"/>
      <c r="E268" s="84"/>
      <c r="F268" s="84"/>
      <c r="G268" s="84"/>
      <c r="H268" s="84"/>
      <c r="I268" s="85"/>
      <c r="J268" s="83"/>
      <c r="K268" s="85"/>
      <c r="L268" s="83"/>
      <c r="M268" s="85"/>
      <c r="N268" s="83"/>
      <c r="O268" s="85"/>
      <c r="P268" s="96"/>
      <c r="Q268" s="97"/>
    </row>
    <row r="269" spans="2:17" x14ac:dyDescent="0.25">
      <c r="B269" s="71"/>
      <c r="C269" s="72"/>
      <c r="D269" s="77"/>
      <c r="E269" s="78"/>
      <c r="F269" s="78"/>
      <c r="G269" s="78"/>
      <c r="H269" s="78"/>
      <c r="I269" s="79"/>
      <c r="J269" s="77"/>
      <c r="K269" s="79"/>
      <c r="L269" s="77"/>
      <c r="M269" s="79"/>
      <c r="N269" s="77"/>
      <c r="O269" s="79"/>
      <c r="P269" s="92"/>
      <c r="Q269" s="93"/>
    </row>
    <row r="270" spans="2:17" x14ac:dyDescent="0.25">
      <c r="B270" s="73"/>
      <c r="C270" s="74"/>
      <c r="D270" s="80"/>
      <c r="E270" s="81"/>
      <c r="F270" s="81"/>
      <c r="G270" s="81"/>
      <c r="H270" s="81"/>
      <c r="I270" s="82"/>
      <c r="J270" s="80"/>
      <c r="K270" s="82"/>
      <c r="L270" s="80"/>
      <c r="M270" s="82"/>
      <c r="N270" s="80"/>
      <c r="O270" s="82"/>
      <c r="P270" s="94"/>
      <c r="Q270" s="95"/>
    </row>
    <row r="271" spans="2:17" x14ac:dyDescent="0.25">
      <c r="B271" s="75"/>
      <c r="C271" s="76"/>
      <c r="D271" s="83"/>
      <c r="E271" s="84"/>
      <c r="F271" s="84"/>
      <c r="G271" s="84"/>
      <c r="H271" s="84"/>
      <c r="I271" s="85"/>
      <c r="J271" s="83"/>
      <c r="K271" s="85"/>
      <c r="L271" s="83"/>
      <c r="M271" s="85"/>
      <c r="N271" s="83"/>
      <c r="O271" s="85"/>
      <c r="P271" s="96"/>
      <c r="Q271" s="97"/>
    </row>
    <row r="272" spans="2:17" x14ac:dyDescent="0.25">
      <c r="B272" s="71"/>
      <c r="C272" s="72"/>
      <c r="D272" s="77"/>
      <c r="E272" s="78"/>
      <c r="F272" s="78"/>
      <c r="G272" s="78"/>
      <c r="H272" s="78"/>
      <c r="I272" s="79"/>
      <c r="J272" s="77"/>
      <c r="K272" s="79"/>
      <c r="L272" s="77"/>
      <c r="M272" s="79"/>
      <c r="N272" s="77"/>
      <c r="O272" s="79"/>
      <c r="P272" s="92"/>
      <c r="Q272" s="93"/>
    </row>
    <row r="273" spans="2:17" x14ac:dyDescent="0.25">
      <c r="B273" s="73"/>
      <c r="C273" s="74"/>
      <c r="D273" s="80"/>
      <c r="E273" s="81"/>
      <c r="F273" s="81"/>
      <c r="G273" s="81"/>
      <c r="H273" s="81"/>
      <c r="I273" s="82"/>
      <c r="J273" s="80"/>
      <c r="K273" s="82"/>
      <c r="L273" s="80"/>
      <c r="M273" s="82"/>
      <c r="N273" s="80"/>
      <c r="O273" s="82"/>
      <c r="P273" s="94"/>
      <c r="Q273" s="95"/>
    </row>
    <row r="274" spans="2:17" x14ac:dyDescent="0.25">
      <c r="B274" s="75"/>
      <c r="C274" s="76"/>
      <c r="D274" s="83"/>
      <c r="E274" s="84"/>
      <c r="F274" s="84"/>
      <c r="G274" s="84"/>
      <c r="H274" s="84"/>
      <c r="I274" s="85"/>
      <c r="J274" s="83"/>
      <c r="K274" s="85"/>
      <c r="L274" s="83"/>
      <c r="M274" s="85"/>
      <c r="N274" s="83"/>
      <c r="O274" s="85"/>
      <c r="P274" s="96"/>
      <c r="Q274" s="97"/>
    </row>
    <row r="275" spans="2:17" x14ac:dyDescent="0.25">
      <c r="B275" s="71"/>
      <c r="C275" s="72"/>
      <c r="D275" s="77"/>
      <c r="E275" s="78"/>
      <c r="F275" s="78"/>
      <c r="G275" s="78"/>
      <c r="H275" s="78"/>
      <c r="I275" s="79"/>
      <c r="J275" s="77"/>
      <c r="K275" s="79"/>
      <c r="L275" s="77"/>
      <c r="M275" s="79"/>
      <c r="N275" s="77"/>
      <c r="O275" s="79"/>
      <c r="P275" s="92"/>
      <c r="Q275" s="93"/>
    </row>
    <row r="276" spans="2:17" x14ac:dyDescent="0.25">
      <c r="B276" s="73"/>
      <c r="C276" s="74"/>
      <c r="D276" s="80"/>
      <c r="E276" s="81"/>
      <c r="F276" s="81"/>
      <c r="G276" s="81"/>
      <c r="H276" s="81"/>
      <c r="I276" s="82"/>
      <c r="J276" s="80"/>
      <c r="K276" s="82"/>
      <c r="L276" s="80"/>
      <c r="M276" s="82"/>
      <c r="N276" s="80"/>
      <c r="O276" s="82"/>
      <c r="P276" s="94"/>
      <c r="Q276" s="95"/>
    </row>
    <row r="277" spans="2:17" x14ac:dyDescent="0.25">
      <c r="B277" s="75"/>
      <c r="C277" s="76"/>
      <c r="D277" s="83"/>
      <c r="E277" s="84"/>
      <c r="F277" s="84"/>
      <c r="G277" s="84"/>
      <c r="H277" s="84"/>
      <c r="I277" s="85"/>
      <c r="J277" s="83"/>
      <c r="K277" s="85"/>
      <c r="L277" s="83"/>
      <c r="M277" s="85"/>
      <c r="N277" s="83"/>
      <c r="O277" s="85"/>
      <c r="P277" s="96"/>
      <c r="Q277" s="97"/>
    </row>
    <row r="278" spans="2:17" x14ac:dyDescent="0.25">
      <c r="B278" s="71"/>
      <c r="C278" s="72"/>
      <c r="D278" s="77"/>
      <c r="E278" s="78"/>
      <c r="F278" s="78"/>
      <c r="G278" s="78"/>
      <c r="H278" s="78"/>
      <c r="I278" s="79"/>
      <c r="J278" s="77"/>
      <c r="K278" s="79"/>
      <c r="L278" s="77"/>
      <c r="M278" s="79"/>
      <c r="N278" s="77"/>
      <c r="O278" s="79"/>
      <c r="P278" s="92"/>
      <c r="Q278" s="93"/>
    </row>
    <row r="279" spans="2:17" x14ac:dyDescent="0.25">
      <c r="B279" s="73"/>
      <c r="C279" s="74"/>
      <c r="D279" s="80"/>
      <c r="E279" s="81"/>
      <c r="F279" s="81"/>
      <c r="G279" s="81"/>
      <c r="H279" s="81"/>
      <c r="I279" s="82"/>
      <c r="J279" s="80"/>
      <c r="K279" s="82"/>
      <c r="L279" s="80"/>
      <c r="M279" s="82"/>
      <c r="N279" s="80"/>
      <c r="O279" s="82"/>
      <c r="P279" s="94"/>
      <c r="Q279" s="95"/>
    </row>
    <row r="280" spans="2:17" x14ac:dyDescent="0.25">
      <c r="B280" s="75"/>
      <c r="C280" s="76"/>
      <c r="D280" s="83"/>
      <c r="E280" s="84"/>
      <c r="F280" s="84"/>
      <c r="G280" s="84"/>
      <c r="H280" s="84"/>
      <c r="I280" s="85"/>
      <c r="J280" s="83"/>
      <c r="K280" s="85"/>
      <c r="L280" s="83"/>
      <c r="M280" s="85"/>
      <c r="N280" s="83"/>
      <c r="O280" s="85"/>
      <c r="P280" s="96"/>
      <c r="Q280" s="97"/>
    </row>
    <row r="281" spans="2:17" x14ac:dyDescent="0.25">
      <c r="B281" s="71"/>
      <c r="C281" s="72"/>
      <c r="D281" s="77"/>
      <c r="E281" s="78"/>
      <c r="F281" s="78"/>
      <c r="G281" s="78"/>
      <c r="H281" s="78"/>
      <c r="I281" s="79"/>
      <c r="J281" s="77"/>
      <c r="K281" s="79"/>
      <c r="L281" s="77"/>
      <c r="M281" s="79"/>
      <c r="N281" s="77"/>
      <c r="O281" s="79"/>
      <c r="P281" s="92"/>
      <c r="Q281" s="93"/>
    </row>
    <row r="282" spans="2:17" x14ac:dyDescent="0.25">
      <c r="B282" s="73"/>
      <c r="C282" s="74"/>
      <c r="D282" s="80"/>
      <c r="E282" s="81"/>
      <c r="F282" s="81"/>
      <c r="G282" s="81"/>
      <c r="H282" s="81"/>
      <c r="I282" s="82"/>
      <c r="J282" s="80"/>
      <c r="K282" s="82"/>
      <c r="L282" s="80"/>
      <c r="M282" s="82"/>
      <c r="N282" s="80"/>
      <c r="O282" s="82"/>
      <c r="P282" s="94"/>
      <c r="Q282" s="95"/>
    </row>
    <row r="283" spans="2:17" x14ac:dyDescent="0.25">
      <c r="B283" s="75"/>
      <c r="C283" s="76"/>
      <c r="D283" s="83"/>
      <c r="E283" s="84"/>
      <c r="F283" s="84"/>
      <c r="G283" s="84"/>
      <c r="H283" s="84"/>
      <c r="I283" s="85"/>
      <c r="J283" s="83"/>
      <c r="K283" s="85"/>
      <c r="L283" s="83"/>
      <c r="M283" s="85"/>
      <c r="N283" s="83"/>
      <c r="O283" s="85"/>
      <c r="P283" s="96"/>
      <c r="Q283" s="97"/>
    </row>
    <row r="284" spans="2:17" x14ac:dyDescent="0.25">
      <c r="B284" s="71"/>
      <c r="C284" s="72"/>
      <c r="D284" s="77"/>
      <c r="E284" s="78"/>
      <c r="F284" s="78"/>
      <c r="G284" s="78"/>
      <c r="H284" s="78"/>
      <c r="I284" s="79"/>
      <c r="J284" s="77"/>
      <c r="K284" s="79"/>
      <c r="L284" s="77"/>
      <c r="M284" s="79"/>
      <c r="N284" s="77"/>
      <c r="O284" s="79"/>
      <c r="P284" s="92"/>
      <c r="Q284" s="93"/>
    </row>
    <row r="285" spans="2:17" x14ac:dyDescent="0.25">
      <c r="B285" s="73"/>
      <c r="C285" s="74"/>
      <c r="D285" s="80"/>
      <c r="E285" s="81"/>
      <c r="F285" s="81"/>
      <c r="G285" s="81"/>
      <c r="H285" s="81"/>
      <c r="I285" s="82"/>
      <c r="J285" s="80"/>
      <c r="K285" s="82"/>
      <c r="L285" s="80"/>
      <c r="M285" s="82"/>
      <c r="N285" s="80"/>
      <c r="O285" s="82"/>
      <c r="P285" s="94"/>
      <c r="Q285" s="95"/>
    </row>
    <row r="286" spans="2:17" x14ac:dyDescent="0.25">
      <c r="B286" s="75"/>
      <c r="C286" s="76"/>
      <c r="D286" s="83"/>
      <c r="E286" s="84"/>
      <c r="F286" s="84"/>
      <c r="G286" s="84"/>
      <c r="H286" s="84"/>
      <c r="I286" s="85"/>
      <c r="J286" s="83"/>
      <c r="K286" s="85"/>
      <c r="L286" s="83"/>
      <c r="M286" s="85"/>
      <c r="N286" s="83"/>
      <c r="O286" s="85"/>
      <c r="P286" s="96"/>
      <c r="Q286" s="97"/>
    </row>
    <row r="287" spans="2:17" x14ac:dyDescent="0.25">
      <c r="B287" s="71"/>
      <c r="C287" s="72"/>
      <c r="D287" s="77"/>
      <c r="E287" s="78"/>
      <c r="F287" s="78"/>
      <c r="G287" s="78"/>
      <c r="H287" s="78"/>
      <c r="I287" s="79"/>
      <c r="J287" s="77"/>
      <c r="K287" s="79"/>
      <c r="L287" s="77"/>
      <c r="M287" s="79"/>
      <c r="N287" s="77"/>
      <c r="O287" s="79"/>
      <c r="P287" s="92"/>
      <c r="Q287" s="93"/>
    </row>
    <row r="288" spans="2:17" x14ac:dyDescent="0.25">
      <c r="B288" s="73"/>
      <c r="C288" s="74"/>
      <c r="D288" s="80"/>
      <c r="E288" s="81"/>
      <c r="F288" s="81"/>
      <c r="G288" s="81"/>
      <c r="H288" s="81"/>
      <c r="I288" s="82"/>
      <c r="J288" s="80"/>
      <c r="K288" s="82"/>
      <c r="L288" s="80"/>
      <c r="M288" s="82"/>
      <c r="N288" s="80"/>
      <c r="O288" s="82"/>
      <c r="P288" s="94"/>
      <c r="Q288" s="95"/>
    </row>
    <row r="289" spans="2:17" x14ac:dyDescent="0.25">
      <c r="B289" s="75"/>
      <c r="C289" s="76"/>
      <c r="D289" s="83"/>
      <c r="E289" s="84"/>
      <c r="F289" s="84"/>
      <c r="G289" s="84"/>
      <c r="H289" s="84"/>
      <c r="I289" s="85"/>
      <c r="J289" s="83"/>
      <c r="K289" s="85"/>
      <c r="L289" s="83"/>
      <c r="M289" s="85"/>
      <c r="N289" s="83"/>
      <c r="O289" s="85"/>
      <c r="P289" s="96"/>
      <c r="Q289" s="97"/>
    </row>
    <row r="290" spans="2:17" x14ac:dyDescent="0.25">
      <c r="B290" s="71"/>
      <c r="C290" s="72"/>
      <c r="D290" s="77"/>
      <c r="E290" s="78"/>
      <c r="F290" s="78"/>
      <c r="G290" s="78"/>
      <c r="H290" s="78"/>
      <c r="I290" s="79"/>
      <c r="J290" s="77"/>
      <c r="K290" s="79"/>
      <c r="L290" s="77"/>
      <c r="M290" s="79"/>
      <c r="N290" s="77"/>
      <c r="O290" s="79"/>
      <c r="P290" s="92"/>
      <c r="Q290" s="93"/>
    </row>
    <row r="291" spans="2:17" x14ac:dyDescent="0.25">
      <c r="B291" s="73"/>
      <c r="C291" s="74"/>
      <c r="D291" s="80"/>
      <c r="E291" s="81"/>
      <c r="F291" s="81"/>
      <c r="G291" s="81"/>
      <c r="H291" s="81"/>
      <c r="I291" s="82"/>
      <c r="J291" s="80"/>
      <c r="K291" s="82"/>
      <c r="L291" s="80"/>
      <c r="M291" s="82"/>
      <c r="N291" s="80"/>
      <c r="O291" s="82"/>
      <c r="P291" s="94"/>
      <c r="Q291" s="95"/>
    </row>
    <row r="292" spans="2:17" x14ac:dyDescent="0.25">
      <c r="B292" s="75"/>
      <c r="C292" s="76"/>
      <c r="D292" s="83"/>
      <c r="E292" s="84"/>
      <c r="F292" s="84"/>
      <c r="G292" s="84"/>
      <c r="H292" s="84"/>
      <c r="I292" s="85"/>
      <c r="J292" s="83"/>
      <c r="K292" s="85"/>
      <c r="L292" s="83"/>
      <c r="M292" s="85"/>
      <c r="N292" s="83"/>
      <c r="O292" s="85"/>
      <c r="P292" s="96"/>
      <c r="Q292" s="97"/>
    </row>
    <row r="293" spans="2:17" x14ac:dyDescent="0.25">
      <c r="B293" s="71"/>
      <c r="C293" s="72"/>
      <c r="D293" s="77"/>
      <c r="E293" s="78"/>
      <c r="F293" s="78"/>
      <c r="G293" s="78"/>
      <c r="H293" s="78"/>
      <c r="I293" s="79"/>
      <c r="J293" s="77"/>
      <c r="K293" s="79"/>
      <c r="L293" s="77"/>
      <c r="M293" s="79"/>
      <c r="N293" s="77"/>
      <c r="O293" s="79"/>
      <c r="P293" s="92"/>
      <c r="Q293" s="93"/>
    </row>
    <row r="294" spans="2:17" x14ac:dyDescent="0.25">
      <c r="B294" s="73"/>
      <c r="C294" s="74"/>
      <c r="D294" s="80"/>
      <c r="E294" s="81"/>
      <c r="F294" s="81"/>
      <c r="G294" s="81"/>
      <c r="H294" s="81"/>
      <c r="I294" s="82"/>
      <c r="J294" s="80"/>
      <c r="K294" s="82"/>
      <c r="L294" s="80"/>
      <c r="M294" s="82"/>
      <c r="N294" s="80"/>
      <c r="O294" s="82"/>
      <c r="P294" s="94"/>
      <c r="Q294" s="95"/>
    </row>
    <row r="295" spans="2:17" x14ac:dyDescent="0.25">
      <c r="B295" s="75"/>
      <c r="C295" s="76"/>
      <c r="D295" s="83"/>
      <c r="E295" s="84"/>
      <c r="F295" s="84"/>
      <c r="G295" s="84"/>
      <c r="H295" s="84"/>
      <c r="I295" s="85"/>
      <c r="J295" s="83"/>
      <c r="K295" s="85"/>
      <c r="L295" s="83"/>
      <c r="M295" s="85"/>
      <c r="N295" s="83"/>
      <c r="O295" s="85"/>
      <c r="P295" s="96"/>
      <c r="Q295" s="97"/>
    </row>
    <row r="296" spans="2:17" x14ac:dyDescent="0.25">
      <c r="B296" s="71"/>
      <c r="C296" s="72"/>
      <c r="D296" s="77"/>
      <c r="E296" s="78"/>
      <c r="F296" s="78"/>
      <c r="G296" s="78"/>
      <c r="H296" s="78"/>
      <c r="I296" s="79"/>
      <c r="J296" s="77"/>
      <c r="K296" s="79"/>
      <c r="L296" s="77"/>
      <c r="M296" s="79"/>
      <c r="N296" s="77"/>
      <c r="O296" s="79"/>
      <c r="P296" s="92"/>
      <c r="Q296" s="93"/>
    </row>
    <row r="297" spans="2:17" x14ac:dyDescent="0.25">
      <c r="B297" s="73"/>
      <c r="C297" s="74"/>
      <c r="D297" s="80"/>
      <c r="E297" s="81"/>
      <c r="F297" s="81"/>
      <c r="G297" s="81"/>
      <c r="H297" s="81"/>
      <c r="I297" s="82"/>
      <c r="J297" s="80"/>
      <c r="K297" s="82"/>
      <c r="L297" s="80"/>
      <c r="M297" s="82"/>
      <c r="N297" s="80"/>
      <c r="O297" s="82"/>
      <c r="P297" s="94"/>
      <c r="Q297" s="95"/>
    </row>
    <row r="298" spans="2:17" x14ac:dyDescent="0.25">
      <c r="B298" s="75"/>
      <c r="C298" s="76"/>
      <c r="D298" s="83"/>
      <c r="E298" s="84"/>
      <c r="F298" s="84"/>
      <c r="G298" s="84"/>
      <c r="H298" s="84"/>
      <c r="I298" s="85"/>
      <c r="J298" s="83"/>
      <c r="K298" s="85"/>
      <c r="L298" s="83"/>
      <c r="M298" s="85"/>
      <c r="N298" s="83"/>
      <c r="O298" s="85"/>
      <c r="P298" s="96"/>
      <c r="Q298" s="97"/>
    </row>
  </sheetData>
  <sheetProtection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620"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B98:C100"/>
    <mergeCell ref="D98:I100"/>
    <mergeCell ref="J98:K100"/>
    <mergeCell ref="L98:M100"/>
    <mergeCell ref="N98:O100"/>
    <mergeCell ref="P92:Q94"/>
    <mergeCell ref="B95:C97"/>
    <mergeCell ref="D95:I97"/>
    <mergeCell ref="J95:K97"/>
    <mergeCell ref="L95:M97"/>
    <mergeCell ref="N95:O97"/>
    <mergeCell ref="P95:Q97"/>
    <mergeCell ref="B92:C94"/>
    <mergeCell ref="D92:I94"/>
    <mergeCell ref="J92:K94"/>
    <mergeCell ref="L92:M94"/>
    <mergeCell ref="N92:O94"/>
    <mergeCell ref="B89:C91"/>
    <mergeCell ref="D89:I91"/>
    <mergeCell ref="J89:K91"/>
    <mergeCell ref="L89:M91"/>
    <mergeCell ref="N89:O91"/>
    <mergeCell ref="P89:Q91"/>
    <mergeCell ref="B86:C88"/>
    <mergeCell ref="D86:I88"/>
    <mergeCell ref="J86:K88"/>
    <mergeCell ref="L86:M88"/>
    <mergeCell ref="N86:O88"/>
    <mergeCell ref="B83:C85"/>
    <mergeCell ref="D83:I85"/>
    <mergeCell ref="J83:K85"/>
    <mergeCell ref="L83:M85"/>
    <mergeCell ref="N83:O85"/>
    <mergeCell ref="P83:Q85"/>
    <mergeCell ref="B80:C82"/>
    <mergeCell ref="D80:I82"/>
    <mergeCell ref="J80:K82"/>
    <mergeCell ref="L80:M82"/>
    <mergeCell ref="N80:O82"/>
    <mergeCell ref="B77:C79"/>
    <mergeCell ref="D77:I79"/>
    <mergeCell ref="J77:K79"/>
    <mergeCell ref="L77:M79"/>
    <mergeCell ref="N77:O79"/>
    <mergeCell ref="P77:Q79"/>
    <mergeCell ref="B74:C76"/>
    <mergeCell ref="D74:I76"/>
    <mergeCell ref="J74:K76"/>
    <mergeCell ref="L74:M76"/>
    <mergeCell ref="N74:O76"/>
    <mergeCell ref="P68:Q70"/>
    <mergeCell ref="B71:C73"/>
    <mergeCell ref="D71:I73"/>
    <mergeCell ref="J71:K73"/>
    <mergeCell ref="L71:M73"/>
    <mergeCell ref="N71:O73"/>
    <mergeCell ref="P71:Q73"/>
    <mergeCell ref="B68:C70"/>
    <mergeCell ref="D68:I70"/>
    <mergeCell ref="J68:K70"/>
    <mergeCell ref="L68:M70"/>
    <mergeCell ref="N68:O70"/>
    <mergeCell ref="P62:Q64"/>
    <mergeCell ref="B65:C67"/>
    <mergeCell ref="D65:I67"/>
    <mergeCell ref="J65:K67"/>
    <mergeCell ref="L65:M67"/>
    <mergeCell ref="N65:O67"/>
    <mergeCell ref="P65:Q67"/>
    <mergeCell ref="B62:C64"/>
    <mergeCell ref="D62:I64"/>
    <mergeCell ref="J62:K64"/>
    <mergeCell ref="L62:M64"/>
    <mergeCell ref="N62:O64"/>
    <mergeCell ref="P56:Q58"/>
    <mergeCell ref="B59:C61"/>
    <mergeCell ref="D59:I61"/>
    <mergeCell ref="J59:K61"/>
    <mergeCell ref="L59:M61"/>
    <mergeCell ref="N59:O61"/>
    <mergeCell ref="P59:Q61"/>
    <mergeCell ref="B56:C58"/>
    <mergeCell ref="D56:I58"/>
    <mergeCell ref="J56:K58"/>
    <mergeCell ref="L56:M58"/>
    <mergeCell ref="N56:O58"/>
    <mergeCell ref="P50:Q52"/>
    <mergeCell ref="B53:C55"/>
    <mergeCell ref="D53:I55"/>
    <mergeCell ref="J53:K55"/>
    <mergeCell ref="L53:M55"/>
    <mergeCell ref="N53:O55"/>
    <mergeCell ref="P53:Q55"/>
    <mergeCell ref="B50:C52"/>
    <mergeCell ref="D50:I52"/>
    <mergeCell ref="J50:K52"/>
    <mergeCell ref="L50:M52"/>
    <mergeCell ref="N50:O52"/>
    <mergeCell ref="P47:Q49"/>
    <mergeCell ref="B44:C46"/>
    <mergeCell ref="D44:I46"/>
    <mergeCell ref="J44:K46"/>
    <mergeCell ref="L44:M46"/>
    <mergeCell ref="N44:O46"/>
    <mergeCell ref="P44:Q46"/>
    <mergeCell ref="B47:C49"/>
    <mergeCell ref="D47:I49"/>
    <mergeCell ref="J47:K49"/>
    <mergeCell ref="L47:M49"/>
    <mergeCell ref="N47:O49"/>
    <mergeCell ref="P41:Q43"/>
    <mergeCell ref="B38:C40"/>
    <mergeCell ref="D38:I40"/>
    <mergeCell ref="J38:K40"/>
    <mergeCell ref="L38:M40"/>
    <mergeCell ref="N38:O40"/>
    <mergeCell ref="P38:Q40"/>
    <mergeCell ref="B41:C43"/>
    <mergeCell ref="D41:I43"/>
    <mergeCell ref="J41:K43"/>
    <mergeCell ref="L41:M43"/>
    <mergeCell ref="N41:O43"/>
    <mergeCell ref="P35:Q37"/>
    <mergeCell ref="B32:C34"/>
    <mergeCell ref="D32:I34"/>
    <mergeCell ref="J32:K34"/>
    <mergeCell ref="L32:M34"/>
    <mergeCell ref="N32:O34"/>
    <mergeCell ref="P32:Q34"/>
    <mergeCell ref="B35:C37"/>
    <mergeCell ref="D35:I37"/>
    <mergeCell ref="J35:K37"/>
    <mergeCell ref="L35:M37"/>
    <mergeCell ref="N35:O37"/>
    <mergeCell ref="P29:Q31"/>
    <mergeCell ref="B26:C28"/>
    <mergeCell ref="D26:I28"/>
    <mergeCell ref="J26:K28"/>
    <mergeCell ref="L26:M28"/>
    <mergeCell ref="N26:O28"/>
    <mergeCell ref="P26:Q28"/>
    <mergeCell ref="B29:C31"/>
    <mergeCell ref="D29:I31"/>
    <mergeCell ref="J29:K31"/>
    <mergeCell ref="L29:M31"/>
    <mergeCell ref="N29:O31"/>
    <mergeCell ref="P23:Q25"/>
    <mergeCell ref="B20:C22"/>
    <mergeCell ref="D20:I22"/>
    <mergeCell ref="J20:K22"/>
    <mergeCell ref="L20:M22"/>
    <mergeCell ref="N20:O22"/>
    <mergeCell ref="P20:Q22"/>
    <mergeCell ref="B23:C25"/>
    <mergeCell ref="D23:I25"/>
    <mergeCell ref="J23:K25"/>
    <mergeCell ref="L23:M25"/>
    <mergeCell ref="N23:O25"/>
    <mergeCell ref="P17:Q19"/>
    <mergeCell ref="N11:O13"/>
    <mergeCell ref="P11:Q13"/>
    <mergeCell ref="B14:C16"/>
    <mergeCell ref="D14:I16"/>
    <mergeCell ref="J14:K16"/>
    <mergeCell ref="L14:M16"/>
    <mergeCell ref="N14:O16"/>
    <mergeCell ref="P14:Q16"/>
    <mergeCell ref="B17:C19"/>
    <mergeCell ref="D17:I19"/>
    <mergeCell ref="J17:K19"/>
    <mergeCell ref="L17:M19"/>
    <mergeCell ref="N17:O19"/>
    <mergeCell ref="A1:C3"/>
    <mergeCell ref="E1:F3"/>
    <mergeCell ref="G1:H3"/>
    <mergeCell ref="E5:F5"/>
    <mergeCell ref="G5:H5"/>
    <mergeCell ref="P8:Q10"/>
    <mergeCell ref="K5:L5"/>
    <mergeCell ref="M5:N5"/>
    <mergeCell ref="B11:C13"/>
    <mergeCell ref="D11:I13"/>
    <mergeCell ref="J11:K13"/>
    <mergeCell ref="L11:M13"/>
    <mergeCell ref="I5:J5"/>
    <mergeCell ref="B8:C10"/>
    <mergeCell ref="D8:I10"/>
    <mergeCell ref="J8:K10"/>
    <mergeCell ref="L8:M10"/>
    <mergeCell ref="N8:O10"/>
    <mergeCell ref="B101:C103"/>
    <mergeCell ref="D101:I103"/>
    <mergeCell ref="J101:K103"/>
    <mergeCell ref="L101:M103"/>
    <mergeCell ref="N101:O103"/>
    <mergeCell ref="P101:Q103"/>
    <mergeCell ref="B104:C106"/>
    <mergeCell ref="D104:I106"/>
    <mergeCell ref="J104:K106"/>
    <mergeCell ref="L104:M106"/>
    <mergeCell ref="N104:O106"/>
    <mergeCell ref="P104:Q106"/>
    <mergeCell ref="B107:C109"/>
    <mergeCell ref="D107:I109"/>
    <mergeCell ref="J107:K109"/>
    <mergeCell ref="L107:M109"/>
    <mergeCell ref="N107:O109"/>
    <mergeCell ref="P107:Q109"/>
    <mergeCell ref="B110:C112"/>
    <mergeCell ref="D110:I112"/>
    <mergeCell ref="J110:K112"/>
    <mergeCell ref="L110:M112"/>
    <mergeCell ref="N110:O112"/>
    <mergeCell ref="P110:Q112"/>
    <mergeCell ref="B113:C115"/>
    <mergeCell ref="D113:I115"/>
    <mergeCell ref="J113:K115"/>
    <mergeCell ref="L113:M115"/>
    <mergeCell ref="N113:O115"/>
    <mergeCell ref="P113:Q115"/>
    <mergeCell ref="B116:C118"/>
    <mergeCell ref="D116:I118"/>
    <mergeCell ref="J116:K118"/>
    <mergeCell ref="L116:M118"/>
    <mergeCell ref="N116:O118"/>
    <mergeCell ref="P116:Q118"/>
    <mergeCell ref="B119:C121"/>
    <mergeCell ref="D119:I121"/>
    <mergeCell ref="J119:K121"/>
    <mergeCell ref="L119:M121"/>
    <mergeCell ref="N119:O121"/>
    <mergeCell ref="P119:Q121"/>
    <mergeCell ref="B122:C124"/>
    <mergeCell ref="D122:I124"/>
    <mergeCell ref="J122:K124"/>
    <mergeCell ref="L122:M124"/>
    <mergeCell ref="N122:O124"/>
    <mergeCell ref="P122:Q124"/>
    <mergeCell ref="B125:C127"/>
    <mergeCell ref="D125:I127"/>
    <mergeCell ref="J125:K127"/>
    <mergeCell ref="L125:M127"/>
    <mergeCell ref="N125:O127"/>
    <mergeCell ref="P125:Q127"/>
    <mergeCell ref="B128:C130"/>
    <mergeCell ref="D128:I130"/>
    <mergeCell ref="J128:K130"/>
    <mergeCell ref="L128:M130"/>
    <mergeCell ref="N128:O130"/>
    <mergeCell ref="P128:Q130"/>
    <mergeCell ref="B131:C133"/>
    <mergeCell ref="D131:I133"/>
    <mergeCell ref="J131:K133"/>
    <mergeCell ref="L131:M133"/>
    <mergeCell ref="N131:O133"/>
    <mergeCell ref="P131:Q133"/>
    <mergeCell ref="B134:C136"/>
    <mergeCell ref="D134:I136"/>
    <mergeCell ref="J134:K136"/>
    <mergeCell ref="L134:M136"/>
    <mergeCell ref="N134:O136"/>
    <mergeCell ref="P134:Q136"/>
    <mergeCell ref="B137:C139"/>
    <mergeCell ref="D137:I139"/>
    <mergeCell ref="J137:K139"/>
    <mergeCell ref="L137:M139"/>
    <mergeCell ref="N137:O139"/>
    <mergeCell ref="P137:Q139"/>
    <mergeCell ref="B140:C142"/>
    <mergeCell ref="D140:I142"/>
    <mergeCell ref="J140:K142"/>
    <mergeCell ref="L140:M142"/>
    <mergeCell ref="N140:O142"/>
    <mergeCell ref="P140:Q142"/>
    <mergeCell ref="B143:C145"/>
    <mergeCell ref="D143:I145"/>
    <mergeCell ref="J143:K145"/>
    <mergeCell ref="L143:M145"/>
    <mergeCell ref="N143:O145"/>
    <mergeCell ref="P143:Q145"/>
    <mergeCell ref="B146:C148"/>
    <mergeCell ref="D146:I148"/>
    <mergeCell ref="J146:K148"/>
    <mergeCell ref="L146:M148"/>
    <mergeCell ref="N146:O148"/>
    <mergeCell ref="P146:Q148"/>
    <mergeCell ref="B149:C151"/>
    <mergeCell ref="D149:I151"/>
    <mergeCell ref="J149:K151"/>
    <mergeCell ref="L149:M151"/>
    <mergeCell ref="N149:O151"/>
    <mergeCell ref="P149:Q151"/>
    <mergeCell ref="B152:C154"/>
    <mergeCell ref="D152:I154"/>
    <mergeCell ref="J152:K154"/>
    <mergeCell ref="L152:M154"/>
    <mergeCell ref="N152:O154"/>
    <mergeCell ref="P152:Q154"/>
    <mergeCell ref="B155:C157"/>
    <mergeCell ref="D155:I157"/>
    <mergeCell ref="J155:K157"/>
    <mergeCell ref="L155:M157"/>
    <mergeCell ref="N155:O157"/>
    <mergeCell ref="P155:Q157"/>
    <mergeCell ref="B158:C160"/>
    <mergeCell ref="D158:I160"/>
    <mergeCell ref="J158:K160"/>
    <mergeCell ref="L158:M160"/>
    <mergeCell ref="N158:O160"/>
    <mergeCell ref="P158:Q160"/>
    <mergeCell ref="B161:C163"/>
    <mergeCell ref="D161:I163"/>
    <mergeCell ref="J161:K163"/>
    <mergeCell ref="L161:M163"/>
    <mergeCell ref="N161:O163"/>
    <mergeCell ref="P161:Q163"/>
    <mergeCell ref="B164:C166"/>
    <mergeCell ref="D164:I166"/>
    <mergeCell ref="J164:K166"/>
    <mergeCell ref="L164:M166"/>
    <mergeCell ref="N164:O166"/>
    <mergeCell ref="P164:Q166"/>
    <mergeCell ref="B167:C169"/>
    <mergeCell ref="D167:I169"/>
    <mergeCell ref="J167:K169"/>
    <mergeCell ref="L167:M169"/>
    <mergeCell ref="N167:O169"/>
    <mergeCell ref="P167:Q169"/>
    <mergeCell ref="B170:C172"/>
    <mergeCell ref="D170:I172"/>
    <mergeCell ref="J170:K172"/>
    <mergeCell ref="L170:M172"/>
    <mergeCell ref="N170:O172"/>
    <mergeCell ref="P170:Q172"/>
    <mergeCell ref="B173:C175"/>
    <mergeCell ref="D173:I175"/>
    <mergeCell ref="J173:K175"/>
    <mergeCell ref="L173:M175"/>
    <mergeCell ref="N173:O175"/>
    <mergeCell ref="P173:Q175"/>
    <mergeCell ref="B176:C178"/>
    <mergeCell ref="D176:I178"/>
    <mergeCell ref="J176:K178"/>
    <mergeCell ref="L176:M178"/>
    <mergeCell ref="N176:O178"/>
    <mergeCell ref="P176:Q178"/>
    <mergeCell ref="B179:C181"/>
    <mergeCell ref="D179:I181"/>
    <mergeCell ref="J179:K181"/>
    <mergeCell ref="L179:M181"/>
    <mergeCell ref="N179:O181"/>
    <mergeCell ref="P179:Q181"/>
    <mergeCell ref="B182:C184"/>
    <mergeCell ref="D182:I184"/>
    <mergeCell ref="J182:K184"/>
    <mergeCell ref="L182:M184"/>
    <mergeCell ref="N182:O184"/>
    <mergeCell ref="P182:Q184"/>
    <mergeCell ref="B185:C187"/>
    <mergeCell ref="D185:I187"/>
    <mergeCell ref="J185:K187"/>
    <mergeCell ref="L185:M187"/>
    <mergeCell ref="N185:O187"/>
    <mergeCell ref="P185:Q187"/>
    <mergeCell ref="B188:C190"/>
    <mergeCell ref="D188:I190"/>
    <mergeCell ref="J188:K190"/>
    <mergeCell ref="L188:M190"/>
    <mergeCell ref="N188:O190"/>
    <mergeCell ref="P188:Q190"/>
    <mergeCell ref="B191:C193"/>
    <mergeCell ref="D191:I193"/>
    <mergeCell ref="J191:K193"/>
    <mergeCell ref="L191:M193"/>
    <mergeCell ref="N191:O193"/>
    <mergeCell ref="P191:Q193"/>
    <mergeCell ref="B194:C196"/>
    <mergeCell ref="D194:I196"/>
    <mergeCell ref="J194:K196"/>
    <mergeCell ref="L194:M196"/>
    <mergeCell ref="N194:O196"/>
    <mergeCell ref="P194:Q196"/>
    <mergeCell ref="B197:C199"/>
    <mergeCell ref="D197:I199"/>
    <mergeCell ref="J197:K199"/>
    <mergeCell ref="L197:M199"/>
    <mergeCell ref="N197:O199"/>
    <mergeCell ref="P197:Q199"/>
    <mergeCell ref="B200:C202"/>
    <mergeCell ref="D200:I202"/>
    <mergeCell ref="J200:K202"/>
    <mergeCell ref="L200:M202"/>
    <mergeCell ref="N200:O202"/>
    <mergeCell ref="P200:Q202"/>
    <mergeCell ref="B203:C205"/>
    <mergeCell ref="D203:I205"/>
    <mergeCell ref="J203:K205"/>
    <mergeCell ref="L203:M205"/>
    <mergeCell ref="N203:O205"/>
    <mergeCell ref="P203:Q205"/>
    <mergeCell ref="B206:C208"/>
    <mergeCell ref="D206:I208"/>
    <mergeCell ref="J206:K208"/>
    <mergeCell ref="L206:M208"/>
    <mergeCell ref="N206:O208"/>
    <mergeCell ref="P206:Q208"/>
    <mergeCell ref="B209:C211"/>
    <mergeCell ref="D209:I211"/>
    <mergeCell ref="J209:K211"/>
    <mergeCell ref="L209:M211"/>
    <mergeCell ref="N209:O211"/>
    <mergeCell ref="P209:Q211"/>
    <mergeCell ref="B212:C214"/>
    <mergeCell ref="D212:I214"/>
    <mergeCell ref="J212:K214"/>
    <mergeCell ref="L212:M214"/>
    <mergeCell ref="N212:O214"/>
    <mergeCell ref="P212:Q214"/>
    <mergeCell ref="B215:C217"/>
    <mergeCell ref="D215:I217"/>
    <mergeCell ref="J215:K217"/>
    <mergeCell ref="L215:M217"/>
    <mergeCell ref="N215:O217"/>
    <mergeCell ref="P215:Q217"/>
    <mergeCell ref="B218:C220"/>
    <mergeCell ref="D218:I220"/>
    <mergeCell ref="J218:K220"/>
    <mergeCell ref="L218:M220"/>
    <mergeCell ref="N218:O220"/>
    <mergeCell ref="P218:Q220"/>
    <mergeCell ref="B221:C223"/>
    <mergeCell ref="D221:I223"/>
    <mergeCell ref="J221:K223"/>
    <mergeCell ref="L221:M223"/>
    <mergeCell ref="N221:O223"/>
    <mergeCell ref="P221:Q223"/>
    <mergeCell ref="B224:C226"/>
    <mergeCell ref="D224:I226"/>
    <mergeCell ref="J224:K226"/>
    <mergeCell ref="L224:M226"/>
    <mergeCell ref="N224:O226"/>
    <mergeCell ref="P224:Q226"/>
    <mergeCell ref="B227:C229"/>
    <mergeCell ref="D227:I229"/>
    <mergeCell ref="J227:K229"/>
    <mergeCell ref="L227:M229"/>
    <mergeCell ref="N227:O229"/>
    <mergeCell ref="P227:Q229"/>
    <mergeCell ref="B230:C232"/>
    <mergeCell ref="D230:I232"/>
    <mergeCell ref="J230:K232"/>
    <mergeCell ref="L230:M232"/>
    <mergeCell ref="N230:O232"/>
    <mergeCell ref="P230:Q232"/>
    <mergeCell ref="B233:C235"/>
    <mergeCell ref="D233:I235"/>
    <mergeCell ref="J233:K235"/>
    <mergeCell ref="L233:M235"/>
    <mergeCell ref="N233:O235"/>
    <mergeCell ref="P233:Q235"/>
    <mergeCell ref="B236:C238"/>
    <mergeCell ref="D236:I238"/>
    <mergeCell ref="J236:K238"/>
    <mergeCell ref="L236:M238"/>
    <mergeCell ref="N236:O238"/>
    <mergeCell ref="P236:Q238"/>
    <mergeCell ref="B239:C241"/>
    <mergeCell ref="D239:I241"/>
    <mergeCell ref="J239:K241"/>
    <mergeCell ref="L239:M241"/>
    <mergeCell ref="N239:O241"/>
    <mergeCell ref="P239:Q241"/>
    <mergeCell ref="B242:C244"/>
    <mergeCell ref="D242:I244"/>
    <mergeCell ref="J242:K244"/>
    <mergeCell ref="L242:M244"/>
    <mergeCell ref="N242:O244"/>
    <mergeCell ref="P242:Q244"/>
    <mergeCell ref="B245:C247"/>
    <mergeCell ref="D245:I247"/>
    <mergeCell ref="J245:K247"/>
    <mergeCell ref="L245:M247"/>
    <mergeCell ref="N245:O247"/>
    <mergeCell ref="P245:Q247"/>
    <mergeCell ref="B248:C250"/>
    <mergeCell ref="D248:I250"/>
    <mergeCell ref="J248:K250"/>
    <mergeCell ref="L248:M250"/>
    <mergeCell ref="N248:O250"/>
    <mergeCell ref="P248:Q250"/>
    <mergeCell ref="B251:C253"/>
    <mergeCell ref="D251:I253"/>
    <mergeCell ref="J251:K253"/>
    <mergeCell ref="L251:M253"/>
    <mergeCell ref="N251:O253"/>
    <mergeCell ref="P251:Q253"/>
    <mergeCell ref="B254:C256"/>
    <mergeCell ref="D254:I256"/>
    <mergeCell ref="J254:K256"/>
    <mergeCell ref="L254:M256"/>
    <mergeCell ref="N254:O256"/>
    <mergeCell ref="P254:Q256"/>
    <mergeCell ref="B257:C259"/>
    <mergeCell ref="D257:I259"/>
    <mergeCell ref="J257:K259"/>
    <mergeCell ref="L257:M259"/>
    <mergeCell ref="N257:O259"/>
    <mergeCell ref="P257:Q259"/>
    <mergeCell ref="B260:C262"/>
    <mergeCell ref="D260:I262"/>
    <mergeCell ref="J260:K262"/>
    <mergeCell ref="L260:M262"/>
    <mergeCell ref="N260:O262"/>
    <mergeCell ref="P260:Q262"/>
    <mergeCell ref="B263:C265"/>
    <mergeCell ref="D263:I265"/>
    <mergeCell ref="J263:K265"/>
    <mergeCell ref="L263:M265"/>
    <mergeCell ref="N263:O265"/>
    <mergeCell ref="P263:Q265"/>
    <mergeCell ref="B266:C268"/>
    <mergeCell ref="D266:I268"/>
    <mergeCell ref="J266:K268"/>
    <mergeCell ref="L266:M268"/>
    <mergeCell ref="N266:O268"/>
    <mergeCell ref="P266:Q268"/>
    <mergeCell ref="B269:C271"/>
    <mergeCell ref="D269:I271"/>
    <mergeCell ref="J269:K271"/>
    <mergeCell ref="L269:M271"/>
    <mergeCell ref="N269:O271"/>
    <mergeCell ref="P269:Q271"/>
    <mergeCell ref="B272:C274"/>
    <mergeCell ref="D272:I274"/>
    <mergeCell ref="J272:K274"/>
    <mergeCell ref="L272:M274"/>
    <mergeCell ref="N272:O274"/>
    <mergeCell ref="P272:Q274"/>
    <mergeCell ref="B275:C277"/>
    <mergeCell ref="D275:I277"/>
    <mergeCell ref="J275:K277"/>
    <mergeCell ref="L275:M277"/>
    <mergeCell ref="N275:O277"/>
    <mergeCell ref="P275:Q277"/>
    <mergeCell ref="B278:C280"/>
    <mergeCell ref="D278:I280"/>
    <mergeCell ref="J278:K280"/>
    <mergeCell ref="L278:M280"/>
    <mergeCell ref="N278:O280"/>
    <mergeCell ref="P278:Q280"/>
    <mergeCell ref="B281:C283"/>
    <mergeCell ref="D281:I283"/>
    <mergeCell ref="J281:K283"/>
    <mergeCell ref="L281:M283"/>
    <mergeCell ref="N281:O283"/>
    <mergeCell ref="P281:Q283"/>
    <mergeCell ref="B284:C286"/>
    <mergeCell ref="D284:I286"/>
    <mergeCell ref="J284:K286"/>
    <mergeCell ref="L284:M286"/>
    <mergeCell ref="N284:O286"/>
    <mergeCell ref="P284:Q286"/>
    <mergeCell ref="B287:C289"/>
    <mergeCell ref="D287:I289"/>
    <mergeCell ref="J287:K289"/>
    <mergeCell ref="L287:M289"/>
    <mergeCell ref="N287:O289"/>
    <mergeCell ref="P287:Q289"/>
    <mergeCell ref="B290:C292"/>
    <mergeCell ref="D290:I292"/>
    <mergeCell ref="J290:K292"/>
    <mergeCell ref="L290:M292"/>
    <mergeCell ref="N290:O292"/>
    <mergeCell ref="P290:Q292"/>
    <mergeCell ref="B293:C295"/>
    <mergeCell ref="D293:I295"/>
    <mergeCell ref="J293:K295"/>
    <mergeCell ref="L293:M295"/>
    <mergeCell ref="N293:O295"/>
    <mergeCell ref="P293:Q295"/>
    <mergeCell ref="B296:C298"/>
    <mergeCell ref="D296:I298"/>
    <mergeCell ref="J296:K298"/>
    <mergeCell ref="L296:M298"/>
    <mergeCell ref="N296:O298"/>
    <mergeCell ref="P296:Q298"/>
  </mergeCells>
  <conditionalFormatting sqref="R11:S100">
    <cfRule type="containsText" dxfId="70" priority="19" operator="containsText" text="EM ATRASO">
      <formula>NOT(ISERROR(SEARCH("EM ATRASO",R11)))</formula>
    </cfRule>
  </conditionalFormatting>
  <conditionalFormatting sqref="R11:S100">
    <cfRule type="containsText" dxfId="69" priority="18" operator="containsText" text="HOJE">
      <formula>NOT(ISERROR(SEARCH("HOJE",R11)))</formula>
    </cfRule>
  </conditionalFormatting>
  <conditionalFormatting sqref="P11:Q13">
    <cfRule type="cellIs" dxfId="68" priority="1" operator="equal">
      <formula>"Por Fazer"</formula>
    </cfRule>
    <cfRule type="cellIs" dxfId="67" priority="2" operator="equal">
      <formula>"Em progresso"</formula>
    </cfRule>
    <cfRule type="cellIs" dxfId="66" priority="3" operator="equal">
      <formula>"Concluída"</formula>
    </cfRule>
  </conditionalFormatting>
  <conditionalFormatting sqref="B14:N47 B50:N50 B53:N53 B56:N56 B59:N59 B62:N62 B65:N65 B68:N68 B71:N71 B74:N74 B77:N77 B80:N80 B83:N83 B86:N86 B89:N89 B92:N92 B95:N95 B98:N98 B101:N101 B107:N107 B113:N113 B119:N119 B125:N125 B131:N131 B137:N137 B143:N143 B149:N149 B155:N155 B161:N161 B167:N167 B173:N173 B179:N179 B185:N185 B191:N191 B197:N197 B203:N203 B209:N209 B215:N215 B221:N221 B227:N227 B233:N233 B239:N239 B245:N245 B251:N251 B257:N257 B263:N263 B269:N269 B275:N275 B281:N281 B287:N287 B293:N293 B104:N104 B110:N110 B116:N116 B122:N122 B128:N128 B134:N134 B140:N140 B146:N146 B152:N152 B158:N158 B164:N164 B170:N170 B176:N176 B182:N182 B188:N188 B194:N194 B200:N200 B206:N206 B212:N212 B218:N218 B224:N224 B230:N230 B236:N236 B242:N242 B248:N248 B254:N254 B260:N260 B266:N266 B272:N272 B278:N278 B284:N284 B290:N290 B296:N296">
    <cfRule type="expression" dxfId="65" priority="11" stopIfTrue="1">
      <formula>$N14:$N50="Urgente"</formula>
    </cfRule>
    <cfRule type="expression" dxfId="64" priority="12" stopIfTrue="1">
      <formula>$N14:$N50="Alta"</formula>
    </cfRule>
    <cfRule type="expression" dxfId="63" priority="13" stopIfTrue="1">
      <formula>$N14:$N50="Média"</formula>
    </cfRule>
    <cfRule type="expression" dxfId="62" priority="14" stopIfTrue="1">
      <formula>$N14:$N50="Baixa"</formula>
    </cfRule>
  </conditionalFormatting>
  <conditionalFormatting sqref="P14:Q298">
    <cfRule type="cellIs" dxfId="61" priority="8" operator="equal">
      <formula>"Por Fazer"</formula>
    </cfRule>
    <cfRule type="cellIs" dxfId="60" priority="9" operator="equal">
      <formula>"Em progresso"</formula>
    </cfRule>
    <cfRule type="cellIs" dxfId="59" priority="10" operator="equal">
      <formula>"Concluída"</formula>
    </cfRule>
  </conditionalFormatting>
  <conditionalFormatting sqref="B11:N13">
    <cfRule type="expression" dxfId="58" priority="4" stopIfTrue="1">
      <formula>$N11:$N47="Urgente"</formula>
    </cfRule>
    <cfRule type="expression" dxfId="57" priority="5" stopIfTrue="1">
      <formula>$N11:$N47="Alta"</formula>
    </cfRule>
    <cfRule type="expression" dxfId="56" priority="6" stopIfTrue="1">
      <formula>$N11:$N47="Média"</formula>
    </cfRule>
    <cfRule type="expression" dxfId="55" priority="7" stopIfTrue="1">
      <formula>$N11:$N47="Baixa"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5E9555A-1C77-4E8F-949E-F34C742C76B7}">
          <x14:formula1>
            <xm:f>DataBase!$F$3:$F$5</xm:f>
          </x14:formula1>
          <xm:sqref>P11:Q298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EF174-987A-4720-911A-AFF65E2F5C46}">
  <sheetPr codeName="Planilha12"/>
  <dimension ref="B3:AH872"/>
  <sheetViews>
    <sheetView workbookViewId="0">
      <selection activeCell="S6" sqref="S6:AH8"/>
    </sheetView>
  </sheetViews>
  <sheetFormatPr defaultRowHeight="15" x14ac:dyDescent="0.25"/>
  <sheetData>
    <row r="3" spans="2:34" x14ac:dyDescent="0.25">
      <c r="B3" s="100" t="s">
        <v>9</v>
      </c>
      <c r="C3" s="101"/>
      <c r="D3" s="106" t="s">
        <v>10</v>
      </c>
      <c r="E3" s="107"/>
      <c r="F3" s="107"/>
      <c r="G3" s="107"/>
      <c r="H3" s="107"/>
      <c r="I3" s="108"/>
      <c r="J3" s="100" t="s">
        <v>11</v>
      </c>
      <c r="K3" s="101"/>
      <c r="L3" s="100" t="s">
        <v>12</v>
      </c>
      <c r="M3" s="101"/>
      <c r="N3" s="100" t="s">
        <v>13</v>
      </c>
      <c r="O3" s="101"/>
      <c r="P3" s="100" t="s">
        <v>14</v>
      </c>
      <c r="Q3" s="101"/>
      <c r="S3" s="100" t="s">
        <v>9</v>
      </c>
      <c r="T3" s="101"/>
      <c r="U3" s="106" t="s">
        <v>10</v>
      </c>
      <c r="V3" s="107"/>
      <c r="W3" s="107"/>
      <c r="X3" s="107"/>
      <c r="Y3" s="107"/>
      <c r="Z3" s="108"/>
      <c r="AA3" s="100" t="s">
        <v>11</v>
      </c>
      <c r="AB3" s="101"/>
      <c r="AC3" s="100" t="s">
        <v>12</v>
      </c>
      <c r="AD3" s="101"/>
      <c r="AE3" s="100" t="s">
        <v>13</v>
      </c>
      <c r="AF3" s="101"/>
      <c r="AG3" s="100" t="s">
        <v>14</v>
      </c>
      <c r="AH3" s="101"/>
    </row>
    <row r="4" spans="2:34" x14ac:dyDescent="0.25">
      <c r="B4" s="102"/>
      <c r="C4" s="103"/>
      <c r="D4" s="109"/>
      <c r="E4" s="110"/>
      <c r="F4" s="110"/>
      <c r="G4" s="110"/>
      <c r="H4" s="110"/>
      <c r="I4" s="111"/>
      <c r="J4" s="102"/>
      <c r="K4" s="103"/>
      <c r="L4" s="102"/>
      <c r="M4" s="103"/>
      <c r="N4" s="102"/>
      <c r="O4" s="103"/>
      <c r="P4" s="102"/>
      <c r="Q4" s="103"/>
      <c r="S4" s="102"/>
      <c r="T4" s="103"/>
      <c r="U4" s="109"/>
      <c r="V4" s="110"/>
      <c r="W4" s="110"/>
      <c r="X4" s="110"/>
      <c r="Y4" s="110"/>
      <c r="Z4" s="111"/>
      <c r="AA4" s="102"/>
      <c r="AB4" s="103"/>
      <c r="AC4" s="102"/>
      <c r="AD4" s="103"/>
      <c r="AE4" s="102"/>
      <c r="AF4" s="103"/>
      <c r="AG4" s="102"/>
      <c r="AH4" s="103"/>
    </row>
    <row r="5" spans="2:34" x14ac:dyDescent="0.25">
      <c r="B5" s="104"/>
      <c r="C5" s="105"/>
      <c r="D5" s="112"/>
      <c r="E5" s="113"/>
      <c r="F5" s="113"/>
      <c r="G5" s="113"/>
      <c r="H5" s="113"/>
      <c r="I5" s="114"/>
      <c r="J5" s="104"/>
      <c r="K5" s="105"/>
      <c r="L5" s="104"/>
      <c r="M5" s="105"/>
      <c r="N5" s="104"/>
      <c r="O5" s="105"/>
      <c r="P5" s="104"/>
      <c r="Q5" s="105"/>
      <c r="S5" s="104"/>
      <c r="T5" s="105"/>
      <c r="U5" s="112"/>
      <c r="V5" s="113"/>
      <c r="W5" s="113"/>
      <c r="X5" s="113"/>
      <c r="Y5" s="113"/>
      <c r="Z5" s="114"/>
      <c r="AA5" s="104"/>
      <c r="AB5" s="105"/>
      <c r="AC5" s="104"/>
      <c r="AD5" s="105"/>
      <c r="AE5" s="104"/>
      <c r="AF5" s="105"/>
      <c r="AG5" s="104"/>
      <c r="AH5" s="105"/>
    </row>
    <row r="6" spans="2:34" x14ac:dyDescent="0.25">
      <c r="B6" s="71" t="s">
        <v>34</v>
      </c>
      <c r="C6" s="72"/>
      <c r="D6" s="77" t="s">
        <v>35</v>
      </c>
      <c r="E6" s="78"/>
      <c r="F6" s="78"/>
      <c r="G6" s="78"/>
      <c r="H6" s="78"/>
      <c r="I6" s="79"/>
      <c r="J6" s="86">
        <v>43579</v>
      </c>
      <c r="K6" s="87"/>
      <c r="L6" s="86">
        <v>43660</v>
      </c>
      <c r="M6" s="87"/>
      <c r="N6" s="77" t="s">
        <v>18</v>
      </c>
      <c r="O6" s="79"/>
      <c r="P6" s="92" t="s">
        <v>22</v>
      </c>
      <c r="Q6" s="93"/>
      <c r="S6" s="77"/>
      <c r="T6" s="79"/>
      <c r="U6" s="77"/>
      <c r="V6" s="78"/>
      <c r="W6" s="78"/>
      <c r="X6" s="78"/>
      <c r="Y6" s="78"/>
      <c r="Z6" s="79"/>
      <c r="AA6" s="86"/>
      <c r="AB6" s="87"/>
      <c r="AC6" s="86"/>
      <c r="AD6" s="87"/>
      <c r="AE6" s="77"/>
      <c r="AF6" s="79"/>
      <c r="AG6" s="92"/>
      <c r="AH6" s="93"/>
    </row>
    <row r="7" spans="2:34" x14ac:dyDescent="0.25">
      <c r="B7" s="73"/>
      <c r="C7" s="74"/>
      <c r="D7" s="80"/>
      <c r="E7" s="81"/>
      <c r="F7" s="81"/>
      <c r="G7" s="81"/>
      <c r="H7" s="81"/>
      <c r="I7" s="82"/>
      <c r="J7" s="88"/>
      <c r="K7" s="89"/>
      <c r="L7" s="88"/>
      <c r="M7" s="89"/>
      <c r="N7" s="80"/>
      <c r="O7" s="82"/>
      <c r="P7" s="94"/>
      <c r="Q7" s="95"/>
      <c r="S7" s="80"/>
      <c r="T7" s="82"/>
      <c r="U7" s="80"/>
      <c r="V7" s="81"/>
      <c r="W7" s="81"/>
      <c r="X7" s="81"/>
      <c r="Y7" s="81"/>
      <c r="Z7" s="82"/>
      <c r="AA7" s="88"/>
      <c r="AB7" s="89"/>
      <c r="AC7" s="88"/>
      <c r="AD7" s="89"/>
      <c r="AE7" s="80"/>
      <c r="AF7" s="82"/>
      <c r="AG7" s="94"/>
      <c r="AH7" s="95"/>
    </row>
    <row r="8" spans="2:34" x14ac:dyDescent="0.25">
      <c r="B8" s="75"/>
      <c r="C8" s="76"/>
      <c r="D8" s="83"/>
      <c r="E8" s="84"/>
      <c r="F8" s="84"/>
      <c r="G8" s="84"/>
      <c r="H8" s="84"/>
      <c r="I8" s="85"/>
      <c r="J8" s="90"/>
      <c r="K8" s="91"/>
      <c r="L8" s="90"/>
      <c r="M8" s="91"/>
      <c r="N8" s="83"/>
      <c r="O8" s="85"/>
      <c r="P8" s="96"/>
      <c r="Q8" s="97"/>
      <c r="S8" s="83"/>
      <c r="T8" s="85"/>
      <c r="U8" s="83"/>
      <c r="V8" s="84"/>
      <c r="W8" s="84"/>
      <c r="X8" s="84"/>
      <c r="Y8" s="84"/>
      <c r="Z8" s="85"/>
      <c r="AA8" s="90"/>
      <c r="AB8" s="91"/>
      <c r="AC8" s="90"/>
      <c r="AD8" s="91"/>
      <c r="AE8" s="83"/>
      <c r="AF8" s="85"/>
      <c r="AG8" s="96"/>
      <c r="AH8" s="97"/>
    </row>
    <row r="9" spans="2:34" x14ac:dyDescent="0.25">
      <c r="B9" s="71"/>
      <c r="C9" s="72"/>
      <c r="D9" s="77" t="s">
        <v>49</v>
      </c>
      <c r="E9" s="78"/>
      <c r="F9" s="78"/>
      <c r="G9" s="78"/>
      <c r="H9" s="78"/>
      <c r="I9" s="79"/>
      <c r="J9" s="86"/>
      <c r="K9" s="87"/>
      <c r="L9" s="86"/>
      <c r="M9" s="87"/>
      <c r="N9" s="77"/>
      <c r="O9" s="79"/>
      <c r="P9" s="92" t="s">
        <v>22</v>
      </c>
      <c r="Q9" s="93"/>
      <c r="S9" s="77"/>
      <c r="T9" s="79"/>
      <c r="U9" s="77"/>
      <c r="V9" s="78"/>
      <c r="W9" s="78"/>
      <c r="X9" s="78"/>
      <c r="Y9" s="78"/>
      <c r="Z9" s="79"/>
      <c r="AA9" s="86"/>
      <c r="AB9" s="87"/>
      <c r="AC9" s="86"/>
      <c r="AD9" s="87"/>
      <c r="AE9" s="77"/>
      <c r="AF9" s="79"/>
      <c r="AG9" s="92"/>
      <c r="AH9" s="93"/>
    </row>
    <row r="10" spans="2:34" x14ac:dyDescent="0.25">
      <c r="B10" s="73"/>
      <c r="C10" s="74"/>
      <c r="D10" s="80"/>
      <c r="E10" s="81"/>
      <c r="F10" s="81"/>
      <c r="G10" s="81"/>
      <c r="H10" s="81"/>
      <c r="I10" s="82"/>
      <c r="J10" s="88"/>
      <c r="K10" s="89"/>
      <c r="L10" s="88"/>
      <c r="M10" s="89"/>
      <c r="N10" s="80"/>
      <c r="O10" s="82"/>
      <c r="P10" s="94"/>
      <c r="Q10" s="95"/>
      <c r="S10" s="80"/>
      <c r="T10" s="82"/>
      <c r="U10" s="80"/>
      <c r="V10" s="81"/>
      <c r="W10" s="81"/>
      <c r="X10" s="81"/>
      <c r="Y10" s="81"/>
      <c r="Z10" s="82"/>
      <c r="AA10" s="88"/>
      <c r="AB10" s="89"/>
      <c r="AC10" s="88"/>
      <c r="AD10" s="89"/>
      <c r="AE10" s="80"/>
      <c r="AF10" s="82"/>
      <c r="AG10" s="94"/>
      <c r="AH10" s="95"/>
    </row>
    <row r="11" spans="2:34" x14ac:dyDescent="0.25">
      <c r="B11" s="75"/>
      <c r="C11" s="76"/>
      <c r="D11" s="83"/>
      <c r="E11" s="84"/>
      <c r="F11" s="84"/>
      <c r="G11" s="84"/>
      <c r="H11" s="84"/>
      <c r="I11" s="85"/>
      <c r="J11" s="90"/>
      <c r="K11" s="91"/>
      <c r="L11" s="90"/>
      <c r="M11" s="91"/>
      <c r="N11" s="83"/>
      <c r="O11" s="85"/>
      <c r="P11" s="96"/>
      <c r="Q11" s="97"/>
      <c r="S11" s="83"/>
      <c r="T11" s="85"/>
      <c r="U11" s="83"/>
      <c r="V11" s="84"/>
      <c r="W11" s="84"/>
      <c r="X11" s="84"/>
      <c r="Y11" s="84"/>
      <c r="Z11" s="85"/>
      <c r="AA11" s="90"/>
      <c r="AB11" s="91"/>
      <c r="AC11" s="90"/>
      <c r="AD11" s="91"/>
      <c r="AE11" s="83"/>
      <c r="AF11" s="85"/>
      <c r="AG11" s="96"/>
      <c r="AH11" s="97"/>
    </row>
    <row r="12" spans="2:34" x14ac:dyDescent="0.25">
      <c r="B12" s="71"/>
      <c r="C12" s="72"/>
      <c r="D12" s="77"/>
      <c r="E12" s="78"/>
      <c r="F12" s="78"/>
      <c r="G12" s="78"/>
      <c r="H12" s="78"/>
      <c r="I12" s="79"/>
      <c r="J12" s="86"/>
      <c r="K12" s="87"/>
      <c r="L12" s="86"/>
      <c r="M12" s="87"/>
      <c r="N12" s="77"/>
      <c r="O12" s="79"/>
      <c r="P12" s="92"/>
      <c r="Q12" s="93"/>
      <c r="S12" s="77"/>
      <c r="T12" s="79"/>
      <c r="U12" s="77"/>
      <c r="V12" s="78"/>
      <c r="W12" s="78"/>
      <c r="X12" s="78"/>
      <c r="Y12" s="78"/>
      <c r="Z12" s="79"/>
      <c r="AA12" s="86"/>
      <c r="AB12" s="87"/>
      <c r="AC12" s="86"/>
      <c r="AD12" s="87"/>
      <c r="AE12" s="77"/>
      <c r="AF12" s="79"/>
      <c r="AG12" s="92"/>
      <c r="AH12" s="93"/>
    </row>
    <row r="13" spans="2:34" x14ac:dyDescent="0.25">
      <c r="B13" s="73"/>
      <c r="C13" s="74"/>
      <c r="D13" s="80"/>
      <c r="E13" s="81"/>
      <c r="F13" s="81"/>
      <c r="G13" s="81"/>
      <c r="H13" s="81"/>
      <c r="I13" s="82"/>
      <c r="J13" s="88"/>
      <c r="K13" s="89"/>
      <c r="L13" s="88"/>
      <c r="M13" s="89"/>
      <c r="N13" s="80"/>
      <c r="O13" s="82"/>
      <c r="P13" s="94"/>
      <c r="Q13" s="95"/>
      <c r="S13" s="80"/>
      <c r="T13" s="82"/>
      <c r="U13" s="80"/>
      <c r="V13" s="81"/>
      <c r="W13" s="81"/>
      <c r="X13" s="81"/>
      <c r="Y13" s="81"/>
      <c r="Z13" s="82"/>
      <c r="AA13" s="88"/>
      <c r="AB13" s="89"/>
      <c r="AC13" s="88"/>
      <c r="AD13" s="89"/>
      <c r="AE13" s="80"/>
      <c r="AF13" s="82"/>
      <c r="AG13" s="94"/>
      <c r="AH13" s="95"/>
    </row>
    <row r="14" spans="2:34" x14ac:dyDescent="0.25">
      <c r="B14" s="75"/>
      <c r="C14" s="76"/>
      <c r="D14" s="83"/>
      <c r="E14" s="84"/>
      <c r="F14" s="84"/>
      <c r="G14" s="84"/>
      <c r="H14" s="84"/>
      <c r="I14" s="85"/>
      <c r="J14" s="90"/>
      <c r="K14" s="91"/>
      <c r="L14" s="90"/>
      <c r="M14" s="91"/>
      <c r="N14" s="83"/>
      <c r="O14" s="85"/>
      <c r="P14" s="96"/>
      <c r="Q14" s="97"/>
      <c r="S14" s="83"/>
      <c r="T14" s="85"/>
      <c r="U14" s="83"/>
      <c r="V14" s="84"/>
      <c r="W14" s="84"/>
      <c r="X14" s="84"/>
      <c r="Y14" s="84"/>
      <c r="Z14" s="85"/>
      <c r="AA14" s="90"/>
      <c r="AB14" s="91"/>
      <c r="AC14" s="90"/>
      <c r="AD14" s="91"/>
      <c r="AE14" s="83"/>
      <c r="AF14" s="85"/>
      <c r="AG14" s="96"/>
      <c r="AH14" s="97"/>
    </row>
    <row r="15" spans="2:34" x14ac:dyDescent="0.25">
      <c r="B15" s="71"/>
      <c r="C15" s="72"/>
      <c r="D15" s="77"/>
      <c r="E15" s="78"/>
      <c r="F15" s="78"/>
      <c r="G15" s="78"/>
      <c r="H15" s="78"/>
      <c r="I15" s="79"/>
      <c r="J15" s="86"/>
      <c r="K15" s="87"/>
      <c r="L15" s="86"/>
      <c r="M15" s="87"/>
      <c r="N15" s="77"/>
      <c r="O15" s="79"/>
      <c r="P15" s="92"/>
      <c r="Q15" s="93"/>
      <c r="S15" s="77"/>
      <c r="T15" s="79"/>
      <c r="U15" s="77"/>
      <c r="V15" s="78"/>
      <c r="W15" s="78"/>
      <c r="X15" s="78"/>
      <c r="Y15" s="78"/>
      <c r="Z15" s="79"/>
      <c r="AA15" s="86"/>
      <c r="AB15" s="87"/>
      <c r="AC15" s="86"/>
      <c r="AD15" s="87"/>
      <c r="AE15" s="77"/>
      <c r="AF15" s="79"/>
      <c r="AG15" s="92"/>
      <c r="AH15" s="93"/>
    </row>
    <row r="16" spans="2:34" x14ac:dyDescent="0.25">
      <c r="B16" s="73"/>
      <c r="C16" s="74"/>
      <c r="D16" s="80"/>
      <c r="E16" s="81"/>
      <c r="F16" s="81"/>
      <c r="G16" s="81"/>
      <c r="H16" s="81"/>
      <c r="I16" s="82"/>
      <c r="J16" s="88"/>
      <c r="K16" s="89"/>
      <c r="L16" s="88"/>
      <c r="M16" s="89"/>
      <c r="N16" s="80"/>
      <c r="O16" s="82"/>
      <c r="P16" s="94"/>
      <c r="Q16" s="95"/>
      <c r="S16" s="80"/>
      <c r="T16" s="82"/>
      <c r="U16" s="80"/>
      <c r="V16" s="81"/>
      <c r="W16" s="81"/>
      <c r="X16" s="81"/>
      <c r="Y16" s="81"/>
      <c r="Z16" s="82"/>
      <c r="AA16" s="88"/>
      <c r="AB16" s="89"/>
      <c r="AC16" s="88"/>
      <c r="AD16" s="89"/>
      <c r="AE16" s="80"/>
      <c r="AF16" s="82"/>
      <c r="AG16" s="94"/>
      <c r="AH16" s="95"/>
    </row>
    <row r="17" spans="2:34" x14ac:dyDescent="0.25">
      <c r="B17" s="75"/>
      <c r="C17" s="76"/>
      <c r="D17" s="83"/>
      <c r="E17" s="84"/>
      <c r="F17" s="84"/>
      <c r="G17" s="84"/>
      <c r="H17" s="84"/>
      <c r="I17" s="85"/>
      <c r="J17" s="90"/>
      <c r="K17" s="91"/>
      <c r="L17" s="90"/>
      <c r="M17" s="91"/>
      <c r="N17" s="83"/>
      <c r="O17" s="85"/>
      <c r="P17" s="96"/>
      <c r="Q17" s="97"/>
      <c r="S17" s="83"/>
      <c r="T17" s="85"/>
      <c r="U17" s="83"/>
      <c r="V17" s="84"/>
      <c r="W17" s="84"/>
      <c r="X17" s="84"/>
      <c r="Y17" s="84"/>
      <c r="Z17" s="85"/>
      <c r="AA17" s="90"/>
      <c r="AB17" s="91"/>
      <c r="AC17" s="90"/>
      <c r="AD17" s="91"/>
      <c r="AE17" s="83"/>
      <c r="AF17" s="85"/>
      <c r="AG17" s="96"/>
      <c r="AH17" s="97"/>
    </row>
    <row r="18" spans="2:34" x14ac:dyDescent="0.25">
      <c r="B18" s="71"/>
      <c r="C18" s="72"/>
      <c r="D18" s="77"/>
      <c r="E18" s="78"/>
      <c r="F18" s="78"/>
      <c r="G18" s="78"/>
      <c r="H18" s="78"/>
      <c r="I18" s="79"/>
      <c r="J18" s="86"/>
      <c r="K18" s="87"/>
      <c r="L18" s="86"/>
      <c r="M18" s="87"/>
      <c r="N18" s="77"/>
      <c r="O18" s="79"/>
      <c r="P18" s="92"/>
      <c r="Q18" s="93"/>
      <c r="S18" s="77"/>
      <c r="T18" s="79"/>
      <c r="U18" s="77"/>
      <c r="V18" s="78"/>
      <c r="W18" s="78"/>
      <c r="X18" s="78"/>
      <c r="Y18" s="78"/>
      <c r="Z18" s="79"/>
      <c r="AA18" s="86"/>
      <c r="AB18" s="87"/>
      <c r="AC18" s="86"/>
      <c r="AD18" s="87"/>
      <c r="AE18" s="77"/>
      <c r="AF18" s="79"/>
      <c r="AG18" s="92"/>
      <c r="AH18" s="93"/>
    </row>
    <row r="19" spans="2:34" x14ac:dyDescent="0.25">
      <c r="B19" s="73"/>
      <c r="C19" s="74"/>
      <c r="D19" s="80"/>
      <c r="E19" s="81"/>
      <c r="F19" s="81"/>
      <c r="G19" s="81"/>
      <c r="H19" s="81"/>
      <c r="I19" s="82"/>
      <c r="J19" s="88"/>
      <c r="K19" s="89"/>
      <c r="L19" s="88"/>
      <c r="M19" s="89"/>
      <c r="N19" s="80"/>
      <c r="O19" s="82"/>
      <c r="P19" s="94"/>
      <c r="Q19" s="95"/>
      <c r="S19" s="80"/>
      <c r="T19" s="82"/>
      <c r="U19" s="80"/>
      <c r="V19" s="81"/>
      <c r="W19" s="81"/>
      <c r="X19" s="81"/>
      <c r="Y19" s="81"/>
      <c r="Z19" s="82"/>
      <c r="AA19" s="88"/>
      <c r="AB19" s="89"/>
      <c r="AC19" s="88"/>
      <c r="AD19" s="89"/>
      <c r="AE19" s="80"/>
      <c r="AF19" s="82"/>
      <c r="AG19" s="94"/>
      <c r="AH19" s="95"/>
    </row>
    <row r="20" spans="2:34" x14ac:dyDescent="0.25">
      <c r="B20" s="75"/>
      <c r="C20" s="76"/>
      <c r="D20" s="83"/>
      <c r="E20" s="84"/>
      <c r="F20" s="84"/>
      <c r="G20" s="84"/>
      <c r="H20" s="84"/>
      <c r="I20" s="85"/>
      <c r="J20" s="90"/>
      <c r="K20" s="91"/>
      <c r="L20" s="90"/>
      <c r="M20" s="91"/>
      <c r="N20" s="83"/>
      <c r="O20" s="85"/>
      <c r="P20" s="96"/>
      <c r="Q20" s="97"/>
      <c r="S20" s="83"/>
      <c r="T20" s="85"/>
      <c r="U20" s="83"/>
      <c r="V20" s="84"/>
      <c r="W20" s="84"/>
      <c r="X20" s="84"/>
      <c r="Y20" s="84"/>
      <c r="Z20" s="85"/>
      <c r="AA20" s="90"/>
      <c r="AB20" s="91"/>
      <c r="AC20" s="90"/>
      <c r="AD20" s="91"/>
      <c r="AE20" s="83"/>
      <c r="AF20" s="85"/>
      <c r="AG20" s="96"/>
      <c r="AH20" s="97"/>
    </row>
    <row r="21" spans="2:34" x14ac:dyDescent="0.25">
      <c r="B21" s="71"/>
      <c r="C21" s="72"/>
      <c r="D21" s="77"/>
      <c r="E21" s="78"/>
      <c r="F21" s="78"/>
      <c r="G21" s="78"/>
      <c r="H21" s="78"/>
      <c r="I21" s="79"/>
      <c r="J21" s="86"/>
      <c r="K21" s="87"/>
      <c r="L21" s="86"/>
      <c r="M21" s="87"/>
      <c r="N21" s="77"/>
      <c r="O21" s="79"/>
      <c r="P21" s="92"/>
      <c r="Q21" s="93"/>
      <c r="S21" s="77"/>
      <c r="T21" s="79"/>
      <c r="U21" s="77"/>
      <c r="V21" s="78"/>
      <c r="W21" s="78"/>
      <c r="X21" s="78"/>
      <c r="Y21" s="78"/>
      <c r="Z21" s="79"/>
      <c r="AA21" s="86"/>
      <c r="AB21" s="87"/>
      <c r="AC21" s="86"/>
      <c r="AD21" s="87"/>
      <c r="AE21" s="77"/>
      <c r="AF21" s="79"/>
      <c r="AG21" s="92"/>
      <c r="AH21" s="93"/>
    </row>
    <row r="22" spans="2:34" x14ac:dyDescent="0.25">
      <c r="B22" s="73"/>
      <c r="C22" s="74"/>
      <c r="D22" s="80"/>
      <c r="E22" s="81"/>
      <c r="F22" s="81"/>
      <c r="G22" s="81"/>
      <c r="H22" s="81"/>
      <c r="I22" s="82"/>
      <c r="J22" s="88"/>
      <c r="K22" s="89"/>
      <c r="L22" s="88"/>
      <c r="M22" s="89"/>
      <c r="N22" s="80"/>
      <c r="O22" s="82"/>
      <c r="P22" s="94"/>
      <c r="Q22" s="95"/>
      <c r="S22" s="80"/>
      <c r="T22" s="82"/>
      <c r="U22" s="80"/>
      <c r="V22" s="81"/>
      <c r="W22" s="81"/>
      <c r="X22" s="81"/>
      <c r="Y22" s="81"/>
      <c r="Z22" s="82"/>
      <c r="AA22" s="88"/>
      <c r="AB22" s="89"/>
      <c r="AC22" s="88"/>
      <c r="AD22" s="89"/>
      <c r="AE22" s="80"/>
      <c r="AF22" s="82"/>
      <c r="AG22" s="94"/>
      <c r="AH22" s="95"/>
    </row>
    <row r="23" spans="2:34" x14ac:dyDescent="0.25">
      <c r="B23" s="75"/>
      <c r="C23" s="76"/>
      <c r="D23" s="83"/>
      <c r="E23" s="84"/>
      <c r="F23" s="84"/>
      <c r="G23" s="84"/>
      <c r="H23" s="84"/>
      <c r="I23" s="85"/>
      <c r="J23" s="90"/>
      <c r="K23" s="91"/>
      <c r="L23" s="90"/>
      <c r="M23" s="91"/>
      <c r="N23" s="83"/>
      <c r="O23" s="85"/>
      <c r="P23" s="96"/>
      <c r="Q23" s="97"/>
      <c r="S23" s="83"/>
      <c r="T23" s="85"/>
      <c r="U23" s="83"/>
      <c r="V23" s="84"/>
      <c r="W23" s="84"/>
      <c r="X23" s="84"/>
      <c r="Y23" s="84"/>
      <c r="Z23" s="85"/>
      <c r="AA23" s="90"/>
      <c r="AB23" s="91"/>
      <c r="AC23" s="90"/>
      <c r="AD23" s="91"/>
      <c r="AE23" s="83"/>
      <c r="AF23" s="85"/>
      <c r="AG23" s="96"/>
      <c r="AH23" s="97"/>
    </row>
    <row r="24" spans="2:34" x14ac:dyDescent="0.25">
      <c r="B24" s="71"/>
      <c r="C24" s="72"/>
      <c r="D24" s="77"/>
      <c r="E24" s="78"/>
      <c r="F24" s="78"/>
      <c r="G24" s="78"/>
      <c r="H24" s="78"/>
      <c r="I24" s="79"/>
      <c r="J24" s="86"/>
      <c r="K24" s="87"/>
      <c r="L24" s="86"/>
      <c r="M24" s="87"/>
      <c r="N24" s="77"/>
      <c r="O24" s="79"/>
      <c r="P24" s="92"/>
      <c r="Q24" s="93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8"/>
      <c r="AD24" s="98"/>
      <c r="AE24" s="98"/>
      <c r="AF24" s="98"/>
      <c r="AG24" s="98"/>
      <c r="AH24" s="98"/>
    </row>
    <row r="25" spans="2:34" x14ac:dyDescent="0.25">
      <c r="B25" s="73"/>
      <c r="C25" s="74"/>
      <c r="D25" s="80"/>
      <c r="E25" s="81"/>
      <c r="F25" s="81"/>
      <c r="G25" s="81"/>
      <c r="H25" s="81"/>
      <c r="I25" s="82"/>
      <c r="J25" s="88"/>
      <c r="K25" s="89"/>
      <c r="L25" s="88"/>
      <c r="M25" s="89"/>
      <c r="N25" s="80"/>
      <c r="O25" s="82"/>
      <c r="P25" s="94"/>
      <c r="Q25" s="95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8"/>
      <c r="AD25" s="98"/>
      <c r="AE25" s="98"/>
      <c r="AF25" s="98"/>
      <c r="AG25" s="98"/>
      <c r="AH25" s="98"/>
    </row>
    <row r="26" spans="2:34" x14ac:dyDescent="0.25">
      <c r="B26" s="75"/>
      <c r="C26" s="76"/>
      <c r="D26" s="83"/>
      <c r="E26" s="84"/>
      <c r="F26" s="84"/>
      <c r="G26" s="84"/>
      <c r="H26" s="84"/>
      <c r="I26" s="85"/>
      <c r="J26" s="90"/>
      <c r="K26" s="91"/>
      <c r="L26" s="90"/>
      <c r="M26" s="91"/>
      <c r="N26" s="83"/>
      <c r="O26" s="85"/>
      <c r="P26" s="96"/>
      <c r="Q26" s="97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8"/>
      <c r="AD26" s="98"/>
      <c r="AE26" s="98"/>
      <c r="AF26" s="98"/>
      <c r="AG26" s="98"/>
      <c r="AH26" s="98"/>
    </row>
    <row r="27" spans="2:34" x14ac:dyDescent="0.25">
      <c r="B27" s="71"/>
      <c r="C27" s="72"/>
      <c r="D27" s="77"/>
      <c r="E27" s="78"/>
      <c r="F27" s="78"/>
      <c r="G27" s="78"/>
      <c r="H27" s="78"/>
      <c r="I27" s="79"/>
      <c r="J27" s="86"/>
      <c r="K27" s="87"/>
      <c r="L27" s="86"/>
      <c r="M27" s="87"/>
      <c r="N27" s="77"/>
      <c r="O27" s="79"/>
      <c r="P27" s="92"/>
      <c r="Q27" s="93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8"/>
      <c r="AD27" s="98"/>
      <c r="AE27" s="98"/>
      <c r="AF27" s="98"/>
      <c r="AG27" s="98"/>
      <c r="AH27" s="98"/>
    </row>
    <row r="28" spans="2:34" x14ac:dyDescent="0.25">
      <c r="B28" s="73"/>
      <c r="C28" s="74"/>
      <c r="D28" s="80"/>
      <c r="E28" s="81"/>
      <c r="F28" s="81"/>
      <c r="G28" s="81"/>
      <c r="H28" s="81"/>
      <c r="I28" s="82"/>
      <c r="J28" s="88"/>
      <c r="K28" s="89"/>
      <c r="L28" s="88"/>
      <c r="M28" s="89"/>
      <c r="N28" s="80"/>
      <c r="O28" s="82"/>
      <c r="P28" s="94"/>
      <c r="Q28" s="95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8"/>
      <c r="AD28" s="98"/>
      <c r="AE28" s="98"/>
      <c r="AF28" s="98"/>
      <c r="AG28" s="98"/>
      <c r="AH28" s="98"/>
    </row>
    <row r="29" spans="2:34" x14ac:dyDescent="0.25">
      <c r="B29" s="75"/>
      <c r="C29" s="76"/>
      <c r="D29" s="83"/>
      <c r="E29" s="84"/>
      <c r="F29" s="84"/>
      <c r="G29" s="84"/>
      <c r="H29" s="84"/>
      <c r="I29" s="85"/>
      <c r="J29" s="90"/>
      <c r="K29" s="91"/>
      <c r="L29" s="90"/>
      <c r="M29" s="91"/>
      <c r="N29" s="83"/>
      <c r="O29" s="85"/>
      <c r="P29" s="96"/>
      <c r="Q29" s="97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8"/>
      <c r="AD29" s="98"/>
      <c r="AE29" s="98"/>
      <c r="AF29" s="98"/>
      <c r="AG29" s="98"/>
      <c r="AH29" s="98"/>
    </row>
    <row r="30" spans="2:34" x14ac:dyDescent="0.25">
      <c r="B30" s="71"/>
      <c r="C30" s="72"/>
      <c r="D30" s="77"/>
      <c r="E30" s="78"/>
      <c r="F30" s="78"/>
      <c r="G30" s="78"/>
      <c r="H30" s="78"/>
      <c r="I30" s="79"/>
      <c r="J30" s="86"/>
      <c r="K30" s="87"/>
      <c r="L30" s="86"/>
      <c r="M30" s="87"/>
      <c r="N30" s="77"/>
      <c r="O30" s="79"/>
      <c r="P30" s="92"/>
      <c r="Q30" s="93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8"/>
      <c r="AD30" s="98"/>
      <c r="AE30" s="98"/>
      <c r="AF30" s="98"/>
      <c r="AG30" s="98"/>
      <c r="AH30" s="98"/>
    </row>
    <row r="31" spans="2:34" x14ac:dyDescent="0.25">
      <c r="B31" s="73"/>
      <c r="C31" s="74"/>
      <c r="D31" s="80"/>
      <c r="E31" s="81"/>
      <c r="F31" s="81"/>
      <c r="G31" s="81"/>
      <c r="H31" s="81"/>
      <c r="I31" s="82"/>
      <c r="J31" s="88"/>
      <c r="K31" s="89"/>
      <c r="L31" s="88"/>
      <c r="M31" s="89"/>
      <c r="N31" s="80"/>
      <c r="O31" s="82"/>
      <c r="P31" s="94"/>
      <c r="Q31" s="95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8"/>
      <c r="AD31" s="98"/>
      <c r="AE31" s="98"/>
      <c r="AF31" s="98"/>
      <c r="AG31" s="98"/>
      <c r="AH31" s="98"/>
    </row>
    <row r="32" spans="2:34" x14ac:dyDescent="0.25">
      <c r="B32" s="75"/>
      <c r="C32" s="76"/>
      <c r="D32" s="83"/>
      <c r="E32" s="84"/>
      <c r="F32" s="84"/>
      <c r="G32" s="84"/>
      <c r="H32" s="84"/>
      <c r="I32" s="85"/>
      <c r="J32" s="90"/>
      <c r="K32" s="91"/>
      <c r="L32" s="90"/>
      <c r="M32" s="91"/>
      <c r="N32" s="83"/>
      <c r="O32" s="85"/>
      <c r="P32" s="96"/>
      <c r="Q32" s="97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8"/>
      <c r="AD32" s="98"/>
      <c r="AE32" s="98"/>
      <c r="AF32" s="98"/>
      <c r="AG32" s="98"/>
      <c r="AH32" s="98"/>
    </row>
    <row r="33" spans="2:34" x14ac:dyDescent="0.25">
      <c r="B33" s="71"/>
      <c r="C33" s="72"/>
      <c r="D33" s="77"/>
      <c r="E33" s="78"/>
      <c r="F33" s="78"/>
      <c r="G33" s="78"/>
      <c r="H33" s="78"/>
      <c r="I33" s="79"/>
      <c r="J33" s="86"/>
      <c r="K33" s="87"/>
      <c r="L33" s="86"/>
      <c r="M33" s="87"/>
      <c r="N33" s="77"/>
      <c r="O33" s="79"/>
      <c r="P33" s="92"/>
      <c r="Q33" s="93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8"/>
      <c r="AD33" s="98"/>
      <c r="AE33" s="98"/>
      <c r="AF33" s="98"/>
      <c r="AG33" s="98"/>
      <c r="AH33" s="98"/>
    </row>
    <row r="34" spans="2:34" x14ac:dyDescent="0.25">
      <c r="B34" s="73"/>
      <c r="C34" s="74"/>
      <c r="D34" s="80"/>
      <c r="E34" s="81"/>
      <c r="F34" s="81"/>
      <c r="G34" s="81"/>
      <c r="H34" s="81"/>
      <c r="I34" s="82"/>
      <c r="J34" s="88"/>
      <c r="K34" s="89"/>
      <c r="L34" s="88"/>
      <c r="M34" s="89"/>
      <c r="N34" s="80"/>
      <c r="O34" s="82"/>
      <c r="P34" s="94"/>
      <c r="Q34" s="95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8"/>
      <c r="AD34" s="98"/>
      <c r="AE34" s="98"/>
      <c r="AF34" s="98"/>
      <c r="AG34" s="98"/>
      <c r="AH34" s="98"/>
    </row>
    <row r="35" spans="2:34" x14ac:dyDescent="0.25">
      <c r="B35" s="75"/>
      <c r="C35" s="76"/>
      <c r="D35" s="83"/>
      <c r="E35" s="84"/>
      <c r="F35" s="84"/>
      <c r="G35" s="84"/>
      <c r="H35" s="84"/>
      <c r="I35" s="85"/>
      <c r="J35" s="90"/>
      <c r="K35" s="91"/>
      <c r="L35" s="90"/>
      <c r="M35" s="91"/>
      <c r="N35" s="83"/>
      <c r="O35" s="85"/>
      <c r="P35" s="96"/>
      <c r="Q35" s="97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8"/>
      <c r="AD35" s="98"/>
      <c r="AE35" s="98"/>
      <c r="AF35" s="98"/>
      <c r="AG35" s="98"/>
      <c r="AH35" s="98"/>
    </row>
    <row r="36" spans="2:34" x14ac:dyDescent="0.25">
      <c r="B36" s="71"/>
      <c r="C36" s="72"/>
      <c r="D36" s="77"/>
      <c r="E36" s="78"/>
      <c r="F36" s="78"/>
      <c r="G36" s="78"/>
      <c r="H36" s="78"/>
      <c r="I36" s="79"/>
      <c r="J36" s="86"/>
      <c r="K36" s="87"/>
      <c r="L36" s="86"/>
      <c r="M36" s="87"/>
      <c r="N36" s="77"/>
      <c r="O36" s="79"/>
      <c r="P36" s="92"/>
      <c r="Q36" s="93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8"/>
      <c r="AD36" s="98"/>
      <c r="AE36" s="98"/>
      <c r="AF36" s="98"/>
      <c r="AG36" s="98"/>
      <c r="AH36" s="98"/>
    </row>
    <row r="37" spans="2:34" x14ac:dyDescent="0.25">
      <c r="B37" s="73"/>
      <c r="C37" s="74"/>
      <c r="D37" s="80"/>
      <c r="E37" s="81"/>
      <c r="F37" s="81"/>
      <c r="G37" s="81"/>
      <c r="H37" s="81"/>
      <c r="I37" s="82"/>
      <c r="J37" s="88"/>
      <c r="K37" s="89"/>
      <c r="L37" s="88"/>
      <c r="M37" s="89"/>
      <c r="N37" s="80"/>
      <c r="O37" s="82"/>
      <c r="P37" s="94"/>
      <c r="Q37" s="95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8"/>
      <c r="AD37" s="98"/>
      <c r="AE37" s="98"/>
      <c r="AF37" s="98"/>
      <c r="AG37" s="98"/>
      <c r="AH37" s="98"/>
    </row>
    <row r="38" spans="2:34" x14ac:dyDescent="0.25">
      <c r="B38" s="75"/>
      <c r="C38" s="76"/>
      <c r="D38" s="83"/>
      <c r="E38" s="84"/>
      <c r="F38" s="84"/>
      <c r="G38" s="84"/>
      <c r="H38" s="84"/>
      <c r="I38" s="85"/>
      <c r="J38" s="90"/>
      <c r="K38" s="91"/>
      <c r="L38" s="90"/>
      <c r="M38" s="91"/>
      <c r="N38" s="83"/>
      <c r="O38" s="85"/>
      <c r="P38" s="96"/>
      <c r="Q38" s="97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8"/>
      <c r="AD38" s="98"/>
      <c r="AE38" s="98"/>
      <c r="AF38" s="98"/>
      <c r="AG38" s="98"/>
      <c r="AH38" s="98"/>
    </row>
    <row r="39" spans="2:34" x14ac:dyDescent="0.25">
      <c r="B39" s="71"/>
      <c r="C39" s="72"/>
      <c r="D39" s="77"/>
      <c r="E39" s="78"/>
      <c r="F39" s="78"/>
      <c r="G39" s="78"/>
      <c r="H39" s="78"/>
      <c r="I39" s="79"/>
      <c r="J39" s="86"/>
      <c r="K39" s="87"/>
      <c r="L39" s="86"/>
      <c r="M39" s="87"/>
      <c r="N39" s="77"/>
      <c r="O39" s="79"/>
      <c r="P39" s="92"/>
      <c r="Q39" s="93"/>
      <c r="S39" s="99"/>
      <c r="T39" s="99"/>
      <c r="U39" s="99"/>
      <c r="V39" s="99"/>
      <c r="W39" s="99"/>
      <c r="X39" s="99"/>
      <c r="Y39" s="99"/>
      <c r="Z39" s="99"/>
      <c r="AA39" s="99"/>
      <c r="AB39" s="99"/>
      <c r="AC39" s="98"/>
      <c r="AD39" s="98"/>
      <c r="AE39" s="98"/>
      <c r="AF39" s="98"/>
      <c r="AG39" s="98"/>
      <c r="AH39" s="98"/>
    </row>
    <row r="40" spans="2:34" x14ac:dyDescent="0.25">
      <c r="B40" s="73"/>
      <c r="C40" s="74"/>
      <c r="D40" s="80"/>
      <c r="E40" s="81"/>
      <c r="F40" s="81"/>
      <c r="G40" s="81"/>
      <c r="H40" s="81"/>
      <c r="I40" s="82"/>
      <c r="J40" s="88"/>
      <c r="K40" s="89"/>
      <c r="L40" s="88"/>
      <c r="M40" s="89"/>
      <c r="N40" s="80"/>
      <c r="O40" s="82"/>
      <c r="P40" s="94"/>
      <c r="Q40" s="95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8"/>
      <c r="AD40" s="98"/>
      <c r="AE40" s="98"/>
      <c r="AF40" s="98"/>
      <c r="AG40" s="98"/>
      <c r="AH40" s="98"/>
    </row>
    <row r="41" spans="2:34" x14ac:dyDescent="0.25">
      <c r="B41" s="75"/>
      <c r="C41" s="76"/>
      <c r="D41" s="83"/>
      <c r="E41" s="84"/>
      <c r="F41" s="84"/>
      <c r="G41" s="84"/>
      <c r="H41" s="84"/>
      <c r="I41" s="85"/>
      <c r="J41" s="90"/>
      <c r="K41" s="91"/>
      <c r="L41" s="90"/>
      <c r="M41" s="91"/>
      <c r="N41" s="83"/>
      <c r="O41" s="85"/>
      <c r="P41" s="96"/>
      <c r="Q41" s="97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8"/>
      <c r="AD41" s="98"/>
      <c r="AE41" s="98"/>
      <c r="AF41" s="98"/>
      <c r="AG41" s="98"/>
      <c r="AH41" s="98"/>
    </row>
    <row r="42" spans="2:34" x14ac:dyDescent="0.25">
      <c r="B42" s="71"/>
      <c r="C42" s="72"/>
      <c r="D42" s="77"/>
      <c r="E42" s="78"/>
      <c r="F42" s="78"/>
      <c r="G42" s="78"/>
      <c r="H42" s="78"/>
      <c r="I42" s="79"/>
      <c r="J42" s="86"/>
      <c r="K42" s="87"/>
      <c r="L42" s="86"/>
      <c r="M42" s="87"/>
      <c r="N42" s="77"/>
      <c r="O42" s="79"/>
      <c r="P42" s="92"/>
      <c r="Q42" s="93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8"/>
      <c r="AD42" s="98"/>
      <c r="AE42" s="98"/>
      <c r="AF42" s="98"/>
      <c r="AG42" s="98"/>
      <c r="AH42" s="98"/>
    </row>
    <row r="43" spans="2:34" x14ac:dyDescent="0.25">
      <c r="B43" s="73"/>
      <c r="C43" s="74"/>
      <c r="D43" s="80"/>
      <c r="E43" s="81"/>
      <c r="F43" s="81"/>
      <c r="G43" s="81"/>
      <c r="H43" s="81"/>
      <c r="I43" s="82"/>
      <c r="J43" s="88"/>
      <c r="K43" s="89"/>
      <c r="L43" s="88"/>
      <c r="M43" s="89"/>
      <c r="N43" s="80"/>
      <c r="O43" s="82"/>
      <c r="P43" s="94"/>
      <c r="Q43" s="95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8"/>
      <c r="AD43" s="98"/>
      <c r="AE43" s="98"/>
      <c r="AF43" s="98"/>
      <c r="AG43" s="98"/>
      <c r="AH43" s="98"/>
    </row>
    <row r="44" spans="2:34" x14ac:dyDescent="0.25">
      <c r="B44" s="75"/>
      <c r="C44" s="76"/>
      <c r="D44" s="83"/>
      <c r="E44" s="84"/>
      <c r="F44" s="84"/>
      <c r="G44" s="84"/>
      <c r="H44" s="84"/>
      <c r="I44" s="85"/>
      <c r="J44" s="90"/>
      <c r="K44" s="91"/>
      <c r="L44" s="90"/>
      <c r="M44" s="91"/>
      <c r="N44" s="83"/>
      <c r="O44" s="85"/>
      <c r="P44" s="96"/>
      <c r="Q44" s="97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8"/>
      <c r="AD44" s="98"/>
      <c r="AE44" s="98"/>
      <c r="AF44" s="98"/>
      <c r="AG44" s="98"/>
      <c r="AH44" s="98"/>
    </row>
    <row r="45" spans="2:34" x14ac:dyDescent="0.25">
      <c r="B45" s="71"/>
      <c r="C45" s="72"/>
      <c r="D45" s="77"/>
      <c r="E45" s="78"/>
      <c r="F45" s="78"/>
      <c r="G45" s="78"/>
      <c r="H45" s="78"/>
      <c r="I45" s="79"/>
      <c r="J45" s="86"/>
      <c r="K45" s="87"/>
      <c r="L45" s="86"/>
      <c r="M45" s="87"/>
      <c r="N45" s="77"/>
      <c r="O45" s="79"/>
      <c r="P45" s="92"/>
      <c r="Q45" s="93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8"/>
      <c r="AD45" s="98"/>
      <c r="AE45" s="98"/>
      <c r="AF45" s="98"/>
      <c r="AG45" s="98"/>
      <c r="AH45" s="98"/>
    </row>
    <row r="46" spans="2:34" x14ac:dyDescent="0.25">
      <c r="B46" s="73"/>
      <c r="C46" s="74"/>
      <c r="D46" s="80"/>
      <c r="E46" s="81"/>
      <c r="F46" s="81"/>
      <c r="G46" s="81"/>
      <c r="H46" s="81"/>
      <c r="I46" s="82"/>
      <c r="J46" s="88"/>
      <c r="K46" s="89"/>
      <c r="L46" s="88"/>
      <c r="M46" s="89"/>
      <c r="N46" s="80"/>
      <c r="O46" s="82"/>
      <c r="P46" s="94"/>
      <c r="Q46" s="95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8"/>
      <c r="AD46" s="98"/>
      <c r="AE46" s="98"/>
      <c r="AF46" s="98"/>
      <c r="AG46" s="98"/>
      <c r="AH46" s="98"/>
    </row>
    <row r="47" spans="2:34" x14ac:dyDescent="0.25">
      <c r="B47" s="75"/>
      <c r="C47" s="76"/>
      <c r="D47" s="83"/>
      <c r="E47" s="84"/>
      <c r="F47" s="84"/>
      <c r="G47" s="84"/>
      <c r="H47" s="84"/>
      <c r="I47" s="85"/>
      <c r="J47" s="90"/>
      <c r="K47" s="91"/>
      <c r="L47" s="90"/>
      <c r="M47" s="91"/>
      <c r="N47" s="83"/>
      <c r="O47" s="85"/>
      <c r="P47" s="96"/>
      <c r="Q47" s="97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8"/>
      <c r="AD47" s="98"/>
      <c r="AE47" s="98"/>
      <c r="AF47" s="98"/>
      <c r="AG47" s="98"/>
      <c r="AH47" s="98"/>
    </row>
    <row r="48" spans="2:34" x14ac:dyDescent="0.25">
      <c r="B48" s="71"/>
      <c r="C48" s="72"/>
      <c r="D48" s="77"/>
      <c r="E48" s="78"/>
      <c r="F48" s="78"/>
      <c r="G48" s="78"/>
      <c r="H48" s="78"/>
      <c r="I48" s="79"/>
      <c r="J48" s="86"/>
      <c r="K48" s="87"/>
      <c r="L48" s="86"/>
      <c r="M48" s="87"/>
      <c r="N48" s="77"/>
      <c r="O48" s="79"/>
      <c r="P48" s="92"/>
      <c r="Q48" s="93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8"/>
      <c r="AD48" s="98"/>
      <c r="AE48" s="98"/>
      <c r="AF48" s="98"/>
      <c r="AG48" s="98"/>
      <c r="AH48" s="98"/>
    </row>
    <row r="49" spans="2:34" x14ac:dyDescent="0.25">
      <c r="B49" s="73"/>
      <c r="C49" s="74"/>
      <c r="D49" s="80"/>
      <c r="E49" s="81"/>
      <c r="F49" s="81"/>
      <c r="G49" s="81"/>
      <c r="H49" s="81"/>
      <c r="I49" s="82"/>
      <c r="J49" s="88"/>
      <c r="K49" s="89"/>
      <c r="L49" s="88"/>
      <c r="M49" s="89"/>
      <c r="N49" s="80"/>
      <c r="O49" s="82"/>
      <c r="P49" s="94"/>
      <c r="Q49" s="95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8"/>
      <c r="AD49" s="98"/>
      <c r="AE49" s="98"/>
      <c r="AF49" s="98"/>
      <c r="AG49" s="98"/>
      <c r="AH49" s="98"/>
    </row>
    <row r="50" spans="2:34" x14ac:dyDescent="0.25">
      <c r="B50" s="75"/>
      <c r="C50" s="76"/>
      <c r="D50" s="83"/>
      <c r="E50" s="84"/>
      <c r="F50" s="84"/>
      <c r="G50" s="84"/>
      <c r="H50" s="84"/>
      <c r="I50" s="85"/>
      <c r="J50" s="90"/>
      <c r="K50" s="91"/>
      <c r="L50" s="90"/>
      <c r="M50" s="91"/>
      <c r="N50" s="83"/>
      <c r="O50" s="85"/>
      <c r="P50" s="96"/>
      <c r="Q50" s="97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8"/>
      <c r="AD50" s="98"/>
      <c r="AE50" s="98"/>
      <c r="AF50" s="98"/>
      <c r="AG50" s="98"/>
      <c r="AH50" s="98"/>
    </row>
    <row r="51" spans="2:34" x14ac:dyDescent="0.25">
      <c r="B51" s="71"/>
      <c r="C51" s="72"/>
      <c r="D51" s="77"/>
      <c r="E51" s="78"/>
      <c r="F51" s="78"/>
      <c r="G51" s="78"/>
      <c r="H51" s="78"/>
      <c r="I51" s="79"/>
      <c r="J51" s="86"/>
      <c r="K51" s="87"/>
      <c r="L51" s="86"/>
      <c r="M51" s="87"/>
      <c r="N51" s="77"/>
      <c r="O51" s="79"/>
      <c r="P51" s="92"/>
      <c r="Q51" s="93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8"/>
      <c r="AD51" s="98"/>
      <c r="AE51" s="98"/>
      <c r="AF51" s="98"/>
      <c r="AG51" s="98"/>
      <c r="AH51" s="98"/>
    </row>
    <row r="52" spans="2:34" x14ac:dyDescent="0.25">
      <c r="B52" s="73"/>
      <c r="C52" s="74"/>
      <c r="D52" s="80"/>
      <c r="E52" s="81"/>
      <c r="F52" s="81"/>
      <c r="G52" s="81"/>
      <c r="H52" s="81"/>
      <c r="I52" s="82"/>
      <c r="J52" s="88"/>
      <c r="K52" s="89"/>
      <c r="L52" s="88"/>
      <c r="M52" s="89"/>
      <c r="N52" s="80"/>
      <c r="O52" s="82"/>
      <c r="P52" s="94"/>
      <c r="Q52" s="95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8"/>
      <c r="AD52" s="98"/>
      <c r="AE52" s="98"/>
      <c r="AF52" s="98"/>
      <c r="AG52" s="98"/>
      <c r="AH52" s="98"/>
    </row>
    <row r="53" spans="2:34" x14ac:dyDescent="0.25">
      <c r="B53" s="75"/>
      <c r="C53" s="76"/>
      <c r="D53" s="83"/>
      <c r="E53" s="84"/>
      <c r="F53" s="84"/>
      <c r="G53" s="84"/>
      <c r="H53" s="84"/>
      <c r="I53" s="85"/>
      <c r="J53" s="90"/>
      <c r="K53" s="91"/>
      <c r="L53" s="90"/>
      <c r="M53" s="91"/>
      <c r="N53" s="83"/>
      <c r="O53" s="85"/>
      <c r="P53" s="96"/>
      <c r="Q53" s="97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8"/>
      <c r="AD53" s="98"/>
      <c r="AE53" s="98"/>
      <c r="AF53" s="98"/>
      <c r="AG53" s="98"/>
      <c r="AH53" s="98"/>
    </row>
    <row r="54" spans="2:34" x14ac:dyDescent="0.25">
      <c r="B54" s="71"/>
      <c r="C54" s="72"/>
      <c r="D54" s="77"/>
      <c r="E54" s="78"/>
      <c r="F54" s="78"/>
      <c r="G54" s="78"/>
      <c r="H54" s="78"/>
      <c r="I54" s="79"/>
      <c r="J54" s="86"/>
      <c r="K54" s="87"/>
      <c r="L54" s="86"/>
      <c r="M54" s="87"/>
      <c r="N54" s="77"/>
      <c r="O54" s="79"/>
      <c r="P54" s="92"/>
      <c r="Q54" s="93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8"/>
      <c r="AD54" s="98"/>
      <c r="AE54" s="98"/>
      <c r="AF54" s="98"/>
      <c r="AG54" s="98"/>
      <c r="AH54" s="98"/>
    </row>
    <row r="55" spans="2:34" x14ac:dyDescent="0.25">
      <c r="B55" s="73"/>
      <c r="C55" s="74"/>
      <c r="D55" s="80"/>
      <c r="E55" s="81"/>
      <c r="F55" s="81"/>
      <c r="G55" s="81"/>
      <c r="H55" s="81"/>
      <c r="I55" s="82"/>
      <c r="J55" s="88"/>
      <c r="K55" s="89"/>
      <c r="L55" s="88"/>
      <c r="M55" s="89"/>
      <c r="N55" s="80"/>
      <c r="O55" s="82"/>
      <c r="P55" s="94"/>
      <c r="Q55" s="95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8"/>
      <c r="AD55" s="98"/>
      <c r="AE55" s="98"/>
      <c r="AF55" s="98"/>
      <c r="AG55" s="98"/>
      <c r="AH55" s="98"/>
    </row>
    <row r="56" spans="2:34" x14ac:dyDescent="0.25">
      <c r="B56" s="75"/>
      <c r="C56" s="76"/>
      <c r="D56" s="83"/>
      <c r="E56" s="84"/>
      <c r="F56" s="84"/>
      <c r="G56" s="84"/>
      <c r="H56" s="84"/>
      <c r="I56" s="85"/>
      <c r="J56" s="90"/>
      <c r="K56" s="91"/>
      <c r="L56" s="90"/>
      <c r="M56" s="91"/>
      <c r="N56" s="83"/>
      <c r="O56" s="85"/>
      <c r="P56" s="96"/>
      <c r="Q56" s="97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8"/>
      <c r="AD56" s="98"/>
      <c r="AE56" s="98"/>
      <c r="AF56" s="98"/>
      <c r="AG56" s="98"/>
      <c r="AH56" s="98"/>
    </row>
    <row r="57" spans="2:34" x14ac:dyDescent="0.25">
      <c r="B57" s="71"/>
      <c r="C57" s="72"/>
      <c r="D57" s="77"/>
      <c r="E57" s="78"/>
      <c r="F57" s="78"/>
      <c r="G57" s="78"/>
      <c r="H57" s="78"/>
      <c r="I57" s="79"/>
      <c r="J57" s="86"/>
      <c r="K57" s="87"/>
      <c r="L57" s="86"/>
      <c r="M57" s="87"/>
      <c r="N57" s="77"/>
      <c r="O57" s="79"/>
      <c r="P57" s="92"/>
      <c r="Q57" s="93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8"/>
      <c r="AD57" s="98"/>
      <c r="AE57" s="98"/>
      <c r="AF57" s="98"/>
      <c r="AG57" s="98"/>
      <c r="AH57" s="98"/>
    </row>
    <row r="58" spans="2:34" x14ac:dyDescent="0.25">
      <c r="B58" s="73"/>
      <c r="C58" s="74"/>
      <c r="D58" s="80"/>
      <c r="E58" s="81"/>
      <c r="F58" s="81"/>
      <c r="G58" s="81"/>
      <c r="H58" s="81"/>
      <c r="I58" s="82"/>
      <c r="J58" s="88"/>
      <c r="K58" s="89"/>
      <c r="L58" s="88"/>
      <c r="M58" s="89"/>
      <c r="N58" s="80"/>
      <c r="O58" s="82"/>
      <c r="P58" s="94"/>
      <c r="Q58" s="95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8"/>
      <c r="AD58" s="98"/>
      <c r="AE58" s="98"/>
      <c r="AF58" s="98"/>
      <c r="AG58" s="98"/>
      <c r="AH58" s="98"/>
    </row>
    <row r="59" spans="2:34" x14ac:dyDescent="0.25">
      <c r="B59" s="75"/>
      <c r="C59" s="76"/>
      <c r="D59" s="83"/>
      <c r="E59" s="84"/>
      <c r="F59" s="84"/>
      <c r="G59" s="84"/>
      <c r="H59" s="84"/>
      <c r="I59" s="85"/>
      <c r="J59" s="90"/>
      <c r="K59" s="91"/>
      <c r="L59" s="90"/>
      <c r="M59" s="91"/>
      <c r="N59" s="83"/>
      <c r="O59" s="85"/>
      <c r="P59" s="96"/>
      <c r="Q59" s="97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8"/>
      <c r="AD59" s="98"/>
      <c r="AE59" s="98"/>
      <c r="AF59" s="98"/>
      <c r="AG59" s="98"/>
      <c r="AH59" s="98"/>
    </row>
    <row r="60" spans="2:34" x14ac:dyDescent="0.25">
      <c r="B60" s="71"/>
      <c r="C60" s="72"/>
      <c r="D60" s="77"/>
      <c r="E60" s="78"/>
      <c r="F60" s="78"/>
      <c r="G60" s="78"/>
      <c r="H60" s="78"/>
      <c r="I60" s="79"/>
      <c r="J60" s="86"/>
      <c r="K60" s="87"/>
      <c r="L60" s="86"/>
      <c r="M60" s="87"/>
      <c r="N60" s="77"/>
      <c r="O60" s="79"/>
      <c r="P60" s="92"/>
      <c r="Q60" s="93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8"/>
      <c r="AD60" s="98"/>
      <c r="AE60" s="98"/>
      <c r="AF60" s="98"/>
      <c r="AG60" s="98"/>
      <c r="AH60" s="98"/>
    </row>
    <row r="61" spans="2:34" x14ac:dyDescent="0.25">
      <c r="B61" s="73"/>
      <c r="C61" s="74"/>
      <c r="D61" s="80"/>
      <c r="E61" s="81"/>
      <c r="F61" s="81"/>
      <c r="G61" s="81"/>
      <c r="H61" s="81"/>
      <c r="I61" s="82"/>
      <c r="J61" s="88"/>
      <c r="K61" s="89"/>
      <c r="L61" s="88"/>
      <c r="M61" s="89"/>
      <c r="N61" s="80"/>
      <c r="O61" s="82"/>
      <c r="P61" s="94"/>
      <c r="Q61" s="95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8"/>
      <c r="AD61" s="98"/>
      <c r="AE61" s="98"/>
      <c r="AF61" s="98"/>
      <c r="AG61" s="98"/>
      <c r="AH61" s="98"/>
    </row>
    <row r="62" spans="2:34" x14ac:dyDescent="0.25">
      <c r="B62" s="75"/>
      <c r="C62" s="76"/>
      <c r="D62" s="83"/>
      <c r="E62" s="84"/>
      <c r="F62" s="84"/>
      <c r="G62" s="84"/>
      <c r="H62" s="84"/>
      <c r="I62" s="85"/>
      <c r="J62" s="90"/>
      <c r="K62" s="91"/>
      <c r="L62" s="90"/>
      <c r="M62" s="91"/>
      <c r="N62" s="83"/>
      <c r="O62" s="85"/>
      <c r="P62" s="96"/>
      <c r="Q62" s="97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8"/>
      <c r="AD62" s="98"/>
      <c r="AE62" s="98"/>
      <c r="AF62" s="98"/>
      <c r="AG62" s="98"/>
      <c r="AH62" s="98"/>
    </row>
    <row r="63" spans="2:34" x14ac:dyDescent="0.25">
      <c r="B63" s="71"/>
      <c r="C63" s="72"/>
      <c r="D63" s="77"/>
      <c r="E63" s="78"/>
      <c r="F63" s="78"/>
      <c r="G63" s="78"/>
      <c r="H63" s="78"/>
      <c r="I63" s="79"/>
      <c r="J63" s="86"/>
      <c r="K63" s="87"/>
      <c r="L63" s="86"/>
      <c r="M63" s="87"/>
      <c r="N63" s="77"/>
      <c r="O63" s="79"/>
      <c r="P63" s="92"/>
      <c r="Q63" s="93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8"/>
      <c r="AD63" s="98"/>
      <c r="AE63" s="98"/>
      <c r="AF63" s="98"/>
      <c r="AG63" s="98"/>
      <c r="AH63" s="98"/>
    </row>
    <row r="64" spans="2:34" x14ac:dyDescent="0.25">
      <c r="B64" s="73"/>
      <c r="C64" s="74"/>
      <c r="D64" s="80"/>
      <c r="E64" s="81"/>
      <c r="F64" s="81"/>
      <c r="G64" s="81"/>
      <c r="H64" s="81"/>
      <c r="I64" s="82"/>
      <c r="J64" s="88"/>
      <c r="K64" s="89"/>
      <c r="L64" s="88"/>
      <c r="M64" s="89"/>
      <c r="N64" s="80"/>
      <c r="O64" s="82"/>
      <c r="P64" s="94"/>
      <c r="Q64" s="95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8"/>
      <c r="AD64" s="98"/>
      <c r="AE64" s="98"/>
      <c r="AF64" s="98"/>
      <c r="AG64" s="98"/>
      <c r="AH64" s="98"/>
    </row>
    <row r="65" spans="2:34" x14ac:dyDescent="0.25">
      <c r="B65" s="75"/>
      <c r="C65" s="76"/>
      <c r="D65" s="83"/>
      <c r="E65" s="84"/>
      <c r="F65" s="84"/>
      <c r="G65" s="84"/>
      <c r="H65" s="84"/>
      <c r="I65" s="85"/>
      <c r="J65" s="90"/>
      <c r="K65" s="91"/>
      <c r="L65" s="90"/>
      <c r="M65" s="91"/>
      <c r="N65" s="83"/>
      <c r="O65" s="85"/>
      <c r="P65" s="96"/>
      <c r="Q65" s="97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8"/>
      <c r="AD65" s="98"/>
      <c r="AE65" s="98"/>
      <c r="AF65" s="98"/>
      <c r="AG65" s="98"/>
      <c r="AH65" s="98"/>
    </row>
    <row r="66" spans="2:34" x14ac:dyDescent="0.25">
      <c r="B66" s="71"/>
      <c r="C66" s="72"/>
      <c r="D66" s="77"/>
      <c r="E66" s="78"/>
      <c r="F66" s="78"/>
      <c r="G66" s="78"/>
      <c r="H66" s="78"/>
      <c r="I66" s="79"/>
      <c r="J66" s="86"/>
      <c r="K66" s="87"/>
      <c r="L66" s="86"/>
      <c r="M66" s="87"/>
      <c r="N66" s="77"/>
      <c r="O66" s="79"/>
      <c r="P66" s="92"/>
      <c r="Q66" s="93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8"/>
      <c r="AD66" s="98"/>
      <c r="AE66" s="98"/>
      <c r="AF66" s="98"/>
      <c r="AG66" s="98"/>
      <c r="AH66" s="98"/>
    </row>
    <row r="67" spans="2:34" x14ac:dyDescent="0.25">
      <c r="B67" s="73"/>
      <c r="C67" s="74"/>
      <c r="D67" s="80"/>
      <c r="E67" s="81"/>
      <c r="F67" s="81"/>
      <c r="G67" s="81"/>
      <c r="H67" s="81"/>
      <c r="I67" s="82"/>
      <c r="J67" s="88"/>
      <c r="K67" s="89"/>
      <c r="L67" s="88"/>
      <c r="M67" s="89"/>
      <c r="N67" s="80"/>
      <c r="O67" s="82"/>
      <c r="P67" s="94"/>
      <c r="Q67" s="95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8"/>
      <c r="AD67" s="98"/>
      <c r="AE67" s="98"/>
      <c r="AF67" s="98"/>
      <c r="AG67" s="98"/>
      <c r="AH67" s="98"/>
    </row>
    <row r="68" spans="2:34" x14ac:dyDescent="0.25">
      <c r="B68" s="75"/>
      <c r="C68" s="76"/>
      <c r="D68" s="83"/>
      <c r="E68" s="84"/>
      <c r="F68" s="84"/>
      <c r="G68" s="84"/>
      <c r="H68" s="84"/>
      <c r="I68" s="85"/>
      <c r="J68" s="90"/>
      <c r="K68" s="91"/>
      <c r="L68" s="90"/>
      <c r="M68" s="91"/>
      <c r="N68" s="83"/>
      <c r="O68" s="85"/>
      <c r="P68" s="96"/>
      <c r="Q68" s="97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8"/>
      <c r="AD68" s="98"/>
      <c r="AE68" s="98"/>
      <c r="AF68" s="98"/>
      <c r="AG68" s="98"/>
      <c r="AH68" s="98"/>
    </row>
    <row r="69" spans="2:34" x14ac:dyDescent="0.25">
      <c r="B69" s="71"/>
      <c r="C69" s="72"/>
      <c r="D69" s="77"/>
      <c r="E69" s="78"/>
      <c r="F69" s="78"/>
      <c r="G69" s="78"/>
      <c r="H69" s="78"/>
      <c r="I69" s="79"/>
      <c r="J69" s="86"/>
      <c r="K69" s="87"/>
      <c r="L69" s="86"/>
      <c r="M69" s="87"/>
      <c r="N69" s="77"/>
      <c r="O69" s="79"/>
      <c r="P69" s="92"/>
      <c r="Q69" s="93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8"/>
      <c r="AD69" s="98"/>
      <c r="AE69" s="98"/>
      <c r="AF69" s="98"/>
      <c r="AG69" s="98"/>
      <c r="AH69" s="98"/>
    </row>
    <row r="70" spans="2:34" x14ac:dyDescent="0.25">
      <c r="B70" s="73"/>
      <c r="C70" s="74"/>
      <c r="D70" s="80"/>
      <c r="E70" s="81"/>
      <c r="F70" s="81"/>
      <c r="G70" s="81"/>
      <c r="H70" s="81"/>
      <c r="I70" s="82"/>
      <c r="J70" s="88"/>
      <c r="K70" s="89"/>
      <c r="L70" s="88"/>
      <c r="M70" s="89"/>
      <c r="N70" s="80"/>
      <c r="O70" s="82"/>
      <c r="P70" s="94"/>
      <c r="Q70" s="95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8"/>
      <c r="AD70" s="98"/>
      <c r="AE70" s="98"/>
      <c r="AF70" s="98"/>
      <c r="AG70" s="98"/>
      <c r="AH70" s="98"/>
    </row>
    <row r="71" spans="2:34" x14ac:dyDescent="0.25">
      <c r="B71" s="75"/>
      <c r="C71" s="76"/>
      <c r="D71" s="83"/>
      <c r="E71" s="84"/>
      <c r="F71" s="84"/>
      <c r="G71" s="84"/>
      <c r="H71" s="84"/>
      <c r="I71" s="85"/>
      <c r="J71" s="90"/>
      <c r="K71" s="91"/>
      <c r="L71" s="90"/>
      <c r="M71" s="91"/>
      <c r="N71" s="83"/>
      <c r="O71" s="85"/>
      <c r="P71" s="96"/>
      <c r="Q71" s="97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8"/>
      <c r="AD71" s="98"/>
      <c r="AE71" s="98"/>
      <c r="AF71" s="98"/>
      <c r="AG71" s="98"/>
      <c r="AH71" s="98"/>
    </row>
    <row r="72" spans="2:34" x14ac:dyDescent="0.25">
      <c r="B72" s="71"/>
      <c r="C72" s="72"/>
      <c r="D72" s="77"/>
      <c r="E72" s="78"/>
      <c r="F72" s="78"/>
      <c r="G72" s="78"/>
      <c r="H72" s="78"/>
      <c r="I72" s="79"/>
      <c r="J72" s="86"/>
      <c r="K72" s="87"/>
      <c r="L72" s="86"/>
      <c r="M72" s="87"/>
      <c r="N72" s="77"/>
      <c r="O72" s="79"/>
      <c r="P72" s="92"/>
      <c r="Q72" s="93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8"/>
      <c r="AD72" s="98"/>
      <c r="AE72" s="98"/>
      <c r="AF72" s="98"/>
      <c r="AG72" s="98"/>
      <c r="AH72" s="98"/>
    </row>
    <row r="73" spans="2:34" x14ac:dyDescent="0.25">
      <c r="B73" s="73"/>
      <c r="C73" s="74"/>
      <c r="D73" s="80"/>
      <c r="E73" s="81"/>
      <c r="F73" s="81"/>
      <c r="G73" s="81"/>
      <c r="H73" s="81"/>
      <c r="I73" s="82"/>
      <c r="J73" s="88"/>
      <c r="K73" s="89"/>
      <c r="L73" s="88"/>
      <c r="M73" s="89"/>
      <c r="N73" s="80"/>
      <c r="O73" s="82"/>
      <c r="P73" s="94"/>
      <c r="Q73" s="95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8"/>
      <c r="AD73" s="98"/>
      <c r="AE73" s="98"/>
      <c r="AF73" s="98"/>
      <c r="AG73" s="98"/>
      <c r="AH73" s="98"/>
    </row>
    <row r="74" spans="2:34" x14ac:dyDescent="0.25">
      <c r="B74" s="75"/>
      <c r="C74" s="76"/>
      <c r="D74" s="83"/>
      <c r="E74" s="84"/>
      <c r="F74" s="84"/>
      <c r="G74" s="84"/>
      <c r="H74" s="84"/>
      <c r="I74" s="85"/>
      <c r="J74" s="90"/>
      <c r="K74" s="91"/>
      <c r="L74" s="90"/>
      <c r="M74" s="91"/>
      <c r="N74" s="83"/>
      <c r="O74" s="85"/>
      <c r="P74" s="96"/>
      <c r="Q74" s="97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8"/>
      <c r="AD74" s="98"/>
      <c r="AE74" s="98"/>
      <c r="AF74" s="98"/>
      <c r="AG74" s="98"/>
      <c r="AH74" s="98"/>
    </row>
    <row r="75" spans="2:34" x14ac:dyDescent="0.25">
      <c r="B75" s="71"/>
      <c r="C75" s="72"/>
      <c r="D75" s="77"/>
      <c r="E75" s="78"/>
      <c r="F75" s="78"/>
      <c r="G75" s="78"/>
      <c r="H75" s="78"/>
      <c r="I75" s="79"/>
      <c r="J75" s="86"/>
      <c r="K75" s="87"/>
      <c r="L75" s="86"/>
      <c r="M75" s="87"/>
      <c r="N75" s="77"/>
      <c r="O75" s="79"/>
      <c r="P75" s="92"/>
      <c r="Q75" s="93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8"/>
      <c r="AD75" s="98"/>
      <c r="AE75" s="98"/>
      <c r="AF75" s="98"/>
      <c r="AG75" s="98"/>
      <c r="AH75" s="98"/>
    </row>
    <row r="76" spans="2:34" x14ac:dyDescent="0.25">
      <c r="B76" s="73"/>
      <c r="C76" s="74"/>
      <c r="D76" s="80"/>
      <c r="E76" s="81"/>
      <c r="F76" s="81"/>
      <c r="G76" s="81"/>
      <c r="H76" s="81"/>
      <c r="I76" s="82"/>
      <c r="J76" s="88"/>
      <c r="K76" s="89"/>
      <c r="L76" s="88"/>
      <c r="M76" s="89"/>
      <c r="N76" s="80"/>
      <c r="O76" s="82"/>
      <c r="P76" s="94"/>
      <c r="Q76" s="95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8"/>
      <c r="AD76" s="98"/>
      <c r="AE76" s="98"/>
      <c r="AF76" s="98"/>
      <c r="AG76" s="98"/>
      <c r="AH76" s="98"/>
    </row>
    <row r="77" spans="2:34" x14ac:dyDescent="0.25">
      <c r="B77" s="75"/>
      <c r="C77" s="76"/>
      <c r="D77" s="83"/>
      <c r="E77" s="84"/>
      <c r="F77" s="84"/>
      <c r="G77" s="84"/>
      <c r="H77" s="84"/>
      <c r="I77" s="85"/>
      <c r="J77" s="90"/>
      <c r="K77" s="91"/>
      <c r="L77" s="90"/>
      <c r="M77" s="91"/>
      <c r="N77" s="83"/>
      <c r="O77" s="85"/>
      <c r="P77" s="96"/>
      <c r="Q77" s="97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8"/>
      <c r="AD77" s="98"/>
      <c r="AE77" s="98"/>
      <c r="AF77" s="98"/>
      <c r="AG77" s="98"/>
      <c r="AH77" s="98"/>
    </row>
    <row r="78" spans="2:34" x14ac:dyDescent="0.25">
      <c r="B78" s="71"/>
      <c r="C78" s="72"/>
      <c r="D78" s="77"/>
      <c r="E78" s="78"/>
      <c r="F78" s="78"/>
      <c r="G78" s="78"/>
      <c r="H78" s="78"/>
      <c r="I78" s="79"/>
      <c r="J78" s="86"/>
      <c r="K78" s="87"/>
      <c r="L78" s="86"/>
      <c r="M78" s="87"/>
      <c r="N78" s="77"/>
      <c r="O78" s="79"/>
      <c r="P78" s="92"/>
      <c r="Q78" s="93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8"/>
      <c r="AD78" s="98"/>
      <c r="AE78" s="98"/>
      <c r="AF78" s="98"/>
      <c r="AG78" s="98"/>
      <c r="AH78" s="98"/>
    </row>
    <row r="79" spans="2:34" x14ac:dyDescent="0.25">
      <c r="B79" s="73"/>
      <c r="C79" s="74"/>
      <c r="D79" s="80"/>
      <c r="E79" s="81"/>
      <c r="F79" s="81"/>
      <c r="G79" s="81"/>
      <c r="H79" s="81"/>
      <c r="I79" s="82"/>
      <c r="J79" s="88"/>
      <c r="K79" s="89"/>
      <c r="L79" s="88"/>
      <c r="M79" s="89"/>
      <c r="N79" s="80"/>
      <c r="O79" s="82"/>
      <c r="P79" s="94"/>
      <c r="Q79" s="95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8"/>
      <c r="AD79" s="98"/>
      <c r="AE79" s="98"/>
      <c r="AF79" s="98"/>
      <c r="AG79" s="98"/>
      <c r="AH79" s="98"/>
    </row>
    <row r="80" spans="2:34" x14ac:dyDescent="0.25">
      <c r="B80" s="75"/>
      <c r="C80" s="76"/>
      <c r="D80" s="83"/>
      <c r="E80" s="84"/>
      <c r="F80" s="84"/>
      <c r="G80" s="84"/>
      <c r="H80" s="84"/>
      <c r="I80" s="85"/>
      <c r="J80" s="90"/>
      <c r="K80" s="91"/>
      <c r="L80" s="90"/>
      <c r="M80" s="91"/>
      <c r="N80" s="83"/>
      <c r="O80" s="85"/>
      <c r="P80" s="96"/>
      <c r="Q80" s="97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8"/>
      <c r="AD80" s="98"/>
      <c r="AE80" s="98"/>
      <c r="AF80" s="98"/>
      <c r="AG80" s="98"/>
      <c r="AH80" s="98"/>
    </row>
    <row r="81" spans="2:34" x14ac:dyDescent="0.25">
      <c r="B81" s="71"/>
      <c r="C81" s="72"/>
      <c r="D81" s="77"/>
      <c r="E81" s="78"/>
      <c r="F81" s="78"/>
      <c r="G81" s="78"/>
      <c r="H81" s="78"/>
      <c r="I81" s="79"/>
      <c r="J81" s="86"/>
      <c r="K81" s="87"/>
      <c r="L81" s="86"/>
      <c r="M81" s="87"/>
      <c r="N81" s="77"/>
      <c r="O81" s="79"/>
      <c r="P81" s="92"/>
      <c r="Q81" s="93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8"/>
      <c r="AD81" s="98"/>
      <c r="AE81" s="98"/>
      <c r="AF81" s="98"/>
      <c r="AG81" s="98"/>
      <c r="AH81" s="98"/>
    </row>
    <row r="82" spans="2:34" x14ac:dyDescent="0.25">
      <c r="B82" s="73"/>
      <c r="C82" s="74"/>
      <c r="D82" s="80"/>
      <c r="E82" s="81"/>
      <c r="F82" s="81"/>
      <c r="G82" s="81"/>
      <c r="H82" s="81"/>
      <c r="I82" s="82"/>
      <c r="J82" s="88"/>
      <c r="K82" s="89"/>
      <c r="L82" s="88"/>
      <c r="M82" s="89"/>
      <c r="N82" s="80"/>
      <c r="O82" s="82"/>
      <c r="P82" s="94"/>
      <c r="Q82" s="95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8"/>
      <c r="AD82" s="98"/>
      <c r="AE82" s="98"/>
      <c r="AF82" s="98"/>
      <c r="AG82" s="98"/>
      <c r="AH82" s="98"/>
    </row>
    <row r="83" spans="2:34" x14ac:dyDescent="0.25">
      <c r="B83" s="75"/>
      <c r="C83" s="76"/>
      <c r="D83" s="83"/>
      <c r="E83" s="84"/>
      <c r="F83" s="84"/>
      <c r="G83" s="84"/>
      <c r="H83" s="84"/>
      <c r="I83" s="85"/>
      <c r="J83" s="90"/>
      <c r="K83" s="91"/>
      <c r="L83" s="90"/>
      <c r="M83" s="91"/>
      <c r="N83" s="83"/>
      <c r="O83" s="85"/>
      <c r="P83" s="96"/>
      <c r="Q83" s="97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8"/>
      <c r="AD83" s="98"/>
      <c r="AE83" s="98"/>
      <c r="AF83" s="98"/>
      <c r="AG83" s="98"/>
      <c r="AH83" s="98"/>
    </row>
    <row r="84" spans="2:34" x14ac:dyDescent="0.25">
      <c r="B84" s="71"/>
      <c r="C84" s="72"/>
      <c r="D84" s="77"/>
      <c r="E84" s="78"/>
      <c r="F84" s="78"/>
      <c r="G84" s="78"/>
      <c r="H84" s="78"/>
      <c r="I84" s="79"/>
      <c r="J84" s="86"/>
      <c r="K84" s="87"/>
      <c r="L84" s="86"/>
      <c r="M84" s="87"/>
      <c r="N84" s="77"/>
      <c r="O84" s="79"/>
      <c r="P84" s="92"/>
      <c r="Q84" s="93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8"/>
      <c r="AD84" s="98"/>
      <c r="AE84" s="98"/>
      <c r="AF84" s="98"/>
      <c r="AG84" s="98"/>
      <c r="AH84" s="98"/>
    </row>
    <row r="85" spans="2:34" x14ac:dyDescent="0.25">
      <c r="B85" s="73"/>
      <c r="C85" s="74"/>
      <c r="D85" s="80"/>
      <c r="E85" s="81"/>
      <c r="F85" s="81"/>
      <c r="G85" s="81"/>
      <c r="H85" s="81"/>
      <c r="I85" s="82"/>
      <c r="J85" s="88"/>
      <c r="K85" s="89"/>
      <c r="L85" s="88"/>
      <c r="M85" s="89"/>
      <c r="N85" s="80"/>
      <c r="O85" s="82"/>
      <c r="P85" s="94"/>
      <c r="Q85" s="95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8"/>
      <c r="AD85" s="98"/>
      <c r="AE85" s="98"/>
      <c r="AF85" s="98"/>
      <c r="AG85" s="98"/>
      <c r="AH85" s="98"/>
    </row>
    <row r="86" spans="2:34" x14ac:dyDescent="0.25">
      <c r="B86" s="75"/>
      <c r="C86" s="76"/>
      <c r="D86" s="83"/>
      <c r="E86" s="84"/>
      <c r="F86" s="84"/>
      <c r="G86" s="84"/>
      <c r="H86" s="84"/>
      <c r="I86" s="85"/>
      <c r="J86" s="90"/>
      <c r="K86" s="91"/>
      <c r="L86" s="90"/>
      <c r="M86" s="91"/>
      <c r="N86" s="83"/>
      <c r="O86" s="85"/>
      <c r="P86" s="96"/>
      <c r="Q86" s="97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8"/>
      <c r="AD86" s="98"/>
      <c r="AE86" s="98"/>
      <c r="AF86" s="98"/>
      <c r="AG86" s="98"/>
      <c r="AH86" s="98"/>
    </row>
    <row r="87" spans="2:34" x14ac:dyDescent="0.25">
      <c r="B87" s="71"/>
      <c r="C87" s="72"/>
      <c r="D87" s="77"/>
      <c r="E87" s="78"/>
      <c r="F87" s="78"/>
      <c r="G87" s="78"/>
      <c r="H87" s="78"/>
      <c r="I87" s="79"/>
      <c r="J87" s="86"/>
      <c r="K87" s="87"/>
      <c r="L87" s="86"/>
      <c r="M87" s="87"/>
      <c r="N87" s="77"/>
      <c r="O87" s="79"/>
      <c r="P87" s="92"/>
      <c r="Q87" s="93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8"/>
      <c r="AD87" s="98"/>
      <c r="AE87" s="98"/>
      <c r="AF87" s="98"/>
      <c r="AG87" s="98"/>
      <c r="AH87" s="98"/>
    </row>
    <row r="88" spans="2:34" x14ac:dyDescent="0.25">
      <c r="B88" s="73"/>
      <c r="C88" s="74"/>
      <c r="D88" s="80"/>
      <c r="E88" s="81"/>
      <c r="F88" s="81"/>
      <c r="G88" s="81"/>
      <c r="H88" s="81"/>
      <c r="I88" s="82"/>
      <c r="J88" s="88"/>
      <c r="K88" s="89"/>
      <c r="L88" s="88"/>
      <c r="M88" s="89"/>
      <c r="N88" s="80"/>
      <c r="O88" s="82"/>
      <c r="P88" s="94"/>
      <c r="Q88" s="95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8"/>
      <c r="AD88" s="98"/>
      <c r="AE88" s="98"/>
      <c r="AF88" s="98"/>
      <c r="AG88" s="98"/>
      <c r="AH88" s="98"/>
    </row>
    <row r="89" spans="2:34" x14ac:dyDescent="0.25">
      <c r="B89" s="75"/>
      <c r="C89" s="76"/>
      <c r="D89" s="83"/>
      <c r="E89" s="84"/>
      <c r="F89" s="84"/>
      <c r="G89" s="84"/>
      <c r="H89" s="84"/>
      <c r="I89" s="85"/>
      <c r="J89" s="90"/>
      <c r="K89" s="91"/>
      <c r="L89" s="90"/>
      <c r="M89" s="91"/>
      <c r="N89" s="83"/>
      <c r="O89" s="85"/>
      <c r="P89" s="96"/>
      <c r="Q89" s="97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8"/>
      <c r="AD89" s="98"/>
      <c r="AE89" s="98"/>
      <c r="AF89" s="98"/>
      <c r="AG89" s="98"/>
      <c r="AH89" s="98"/>
    </row>
    <row r="90" spans="2:34" x14ac:dyDescent="0.25">
      <c r="B90" s="71"/>
      <c r="C90" s="72"/>
      <c r="D90" s="77"/>
      <c r="E90" s="78"/>
      <c r="F90" s="78"/>
      <c r="G90" s="78"/>
      <c r="H90" s="78"/>
      <c r="I90" s="79"/>
      <c r="J90" s="86"/>
      <c r="K90" s="87"/>
      <c r="L90" s="86"/>
      <c r="M90" s="87"/>
      <c r="N90" s="77"/>
      <c r="O90" s="79"/>
      <c r="P90" s="92"/>
      <c r="Q90" s="93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8"/>
      <c r="AD90" s="98"/>
      <c r="AE90" s="98"/>
      <c r="AF90" s="98"/>
      <c r="AG90" s="98"/>
      <c r="AH90" s="98"/>
    </row>
    <row r="91" spans="2:34" x14ac:dyDescent="0.25">
      <c r="B91" s="73"/>
      <c r="C91" s="74"/>
      <c r="D91" s="80"/>
      <c r="E91" s="81"/>
      <c r="F91" s="81"/>
      <c r="G91" s="81"/>
      <c r="H91" s="81"/>
      <c r="I91" s="82"/>
      <c r="J91" s="88"/>
      <c r="K91" s="89"/>
      <c r="L91" s="88"/>
      <c r="M91" s="89"/>
      <c r="N91" s="80"/>
      <c r="O91" s="82"/>
      <c r="P91" s="94"/>
      <c r="Q91" s="95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8"/>
      <c r="AD91" s="98"/>
      <c r="AE91" s="98"/>
      <c r="AF91" s="98"/>
      <c r="AG91" s="98"/>
      <c r="AH91" s="98"/>
    </row>
    <row r="92" spans="2:34" x14ac:dyDescent="0.25">
      <c r="B92" s="75"/>
      <c r="C92" s="76"/>
      <c r="D92" s="83"/>
      <c r="E92" s="84"/>
      <c r="F92" s="84"/>
      <c r="G92" s="84"/>
      <c r="H92" s="84"/>
      <c r="I92" s="85"/>
      <c r="J92" s="90"/>
      <c r="K92" s="91"/>
      <c r="L92" s="90"/>
      <c r="M92" s="91"/>
      <c r="N92" s="83"/>
      <c r="O92" s="85"/>
      <c r="P92" s="96"/>
      <c r="Q92" s="97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8"/>
      <c r="AD92" s="98"/>
      <c r="AE92" s="98"/>
      <c r="AF92" s="98"/>
      <c r="AG92" s="98"/>
      <c r="AH92" s="98"/>
    </row>
    <row r="93" spans="2:34" x14ac:dyDescent="0.25">
      <c r="B93" s="71"/>
      <c r="C93" s="72"/>
      <c r="D93" s="77"/>
      <c r="E93" s="78"/>
      <c r="F93" s="78"/>
      <c r="G93" s="78"/>
      <c r="H93" s="78"/>
      <c r="I93" s="79"/>
      <c r="J93" s="86"/>
      <c r="K93" s="87"/>
      <c r="L93" s="86"/>
      <c r="M93" s="87"/>
      <c r="N93" s="77"/>
      <c r="O93" s="79"/>
      <c r="P93" s="92"/>
      <c r="Q93" s="93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8"/>
      <c r="AD93" s="98"/>
      <c r="AE93" s="98"/>
      <c r="AF93" s="98"/>
      <c r="AG93" s="98"/>
      <c r="AH93" s="98"/>
    </row>
    <row r="94" spans="2:34" x14ac:dyDescent="0.25">
      <c r="B94" s="73"/>
      <c r="C94" s="74"/>
      <c r="D94" s="80"/>
      <c r="E94" s="81"/>
      <c r="F94" s="81"/>
      <c r="G94" s="81"/>
      <c r="H94" s="81"/>
      <c r="I94" s="82"/>
      <c r="J94" s="88"/>
      <c r="K94" s="89"/>
      <c r="L94" s="88"/>
      <c r="M94" s="89"/>
      <c r="N94" s="80"/>
      <c r="O94" s="82"/>
      <c r="P94" s="94"/>
      <c r="Q94" s="95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8"/>
      <c r="AD94" s="98"/>
      <c r="AE94" s="98"/>
      <c r="AF94" s="98"/>
      <c r="AG94" s="98"/>
      <c r="AH94" s="98"/>
    </row>
    <row r="95" spans="2:34" x14ac:dyDescent="0.25">
      <c r="B95" s="75"/>
      <c r="C95" s="76"/>
      <c r="D95" s="83"/>
      <c r="E95" s="84"/>
      <c r="F95" s="84"/>
      <c r="G95" s="84"/>
      <c r="H95" s="84"/>
      <c r="I95" s="85"/>
      <c r="J95" s="90"/>
      <c r="K95" s="91"/>
      <c r="L95" s="90"/>
      <c r="M95" s="91"/>
      <c r="N95" s="83"/>
      <c r="O95" s="85"/>
      <c r="P95" s="96"/>
      <c r="Q95" s="97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8"/>
      <c r="AD95" s="98"/>
      <c r="AE95" s="98"/>
      <c r="AF95" s="98"/>
      <c r="AG95" s="98"/>
      <c r="AH95" s="98"/>
    </row>
    <row r="96" spans="2:34" x14ac:dyDescent="0.25">
      <c r="B96" s="71"/>
      <c r="C96" s="72"/>
      <c r="D96" s="77"/>
      <c r="E96" s="78"/>
      <c r="F96" s="78"/>
      <c r="G96" s="78"/>
      <c r="H96" s="78"/>
      <c r="I96" s="79"/>
      <c r="J96" s="86"/>
      <c r="K96" s="87"/>
      <c r="L96" s="86"/>
      <c r="M96" s="87"/>
      <c r="N96" s="77"/>
      <c r="O96" s="79"/>
      <c r="P96" s="92"/>
      <c r="Q96" s="93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8"/>
      <c r="AD96" s="98"/>
      <c r="AE96" s="98"/>
      <c r="AF96" s="98"/>
      <c r="AG96" s="98"/>
      <c r="AH96" s="98"/>
    </row>
    <row r="97" spans="2:34" x14ac:dyDescent="0.25">
      <c r="B97" s="73"/>
      <c r="C97" s="74"/>
      <c r="D97" s="80"/>
      <c r="E97" s="81"/>
      <c r="F97" s="81"/>
      <c r="G97" s="81"/>
      <c r="H97" s="81"/>
      <c r="I97" s="82"/>
      <c r="J97" s="88"/>
      <c r="K97" s="89"/>
      <c r="L97" s="88"/>
      <c r="M97" s="89"/>
      <c r="N97" s="80"/>
      <c r="O97" s="82"/>
      <c r="P97" s="94"/>
      <c r="Q97" s="95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8"/>
      <c r="AD97" s="98"/>
      <c r="AE97" s="98"/>
      <c r="AF97" s="98"/>
      <c r="AG97" s="98"/>
      <c r="AH97" s="98"/>
    </row>
    <row r="98" spans="2:34" x14ac:dyDescent="0.25">
      <c r="B98" s="75"/>
      <c r="C98" s="76"/>
      <c r="D98" s="83"/>
      <c r="E98" s="84"/>
      <c r="F98" s="84"/>
      <c r="G98" s="84"/>
      <c r="H98" s="84"/>
      <c r="I98" s="85"/>
      <c r="J98" s="90"/>
      <c r="K98" s="91"/>
      <c r="L98" s="90"/>
      <c r="M98" s="91"/>
      <c r="N98" s="83"/>
      <c r="O98" s="85"/>
      <c r="P98" s="96"/>
      <c r="Q98" s="97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8"/>
      <c r="AD98" s="98"/>
      <c r="AE98" s="98"/>
      <c r="AF98" s="98"/>
      <c r="AG98" s="98"/>
      <c r="AH98" s="98"/>
    </row>
    <row r="99" spans="2:34" x14ac:dyDescent="0.25">
      <c r="B99" s="71"/>
      <c r="C99" s="72"/>
      <c r="D99" s="77"/>
      <c r="E99" s="78"/>
      <c r="F99" s="78"/>
      <c r="G99" s="78"/>
      <c r="H99" s="78"/>
      <c r="I99" s="79"/>
      <c r="J99" s="86"/>
      <c r="K99" s="87"/>
      <c r="L99" s="86"/>
      <c r="M99" s="87"/>
      <c r="N99" s="77"/>
      <c r="O99" s="79"/>
      <c r="P99" s="92"/>
      <c r="Q99" s="93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8"/>
      <c r="AD99" s="98"/>
      <c r="AE99" s="98"/>
      <c r="AF99" s="98"/>
      <c r="AG99" s="98"/>
      <c r="AH99" s="98"/>
    </row>
    <row r="100" spans="2:34" x14ac:dyDescent="0.25">
      <c r="B100" s="73"/>
      <c r="C100" s="74"/>
      <c r="D100" s="80"/>
      <c r="E100" s="81"/>
      <c r="F100" s="81"/>
      <c r="G100" s="81"/>
      <c r="H100" s="81"/>
      <c r="I100" s="82"/>
      <c r="J100" s="88"/>
      <c r="K100" s="89"/>
      <c r="L100" s="88"/>
      <c r="M100" s="89"/>
      <c r="N100" s="80"/>
      <c r="O100" s="82"/>
      <c r="P100" s="94"/>
      <c r="Q100" s="95"/>
      <c r="S100" s="99"/>
      <c r="T100" s="99"/>
      <c r="U100" s="99"/>
      <c r="V100" s="99"/>
      <c r="W100" s="99"/>
      <c r="X100" s="99"/>
      <c r="Y100" s="99"/>
      <c r="Z100" s="99"/>
      <c r="AA100" s="99"/>
      <c r="AB100" s="99"/>
      <c r="AC100" s="98"/>
      <c r="AD100" s="98"/>
      <c r="AE100" s="98"/>
      <c r="AF100" s="98"/>
      <c r="AG100" s="98"/>
      <c r="AH100" s="98"/>
    </row>
    <row r="101" spans="2:34" x14ac:dyDescent="0.25">
      <c r="B101" s="75"/>
      <c r="C101" s="76"/>
      <c r="D101" s="83"/>
      <c r="E101" s="84"/>
      <c r="F101" s="84"/>
      <c r="G101" s="84"/>
      <c r="H101" s="84"/>
      <c r="I101" s="85"/>
      <c r="J101" s="90"/>
      <c r="K101" s="91"/>
      <c r="L101" s="90"/>
      <c r="M101" s="91"/>
      <c r="N101" s="83"/>
      <c r="O101" s="85"/>
      <c r="P101" s="96"/>
      <c r="Q101" s="97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8"/>
      <c r="AD101" s="98"/>
      <c r="AE101" s="98"/>
      <c r="AF101" s="98"/>
      <c r="AG101" s="98"/>
      <c r="AH101" s="98"/>
    </row>
    <row r="102" spans="2:34" x14ac:dyDescent="0.25">
      <c r="B102" s="71"/>
      <c r="C102" s="72"/>
      <c r="D102" s="77"/>
      <c r="E102" s="78"/>
      <c r="F102" s="78"/>
      <c r="G102" s="78"/>
      <c r="H102" s="78"/>
      <c r="I102" s="79"/>
      <c r="J102" s="86"/>
      <c r="K102" s="87"/>
      <c r="L102" s="86"/>
      <c r="M102" s="87"/>
      <c r="N102" s="77"/>
      <c r="O102" s="79"/>
      <c r="P102" s="92"/>
      <c r="Q102" s="93"/>
      <c r="S102" s="99"/>
      <c r="T102" s="99"/>
      <c r="U102" s="99"/>
      <c r="V102" s="99"/>
      <c r="W102" s="99"/>
      <c r="X102" s="99"/>
      <c r="Y102" s="99"/>
      <c r="Z102" s="99"/>
      <c r="AA102" s="99"/>
      <c r="AB102" s="99"/>
      <c r="AC102" s="98"/>
      <c r="AD102" s="98"/>
      <c r="AE102" s="98"/>
      <c r="AF102" s="98"/>
      <c r="AG102" s="98"/>
      <c r="AH102" s="98"/>
    </row>
    <row r="103" spans="2:34" x14ac:dyDescent="0.25">
      <c r="B103" s="73"/>
      <c r="C103" s="74"/>
      <c r="D103" s="80"/>
      <c r="E103" s="81"/>
      <c r="F103" s="81"/>
      <c r="G103" s="81"/>
      <c r="H103" s="81"/>
      <c r="I103" s="82"/>
      <c r="J103" s="88"/>
      <c r="K103" s="89"/>
      <c r="L103" s="88"/>
      <c r="M103" s="89"/>
      <c r="N103" s="80"/>
      <c r="O103" s="82"/>
      <c r="P103" s="94"/>
      <c r="Q103" s="95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8"/>
      <c r="AD103" s="98"/>
      <c r="AE103" s="98"/>
      <c r="AF103" s="98"/>
      <c r="AG103" s="98"/>
      <c r="AH103" s="98"/>
    </row>
    <row r="104" spans="2:34" x14ac:dyDescent="0.25">
      <c r="B104" s="75"/>
      <c r="C104" s="76"/>
      <c r="D104" s="83"/>
      <c r="E104" s="84"/>
      <c r="F104" s="84"/>
      <c r="G104" s="84"/>
      <c r="H104" s="84"/>
      <c r="I104" s="85"/>
      <c r="J104" s="90"/>
      <c r="K104" s="91"/>
      <c r="L104" s="90"/>
      <c r="M104" s="91"/>
      <c r="N104" s="83"/>
      <c r="O104" s="85"/>
      <c r="P104" s="96"/>
      <c r="Q104" s="97"/>
      <c r="S104" s="99"/>
      <c r="T104" s="99"/>
      <c r="U104" s="99"/>
      <c r="V104" s="99"/>
      <c r="W104" s="99"/>
      <c r="X104" s="99"/>
      <c r="Y104" s="99"/>
      <c r="Z104" s="99"/>
      <c r="AA104" s="99"/>
      <c r="AB104" s="99"/>
      <c r="AC104" s="98"/>
      <c r="AD104" s="98"/>
      <c r="AE104" s="98"/>
      <c r="AF104" s="98"/>
      <c r="AG104" s="98"/>
      <c r="AH104" s="98"/>
    </row>
    <row r="105" spans="2:34" x14ac:dyDescent="0.25">
      <c r="B105" s="71"/>
      <c r="C105" s="72"/>
      <c r="D105" s="77"/>
      <c r="E105" s="78"/>
      <c r="F105" s="78"/>
      <c r="G105" s="78"/>
      <c r="H105" s="78"/>
      <c r="I105" s="79"/>
      <c r="J105" s="86"/>
      <c r="K105" s="87"/>
      <c r="L105" s="86"/>
      <c r="M105" s="87"/>
      <c r="N105" s="77"/>
      <c r="O105" s="79"/>
      <c r="P105" s="92"/>
      <c r="Q105" s="93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8"/>
      <c r="AD105" s="98"/>
      <c r="AE105" s="98"/>
      <c r="AF105" s="98"/>
      <c r="AG105" s="98"/>
      <c r="AH105" s="98"/>
    </row>
    <row r="106" spans="2:34" x14ac:dyDescent="0.25">
      <c r="B106" s="73"/>
      <c r="C106" s="74"/>
      <c r="D106" s="80"/>
      <c r="E106" s="81"/>
      <c r="F106" s="81"/>
      <c r="G106" s="81"/>
      <c r="H106" s="81"/>
      <c r="I106" s="82"/>
      <c r="J106" s="88"/>
      <c r="K106" s="89"/>
      <c r="L106" s="88"/>
      <c r="M106" s="89"/>
      <c r="N106" s="80"/>
      <c r="O106" s="82"/>
      <c r="P106" s="94"/>
      <c r="Q106" s="95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8"/>
      <c r="AD106" s="98"/>
      <c r="AE106" s="98"/>
      <c r="AF106" s="98"/>
      <c r="AG106" s="98"/>
      <c r="AH106" s="98"/>
    </row>
    <row r="107" spans="2:34" x14ac:dyDescent="0.25">
      <c r="B107" s="75"/>
      <c r="C107" s="76"/>
      <c r="D107" s="83"/>
      <c r="E107" s="84"/>
      <c r="F107" s="84"/>
      <c r="G107" s="84"/>
      <c r="H107" s="84"/>
      <c r="I107" s="85"/>
      <c r="J107" s="90"/>
      <c r="K107" s="91"/>
      <c r="L107" s="90"/>
      <c r="M107" s="91"/>
      <c r="N107" s="83"/>
      <c r="O107" s="85"/>
      <c r="P107" s="96"/>
      <c r="Q107" s="97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8"/>
      <c r="AD107" s="98"/>
      <c r="AE107" s="98"/>
      <c r="AF107" s="98"/>
      <c r="AG107" s="98"/>
      <c r="AH107" s="98"/>
    </row>
    <row r="108" spans="2:34" x14ac:dyDescent="0.25">
      <c r="B108" s="71"/>
      <c r="C108" s="72"/>
      <c r="D108" s="77"/>
      <c r="E108" s="78"/>
      <c r="F108" s="78"/>
      <c r="G108" s="78"/>
      <c r="H108" s="78"/>
      <c r="I108" s="79"/>
      <c r="J108" s="86"/>
      <c r="K108" s="87"/>
      <c r="L108" s="86"/>
      <c r="M108" s="87"/>
      <c r="N108" s="77"/>
      <c r="O108" s="79"/>
      <c r="P108" s="92"/>
      <c r="Q108" s="93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8"/>
      <c r="AD108" s="98"/>
      <c r="AE108" s="98"/>
      <c r="AF108" s="98"/>
      <c r="AG108" s="98"/>
      <c r="AH108" s="98"/>
    </row>
    <row r="109" spans="2:34" x14ac:dyDescent="0.25">
      <c r="B109" s="73"/>
      <c r="C109" s="74"/>
      <c r="D109" s="80"/>
      <c r="E109" s="81"/>
      <c r="F109" s="81"/>
      <c r="G109" s="81"/>
      <c r="H109" s="81"/>
      <c r="I109" s="82"/>
      <c r="J109" s="88"/>
      <c r="K109" s="89"/>
      <c r="L109" s="88"/>
      <c r="M109" s="89"/>
      <c r="N109" s="80"/>
      <c r="O109" s="82"/>
      <c r="P109" s="94"/>
      <c r="Q109" s="95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8"/>
      <c r="AD109" s="98"/>
      <c r="AE109" s="98"/>
      <c r="AF109" s="98"/>
      <c r="AG109" s="98"/>
      <c r="AH109" s="98"/>
    </row>
    <row r="110" spans="2:34" x14ac:dyDescent="0.25">
      <c r="B110" s="75"/>
      <c r="C110" s="76"/>
      <c r="D110" s="83"/>
      <c r="E110" s="84"/>
      <c r="F110" s="84"/>
      <c r="G110" s="84"/>
      <c r="H110" s="84"/>
      <c r="I110" s="85"/>
      <c r="J110" s="90"/>
      <c r="K110" s="91"/>
      <c r="L110" s="90"/>
      <c r="M110" s="91"/>
      <c r="N110" s="83"/>
      <c r="O110" s="85"/>
      <c r="P110" s="96"/>
      <c r="Q110" s="97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8"/>
      <c r="AD110" s="98"/>
      <c r="AE110" s="98"/>
      <c r="AF110" s="98"/>
      <c r="AG110" s="98"/>
      <c r="AH110" s="98"/>
    </row>
    <row r="111" spans="2:34" x14ac:dyDescent="0.25">
      <c r="B111" s="71"/>
      <c r="C111" s="72"/>
      <c r="D111" s="77"/>
      <c r="E111" s="78"/>
      <c r="F111" s="78"/>
      <c r="G111" s="78"/>
      <c r="H111" s="78"/>
      <c r="I111" s="79"/>
      <c r="J111" s="86"/>
      <c r="K111" s="87"/>
      <c r="L111" s="86"/>
      <c r="M111" s="87"/>
      <c r="N111" s="77"/>
      <c r="O111" s="79"/>
      <c r="P111" s="92"/>
      <c r="Q111" s="93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8"/>
      <c r="AD111" s="98"/>
      <c r="AE111" s="98"/>
      <c r="AF111" s="98"/>
      <c r="AG111" s="98"/>
      <c r="AH111" s="98"/>
    </row>
    <row r="112" spans="2:34" x14ac:dyDescent="0.25">
      <c r="B112" s="73"/>
      <c r="C112" s="74"/>
      <c r="D112" s="80"/>
      <c r="E112" s="81"/>
      <c r="F112" s="81"/>
      <c r="G112" s="81"/>
      <c r="H112" s="81"/>
      <c r="I112" s="82"/>
      <c r="J112" s="88"/>
      <c r="K112" s="89"/>
      <c r="L112" s="88"/>
      <c r="M112" s="89"/>
      <c r="N112" s="80"/>
      <c r="O112" s="82"/>
      <c r="P112" s="94"/>
      <c r="Q112" s="95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8"/>
      <c r="AD112" s="98"/>
      <c r="AE112" s="98"/>
      <c r="AF112" s="98"/>
      <c r="AG112" s="98"/>
      <c r="AH112" s="98"/>
    </row>
    <row r="113" spans="2:34" x14ac:dyDescent="0.25">
      <c r="B113" s="75"/>
      <c r="C113" s="76"/>
      <c r="D113" s="83"/>
      <c r="E113" s="84"/>
      <c r="F113" s="84"/>
      <c r="G113" s="84"/>
      <c r="H113" s="84"/>
      <c r="I113" s="85"/>
      <c r="J113" s="90"/>
      <c r="K113" s="91"/>
      <c r="L113" s="90"/>
      <c r="M113" s="91"/>
      <c r="N113" s="83"/>
      <c r="O113" s="85"/>
      <c r="P113" s="96"/>
      <c r="Q113" s="97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8"/>
      <c r="AD113" s="98"/>
      <c r="AE113" s="98"/>
      <c r="AF113" s="98"/>
      <c r="AG113" s="98"/>
      <c r="AH113" s="98"/>
    </row>
    <row r="114" spans="2:34" x14ac:dyDescent="0.25">
      <c r="B114" s="71"/>
      <c r="C114" s="72"/>
      <c r="D114" s="77"/>
      <c r="E114" s="78"/>
      <c r="F114" s="78"/>
      <c r="G114" s="78"/>
      <c r="H114" s="78"/>
      <c r="I114" s="79"/>
      <c r="J114" s="86"/>
      <c r="K114" s="87"/>
      <c r="L114" s="86"/>
      <c r="M114" s="87"/>
      <c r="N114" s="77"/>
      <c r="O114" s="79"/>
      <c r="P114" s="92"/>
      <c r="Q114" s="93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8"/>
      <c r="AD114" s="98"/>
      <c r="AE114" s="98"/>
      <c r="AF114" s="98"/>
      <c r="AG114" s="98"/>
      <c r="AH114" s="98"/>
    </row>
    <row r="115" spans="2:34" x14ac:dyDescent="0.25">
      <c r="B115" s="73"/>
      <c r="C115" s="74"/>
      <c r="D115" s="80"/>
      <c r="E115" s="81"/>
      <c r="F115" s="81"/>
      <c r="G115" s="81"/>
      <c r="H115" s="81"/>
      <c r="I115" s="82"/>
      <c r="J115" s="88"/>
      <c r="K115" s="89"/>
      <c r="L115" s="88"/>
      <c r="M115" s="89"/>
      <c r="N115" s="80"/>
      <c r="O115" s="82"/>
      <c r="P115" s="94"/>
      <c r="Q115" s="95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8"/>
      <c r="AD115" s="98"/>
      <c r="AE115" s="98"/>
      <c r="AF115" s="98"/>
      <c r="AG115" s="98"/>
      <c r="AH115" s="98"/>
    </row>
    <row r="116" spans="2:34" x14ac:dyDescent="0.25">
      <c r="B116" s="75"/>
      <c r="C116" s="76"/>
      <c r="D116" s="83"/>
      <c r="E116" s="84"/>
      <c r="F116" s="84"/>
      <c r="G116" s="84"/>
      <c r="H116" s="84"/>
      <c r="I116" s="85"/>
      <c r="J116" s="90"/>
      <c r="K116" s="91"/>
      <c r="L116" s="90"/>
      <c r="M116" s="91"/>
      <c r="N116" s="83"/>
      <c r="O116" s="85"/>
      <c r="P116" s="96"/>
      <c r="Q116" s="97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8"/>
      <c r="AD116" s="98"/>
      <c r="AE116" s="98"/>
      <c r="AF116" s="98"/>
      <c r="AG116" s="98"/>
      <c r="AH116" s="98"/>
    </row>
    <row r="117" spans="2:34" x14ac:dyDescent="0.25">
      <c r="B117" s="71"/>
      <c r="C117" s="72"/>
      <c r="D117" s="77"/>
      <c r="E117" s="78"/>
      <c r="F117" s="78"/>
      <c r="G117" s="78"/>
      <c r="H117" s="78"/>
      <c r="I117" s="79"/>
      <c r="J117" s="86"/>
      <c r="K117" s="87"/>
      <c r="L117" s="86"/>
      <c r="M117" s="87"/>
      <c r="N117" s="77"/>
      <c r="O117" s="79"/>
      <c r="P117" s="92"/>
      <c r="Q117" s="93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8"/>
      <c r="AD117" s="98"/>
      <c r="AE117" s="98"/>
      <c r="AF117" s="98"/>
      <c r="AG117" s="98"/>
      <c r="AH117" s="98"/>
    </row>
    <row r="118" spans="2:34" x14ac:dyDescent="0.25">
      <c r="B118" s="73"/>
      <c r="C118" s="74"/>
      <c r="D118" s="80"/>
      <c r="E118" s="81"/>
      <c r="F118" s="81"/>
      <c r="G118" s="81"/>
      <c r="H118" s="81"/>
      <c r="I118" s="82"/>
      <c r="J118" s="88"/>
      <c r="K118" s="89"/>
      <c r="L118" s="88"/>
      <c r="M118" s="89"/>
      <c r="N118" s="80"/>
      <c r="O118" s="82"/>
      <c r="P118" s="94"/>
      <c r="Q118" s="95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8"/>
      <c r="AD118" s="98"/>
      <c r="AE118" s="98"/>
      <c r="AF118" s="98"/>
      <c r="AG118" s="98"/>
      <c r="AH118" s="98"/>
    </row>
    <row r="119" spans="2:34" x14ac:dyDescent="0.25">
      <c r="B119" s="75"/>
      <c r="C119" s="76"/>
      <c r="D119" s="83"/>
      <c r="E119" s="84"/>
      <c r="F119" s="84"/>
      <c r="G119" s="84"/>
      <c r="H119" s="84"/>
      <c r="I119" s="85"/>
      <c r="J119" s="90"/>
      <c r="K119" s="91"/>
      <c r="L119" s="90"/>
      <c r="M119" s="91"/>
      <c r="N119" s="83"/>
      <c r="O119" s="85"/>
      <c r="P119" s="96"/>
      <c r="Q119" s="97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8"/>
      <c r="AD119" s="98"/>
      <c r="AE119" s="98"/>
      <c r="AF119" s="98"/>
      <c r="AG119" s="98"/>
      <c r="AH119" s="98"/>
    </row>
    <row r="120" spans="2:34" x14ac:dyDescent="0.25">
      <c r="B120" s="71"/>
      <c r="C120" s="72"/>
      <c r="D120" s="77"/>
      <c r="E120" s="78"/>
      <c r="F120" s="78"/>
      <c r="G120" s="78"/>
      <c r="H120" s="78"/>
      <c r="I120" s="79"/>
      <c r="J120" s="86"/>
      <c r="K120" s="87"/>
      <c r="L120" s="86"/>
      <c r="M120" s="87"/>
      <c r="N120" s="77"/>
      <c r="O120" s="79"/>
      <c r="P120" s="92"/>
      <c r="Q120" s="93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8"/>
      <c r="AD120" s="98"/>
      <c r="AE120" s="98"/>
      <c r="AF120" s="98"/>
      <c r="AG120" s="98"/>
      <c r="AH120" s="98"/>
    </row>
    <row r="121" spans="2:34" x14ac:dyDescent="0.25">
      <c r="B121" s="73"/>
      <c r="C121" s="74"/>
      <c r="D121" s="80"/>
      <c r="E121" s="81"/>
      <c r="F121" s="81"/>
      <c r="G121" s="81"/>
      <c r="H121" s="81"/>
      <c r="I121" s="82"/>
      <c r="J121" s="88"/>
      <c r="K121" s="89"/>
      <c r="L121" s="88"/>
      <c r="M121" s="89"/>
      <c r="N121" s="80"/>
      <c r="O121" s="82"/>
      <c r="P121" s="94"/>
      <c r="Q121" s="95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8"/>
      <c r="AD121" s="98"/>
      <c r="AE121" s="98"/>
      <c r="AF121" s="98"/>
      <c r="AG121" s="98"/>
      <c r="AH121" s="98"/>
    </row>
    <row r="122" spans="2:34" x14ac:dyDescent="0.25">
      <c r="B122" s="75"/>
      <c r="C122" s="76"/>
      <c r="D122" s="83"/>
      <c r="E122" s="84"/>
      <c r="F122" s="84"/>
      <c r="G122" s="84"/>
      <c r="H122" s="84"/>
      <c r="I122" s="85"/>
      <c r="J122" s="90"/>
      <c r="K122" s="91"/>
      <c r="L122" s="90"/>
      <c r="M122" s="91"/>
      <c r="N122" s="83"/>
      <c r="O122" s="85"/>
      <c r="P122" s="96"/>
      <c r="Q122" s="97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8"/>
      <c r="AD122" s="98"/>
      <c r="AE122" s="98"/>
      <c r="AF122" s="98"/>
      <c r="AG122" s="98"/>
      <c r="AH122" s="98"/>
    </row>
    <row r="123" spans="2:34" x14ac:dyDescent="0.25">
      <c r="B123" s="71"/>
      <c r="C123" s="72"/>
      <c r="D123" s="77"/>
      <c r="E123" s="78"/>
      <c r="F123" s="78"/>
      <c r="G123" s="78"/>
      <c r="H123" s="78"/>
      <c r="I123" s="79"/>
      <c r="J123" s="86"/>
      <c r="K123" s="87"/>
      <c r="L123" s="86"/>
      <c r="M123" s="87"/>
      <c r="N123" s="77"/>
      <c r="O123" s="79"/>
      <c r="P123" s="92"/>
      <c r="Q123" s="93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8"/>
      <c r="AD123" s="98"/>
      <c r="AE123" s="98"/>
      <c r="AF123" s="98"/>
      <c r="AG123" s="98"/>
      <c r="AH123" s="98"/>
    </row>
    <row r="124" spans="2:34" x14ac:dyDescent="0.25">
      <c r="B124" s="73"/>
      <c r="C124" s="74"/>
      <c r="D124" s="80"/>
      <c r="E124" s="81"/>
      <c r="F124" s="81"/>
      <c r="G124" s="81"/>
      <c r="H124" s="81"/>
      <c r="I124" s="82"/>
      <c r="J124" s="88"/>
      <c r="K124" s="89"/>
      <c r="L124" s="88"/>
      <c r="M124" s="89"/>
      <c r="N124" s="80"/>
      <c r="O124" s="82"/>
      <c r="P124" s="94"/>
      <c r="Q124" s="95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8"/>
      <c r="AD124" s="98"/>
      <c r="AE124" s="98"/>
      <c r="AF124" s="98"/>
      <c r="AG124" s="98"/>
      <c r="AH124" s="98"/>
    </row>
    <row r="125" spans="2:34" x14ac:dyDescent="0.25">
      <c r="B125" s="75"/>
      <c r="C125" s="76"/>
      <c r="D125" s="83"/>
      <c r="E125" s="84"/>
      <c r="F125" s="84"/>
      <c r="G125" s="84"/>
      <c r="H125" s="84"/>
      <c r="I125" s="85"/>
      <c r="J125" s="90"/>
      <c r="K125" s="91"/>
      <c r="L125" s="90"/>
      <c r="M125" s="91"/>
      <c r="N125" s="83"/>
      <c r="O125" s="85"/>
      <c r="P125" s="96"/>
      <c r="Q125" s="97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8"/>
      <c r="AD125" s="98"/>
      <c r="AE125" s="98"/>
      <c r="AF125" s="98"/>
      <c r="AG125" s="98"/>
      <c r="AH125" s="98"/>
    </row>
    <row r="126" spans="2:34" x14ac:dyDescent="0.25">
      <c r="B126" s="71"/>
      <c r="C126" s="72"/>
      <c r="D126" s="77"/>
      <c r="E126" s="78"/>
      <c r="F126" s="78"/>
      <c r="G126" s="78"/>
      <c r="H126" s="78"/>
      <c r="I126" s="79"/>
      <c r="J126" s="86"/>
      <c r="K126" s="87"/>
      <c r="L126" s="86"/>
      <c r="M126" s="87"/>
      <c r="N126" s="77"/>
      <c r="O126" s="79"/>
      <c r="P126" s="92"/>
      <c r="Q126" s="93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8"/>
      <c r="AD126" s="98"/>
      <c r="AE126" s="98"/>
      <c r="AF126" s="98"/>
      <c r="AG126" s="98"/>
      <c r="AH126" s="98"/>
    </row>
    <row r="127" spans="2:34" x14ac:dyDescent="0.25">
      <c r="B127" s="73"/>
      <c r="C127" s="74"/>
      <c r="D127" s="80"/>
      <c r="E127" s="81"/>
      <c r="F127" s="81"/>
      <c r="G127" s="81"/>
      <c r="H127" s="81"/>
      <c r="I127" s="82"/>
      <c r="J127" s="88"/>
      <c r="K127" s="89"/>
      <c r="L127" s="88"/>
      <c r="M127" s="89"/>
      <c r="N127" s="80"/>
      <c r="O127" s="82"/>
      <c r="P127" s="94"/>
      <c r="Q127" s="95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8"/>
      <c r="AD127" s="98"/>
      <c r="AE127" s="98"/>
      <c r="AF127" s="98"/>
      <c r="AG127" s="98"/>
      <c r="AH127" s="98"/>
    </row>
    <row r="128" spans="2:34" x14ac:dyDescent="0.25">
      <c r="B128" s="75"/>
      <c r="C128" s="76"/>
      <c r="D128" s="83"/>
      <c r="E128" s="84"/>
      <c r="F128" s="84"/>
      <c r="G128" s="84"/>
      <c r="H128" s="84"/>
      <c r="I128" s="85"/>
      <c r="J128" s="90"/>
      <c r="K128" s="91"/>
      <c r="L128" s="90"/>
      <c r="M128" s="91"/>
      <c r="N128" s="83"/>
      <c r="O128" s="85"/>
      <c r="P128" s="96"/>
      <c r="Q128" s="97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8"/>
      <c r="AD128" s="98"/>
      <c r="AE128" s="98"/>
      <c r="AF128" s="98"/>
      <c r="AG128" s="98"/>
      <c r="AH128" s="98"/>
    </row>
    <row r="129" spans="2:34" x14ac:dyDescent="0.25">
      <c r="B129" s="71"/>
      <c r="C129" s="72"/>
      <c r="D129" s="77"/>
      <c r="E129" s="78"/>
      <c r="F129" s="78"/>
      <c r="G129" s="78"/>
      <c r="H129" s="78"/>
      <c r="I129" s="79"/>
      <c r="J129" s="86"/>
      <c r="K129" s="87"/>
      <c r="L129" s="86"/>
      <c r="M129" s="87"/>
      <c r="N129" s="77"/>
      <c r="O129" s="79"/>
      <c r="P129" s="92"/>
      <c r="Q129" s="93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8"/>
      <c r="AD129" s="98"/>
      <c r="AE129" s="98"/>
      <c r="AF129" s="98"/>
      <c r="AG129" s="98"/>
      <c r="AH129" s="98"/>
    </row>
    <row r="130" spans="2:34" x14ac:dyDescent="0.25">
      <c r="B130" s="73"/>
      <c r="C130" s="74"/>
      <c r="D130" s="80"/>
      <c r="E130" s="81"/>
      <c r="F130" s="81"/>
      <c r="G130" s="81"/>
      <c r="H130" s="81"/>
      <c r="I130" s="82"/>
      <c r="J130" s="88"/>
      <c r="K130" s="89"/>
      <c r="L130" s="88"/>
      <c r="M130" s="89"/>
      <c r="N130" s="80"/>
      <c r="O130" s="82"/>
      <c r="P130" s="94"/>
      <c r="Q130" s="95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8"/>
      <c r="AD130" s="98"/>
      <c r="AE130" s="98"/>
      <c r="AF130" s="98"/>
      <c r="AG130" s="98"/>
      <c r="AH130" s="98"/>
    </row>
    <row r="131" spans="2:34" x14ac:dyDescent="0.25">
      <c r="B131" s="75"/>
      <c r="C131" s="76"/>
      <c r="D131" s="83"/>
      <c r="E131" s="84"/>
      <c r="F131" s="84"/>
      <c r="G131" s="84"/>
      <c r="H131" s="84"/>
      <c r="I131" s="85"/>
      <c r="J131" s="90"/>
      <c r="K131" s="91"/>
      <c r="L131" s="90"/>
      <c r="M131" s="91"/>
      <c r="N131" s="83"/>
      <c r="O131" s="85"/>
      <c r="P131" s="96"/>
      <c r="Q131" s="97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8"/>
      <c r="AD131" s="98"/>
      <c r="AE131" s="98"/>
      <c r="AF131" s="98"/>
      <c r="AG131" s="98"/>
      <c r="AH131" s="98"/>
    </row>
    <row r="132" spans="2:34" x14ac:dyDescent="0.25">
      <c r="B132" s="71"/>
      <c r="C132" s="72"/>
      <c r="D132" s="77"/>
      <c r="E132" s="78"/>
      <c r="F132" s="78"/>
      <c r="G132" s="78"/>
      <c r="H132" s="78"/>
      <c r="I132" s="79"/>
      <c r="J132" s="86"/>
      <c r="K132" s="87"/>
      <c r="L132" s="86"/>
      <c r="M132" s="87"/>
      <c r="N132" s="77"/>
      <c r="O132" s="79"/>
      <c r="P132" s="92"/>
      <c r="Q132" s="93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8"/>
      <c r="AD132" s="98"/>
      <c r="AE132" s="98"/>
      <c r="AF132" s="98"/>
      <c r="AG132" s="98"/>
      <c r="AH132" s="98"/>
    </row>
    <row r="133" spans="2:34" x14ac:dyDescent="0.25">
      <c r="B133" s="73"/>
      <c r="C133" s="74"/>
      <c r="D133" s="80"/>
      <c r="E133" s="81"/>
      <c r="F133" s="81"/>
      <c r="G133" s="81"/>
      <c r="H133" s="81"/>
      <c r="I133" s="82"/>
      <c r="J133" s="88"/>
      <c r="K133" s="89"/>
      <c r="L133" s="88"/>
      <c r="M133" s="89"/>
      <c r="N133" s="80"/>
      <c r="O133" s="82"/>
      <c r="P133" s="94"/>
      <c r="Q133" s="95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8"/>
      <c r="AD133" s="98"/>
      <c r="AE133" s="98"/>
      <c r="AF133" s="98"/>
      <c r="AG133" s="98"/>
      <c r="AH133" s="98"/>
    </row>
    <row r="134" spans="2:34" x14ac:dyDescent="0.25">
      <c r="B134" s="75"/>
      <c r="C134" s="76"/>
      <c r="D134" s="83"/>
      <c r="E134" s="84"/>
      <c r="F134" s="84"/>
      <c r="G134" s="84"/>
      <c r="H134" s="84"/>
      <c r="I134" s="85"/>
      <c r="J134" s="90"/>
      <c r="K134" s="91"/>
      <c r="L134" s="90"/>
      <c r="M134" s="91"/>
      <c r="N134" s="83"/>
      <c r="O134" s="85"/>
      <c r="P134" s="96"/>
      <c r="Q134" s="97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8"/>
      <c r="AD134" s="98"/>
      <c r="AE134" s="98"/>
      <c r="AF134" s="98"/>
      <c r="AG134" s="98"/>
      <c r="AH134" s="98"/>
    </row>
    <row r="135" spans="2:34" x14ac:dyDescent="0.25">
      <c r="B135" s="71"/>
      <c r="C135" s="72"/>
      <c r="D135" s="77"/>
      <c r="E135" s="78"/>
      <c r="F135" s="78"/>
      <c r="G135" s="78"/>
      <c r="H135" s="78"/>
      <c r="I135" s="79"/>
      <c r="J135" s="86"/>
      <c r="K135" s="87"/>
      <c r="L135" s="86"/>
      <c r="M135" s="87"/>
      <c r="N135" s="77"/>
      <c r="O135" s="79"/>
      <c r="P135" s="92"/>
      <c r="Q135" s="93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8"/>
      <c r="AD135" s="98"/>
      <c r="AE135" s="98"/>
      <c r="AF135" s="98"/>
      <c r="AG135" s="98"/>
      <c r="AH135" s="98"/>
    </row>
    <row r="136" spans="2:34" x14ac:dyDescent="0.25">
      <c r="B136" s="73"/>
      <c r="C136" s="74"/>
      <c r="D136" s="80"/>
      <c r="E136" s="81"/>
      <c r="F136" s="81"/>
      <c r="G136" s="81"/>
      <c r="H136" s="81"/>
      <c r="I136" s="82"/>
      <c r="J136" s="88"/>
      <c r="K136" s="89"/>
      <c r="L136" s="88"/>
      <c r="M136" s="89"/>
      <c r="N136" s="80"/>
      <c r="O136" s="82"/>
      <c r="P136" s="94"/>
      <c r="Q136" s="95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8"/>
      <c r="AD136" s="98"/>
      <c r="AE136" s="98"/>
      <c r="AF136" s="98"/>
      <c r="AG136" s="98"/>
      <c r="AH136" s="98"/>
    </row>
    <row r="137" spans="2:34" x14ac:dyDescent="0.25">
      <c r="B137" s="75"/>
      <c r="C137" s="76"/>
      <c r="D137" s="83"/>
      <c r="E137" s="84"/>
      <c r="F137" s="84"/>
      <c r="G137" s="84"/>
      <c r="H137" s="84"/>
      <c r="I137" s="85"/>
      <c r="J137" s="90"/>
      <c r="K137" s="91"/>
      <c r="L137" s="90"/>
      <c r="M137" s="91"/>
      <c r="N137" s="83"/>
      <c r="O137" s="85"/>
      <c r="P137" s="96"/>
      <c r="Q137" s="97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8"/>
      <c r="AD137" s="98"/>
      <c r="AE137" s="98"/>
      <c r="AF137" s="98"/>
      <c r="AG137" s="98"/>
      <c r="AH137" s="98"/>
    </row>
    <row r="138" spans="2:34" x14ac:dyDescent="0.25">
      <c r="B138" s="71"/>
      <c r="C138" s="72"/>
      <c r="D138" s="77"/>
      <c r="E138" s="78"/>
      <c r="F138" s="78"/>
      <c r="G138" s="78"/>
      <c r="H138" s="78"/>
      <c r="I138" s="79"/>
      <c r="J138" s="86"/>
      <c r="K138" s="87"/>
      <c r="L138" s="86"/>
      <c r="M138" s="87"/>
      <c r="N138" s="77"/>
      <c r="O138" s="79"/>
      <c r="P138" s="92"/>
      <c r="Q138" s="93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8"/>
      <c r="AD138" s="98"/>
      <c r="AE138" s="98"/>
      <c r="AF138" s="98"/>
      <c r="AG138" s="98"/>
      <c r="AH138" s="98"/>
    </row>
    <row r="139" spans="2:34" x14ac:dyDescent="0.25">
      <c r="B139" s="73"/>
      <c r="C139" s="74"/>
      <c r="D139" s="80"/>
      <c r="E139" s="81"/>
      <c r="F139" s="81"/>
      <c r="G139" s="81"/>
      <c r="H139" s="81"/>
      <c r="I139" s="82"/>
      <c r="J139" s="88"/>
      <c r="K139" s="89"/>
      <c r="L139" s="88"/>
      <c r="M139" s="89"/>
      <c r="N139" s="80"/>
      <c r="O139" s="82"/>
      <c r="P139" s="94"/>
      <c r="Q139" s="95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8"/>
      <c r="AD139" s="98"/>
      <c r="AE139" s="98"/>
      <c r="AF139" s="98"/>
      <c r="AG139" s="98"/>
      <c r="AH139" s="98"/>
    </row>
    <row r="140" spans="2:34" x14ac:dyDescent="0.25">
      <c r="B140" s="75"/>
      <c r="C140" s="76"/>
      <c r="D140" s="83"/>
      <c r="E140" s="84"/>
      <c r="F140" s="84"/>
      <c r="G140" s="84"/>
      <c r="H140" s="84"/>
      <c r="I140" s="85"/>
      <c r="J140" s="90"/>
      <c r="K140" s="91"/>
      <c r="L140" s="90"/>
      <c r="M140" s="91"/>
      <c r="N140" s="83"/>
      <c r="O140" s="85"/>
      <c r="P140" s="96"/>
      <c r="Q140" s="97"/>
      <c r="S140" s="99"/>
      <c r="T140" s="99"/>
      <c r="U140" s="99"/>
      <c r="V140" s="99"/>
      <c r="W140" s="99"/>
      <c r="X140" s="99"/>
      <c r="Y140" s="99"/>
      <c r="Z140" s="99"/>
      <c r="AA140" s="99"/>
      <c r="AB140" s="99"/>
      <c r="AC140" s="98"/>
      <c r="AD140" s="98"/>
      <c r="AE140" s="98"/>
      <c r="AF140" s="98"/>
      <c r="AG140" s="98"/>
      <c r="AH140" s="98"/>
    </row>
    <row r="141" spans="2:34" x14ac:dyDescent="0.25">
      <c r="B141" s="71"/>
      <c r="C141" s="72"/>
      <c r="D141" s="77"/>
      <c r="E141" s="78"/>
      <c r="F141" s="78"/>
      <c r="G141" s="78"/>
      <c r="H141" s="78"/>
      <c r="I141" s="79"/>
      <c r="J141" s="86"/>
      <c r="K141" s="87"/>
      <c r="L141" s="86"/>
      <c r="M141" s="87"/>
      <c r="N141" s="77"/>
      <c r="O141" s="79"/>
      <c r="P141" s="92"/>
      <c r="Q141" s="93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8"/>
      <c r="AD141" s="98"/>
      <c r="AE141" s="98"/>
      <c r="AF141" s="98"/>
      <c r="AG141" s="98"/>
      <c r="AH141" s="98"/>
    </row>
    <row r="142" spans="2:34" x14ac:dyDescent="0.25">
      <c r="B142" s="73"/>
      <c r="C142" s="74"/>
      <c r="D142" s="80"/>
      <c r="E142" s="81"/>
      <c r="F142" s="81"/>
      <c r="G142" s="81"/>
      <c r="H142" s="81"/>
      <c r="I142" s="82"/>
      <c r="J142" s="88"/>
      <c r="K142" s="89"/>
      <c r="L142" s="88"/>
      <c r="M142" s="89"/>
      <c r="N142" s="80"/>
      <c r="O142" s="82"/>
      <c r="P142" s="94"/>
      <c r="Q142" s="95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8"/>
      <c r="AD142" s="98"/>
      <c r="AE142" s="98"/>
      <c r="AF142" s="98"/>
      <c r="AG142" s="98"/>
      <c r="AH142" s="98"/>
    </row>
    <row r="143" spans="2:34" x14ac:dyDescent="0.25">
      <c r="B143" s="75"/>
      <c r="C143" s="76"/>
      <c r="D143" s="83"/>
      <c r="E143" s="84"/>
      <c r="F143" s="84"/>
      <c r="G143" s="84"/>
      <c r="H143" s="84"/>
      <c r="I143" s="85"/>
      <c r="J143" s="90"/>
      <c r="K143" s="91"/>
      <c r="L143" s="90"/>
      <c r="M143" s="91"/>
      <c r="N143" s="83"/>
      <c r="O143" s="85"/>
      <c r="P143" s="96"/>
      <c r="Q143" s="97"/>
      <c r="S143" s="99"/>
      <c r="T143" s="99"/>
      <c r="U143" s="99"/>
      <c r="V143" s="99"/>
      <c r="W143" s="99"/>
      <c r="X143" s="99"/>
      <c r="Y143" s="99"/>
      <c r="Z143" s="99"/>
      <c r="AA143" s="99"/>
      <c r="AB143" s="99"/>
      <c r="AC143" s="98"/>
      <c r="AD143" s="98"/>
      <c r="AE143" s="98"/>
      <c r="AF143" s="98"/>
      <c r="AG143" s="98"/>
      <c r="AH143" s="98"/>
    </row>
    <row r="144" spans="2:34" x14ac:dyDescent="0.25">
      <c r="B144" s="71"/>
      <c r="C144" s="72"/>
      <c r="D144" s="77"/>
      <c r="E144" s="78"/>
      <c r="F144" s="78"/>
      <c r="G144" s="78"/>
      <c r="H144" s="78"/>
      <c r="I144" s="79"/>
      <c r="J144" s="86"/>
      <c r="K144" s="87"/>
      <c r="L144" s="86"/>
      <c r="M144" s="87"/>
      <c r="N144" s="77"/>
      <c r="O144" s="79"/>
      <c r="P144" s="92"/>
      <c r="Q144" s="93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8"/>
      <c r="AD144" s="98"/>
      <c r="AE144" s="98"/>
      <c r="AF144" s="98"/>
      <c r="AG144" s="98"/>
      <c r="AH144" s="98"/>
    </row>
    <row r="145" spans="2:34" x14ac:dyDescent="0.25">
      <c r="B145" s="73"/>
      <c r="C145" s="74"/>
      <c r="D145" s="80"/>
      <c r="E145" s="81"/>
      <c r="F145" s="81"/>
      <c r="G145" s="81"/>
      <c r="H145" s="81"/>
      <c r="I145" s="82"/>
      <c r="J145" s="88"/>
      <c r="K145" s="89"/>
      <c r="L145" s="88"/>
      <c r="M145" s="89"/>
      <c r="N145" s="80"/>
      <c r="O145" s="82"/>
      <c r="P145" s="94"/>
      <c r="Q145" s="95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8"/>
      <c r="AD145" s="98"/>
      <c r="AE145" s="98"/>
      <c r="AF145" s="98"/>
      <c r="AG145" s="98"/>
      <c r="AH145" s="98"/>
    </row>
    <row r="146" spans="2:34" x14ac:dyDescent="0.25">
      <c r="B146" s="75"/>
      <c r="C146" s="76"/>
      <c r="D146" s="83"/>
      <c r="E146" s="84"/>
      <c r="F146" s="84"/>
      <c r="G146" s="84"/>
      <c r="H146" s="84"/>
      <c r="I146" s="85"/>
      <c r="J146" s="90"/>
      <c r="K146" s="91"/>
      <c r="L146" s="90"/>
      <c r="M146" s="91"/>
      <c r="N146" s="83"/>
      <c r="O146" s="85"/>
      <c r="P146" s="96"/>
      <c r="Q146" s="97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8"/>
      <c r="AD146" s="98"/>
      <c r="AE146" s="98"/>
      <c r="AF146" s="98"/>
      <c r="AG146" s="98"/>
      <c r="AH146" s="98"/>
    </row>
    <row r="147" spans="2:34" x14ac:dyDescent="0.25">
      <c r="B147" s="71"/>
      <c r="C147" s="72"/>
      <c r="D147" s="77"/>
      <c r="E147" s="78"/>
      <c r="F147" s="78"/>
      <c r="G147" s="78"/>
      <c r="H147" s="78"/>
      <c r="I147" s="79"/>
      <c r="J147" s="86"/>
      <c r="K147" s="87"/>
      <c r="L147" s="86"/>
      <c r="M147" s="87"/>
      <c r="N147" s="77"/>
      <c r="O147" s="79"/>
      <c r="P147" s="92"/>
      <c r="Q147" s="93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8"/>
      <c r="AD147" s="98"/>
      <c r="AE147" s="98"/>
      <c r="AF147" s="98"/>
      <c r="AG147" s="98"/>
      <c r="AH147" s="98"/>
    </row>
    <row r="148" spans="2:34" x14ac:dyDescent="0.25">
      <c r="B148" s="73"/>
      <c r="C148" s="74"/>
      <c r="D148" s="80"/>
      <c r="E148" s="81"/>
      <c r="F148" s="81"/>
      <c r="G148" s="81"/>
      <c r="H148" s="81"/>
      <c r="I148" s="82"/>
      <c r="J148" s="88"/>
      <c r="K148" s="89"/>
      <c r="L148" s="88"/>
      <c r="M148" s="89"/>
      <c r="N148" s="80"/>
      <c r="O148" s="82"/>
      <c r="P148" s="94"/>
      <c r="Q148" s="95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8"/>
      <c r="AD148" s="98"/>
      <c r="AE148" s="98"/>
      <c r="AF148" s="98"/>
      <c r="AG148" s="98"/>
      <c r="AH148" s="98"/>
    </row>
    <row r="149" spans="2:34" x14ac:dyDescent="0.25">
      <c r="B149" s="75"/>
      <c r="C149" s="76"/>
      <c r="D149" s="83"/>
      <c r="E149" s="84"/>
      <c r="F149" s="84"/>
      <c r="G149" s="84"/>
      <c r="H149" s="84"/>
      <c r="I149" s="85"/>
      <c r="J149" s="90"/>
      <c r="K149" s="91"/>
      <c r="L149" s="90"/>
      <c r="M149" s="91"/>
      <c r="N149" s="83"/>
      <c r="O149" s="85"/>
      <c r="P149" s="96"/>
      <c r="Q149" s="97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8"/>
      <c r="AD149" s="98"/>
      <c r="AE149" s="98"/>
      <c r="AF149" s="98"/>
      <c r="AG149" s="98"/>
      <c r="AH149" s="98"/>
    </row>
    <row r="150" spans="2:34" x14ac:dyDescent="0.25">
      <c r="B150" s="71"/>
      <c r="C150" s="72"/>
      <c r="D150" s="77"/>
      <c r="E150" s="78"/>
      <c r="F150" s="78"/>
      <c r="G150" s="78"/>
      <c r="H150" s="78"/>
      <c r="I150" s="79"/>
      <c r="J150" s="86"/>
      <c r="K150" s="87"/>
      <c r="L150" s="86"/>
      <c r="M150" s="87"/>
      <c r="N150" s="77"/>
      <c r="O150" s="79"/>
      <c r="P150" s="92"/>
      <c r="Q150" s="93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8"/>
      <c r="AD150" s="98"/>
      <c r="AE150" s="98"/>
      <c r="AF150" s="98"/>
      <c r="AG150" s="98"/>
      <c r="AH150" s="98"/>
    </row>
    <row r="151" spans="2:34" x14ac:dyDescent="0.25">
      <c r="B151" s="73"/>
      <c r="C151" s="74"/>
      <c r="D151" s="80"/>
      <c r="E151" s="81"/>
      <c r="F151" s="81"/>
      <c r="G151" s="81"/>
      <c r="H151" s="81"/>
      <c r="I151" s="82"/>
      <c r="J151" s="88"/>
      <c r="K151" s="89"/>
      <c r="L151" s="88"/>
      <c r="M151" s="89"/>
      <c r="N151" s="80"/>
      <c r="O151" s="82"/>
      <c r="P151" s="94"/>
      <c r="Q151" s="95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8"/>
      <c r="AD151" s="98"/>
      <c r="AE151" s="98"/>
      <c r="AF151" s="98"/>
      <c r="AG151" s="98"/>
      <c r="AH151" s="98"/>
    </row>
    <row r="152" spans="2:34" x14ac:dyDescent="0.25">
      <c r="B152" s="75"/>
      <c r="C152" s="76"/>
      <c r="D152" s="83"/>
      <c r="E152" s="84"/>
      <c r="F152" s="84"/>
      <c r="G152" s="84"/>
      <c r="H152" s="84"/>
      <c r="I152" s="85"/>
      <c r="J152" s="90"/>
      <c r="K152" s="91"/>
      <c r="L152" s="90"/>
      <c r="M152" s="91"/>
      <c r="N152" s="83"/>
      <c r="O152" s="85"/>
      <c r="P152" s="96"/>
      <c r="Q152" s="97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8"/>
      <c r="AD152" s="98"/>
      <c r="AE152" s="98"/>
      <c r="AF152" s="98"/>
      <c r="AG152" s="98"/>
      <c r="AH152" s="98"/>
    </row>
    <row r="153" spans="2:34" x14ac:dyDescent="0.25">
      <c r="B153" s="71"/>
      <c r="C153" s="72"/>
      <c r="D153" s="77"/>
      <c r="E153" s="78"/>
      <c r="F153" s="78"/>
      <c r="G153" s="78"/>
      <c r="H153" s="78"/>
      <c r="I153" s="79"/>
      <c r="J153" s="86"/>
      <c r="K153" s="87"/>
      <c r="L153" s="86"/>
      <c r="M153" s="87"/>
      <c r="N153" s="77"/>
      <c r="O153" s="79"/>
      <c r="P153" s="92"/>
      <c r="Q153" s="93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8"/>
      <c r="AD153" s="98"/>
      <c r="AE153" s="98"/>
      <c r="AF153" s="98"/>
      <c r="AG153" s="98"/>
      <c r="AH153" s="98"/>
    </row>
    <row r="154" spans="2:34" x14ac:dyDescent="0.25">
      <c r="B154" s="73"/>
      <c r="C154" s="74"/>
      <c r="D154" s="80"/>
      <c r="E154" s="81"/>
      <c r="F154" s="81"/>
      <c r="G154" s="81"/>
      <c r="H154" s="81"/>
      <c r="I154" s="82"/>
      <c r="J154" s="88"/>
      <c r="K154" s="89"/>
      <c r="L154" s="88"/>
      <c r="M154" s="89"/>
      <c r="N154" s="80"/>
      <c r="O154" s="82"/>
      <c r="P154" s="94"/>
      <c r="Q154" s="95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8"/>
      <c r="AD154" s="98"/>
      <c r="AE154" s="98"/>
      <c r="AF154" s="98"/>
      <c r="AG154" s="98"/>
      <c r="AH154" s="98"/>
    </row>
    <row r="155" spans="2:34" x14ac:dyDescent="0.25">
      <c r="B155" s="75"/>
      <c r="C155" s="76"/>
      <c r="D155" s="83"/>
      <c r="E155" s="84"/>
      <c r="F155" s="84"/>
      <c r="G155" s="84"/>
      <c r="H155" s="84"/>
      <c r="I155" s="85"/>
      <c r="J155" s="90"/>
      <c r="K155" s="91"/>
      <c r="L155" s="90"/>
      <c r="M155" s="91"/>
      <c r="N155" s="83"/>
      <c r="O155" s="85"/>
      <c r="P155" s="96"/>
      <c r="Q155" s="97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8"/>
      <c r="AD155" s="98"/>
      <c r="AE155" s="98"/>
      <c r="AF155" s="98"/>
      <c r="AG155" s="98"/>
      <c r="AH155" s="98"/>
    </row>
    <row r="156" spans="2:34" x14ac:dyDescent="0.25">
      <c r="B156" s="71"/>
      <c r="C156" s="72"/>
      <c r="D156" s="77"/>
      <c r="E156" s="78"/>
      <c r="F156" s="78"/>
      <c r="G156" s="78"/>
      <c r="H156" s="78"/>
      <c r="I156" s="79"/>
      <c r="J156" s="86"/>
      <c r="K156" s="87"/>
      <c r="L156" s="86"/>
      <c r="M156" s="87"/>
      <c r="N156" s="77"/>
      <c r="O156" s="79"/>
      <c r="P156" s="92"/>
      <c r="Q156" s="93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8"/>
      <c r="AD156" s="98"/>
      <c r="AE156" s="98"/>
      <c r="AF156" s="98"/>
      <c r="AG156" s="98"/>
      <c r="AH156" s="98"/>
    </row>
    <row r="157" spans="2:34" x14ac:dyDescent="0.25">
      <c r="B157" s="73"/>
      <c r="C157" s="74"/>
      <c r="D157" s="80"/>
      <c r="E157" s="81"/>
      <c r="F157" s="81"/>
      <c r="G157" s="81"/>
      <c r="H157" s="81"/>
      <c r="I157" s="82"/>
      <c r="J157" s="88"/>
      <c r="K157" s="89"/>
      <c r="L157" s="88"/>
      <c r="M157" s="89"/>
      <c r="N157" s="80"/>
      <c r="O157" s="82"/>
      <c r="P157" s="94"/>
      <c r="Q157" s="95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8"/>
      <c r="AD157" s="98"/>
      <c r="AE157" s="98"/>
      <c r="AF157" s="98"/>
      <c r="AG157" s="98"/>
      <c r="AH157" s="98"/>
    </row>
    <row r="158" spans="2:34" x14ac:dyDescent="0.25">
      <c r="B158" s="75"/>
      <c r="C158" s="76"/>
      <c r="D158" s="83"/>
      <c r="E158" s="84"/>
      <c r="F158" s="84"/>
      <c r="G158" s="84"/>
      <c r="H158" s="84"/>
      <c r="I158" s="85"/>
      <c r="J158" s="90"/>
      <c r="K158" s="91"/>
      <c r="L158" s="90"/>
      <c r="M158" s="91"/>
      <c r="N158" s="83"/>
      <c r="O158" s="85"/>
      <c r="P158" s="96"/>
      <c r="Q158" s="97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8"/>
      <c r="AD158" s="98"/>
      <c r="AE158" s="98"/>
      <c r="AF158" s="98"/>
      <c r="AG158" s="98"/>
      <c r="AH158" s="98"/>
    </row>
    <row r="159" spans="2:34" x14ac:dyDescent="0.25">
      <c r="B159" s="71"/>
      <c r="C159" s="72"/>
      <c r="D159" s="77"/>
      <c r="E159" s="78"/>
      <c r="F159" s="78"/>
      <c r="G159" s="78"/>
      <c r="H159" s="78"/>
      <c r="I159" s="79"/>
      <c r="J159" s="86"/>
      <c r="K159" s="87"/>
      <c r="L159" s="86"/>
      <c r="M159" s="87"/>
      <c r="N159" s="77"/>
      <c r="O159" s="79"/>
      <c r="P159" s="92"/>
      <c r="Q159" s="93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8"/>
      <c r="AD159" s="98"/>
      <c r="AE159" s="98"/>
      <c r="AF159" s="98"/>
      <c r="AG159" s="98"/>
      <c r="AH159" s="98"/>
    </row>
    <row r="160" spans="2:34" x14ac:dyDescent="0.25">
      <c r="B160" s="73"/>
      <c r="C160" s="74"/>
      <c r="D160" s="80"/>
      <c r="E160" s="81"/>
      <c r="F160" s="81"/>
      <c r="G160" s="81"/>
      <c r="H160" s="81"/>
      <c r="I160" s="82"/>
      <c r="J160" s="88"/>
      <c r="K160" s="89"/>
      <c r="L160" s="88"/>
      <c r="M160" s="89"/>
      <c r="N160" s="80"/>
      <c r="O160" s="82"/>
      <c r="P160" s="94"/>
      <c r="Q160" s="95"/>
      <c r="S160" s="99"/>
      <c r="T160" s="99"/>
      <c r="U160" s="99"/>
      <c r="V160" s="99"/>
      <c r="W160" s="99"/>
      <c r="X160" s="99"/>
      <c r="Y160" s="99"/>
      <c r="Z160" s="99"/>
      <c r="AA160" s="99"/>
      <c r="AB160" s="99"/>
      <c r="AC160" s="98"/>
      <c r="AD160" s="98"/>
      <c r="AE160" s="98"/>
      <c r="AF160" s="98"/>
      <c r="AG160" s="98"/>
      <c r="AH160" s="98"/>
    </row>
    <row r="161" spans="2:34" x14ac:dyDescent="0.25">
      <c r="B161" s="75"/>
      <c r="C161" s="76"/>
      <c r="D161" s="83"/>
      <c r="E161" s="84"/>
      <c r="F161" s="84"/>
      <c r="G161" s="84"/>
      <c r="H161" s="84"/>
      <c r="I161" s="85"/>
      <c r="J161" s="90"/>
      <c r="K161" s="91"/>
      <c r="L161" s="90"/>
      <c r="M161" s="91"/>
      <c r="N161" s="83"/>
      <c r="O161" s="85"/>
      <c r="P161" s="96"/>
      <c r="Q161" s="97"/>
      <c r="S161" s="99"/>
      <c r="T161" s="99"/>
      <c r="U161" s="99"/>
      <c r="V161" s="99"/>
      <c r="W161" s="99"/>
      <c r="X161" s="99"/>
      <c r="Y161" s="99"/>
      <c r="Z161" s="99"/>
      <c r="AA161" s="99"/>
      <c r="AB161" s="99"/>
      <c r="AC161" s="98"/>
      <c r="AD161" s="98"/>
      <c r="AE161" s="98"/>
      <c r="AF161" s="98"/>
      <c r="AG161" s="98"/>
      <c r="AH161" s="98"/>
    </row>
    <row r="162" spans="2:34" x14ac:dyDescent="0.25">
      <c r="B162" s="71"/>
      <c r="C162" s="72"/>
      <c r="D162" s="77"/>
      <c r="E162" s="78"/>
      <c r="F162" s="78"/>
      <c r="G162" s="78"/>
      <c r="H162" s="78"/>
      <c r="I162" s="79"/>
      <c r="J162" s="86"/>
      <c r="K162" s="87"/>
      <c r="L162" s="86"/>
      <c r="M162" s="87"/>
      <c r="N162" s="77"/>
      <c r="O162" s="79"/>
      <c r="P162" s="92"/>
      <c r="Q162" s="93"/>
      <c r="S162" s="99"/>
      <c r="T162" s="99"/>
      <c r="U162" s="99"/>
      <c r="V162" s="99"/>
      <c r="W162" s="99"/>
      <c r="X162" s="99"/>
      <c r="Y162" s="99"/>
      <c r="Z162" s="99"/>
      <c r="AA162" s="99"/>
      <c r="AB162" s="99"/>
      <c r="AC162" s="98"/>
      <c r="AD162" s="98"/>
      <c r="AE162" s="98"/>
      <c r="AF162" s="98"/>
      <c r="AG162" s="98"/>
      <c r="AH162" s="98"/>
    </row>
    <row r="163" spans="2:34" x14ac:dyDescent="0.25">
      <c r="B163" s="73"/>
      <c r="C163" s="74"/>
      <c r="D163" s="80"/>
      <c r="E163" s="81"/>
      <c r="F163" s="81"/>
      <c r="G163" s="81"/>
      <c r="H163" s="81"/>
      <c r="I163" s="82"/>
      <c r="J163" s="88"/>
      <c r="K163" s="89"/>
      <c r="L163" s="88"/>
      <c r="M163" s="89"/>
      <c r="N163" s="80"/>
      <c r="O163" s="82"/>
      <c r="P163" s="94"/>
      <c r="Q163" s="95"/>
      <c r="S163" s="99"/>
      <c r="T163" s="99"/>
      <c r="U163" s="99"/>
      <c r="V163" s="99"/>
      <c r="W163" s="99"/>
      <c r="X163" s="99"/>
      <c r="Y163" s="99"/>
      <c r="Z163" s="99"/>
      <c r="AA163" s="99"/>
      <c r="AB163" s="99"/>
      <c r="AC163" s="98"/>
      <c r="AD163" s="98"/>
      <c r="AE163" s="98"/>
      <c r="AF163" s="98"/>
      <c r="AG163" s="98"/>
      <c r="AH163" s="98"/>
    </row>
    <row r="164" spans="2:34" x14ac:dyDescent="0.25">
      <c r="B164" s="75"/>
      <c r="C164" s="76"/>
      <c r="D164" s="83"/>
      <c r="E164" s="84"/>
      <c r="F164" s="84"/>
      <c r="G164" s="84"/>
      <c r="H164" s="84"/>
      <c r="I164" s="85"/>
      <c r="J164" s="90"/>
      <c r="K164" s="91"/>
      <c r="L164" s="90"/>
      <c r="M164" s="91"/>
      <c r="N164" s="83"/>
      <c r="O164" s="85"/>
      <c r="P164" s="96"/>
      <c r="Q164" s="97"/>
      <c r="S164" s="99"/>
      <c r="T164" s="99"/>
      <c r="U164" s="99"/>
      <c r="V164" s="99"/>
      <c r="W164" s="99"/>
      <c r="X164" s="99"/>
      <c r="Y164" s="99"/>
      <c r="Z164" s="99"/>
      <c r="AA164" s="99"/>
      <c r="AB164" s="99"/>
      <c r="AC164" s="98"/>
      <c r="AD164" s="98"/>
      <c r="AE164" s="98"/>
      <c r="AF164" s="98"/>
      <c r="AG164" s="98"/>
      <c r="AH164" s="98"/>
    </row>
    <row r="165" spans="2:34" x14ac:dyDescent="0.25">
      <c r="B165" s="71"/>
      <c r="C165" s="72"/>
      <c r="D165" s="77"/>
      <c r="E165" s="78"/>
      <c r="F165" s="78"/>
      <c r="G165" s="78"/>
      <c r="H165" s="78"/>
      <c r="I165" s="79"/>
      <c r="J165" s="86"/>
      <c r="K165" s="87"/>
      <c r="L165" s="86"/>
      <c r="M165" s="87"/>
      <c r="N165" s="77"/>
      <c r="O165" s="79"/>
      <c r="P165" s="92"/>
      <c r="Q165" s="93"/>
      <c r="S165" s="99"/>
      <c r="T165" s="99"/>
      <c r="U165" s="99"/>
      <c r="V165" s="99"/>
      <c r="W165" s="99"/>
      <c r="X165" s="99"/>
      <c r="Y165" s="99"/>
      <c r="Z165" s="99"/>
      <c r="AA165" s="99"/>
      <c r="AB165" s="99"/>
      <c r="AC165" s="98"/>
      <c r="AD165" s="98"/>
      <c r="AE165" s="98"/>
      <c r="AF165" s="98"/>
      <c r="AG165" s="98"/>
      <c r="AH165" s="98"/>
    </row>
    <row r="166" spans="2:34" x14ac:dyDescent="0.25">
      <c r="B166" s="73"/>
      <c r="C166" s="74"/>
      <c r="D166" s="80"/>
      <c r="E166" s="81"/>
      <c r="F166" s="81"/>
      <c r="G166" s="81"/>
      <c r="H166" s="81"/>
      <c r="I166" s="82"/>
      <c r="J166" s="88"/>
      <c r="K166" s="89"/>
      <c r="L166" s="88"/>
      <c r="M166" s="89"/>
      <c r="N166" s="80"/>
      <c r="O166" s="82"/>
      <c r="P166" s="94"/>
      <c r="Q166" s="95"/>
      <c r="S166" s="99"/>
      <c r="T166" s="99"/>
      <c r="U166" s="99"/>
      <c r="V166" s="99"/>
      <c r="W166" s="99"/>
      <c r="X166" s="99"/>
      <c r="Y166" s="99"/>
      <c r="Z166" s="99"/>
      <c r="AA166" s="99"/>
      <c r="AB166" s="99"/>
      <c r="AC166" s="98"/>
      <c r="AD166" s="98"/>
      <c r="AE166" s="98"/>
      <c r="AF166" s="98"/>
      <c r="AG166" s="98"/>
      <c r="AH166" s="98"/>
    </row>
    <row r="167" spans="2:34" x14ac:dyDescent="0.25">
      <c r="B167" s="75"/>
      <c r="C167" s="76"/>
      <c r="D167" s="83"/>
      <c r="E167" s="84"/>
      <c r="F167" s="84"/>
      <c r="G167" s="84"/>
      <c r="H167" s="84"/>
      <c r="I167" s="85"/>
      <c r="J167" s="90"/>
      <c r="K167" s="91"/>
      <c r="L167" s="90"/>
      <c r="M167" s="91"/>
      <c r="N167" s="83"/>
      <c r="O167" s="85"/>
      <c r="P167" s="96"/>
      <c r="Q167" s="97"/>
      <c r="S167" s="99"/>
      <c r="T167" s="99"/>
      <c r="U167" s="99"/>
      <c r="V167" s="99"/>
      <c r="W167" s="99"/>
      <c r="X167" s="99"/>
      <c r="Y167" s="99"/>
      <c r="Z167" s="99"/>
      <c r="AA167" s="99"/>
      <c r="AB167" s="99"/>
      <c r="AC167" s="98"/>
      <c r="AD167" s="98"/>
      <c r="AE167" s="98"/>
      <c r="AF167" s="98"/>
      <c r="AG167" s="98"/>
      <c r="AH167" s="98"/>
    </row>
    <row r="168" spans="2:34" x14ac:dyDescent="0.25">
      <c r="B168" s="71"/>
      <c r="C168" s="72"/>
      <c r="D168" s="77"/>
      <c r="E168" s="78"/>
      <c r="F168" s="78"/>
      <c r="G168" s="78"/>
      <c r="H168" s="78"/>
      <c r="I168" s="79"/>
      <c r="J168" s="86"/>
      <c r="K168" s="87"/>
      <c r="L168" s="86"/>
      <c r="M168" s="87"/>
      <c r="N168" s="77"/>
      <c r="O168" s="79"/>
      <c r="P168" s="92"/>
      <c r="Q168" s="93"/>
      <c r="S168" s="99"/>
      <c r="T168" s="99"/>
      <c r="U168" s="99"/>
      <c r="V168" s="99"/>
      <c r="W168" s="99"/>
      <c r="X168" s="99"/>
      <c r="Y168" s="99"/>
      <c r="Z168" s="99"/>
      <c r="AA168" s="99"/>
      <c r="AB168" s="99"/>
      <c r="AC168" s="98"/>
      <c r="AD168" s="98"/>
      <c r="AE168" s="98"/>
      <c r="AF168" s="98"/>
      <c r="AG168" s="98"/>
      <c r="AH168" s="98"/>
    </row>
    <row r="169" spans="2:34" x14ac:dyDescent="0.25">
      <c r="B169" s="73"/>
      <c r="C169" s="74"/>
      <c r="D169" s="80"/>
      <c r="E169" s="81"/>
      <c r="F169" s="81"/>
      <c r="G169" s="81"/>
      <c r="H169" s="81"/>
      <c r="I169" s="82"/>
      <c r="J169" s="88"/>
      <c r="K169" s="89"/>
      <c r="L169" s="88"/>
      <c r="M169" s="89"/>
      <c r="N169" s="80"/>
      <c r="O169" s="82"/>
      <c r="P169" s="94"/>
      <c r="Q169" s="95"/>
      <c r="S169" s="99"/>
      <c r="T169" s="99"/>
      <c r="U169" s="99"/>
      <c r="V169" s="99"/>
      <c r="W169" s="99"/>
      <c r="X169" s="99"/>
      <c r="Y169" s="99"/>
      <c r="Z169" s="99"/>
      <c r="AA169" s="99"/>
      <c r="AB169" s="99"/>
      <c r="AC169" s="98"/>
      <c r="AD169" s="98"/>
      <c r="AE169" s="98"/>
      <c r="AF169" s="98"/>
      <c r="AG169" s="98"/>
      <c r="AH169" s="98"/>
    </row>
    <row r="170" spans="2:34" x14ac:dyDescent="0.25">
      <c r="B170" s="75"/>
      <c r="C170" s="76"/>
      <c r="D170" s="83"/>
      <c r="E170" s="84"/>
      <c r="F170" s="84"/>
      <c r="G170" s="84"/>
      <c r="H170" s="84"/>
      <c r="I170" s="85"/>
      <c r="J170" s="90"/>
      <c r="K170" s="91"/>
      <c r="L170" s="90"/>
      <c r="M170" s="91"/>
      <c r="N170" s="83"/>
      <c r="O170" s="85"/>
      <c r="P170" s="96"/>
      <c r="Q170" s="97"/>
      <c r="S170" s="99"/>
      <c r="T170" s="99"/>
      <c r="U170" s="99"/>
      <c r="V170" s="99"/>
      <c r="W170" s="99"/>
      <c r="X170" s="99"/>
      <c r="Y170" s="99"/>
      <c r="Z170" s="99"/>
      <c r="AA170" s="99"/>
      <c r="AB170" s="99"/>
      <c r="AC170" s="98"/>
      <c r="AD170" s="98"/>
      <c r="AE170" s="98"/>
      <c r="AF170" s="98"/>
      <c r="AG170" s="98"/>
      <c r="AH170" s="98"/>
    </row>
    <row r="171" spans="2:34" x14ac:dyDescent="0.25">
      <c r="B171" s="71"/>
      <c r="C171" s="72"/>
      <c r="D171" s="77"/>
      <c r="E171" s="78"/>
      <c r="F171" s="78"/>
      <c r="G171" s="78"/>
      <c r="H171" s="78"/>
      <c r="I171" s="79"/>
      <c r="J171" s="86"/>
      <c r="K171" s="87"/>
      <c r="L171" s="86"/>
      <c r="M171" s="87"/>
      <c r="N171" s="77"/>
      <c r="O171" s="79"/>
      <c r="P171" s="92"/>
      <c r="Q171" s="93"/>
      <c r="S171" s="99"/>
      <c r="T171" s="99"/>
      <c r="U171" s="99"/>
      <c r="V171" s="99"/>
      <c r="W171" s="99"/>
      <c r="X171" s="99"/>
      <c r="Y171" s="99"/>
      <c r="Z171" s="99"/>
      <c r="AA171" s="99"/>
      <c r="AB171" s="99"/>
      <c r="AC171" s="98"/>
      <c r="AD171" s="98"/>
      <c r="AE171" s="98"/>
      <c r="AF171" s="98"/>
      <c r="AG171" s="98"/>
      <c r="AH171" s="98"/>
    </row>
    <row r="172" spans="2:34" x14ac:dyDescent="0.25">
      <c r="B172" s="73"/>
      <c r="C172" s="74"/>
      <c r="D172" s="80"/>
      <c r="E172" s="81"/>
      <c r="F172" s="81"/>
      <c r="G172" s="81"/>
      <c r="H172" s="81"/>
      <c r="I172" s="82"/>
      <c r="J172" s="88"/>
      <c r="K172" s="89"/>
      <c r="L172" s="88"/>
      <c r="M172" s="89"/>
      <c r="N172" s="80"/>
      <c r="O172" s="82"/>
      <c r="P172" s="94"/>
      <c r="Q172" s="95"/>
      <c r="S172" s="99"/>
      <c r="T172" s="99"/>
      <c r="U172" s="99"/>
      <c r="V172" s="99"/>
      <c r="W172" s="99"/>
      <c r="X172" s="99"/>
      <c r="Y172" s="99"/>
      <c r="Z172" s="99"/>
      <c r="AA172" s="99"/>
      <c r="AB172" s="99"/>
      <c r="AC172" s="98"/>
      <c r="AD172" s="98"/>
      <c r="AE172" s="98"/>
      <c r="AF172" s="98"/>
      <c r="AG172" s="98"/>
      <c r="AH172" s="98"/>
    </row>
    <row r="173" spans="2:34" x14ac:dyDescent="0.25">
      <c r="B173" s="75"/>
      <c r="C173" s="76"/>
      <c r="D173" s="83"/>
      <c r="E173" s="84"/>
      <c r="F173" s="84"/>
      <c r="G173" s="84"/>
      <c r="H173" s="84"/>
      <c r="I173" s="85"/>
      <c r="J173" s="90"/>
      <c r="K173" s="91"/>
      <c r="L173" s="90"/>
      <c r="M173" s="91"/>
      <c r="N173" s="83"/>
      <c r="O173" s="85"/>
      <c r="P173" s="96"/>
      <c r="Q173" s="97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8"/>
      <c r="AD173" s="98"/>
      <c r="AE173" s="98"/>
      <c r="AF173" s="98"/>
      <c r="AG173" s="98"/>
      <c r="AH173" s="98"/>
    </row>
    <row r="174" spans="2:34" x14ac:dyDescent="0.25">
      <c r="B174" s="71"/>
      <c r="C174" s="72"/>
      <c r="D174" s="77"/>
      <c r="E174" s="78"/>
      <c r="F174" s="78"/>
      <c r="G174" s="78"/>
      <c r="H174" s="78"/>
      <c r="I174" s="79"/>
      <c r="J174" s="86"/>
      <c r="K174" s="87"/>
      <c r="L174" s="86"/>
      <c r="M174" s="87"/>
      <c r="N174" s="77"/>
      <c r="O174" s="79"/>
      <c r="P174" s="92"/>
      <c r="Q174" s="93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8"/>
      <c r="AD174" s="98"/>
      <c r="AE174" s="98"/>
      <c r="AF174" s="98"/>
      <c r="AG174" s="98"/>
      <c r="AH174" s="98"/>
    </row>
    <row r="175" spans="2:34" x14ac:dyDescent="0.25">
      <c r="B175" s="73"/>
      <c r="C175" s="74"/>
      <c r="D175" s="80"/>
      <c r="E175" s="81"/>
      <c r="F175" s="81"/>
      <c r="G175" s="81"/>
      <c r="H175" s="81"/>
      <c r="I175" s="82"/>
      <c r="J175" s="88"/>
      <c r="K175" s="89"/>
      <c r="L175" s="88"/>
      <c r="M175" s="89"/>
      <c r="N175" s="80"/>
      <c r="O175" s="82"/>
      <c r="P175" s="94"/>
      <c r="Q175" s="95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8"/>
      <c r="AD175" s="98"/>
      <c r="AE175" s="98"/>
      <c r="AF175" s="98"/>
      <c r="AG175" s="98"/>
      <c r="AH175" s="98"/>
    </row>
    <row r="176" spans="2:34" x14ac:dyDescent="0.25">
      <c r="B176" s="75"/>
      <c r="C176" s="76"/>
      <c r="D176" s="83"/>
      <c r="E176" s="84"/>
      <c r="F176" s="84"/>
      <c r="G176" s="84"/>
      <c r="H176" s="84"/>
      <c r="I176" s="85"/>
      <c r="J176" s="90"/>
      <c r="K176" s="91"/>
      <c r="L176" s="90"/>
      <c r="M176" s="91"/>
      <c r="N176" s="83"/>
      <c r="O176" s="85"/>
      <c r="P176" s="96"/>
      <c r="Q176" s="97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8"/>
      <c r="AD176" s="98"/>
      <c r="AE176" s="98"/>
      <c r="AF176" s="98"/>
      <c r="AG176" s="98"/>
      <c r="AH176" s="98"/>
    </row>
    <row r="177" spans="2:34" x14ac:dyDescent="0.25">
      <c r="B177" s="71"/>
      <c r="C177" s="72"/>
      <c r="D177" s="77"/>
      <c r="E177" s="78"/>
      <c r="F177" s="78"/>
      <c r="G177" s="78"/>
      <c r="H177" s="78"/>
      <c r="I177" s="79"/>
      <c r="J177" s="86"/>
      <c r="K177" s="87"/>
      <c r="L177" s="86"/>
      <c r="M177" s="87"/>
      <c r="N177" s="77"/>
      <c r="O177" s="79"/>
      <c r="P177" s="92"/>
      <c r="Q177" s="93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8"/>
      <c r="AD177" s="98"/>
      <c r="AE177" s="98"/>
      <c r="AF177" s="98"/>
      <c r="AG177" s="98"/>
      <c r="AH177" s="98"/>
    </row>
    <row r="178" spans="2:34" x14ac:dyDescent="0.25">
      <c r="B178" s="73"/>
      <c r="C178" s="74"/>
      <c r="D178" s="80"/>
      <c r="E178" s="81"/>
      <c r="F178" s="81"/>
      <c r="G178" s="81"/>
      <c r="H178" s="81"/>
      <c r="I178" s="82"/>
      <c r="J178" s="88"/>
      <c r="K178" s="89"/>
      <c r="L178" s="88"/>
      <c r="M178" s="89"/>
      <c r="N178" s="80"/>
      <c r="O178" s="82"/>
      <c r="P178" s="94"/>
      <c r="Q178" s="95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8"/>
      <c r="AD178" s="98"/>
      <c r="AE178" s="98"/>
      <c r="AF178" s="98"/>
      <c r="AG178" s="98"/>
      <c r="AH178" s="98"/>
    </row>
    <row r="179" spans="2:34" x14ac:dyDescent="0.25">
      <c r="B179" s="75"/>
      <c r="C179" s="76"/>
      <c r="D179" s="83"/>
      <c r="E179" s="84"/>
      <c r="F179" s="84"/>
      <c r="G179" s="84"/>
      <c r="H179" s="84"/>
      <c r="I179" s="85"/>
      <c r="J179" s="90"/>
      <c r="K179" s="91"/>
      <c r="L179" s="90"/>
      <c r="M179" s="91"/>
      <c r="N179" s="83"/>
      <c r="O179" s="85"/>
      <c r="P179" s="96"/>
      <c r="Q179" s="97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8"/>
      <c r="AD179" s="98"/>
      <c r="AE179" s="98"/>
      <c r="AF179" s="98"/>
      <c r="AG179" s="98"/>
      <c r="AH179" s="98"/>
    </row>
    <row r="180" spans="2:34" x14ac:dyDescent="0.25">
      <c r="B180" s="71"/>
      <c r="C180" s="72"/>
      <c r="D180" s="77"/>
      <c r="E180" s="78"/>
      <c r="F180" s="78"/>
      <c r="G180" s="78"/>
      <c r="H180" s="78"/>
      <c r="I180" s="79"/>
      <c r="J180" s="86"/>
      <c r="K180" s="87"/>
      <c r="L180" s="86"/>
      <c r="M180" s="87"/>
      <c r="N180" s="77"/>
      <c r="O180" s="79"/>
      <c r="P180" s="92"/>
      <c r="Q180" s="93"/>
      <c r="S180" s="99"/>
      <c r="T180" s="99"/>
      <c r="U180" s="99"/>
      <c r="V180" s="99"/>
      <c r="W180" s="99"/>
      <c r="X180" s="99"/>
      <c r="Y180" s="99"/>
      <c r="Z180" s="99"/>
      <c r="AA180" s="99"/>
      <c r="AB180" s="99"/>
      <c r="AC180" s="98"/>
      <c r="AD180" s="98"/>
      <c r="AE180" s="98"/>
      <c r="AF180" s="98"/>
      <c r="AG180" s="98"/>
      <c r="AH180" s="98"/>
    </row>
    <row r="181" spans="2:34" x14ac:dyDescent="0.25">
      <c r="B181" s="73"/>
      <c r="C181" s="74"/>
      <c r="D181" s="80"/>
      <c r="E181" s="81"/>
      <c r="F181" s="81"/>
      <c r="G181" s="81"/>
      <c r="H181" s="81"/>
      <c r="I181" s="82"/>
      <c r="J181" s="88"/>
      <c r="K181" s="89"/>
      <c r="L181" s="88"/>
      <c r="M181" s="89"/>
      <c r="N181" s="80"/>
      <c r="O181" s="82"/>
      <c r="P181" s="94"/>
      <c r="Q181" s="95"/>
      <c r="S181" s="99"/>
      <c r="T181" s="99"/>
      <c r="U181" s="99"/>
      <c r="V181" s="99"/>
      <c r="W181" s="99"/>
      <c r="X181" s="99"/>
      <c r="Y181" s="99"/>
      <c r="Z181" s="99"/>
      <c r="AA181" s="99"/>
      <c r="AB181" s="99"/>
      <c r="AC181" s="98"/>
      <c r="AD181" s="98"/>
      <c r="AE181" s="98"/>
      <c r="AF181" s="98"/>
      <c r="AG181" s="98"/>
      <c r="AH181" s="98"/>
    </row>
    <row r="182" spans="2:34" x14ac:dyDescent="0.25">
      <c r="B182" s="75"/>
      <c r="C182" s="76"/>
      <c r="D182" s="83"/>
      <c r="E182" s="84"/>
      <c r="F182" s="84"/>
      <c r="G182" s="84"/>
      <c r="H182" s="84"/>
      <c r="I182" s="85"/>
      <c r="J182" s="90"/>
      <c r="K182" s="91"/>
      <c r="L182" s="90"/>
      <c r="M182" s="91"/>
      <c r="N182" s="83"/>
      <c r="O182" s="85"/>
      <c r="P182" s="96"/>
      <c r="Q182" s="97"/>
      <c r="S182" s="99"/>
      <c r="T182" s="99"/>
      <c r="U182" s="99"/>
      <c r="V182" s="99"/>
      <c r="W182" s="99"/>
      <c r="X182" s="99"/>
      <c r="Y182" s="99"/>
      <c r="Z182" s="99"/>
      <c r="AA182" s="99"/>
      <c r="AB182" s="99"/>
      <c r="AC182" s="98"/>
      <c r="AD182" s="98"/>
      <c r="AE182" s="98"/>
      <c r="AF182" s="98"/>
      <c r="AG182" s="98"/>
      <c r="AH182" s="98"/>
    </row>
    <row r="183" spans="2:34" x14ac:dyDescent="0.25">
      <c r="B183" s="71"/>
      <c r="C183" s="72"/>
      <c r="D183" s="77"/>
      <c r="E183" s="78"/>
      <c r="F183" s="78"/>
      <c r="G183" s="78"/>
      <c r="H183" s="78"/>
      <c r="I183" s="79"/>
      <c r="J183" s="86"/>
      <c r="K183" s="87"/>
      <c r="L183" s="86"/>
      <c r="M183" s="87"/>
      <c r="N183" s="77"/>
      <c r="O183" s="79"/>
      <c r="P183" s="92"/>
      <c r="Q183" s="93"/>
      <c r="S183" s="99"/>
      <c r="T183" s="99"/>
      <c r="U183" s="99"/>
      <c r="V183" s="99"/>
      <c r="W183" s="99"/>
      <c r="X183" s="99"/>
      <c r="Y183" s="99"/>
      <c r="Z183" s="99"/>
      <c r="AA183" s="99"/>
      <c r="AB183" s="99"/>
      <c r="AC183" s="98"/>
      <c r="AD183" s="98"/>
      <c r="AE183" s="98"/>
      <c r="AF183" s="98"/>
      <c r="AG183" s="98"/>
      <c r="AH183" s="98"/>
    </row>
    <row r="184" spans="2:34" x14ac:dyDescent="0.25">
      <c r="B184" s="73"/>
      <c r="C184" s="74"/>
      <c r="D184" s="80"/>
      <c r="E184" s="81"/>
      <c r="F184" s="81"/>
      <c r="G184" s="81"/>
      <c r="H184" s="81"/>
      <c r="I184" s="82"/>
      <c r="J184" s="88"/>
      <c r="K184" s="89"/>
      <c r="L184" s="88"/>
      <c r="M184" s="89"/>
      <c r="N184" s="80"/>
      <c r="O184" s="82"/>
      <c r="P184" s="94"/>
      <c r="Q184" s="95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8"/>
      <c r="AD184" s="98"/>
      <c r="AE184" s="98"/>
      <c r="AF184" s="98"/>
      <c r="AG184" s="98"/>
      <c r="AH184" s="98"/>
    </row>
    <row r="185" spans="2:34" x14ac:dyDescent="0.25">
      <c r="B185" s="75"/>
      <c r="C185" s="76"/>
      <c r="D185" s="83"/>
      <c r="E185" s="84"/>
      <c r="F185" s="84"/>
      <c r="G185" s="84"/>
      <c r="H185" s="84"/>
      <c r="I185" s="85"/>
      <c r="J185" s="90"/>
      <c r="K185" s="91"/>
      <c r="L185" s="90"/>
      <c r="M185" s="91"/>
      <c r="N185" s="83"/>
      <c r="O185" s="85"/>
      <c r="P185" s="96"/>
      <c r="Q185" s="97"/>
      <c r="S185" s="99"/>
      <c r="T185" s="99"/>
      <c r="U185" s="99"/>
      <c r="V185" s="99"/>
      <c r="W185" s="99"/>
      <c r="X185" s="99"/>
      <c r="Y185" s="99"/>
      <c r="Z185" s="99"/>
      <c r="AA185" s="99"/>
      <c r="AB185" s="99"/>
      <c r="AC185" s="98"/>
      <c r="AD185" s="98"/>
      <c r="AE185" s="98"/>
      <c r="AF185" s="98"/>
      <c r="AG185" s="98"/>
      <c r="AH185" s="98"/>
    </row>
    <row r="186" spans="2:34" x14ac:dyDescent="0.25">
      <c r="B186" s="71"/>
      <c r="C186" s="72"/>
      <c r="D186" s="77"/>
      <c r="E186" s="78"/>
      <c r="F186" s="78"/>
      <c r="G186" s="78"/>
      <c r="H186" s="78"/>
      <c r="I186" s="79"/>
      <c r="J186" s="86"/>
      <c r="K186" s="87"/>
      <c r="L186" s="86"/>
      <c r="M186" s="87"/>
      <c r="N186" s="77"/>
      <c r="O186" s="79"/>
      <c r="P186" s="92"/>
      <c r="Q186" s="93"/>
      <c r="S186" s="99"/>
      <c r="T186" s="99"/>
      <c r="U186" s="99"/>
      <c r="V186" s="99"/>
      <c r="W186" s="99"/>
      <c r="X186" s="99"/>
      <c r="Y186" s="99"/>
      <c r="Z186" s="99"/>
      <c r="AA186" s="99"/>
      <c r="AB186" s="99"/>
      <c r="AC186" s="98"/>
      <c r="AD186" s="98"/>
      <c r="AE186" s="98"/>
      <c r="AF186" s="98"/>
      <c r="AG186" s="98"/>
      <c r="AH186" s="98"/>
    </row>
    <row r="187" spans="2:34" x14ac:dyDescent="0.25">
      <c r="B187" s="73"/>
      <c r="C187" s="74"/>
      <c r="D187" s="80"/>
      <c r="E187" s="81"/>
      <c r="F187" s="81"/>
      <c r="G187" s="81"/>
      <c r="H187" s="81"/>
      <c r="I187" s="82"/>
      <c r="J187" s="88"/>
      <c r="K187" s="89"/>
      <c r="L187" s="88"/>
      <c r="M187" s="89"/>
      <c r="N187" s="80"/>
      <c r="O187" s="82"/>
      <c r="P187" s="94"/>
      <c r="Q187" s="95"/>
      <c r="S187" s="99"/>
      <c r="T187" s="99"/>
      <c r="U187" s="99"/>
      <c r="V187" s="99"/>
      <c r="W187" s="99"/>
      <c r="X187" s="99"/>
      <c r="Y187" s="99"/>
      <c r="Z187" s="99"/>
      <c r="AA187" s="99"/>
      <c r="AB187" s="99"/>
      <c r="AC187" s="98"/>
      <c r="AD187" s="98"/>
      <c r="AE187" s="98"/>
      <c r="AF187" s="98"/>
      <c r="AG187" s="98"/>
      <c r="AH187" s="98"/>
    </row>
    <row r="188" spans="2:34" x14ac:dyDescent="0.25">
      <c r="B188" s="75"/>
      <c r="C188" s="76"/>
      <c r="D188" s="83"/>
      <c r="E188" s="84"/>
      <c r="F188" s="84"/>
      <c r="G188" s="84"/>
      <c r="H188" s="84"/>
      <c r="I188" s="85"/>
      <c r="J188" s="90"/>
      <c r="K188" s="91"/>
      <c r="L188" s="90"/>
      <c r="M188" s="91"/>
      <c r="N188" s="83"/>
      <c r="O188" s="85"/>
      <c r="P188" s="96"/>
      <c r="Q188" s="97"/>
      <c r="S188" s="99"/>
      <c r="T188" s="99"/>
      <c r="U188" s="99"/>
      <c r="V188" s="99"/>
      <c r="W188" s="99"/>
      <c r="X188" s="99"/>
      <c r="Y188" s="99"/>
      <c r="Z188" s="99"/>
      <c r="AA188" s="99"/>
      <c r="AB188" s="99"/>
      <c r="AC188" s="98"/>
      <c r="AD188" s="98"/>
      <c r="AE188" s="98"/>
      <c r="AF188" s="98"/>
      <c r="AG188" s="98"/>
      <c r="AH188" s="98"/>
    </row>
    <row r="189" spans="2:34" x14ac:dyDescent="0.25">
      <c r="B189" s="71"/>
      <c r="C189" s="72"/>
      <c r="D189" s="77"/>
      <c r="E189" s="78"/>
      <c r="F189" s="78"/>
      <c r="G189" s="78"/>
      <c r="H189" s="78"/>
      <c r="I189" s="79"/>
      <c r="J189" s="86"/>
      <c r="K189" s="87"/>
      <c r="L189" s="86"/>
      <c r="M189" s="87"/>
      <c r="N189" s="77"/>
      <c r="O189" s="79"/>
      <c r="P189" s="92"/>
      <c r="Q189" s="93"/>
      <c r="S189" s="99"/>
      <c r="T189" s="99"/>
      <c r="U189" s="99"/>
      <c r="V189" s="99"/>
      <c r="W189" s="99"/>
      <c r="X189" s="99"/>
      <c r="Y189" s="99"/>
      <c r="Z189" s="99"/>
      <c r="AA189" s="99"/>
      <c r="AB189" s="99"/>
      <c r="AC189" s="98"/>
      <c r="AD189" s="98"/>
      <c r="AE189" s="98"/>
      <c r="AF189" s="98"/>
      <c r="AG189" s="98"/>
      <c r="AH189" s="98"/>
    </row>
    <row r="190" spans="2:34" x14ac:dyDescent="0.25">
      <c r="B190" s="73"/>
      <c r="C190" s="74"/>
      <c r="D190" s="80"/>
      <c r="E190" s="81"/>
      <c r="F190" s="81"/>
      <c r="G190" s="81"/>
      <c r="H190" s="81"/>
      <c r="I190" s="82"/>
      <c r="J190" s="88"/>
      <c r="K190" s="89"/>
      <c r="L190" s="88"/>
      <c r="M190" s="89"/>
      <c r="N190" s="80"/>
      <c r="O190" s="82"/>
      <c r="P190" s="94"/>
      <c r="Q190" s="95"/>
      <c r="S190" s="99"/>
      <c r="T190" s="99"/>
      <c r="U190" s="99"/>
      <c r="V190" s="99"/>
      <c r="W190" s="99"/>
      <c r="X190" s="99"/>
      <c r="Y190" s="99"/>
      <c r="Z190" s="99"/>
      <c r="AA190" s="99"/>
      <c r="AB190" s="99"/>
      <c r="AC190" s="98"/>
      <c r="AD190" s="98"/>
      <c r="AE190" s="98"/>
      <c r="AF190" s="98"/>
      <c r="AG190" s="98"/>
      <c r="AH190" s="98"/>
    </row>
    <row r="191" spans="2:34" x14ac:dyDescent="0.25">
      <c r="B191" s="75"/>
      <c r="C191" s="76"/>
      <c r="D191" s="83"/>
      <c r="E191" s="84"/>
      <c r="F191" s="84"/>
      <c r="G191" s="84"/>
      <c r="H191" s="84"/>
      <c r="I191" s="85"/>
      <c r="J191" s="90"/>
      <c r="K191" s="91"/>
      <c r="L191" s="90"/>
      <c r="M191" s="91"/>
      <c r="N191" s="83"/>
      <c r="O191" s="85"/>
      <c r="P191" s="96"/>
      <c r="Q191" s="97"/>
      <c r="S191" s="99"/>
      <c r="T191" s="99"/>
      <c r="U191" s="99"/>
      <c r="V191" s="99"/>
      <c r="W191" s="99"/>
      <c r="X191" s="99"/>
      <c r="Y191" s="99"/>
      <c r="Z191" s="99"/>
      <c r="AA191" s="99"/>
      <c r="AB191" s="99"/>
      <c r="AC191" s="98"/>
      <c r="AD191" s="98"/>
      <c r="AE191" s="98"/>
      <c r="AF191" s="98"/>
      <c r="AG191" s="98"/>
      <c r="AH191" s="98"/>
    </row>
    <row r="192" spans="2:34" x14ac:dyDescent="0.25">
      <c r="B192" s="71"/>
      <c r="C192" s="72"/>
      <c r="D192" s="77"/>
      <c r="E192" s="78"/>
      <c r="F192" s="78"/>
      <c r="G192" s="78"/>
      <c r="H192" s="78"/>
      <c r="I192" s="79"/>
      <c r="J192" s="86"/>
      <c r="K192" s="87"/>
      <c r="L192" s="86"/>
      <c r="M192" s="87"/>
      <c r="N192" s="77"/>
      <c r="O192" s="79"/>
      <c r="P192" s="92"/>
      <c r="Q192" s="93"/>
      <c r="S192" s="99"/>
      <c r="T192" s="99"/>
      <c r="U192" s="99"/>
      <c r="V192" s="99"/>
      <c r="W192" s="99"/>
      <c r="X192" s="99"/>
      <c r="Y192" s="99"/>
      <c r="Z192" s="99"/>
      <c r="AA192" s="99"/>
      <c r="AB192" s="99"/>
      <c r="AC192" s="98"/>
      <c r="AD192" s="98"/>
      <c r="AE192" s="98"/>
      <c r="AF192" s="98"/>
      <c r="AG192" s="98"/>
      <c r="AH192" s="98"/>
    </row>
    <row r="193" spans="2:34" x14ac:dyDescent="0.25">
      <c r="B193" s="73"/>
      <c r="C193" s="74"/>
      <c r="D193" s="80"/>
      <c r="E193" s="81"/>
      <c r="F193" s="81"/>
      <c r="G193" s="81"/>
      <c r="H193" s="81"/>
      <c r="I193" s="82"/>
      <c r="J193" s="88"/>
      <c r="K193" s="89"/>
      <c r="L193" s="88"/>
      <c r="M193" s="89"/>
      <c r="N193" s="80"/>
      <c r="O193" s="82"/>
      <c r="P193" s="94"/>
      <c r="Q193" s="95"/>
      <c r="S193" s="99"/>
      <c r="T193" s="99"/>
      <c r="U193" s="99"/>
      <c r="V193" s="99"/>
      <c r="W193" s="99"/>
      <c r="X193" s="99"/>
      <c r="Y193" s="99"/>
      <c r="Z193" s="99"/>
      <c r="AA193" s="99"/>
      <c r="AB193" s="99"/>
      <c r="AC193" s="98"/>
      <c r="AD193" s="98"/>
      <c r="AE193" s="98"/>
      <c r="AF193" s="98"/>
      <c r="AG193" s="98"/>
      <c r="AH193" s="98"/>
    </row>
    <row r="194" spans="2:34" x14ac:dyDescent="0.25">
      <c r="B194" s="75"/>
      <c r="C194" s="76"/>
      <c r="D194" s="83"/>
      <c r="E194" s="84"/>
      <c r="F194" s="84"/>
      <c r="G194" s="84"/>
      <c r="H194" s="84"/>
      <c r="I194" s="85"/>
      <c r="J194" s="90"/>
      <c r="K194" s="91"/>
      <c r="L194" s="90"/>
      <c r="M194" s="91"/>
      <c r="N194" s="83"/>
      <c r="O194" s="85"/>
      <c r="P194" s="96"/>
      <c r="Q194" s="97"/>
      <c r="S194" s="99"/>
      <c r="T194" s="99"/>
      <c r="U194" s="99"/>
      <c r="V194" s="99"/>
      <c r="W194" s="99"/>
      <c r="X194" s="99"/>
      <c r="Y194" s="99"/>
      <c r="Z194" s="99"/>
      <c r="AA194" s="99"/>
      <c r="AB194" s="99"/>
      <c r="AC194" s="98"/>
      <c r="AD194" s="98"/>
      <c r="AE194" s="98"/>
      <c r="AF194" s="98"/>
      <c r="AG194" s="98"/>
      <c r="AH194" s="98"/>
    </row>
    <row r="195" spans="2:34" x14ac:dyDescent="0.25">
      <c r="B195" s="71"/>
      <c r="C195" s="72"/>
      <c r="D195" s="77"/>
      <c r="E195" s="78"/>
      <c r="F195" s="78"/>
      <c r="G195" s="78"/>
      <c r="H195" s="78"/>
      <c r="I195" s="79"/>
      <c r="J195" s="86"/>
      <c r="K195" s="87"/>
      <c r="L195" s="86"/>
      <c r="M195" s="87"/>
      <c r="N195" s="77"/>
      <c r="O195" s="79"/>
      <c r="P195" s="92"/>
      <c r="Q195" s="93"/>
      <c r="S195" s="99"/>
      <c r="T195" s="99"/>
      <c r="U195" s="99"/>
      <c r="V195" s="99"/>
      <c r="W195" s="99"/>
      <c r="X195" s="99"/>
      <c r="Y195" s="99"/>
      <c r="Z195" s="99"/>
      <c r="AA195" s="99"/>
      <c r="AB195" s="99"/>
      <c r="AC195" s="98"/>
      <c r="AD195" s="98"/>
      <c r="AE195" s="98"/>
      <c r="AF195" s="98"/>
      <c r="AG195" s="98"/>
      <c r="AH195" s="98"/>
    </row>
    <row r="196" spans="2:34" x14ac:dyDescent="0.25">
      <c r="B196" s="73"/>
      <c r="C196" s="74"/>
      <c r="D196" s="80"/>
      <c r="E196" s="81"/>
      <c r="F196" s="81"/>
      <c r="G196" s="81"/>
      <c r="H196" s="81"/>
      <c r="I196" s="82"/>
      <c r="J196" s="88"/>
      <c r="K196" s="89"/>
      <c r="L196" s="88"/>
      <c r="M196" s="89"/>
      <c r="N196" s="80"/>
      <c r="O196" s="82"/>
      <c r="P196" s="94"/>
      <c r="Q196" s="95"/>
      <c r="S196" s="99"/>
      <c r="T196" s="99"/>
      <c r="U196" s="99"/>
      <c r="V196" s="99"/>
      <c r="W196" s="99"/>
      <c r="X196" s="99"/>
      <c r="Y196" s="99"/>
      <c r="Z196" s="99"/>
      <c r="AA196" s="99"/>
      <c r="AB196" s="99"/>
      <c r="AC196" s="98"/>
      <c r="AD196" s="98"/>
      <c r="AE196" s="98"/>
      <c r="AF196" s="98"/>
      <c r="AG196" s="98"/>
      <c r="AH196" s="98"/>
    </row>
    <row r="197" spans="2:34" x14ac:dyDescent="0.25">
      <c r="B197" s="75"/>
      <c r="C197" s="76"/>
      <c r="D197" s="83"/>
      <c r="E197" s="84"/>
      <c r="F197" s="84"/>
      <c r="G197" s="84"/>
      <c r="H197" s="84"/>
      <c r="I197" s="85"/>
      <c r="J197" s="90"/>
      <c r="K197" s="91"/>
      <c r="L197" s="90"/>
      <c r="M197" s="91"/>
      <c r="N197" s="83"/>
      <c r="O197" s="85"/>
      <c r="P197" s="96"/>
      <c r="Q197" s="97"/>
      <c r="S197" s="99"/>
      <c r="T197" s="99"/>
      <c r="U197" s="99"/>
      <c r="V197" s="99"/>
      <c r="W197" s="99"/>
      <c r="X197" s="99"/>
      <c r="Y197" s="99"/>
      <c r="Z197" s="99"/>
      <c r="AA197" s="99"/>
      <c r="AB197" s="99"/>
      <c r="AC197" s="98"/>
      <c r="AD197" s="98"/>
      <c r="AE197" s="98"/>
      <c r="AF197" s="98"/>
      <c r="AG197" s="98"/>
      <c r="AH197" s="98"/>
    </row>
    <row r="198" spans="2:34" x14ac:dyDescent="0.25">
      <c r="B198" s="71"/>
      <c r="C198" s="72"/>
      <c r="D198" s="77"/>
      <c r="E198" s="78"/>
      <c r="F198" s="78"/>
      <c r="G198" s="78"/>
      <c r="H198" s="78"/>
      <c r="I198" s="79"/>
      <c r="J198" s="86"/>
      <c r="K198" s="87"/>
      <c r="L198" s="86"/>
      <c r="M198" s="87"/>
      <c r="N198" s="77"/>
      <c r="O198" s="79"/>
      <c r="P198" s="92"/>
      <c r="Q198" s="93"/>
      <c r="S198" s="99"/>
      <c r="T198" s="99"/>
      <c r="U198" s="99"/>
      <c r="V198" s="99"/>
      <c r="W198" s="99"/>
      <c r="X198" s="99"/>
      <c r="Y198" s="99"/>
      <c r="Z198" s="99"/>
      <c r="AA198" s="99"/>
      <c r="AB198" s="99"/>
      <c r="AC198" s="98"/>
      <c r="AD198" s="98"/>
      <c r="AE198" s="98"/>
      <c r="AF198" s="98"/>
      <c r="AG198" s="98"/>
      <c r="AH198" s="98"/>
    </row>
    <row r="199" spans="2:34" x14ac:dyDescent="0.25">
      <c r="B199" s="73"/>
      <c r="C199" s="74"/>
      <c r="D199" s="80"/>
      <c r="E199" s="81"/>
      <c r="F199" s="81"/>
      <c r="G199" s="81"/>
      <c r="H199" s="81"/>
      <c r="I199" s="82"/>
      <c r="J199" s="88"/>
      <c r="K199" s="89"/>
      <c r="L199" s="88"/>
      <c r="M199" s="89"/>
      <c r="N199" s="80"/>
      <c r="O199" s="82"/>
      <c r="P199" s="94"/>
      <c r="Q199" s="95"/>
      <c r="S199" s="99"/>
      <c r="T199" s="99"/>
      <c r="U199" s="99"/>
      <c r="V199" s="99"/>
      <c r="W199" s="99"/>
      <c r="X199" s="99"/>
      <c r="Y199" s="99"/>
      <c r="Z199" s="99"/>
      <c r="AA199" s="99"/>
      <c r="AB199" s="99"/>
      <c r="AC199" s="98"/>
      <c r="AD199" s="98"/>
      <c r="AE199" s="98"/>
      <c r="AF199" s="98"/>
      <c r="AG199" s="98"/>
      <c r="AH199" s="98"/>
    </row>
    <row r="200" spans="2:34" x14ac:dyDescent="0.25">
      <c r="B200" s="75"/>
      <c r="C200" s="76"/>
      <c r="D200" s="83"/>
      <c r="E200" s="84"/>
      <c r="F200" s="84"/>
      <c r="G200" s="84"/>
      <c r="H200" s="84"/>
      <c r="I200" s="85"/>
      <c r="J200" s="90"/>
      <c r="K200" s="91"/>
      <c r="L200" s="90"/>
      <c r="M200" s="91"/>
      <c r="N200" s="83"/>
      <c r="O200" s="85"/>
      <c r="P200" s="96"/>
      <c r="Q200" s="97"/>
      <c r="S200" s="99"/>
      <c r="T200" s="99"/>
      <c r="U200" s="99"/>
      <c r="V200" s="99"/>
      <c r="W200" s="99"/>
      <c r="X200" s="99"/>
      <c r="Y200" s="99"/>
      <c r="Z200" s="99"/>
      <c r="AA200" s="99"/>
      <c r="AB200" s="99"/>
      <c r="AC200" s="98"/>
      <c r="AD200" s="98"/>
      <c r="AE200" s="98"/>
      <c r="AF200" s="98"/>
      <c r="AG200" s="98"/>
      <c r="AH200" s="98"/>
    </row>
    <row r="201" spans="2:34" x14ac:dyDescent="0.25">
      <c r="B201" s="71"/>
      <c r="C201" s="72"/>
      <c r="D201" s="77"/>
      <c r="E201" s="78"/>
      <c r="F201" s="78"/>
      <c r="G201" s="78"/>
      <c r="H201" s="78"/>
      <c r="I201" s="79"/>
      <c r="J201" s="86"/>
      <c r="K201" s="87"/>
      <c r="L201" s="86"/>
      <c r="M201" s="87"/>
      <c r="N201" s="77"/>
      <c r="O201" s="79"/>
      <c r="P201" s="92"/>
      <c r="Q201" s="93"/>
      <c r="S201" s="99"/>
      <c r="T201" s="99"/>
      <c r="U201" s="99"/>
      <c r="V201" s="99"/>
      <c r="W201" s="99"/>
      <c r="X201" s="99"/>
      <c r="Y201" s="99"/>
      <c r="Z201" s="99"/>
      <c r="AA201" s="99"/>
      <c r="AB201" s="99"/>
      <c r="AC201" s="98"/>
      <c r="AD201" s="98"/>
      <c r="AE201" s="98"/>
      <c r="AF201" s="98"/>
      <c r="AG201" s="98"/>
      <c r="AH201" s="98"/>
    </row>
    <row r="202" spans="2:34" x14ac:dyDescent="0.25">
      <c r="B202" s="73"/>
      <c r="C202" s="74"/>
      <c r="D202" s="80"/>
      <c r="E202" s="81"/>
      <c r="F202" s="81"/>
      <c r="G202" s="81"/>
      <c r="H202" s="81"/>
      <c r="I202" s="82"/>
      <c r="J202" s="88"/>
      <c r="K202" s="89"/>
      <c r="L202" s="88"/>
      <c r="M202" s="89"/>
      <c r="N202" s="80"/>
      <c r="O202" s="82"/>
      <c r="P202" s="94"/>
      <c r="Q202" s="95"/>
      <c r="S202" s="99"/>
      <c r="T202" s="99"/>
      <c r="U202" s="99"/>
      <c r="V202" s="99"/>
      <c r="W202" s="99"/>
      <c r="X202" s="99"/>
      <c r="Y202" s="99"/>
      <c r="Z202" s="99"/>
      <c r="AA202" s="99"/>
      <c r="AB202" s="99"/>
      <c r="AC202" s="98"/>
      <c r="AD202" s="98"/>
      <c r="AE202" s="98"/>
      <c r="AF202" s="98"/>
      <c r="AG202" s="98"/>
      <c r="AH202" s="98"/>
    </row>
    <row r="203" spans="2:34" x14ac:dyDescent="0.25">
      <c r="B203" s="75"/>
      <c r="C203" s="76"/>
      <c r="D203" s="83"/>
      <c r="E203" s="84"/>
      <c r="F203" s="84"/>
      <c r="G203" s="84"/>
      <c r="H203" s="84"/>
      <c r="I203" s="85"/>
      <c r="J203" s="90"/>
      <c r="K203" s="91"/>
      <c r="L203" s="90"/>
      <c r="M203" s="91"/>
      <c r="N203" s="83"/>
      <c r="O203" s="85"/>
      <c r="P203" s="96"/>
      <c r="Q203" s="97"/>
      <c r="S203" s="99"/>
      <c r="T203" s="99"/>
      <c r="U203" s="99"/>
      <c r="V203" s="99"/>
      <c r="W203" s="99"/>
      <c r="X203" s="99"/>
      <c r="Y203" s="99"/>
      <c r="Z203" s="99"/>
      <c r="AA203" s="99"/>
      <c r="AB203" s="99"/>
      <c r="AC203" s="98"/>
      <c r="AD203" s="98"/>
      <c r="AE203" s="98"/>
      <c r="AF203" s="98"/>
      <c r="AG203" s="98"/>
      <c r="AH203" s="98"/>
    </row>
    <row r="204" spans="2:34" x14ac:dyDescent="0.25">
      <c r="B204" s="71"/>
      <c r="C204" s="72"/>
      <c r="D204" s="77"/>
      <c r="E204" s="78"/>
      <c r="F204" s="78"/>
      <c r="G204" s="78"/>
      <c r="H204" s="78"/>
      <c r="I204" s="79"/>
      <c r="J204" s="86"/>
      <c r="K204" s="87"/>
      <c r="L204" s="86"/>
      <c r="M204" s="87"/>
      <c r="N204" s="77"/>
      <c r="O204" s="79"/>
      <c r="P204" s="92"/>
      <c r="Q204" s="93"/>
      <c r="S204" s="99"/>
      <c r="T204" s="99"/>
      <c r="U204" s="99"/>
      <c r="V204" s="99"/>
      <c r="W204" s="99"/>
      <c r="X204" s="99"/>
      <c r="Y204" s="99"/>
      <c r="Z204" s="99"/>
      <c r="AA204" s="99"/>
      <c r="AB204" s="99"/>
      <c r="AC204" s="98"/>
      <c r="AD204" s="98"/>
      <c r="AE204" s="98"/>
      <c r="AF204" s="98"/>
      <c r="AG204" s="98"/>
      <c r="AH204" s="98"/>
    </row>
    <row r="205" spans="2:34" x14ac:dyDescent="0.25">
      <c r="B205" s="73"/>
      <c r="C205" s="74"/>
      <c r="D205" s="80"/>
      <c r="E205" s="81"/>
      <c r="F205" s="81"/>
      <c r="G205" s="81"/>
      <c r="H205" s="81"/>
      <c r="I205" s="82"/>
      <c r="J205" s="88"/>
      <c r="K205" s="89"/>
      <c r="L205" s="88"/>
      <c r="M205" s="89"/>
      <c r="N205" s="80"/>
      <c r="O205" s="82"/>
      <c r="P205" s="94"/>
      <c r="Q205" s="95"/>
      <c r="S205" s="99"/>
      <c r="T205" s="99"/>
      <c r="U205" s="99"/>
      <c r="V205" s="99"/>
      <c r="W205" s="99"/>
      <c r="X205" s="99"/>
      <c r="Y205" s="99"/>
      <c r="Z205" s="99"/>
      <c r="AA205" s="99"/>
      <c r="AB205" s="99"/>
      <c r="AC205" s="98"/>
      <c r="AD205" s="98"/>
      <c r="AE205" s="98"/>
      <c r="AF205" s="98"/>
      <c r="AG205" s="98"/>
      <c r="AH205" s="98"/>
    </row>
    <row r="206" spans="2:34" x14ac:dyDescent="0.25">
      <c r="B206" s="75"/>
      <c r="C206" s="76"/>
      <c r="D206" s="83"/>
      <c r="E206" s="84"/>
      <c r="F206" s="84"/>
      <c r="G206" s="84"/>
      <c r="H206" s="84"/>
      <c r="I206" s="85"/>
      <c r="J206" s="90"/>
      <c r="K206" s="91"/>
      <c r="L206" s="90"/>
      <c r="M206" s="91"/>
      <c r="N206" s="83"/>
      <c r="O206" s="85"/>
      <c r="P206" s="96"/>
      <c r="Q206" s="97"/>
      <c r="S206" s="99"/>
      <c r="T206" s="99"/>
      <c r="U206" s="99"/>
      <c r="V206" s="99"/>
      <c r="W206" s="99"/>
      <c r="X206" s="99"/>
      <c r="Y206" s="99"/>
      <c r="Z206" s="99"/>
      <c r="AA206" s="99"/>
      <c r="AB206" s="99"/>
      <c r="AC206" s="98"/>
      <c r="AD206" s="98"/>
      <c r="AE206" s="98"/>
      <c r="AF206" s="98"/>
      <c r="AG206" s="98"/>
      <c r="AH206" s="98"/>
    </row>
    <row r="207" spans="2:34" x14ac:dyDescent="0.25">
      <c r="B207" s="71"/>
      <c r="C207" s="72"/>
      <c r="D207" s="77"/>
      <c r="E207" s="78"/>
      <c r="F207" s="78"/>
      <c r="G207" s="78"/>
      <c r="H207" s="78"/>
      <c r="I207" s="79"/>
      <c r="J207" s="86"/>
      <c r="K207" s="87"/>
      <c r="L207" s="86"/>
      <c r="M207" s="87"/>
      <c r="N207" s="77"/>
      <c r="O207" s="79"/>
      <c r="P207" s="92"/>
      <c r="Q207" s="93"/>
      <c r="S207" s="99"/>
      <c r="T207" s="99"/>
      <c r="U207" s="99"/>
      <c r="V207" s="99"/>
      <c r="W207" s="99"/>
      <c r="X207" s="99"/>
      <c r="Y207" s="99"/>
      <c r="Z207" s="99"/>
      <c r="AA207" s="99"/>
      <c r="AB207" s="99"/>
      <c r="AC207" s="98"/>
      <c r="AD207" s="98"/>
      <c r="AE207" s="98"/>
      <c r="AF207" s="98"/>
      <c r="AG207" s="98"/>
      <c r="AH207" s="98"/>
    </row>
    <row r="208" spans="2:34" x14ac:dyDescent="0.25">
      <c r="B208" s="73"/>
      <c r="C208" s="74"/>
      <c r="D208" s="80"/>
      <c r="E208" s="81"/>
      <c r="F208" s="81"/>
      <c r="G208" s="81"/>
      <c r="H208" s="81"/>
      <c r="I208" s="82"/>
      <c r="J208" s="88"/>
      <c r="K208" s="89"/>
      <c r="L208" s="88"/>
      <c r="M208" s="89"/>
      <c r="N208" s="80"/>
      <c r="O208" s="82"/>
      <c r="P208" s="94"/>
      <c r="Q208" s="95"/>
      <c r="S208" s="99"/>
      <c r="T208" s="99"/>
      <c r="U208" s="99"/>
      <c r="V208" s="99"/>
      <c r="W208" s="99"/>
      <c r="X208" s="99"/>
      <c r="Y208" s="99"/>
      <c r="Z208" s="99"/>
      <c r="AA208" s="99"/>
      <c r="AB208" s="99"/>
      <c r="AC208" s="98"/>
      <c r="AD208" s="98"/>
      <c r="AE208" s="98"/>
      <c r="AF208" s="98"/>
      <c r="AG208" s="98"/>
      <c r="AH208" s="98"/>
    </row>
    <row r="209" spans="2:34" x14ac:dyDescent="0.25">
      <c r="B209" s="75"/>
      <c r="C209" s="76"/>
      <c r="D209" s="83"/>
      <c r="E209" s="84"/>
      <c r="F209" s="84"/>
      <c r="G209" s="84"/>
      <c r="H209" s="84"/>
      <c r="I209" s="85"/>
      <c r="J209" s="90"/>
      <c r="K209" s="91"/>
      <c r="L209" s="90"/>
      <c r="M209" s="91"/>
      <c r="N209" s="83"/>
      <c r="O209" s="85"/>
      <c r="P209" s="96"/>
      <c r="Q209" s="97"/>
      <c r="S209" s="99"/>
      <c r="T209" s="99"/>
      <c r="U209" s="99"/>
      <c r="V209" s="99"/>
      <c r="W209" s="99"/>
      <c r="X209" s="99"/>
      <c r="Y209" s="99"/>
      <c r="Z209" s="99"/>
      <c r="AA209" s="99"/>
      <c r="AB209" s="99"/>
      <c r="AC209" s="98"/>
      <c r="AD209" s="98"/>
      <c r="AE209" s="98"/>
      <c r="AF209" s="98"/>
      <c r="AG209" s="98"/>
      <c r="AH209" s="98"/>
    </row>
    <row r="210" spans="2:34" x14ac:dyDescent="0.25">
      <c r="B210" s="71"/>
      <c r="C210" s="72"/>
      <c r="D210" s="77"/>
      <c r="E210" s="78"/>
      <c r="F210" s="78"/>
      <c r="G210" s="78"/>
      <c r="H210" s="78"/>
      <c r="I210" s="79"/>
      <c r="J210" s="86"/>
      <c r="K210" s="87"/>
      <c r="L210" s="86"/>
      <c r="M210" s="87"/>
      <c r="N210" s="77"/>
      <c r="O210" s="79"/>
      <c r="P210" s="92"/>
      <c r="Q210" s="93"/>
      <c r="S210" s="99"/>
      <c r="T210" s="99"/>
      <c r="U210" s="99"/>
      <c r="V210" s="99"/>
      <c r="W210" s="99"/>
      <c r="X210" s="99"/>
      <c r="Y210" s="99"/>
      <c r="Z210" s="99"/>
      <c r="AA210" s="99"/>
      <c r="AB210" s="99"/>
      <c r="AC210" s="98"/>
      <c r="AD210" s="98"/>
      <c r="AE210" s="98"/>
      <c r="AF210" s="98"/>
      <c r="AG210" s="98"/>
      <c r="AH210" s="98"/>
    </row>
    <row r="211" spans="2:34" x14ac:dyDescent="0.25">
      <c r="B211" s="73"/>
      <c r="C211" s="74"/>
      <c r="D211" s="80"/>
      <c r="E211" s="81"/>
      <c r="F211" s="81"/>
      <c r="G211" s="81"/>
      <c r="H211" s="81"/>
      <c r="I211" s="82"/>
      <c r="J211" s="88"/>
      <c r="K211" s="89"/>
      <c r="L211" s="88"/>
      <c r="M211" s="89"/>
      <c r="N211" s="80"/>
      <c r="O211" s="82"/>
      <c r="P211" s="94"/>
      <c r="Q211" s="95"/>
      <c r="S211" s="99"/>
      <c r="T211" s="99"/>
      <c r="U211" s="99"/>
      <c r="V211" s="99"/>
      <c r="W211" s="99"/>
      <c r="X211" s="99"/>
      <c r="Y211" s="99"/>
      <c r="Z211" s="99"/>
      <c r="AA211" s="99"/>
      <c r="AB211" s="99"/>
      <c r="AC211" s="98"/>
      <c r="AD211" s="98"/>
      <c r="AE211" s="98"/>
      <c r="AF211" s="98"/>
      <c r="AG211" s="98"/>
      <c r="AH211" s="98"/>
    </row>
    <row r="212" spans="2:34" x14ac:dyDescent="0.25">
      <c r="B212" s="75"/>
      <c r="C212" s="76"/>
      <c r="D212" s="83"/>
      <c r="E212" s="84"/>
      <c r="F212" s="84"/>
      <c r="G212" s="84"/>
      <c r="H212" s="84"/>
      <c r="I212" s="85"/>
      <c r="J212" s="90"/>
      <c r="K212" s="91"/>
      <c r="L212" s="90"/>
      <c r="M212" s="91"/>
      <c r="N212" s="83"/>
      <c r="O212" s="85"/>
      <c r="P212" s="96"/>
      <c r="Q212" s="97"/>
      <c r="S212" s="99"/>
      <c r="T212" s="99"/>
      <c r="U212" s="99"/>
      <c r="V212" s="99"/>
      <c r="W212" s="99"/>
      <c r="X212" s="99"/>
      <c r="Y212" s="99"/>
      <c r="Z212" s="99"/>
      <c r="AA212" s="99"/>
      <c r="AB212" s="99"/>
      <c r="AC212" s="98"/>
      <c r="AD212" s="98"/>
      <c r="AE212" s="98"/>
      <c r="AF212" s="98"/>
      <c r="AG212" s="98"/>
      <c r="AH212" s="98"/>
    </row>
    <row r="213" spans="2:34" x14ac:dyDescent="0.25">
      <c r="B213" s="71"/>
      <c r="C213" s="72"/>
      <c r="D213" s="77"/>
      <c r="E213" s="78"/>
      <c r="F213" s="78"/>
      <c r="G213" s="78"/>
      <c r="H213" s="78"/>
      <c r="I213" s="79"/>
      <c r="J213" s="86"/>
      <c r="K213" s="87"/>
      <c r="L213" s="86"/>
      <c r="M213" s="87"/>
      <c r="N213" s="77"/>
      <c r="O213" s="79"/>
      <c r="P213" s="92"/>
      <c r="Q213" s="93"/>
      <c r="S213" s="99"/>
      <c r="T213" s="99"/>
      <c r="U213" s="99"/>
      <c r="V213" s="99"/>
      <c r="W213" s="99"/>
      <c r="X213" s="99"/>
      <c r="Y213" s="99"/>
      <c r="Z213" s="99"/>
      <c r="AA213" s="99"/>
      <c r="AB213" s="99"/>
      <c r="AC213" s="98"/>
      <c r="AD213" s="98"/>
      <c r="AE213" s="98"/>
      <c r="AF213" s="98"/>
      <c r="AG213" s="98"/>
      <c r="AH213" s="98"/>
    </row>
    <row r="214" spans="2:34" x14ac:dyDescent="0.25">
      <c r="B214" s="73"/>
      <c r="C214" s="74"/>
      <c r="D214" s="80"/>
      <c r="E214" s="81"/>
      <c r="F214" s="81"/>
      <c r="G214" s="81"/>
      <c r="H214" s="81"/>
      <c r="I214" s="82"/>
      <c r="J214" s="88"/>
      <c r="K214" s="89"/>
      <c r="L214" s="88"/>
      <c r="M214" s="89"/>
      <c r="N214" s="80"/>
      <c r="O214" s="82"/>
      <c r="P214" s="94"/>
      <c r="Q214" s="95"/>
      <c r="S214" s="99"/>
      <c r="T214" s="99"/>
      <c r="U214" s="99"/>
      <c r="V214" s="99"/>
      <c r="W214" s="99"/>
      <c r="X214" s="99"/>
      <c r="Y214" s="99"/>
      <c r="Z214" s="99"/>
      <c r="AA214" s="99"/>
      <c r="AB214" s="99"/>
      <c r="AC214" s="98"/>
      <c r="AD214" s="98"/>
      <c r="AE214" s="98"/>
      <c r="AF214" s="98"/>
      <c r="AG214" s="98"/>
      <c r="AH214" s="98"/>
    </row>
    <row r="215" spans="2:34" x14ac:dyDescent="0.25">
      <c r="B215" s="75"/>
      <c r="C215" s="76"/>
      <c r="D215" s="83"/>
      <c r="E215" s="84"/>
      <c r="F215" s="84"/>
      <c r="G215" s="84"/>
      <c r="H215" s="84"/>
      <c r="I215" s="85"/>
      <c r="J215" s="90"/>
      <c r="K215" s="91"/>
      <c r="L215" s="90"/>
      <c r="M215" s="91"/>
      <c r="N215" s="83"/>
      <c r="O215" s="85"/>
      <c r="P215" s="96"/>
      <c r="Q215" s="97"/>
      <c r="S215" s="99"/>
      <c r="T215" s="99"/>
      <c r="U215" s="99"/>
      <c r="V215" s="99"/>
      <c r="W215" s="99"/>
      <c r="X215" s="99"/>
      <c r="Y215" s="99"/>
      <c r="Z215" s="99"/>
      <c r="AA215" s="99"/>
      <c r="AB215" s="99"/>
      <c r="AC215" s="98"/>
      <c r="AD215" s="98"/>
      <c r="AE215" s="98"/>
      <c r="AF215" s="98"/>
      <c r="AG215" s="98"/>
      <c r="AH215" s="98"/>
    </row>
    <row r="216" spans="2:34" x14ac:dyDescent="0.25">
      <c r="B216" s="71"/>
      <c r="C216" s="72"/>
      <c r="D216" s="77"/>
      <c r="E216" s="78"/>
      <c r="F216" s="78"/>
      <c r="G216" s="78"/>
      <c r="H216" s="78"/>
      <c r="I216" s="79"/>
      <c r="J216" s="86"/>
      <c r="K216" s="87"/>
      <c r="L216" s="86"/>
      <c r="M216" s="87"/>
      <c r="N216" s="77"/>
      <c r="O216" s="79"/>
      <c r="P216" s="92"/>
      <c r="Q216" s="93"/>
      <c r="S216" s="99"/>
      <c r="T216" s="99"/>
      <c r="U216" s="99"/>
      <c r="V216" s="99"/>
      <c r="W216" s="99"/>
      <c r="X216" s="99"/>
      <c r="Y216" s="99"/>
      <c r="Z216" s="99"/>
      <c r="AA216" s="99"/>
      <c r="AB216" s="99"/>
      <c r="AC216" s="98"/>
      <c r="AD216" s="98"/>
      <c r="AE216" s="98"/>
      <c r="AF216" s="98"/>
      <c r="AG216" s="98"/>
      <c r="AH216" s="98"/>
    </row>
    <row r="217" spans="2:34" x14ac:dyDescent="0.25">
      <c r="B217" s="73"/>
      <c r="C217" s="74"/>
      <c r="D217" s="80"/>
      <c r="E217" s="81"/>
      <c r="F217" s="81"/>
      <c r="G217" s="81"/>
      <c r="H217" s="81"/>
      <c r="I217" s="82"/>
      <c r="J217" s="88"/>
      <c r="K217" s="89"/>
      <c r="L217" s="88"/>
      <c r="M217" s="89"/>
      <c r="N217" s="80"/>
      <c r="O217" s="82"/>
      <c r="P217" s="94"/>
      <c r="Q217" s="95"/>
      <c r="S217" s="99"/>
      <c r="T217" s="99"/>
      <c r="U217" s="99"/>
      <c r="V217" s="99"/>
      <c r="W217" s="99"/>
      <c r="X217" s="99"/>
      <c r="Y217" s="99"/>
      <c r="Z217" s="99"/>
      <c r="AA217" s="99"/>
      <c r="AB217" s="99"/>
      <c r="AC217" s="98"/>
      <c r="AD217" s="98"/>
      <c r="AE217" s="98"/>
      <c r="AF217" s="98"/>
      <c r="AG217" s="98"/>
      <c r="AH217" s="98"/>
    </row>
    <row r="218" spans="2:34" x14ac:dyDescent="0.25">
      <c r="B218" s="75"/>
      <c r="C218" s="76"/>
      <c r="D218" s="83"/>
      <c r="E218" s="84"/>
      <c r="F218" s="84"/>
      <c r="G218" s="84"/>
      <c r="H218" s="84"/>
      <c r="I218" s="85"/>
      <c r="J218" s="90"/>
      <c r="K218" s="91"/>
      <c r="L218" s="90"/>
      <c r="M218" s="91"/>
      <c r="N218" s="83"/>
      <c r="O218" s="85"/>
      <c r="P218" s="96"/>
      <c r="Q218" s="97"/>
      <c r="S218" s="99"/>
      <c r="T218" s="99"/>
      <c r="U218" s="99"/>
      <c r="V218" s="99"/>
      <c r="W218" s="99"/>
      <c r="X218" s="99"/>
      <c r="Y218" s="99"/>
      <c r="Z218" s="99"/>
      <c r="AA218" s="99"/>
      <c r="AB218" s="99"/>
      <c r="AC218" s="98"/>
      <c r="AD218" s="98"/>
      <c r="AE218" s="98"/>
      <c r="AF218" s="98"/>
      <c r="AG218" s="98"/>
      <c r="AH218" s="98"/>
    </row>
    <row r="219" spans="2:34" x14ac:dyDescent="0.25">
      <c r="B219" s="71"/>
      <c r="C219" s="72"/>
      <c r="D219" s="77"/>
      <c r="E219" s="78"/>
      <c r="F219" s="78"/>
      <c r="G219" s="78"/>
      <c r="H219" s="78"/>
      <c r="I219" s="79"/>
      <c r="J219" s="86"/>
      <c r="K219" s="87"/>
      <c r="L219" s="86"/>
      <c r="M219" s="87"/>
      <c r="N219" s="77"/>
      <c r="O219" s="79"/>
      <c r="P219" s="92"/>
      <c r="Q219" s="93"/>
      <c r="S219" s="99"/>
      <c r="T219" s="99"/>
      <c r="U219" s="99"/>
      <c r="V219" s="99"/>
      <c r="W219" s="99"/>
      <c r="X219" s="99"/>
      <c r="Y219" s="99"/>
      <c r="Z219" s="99"/>
      <c r="AA219" s="99"/>
      <c r="AB219" s="99"/>
      <c r="AC219" s="98"/>
      <c r="AD219" s="98"/>
      <c r="AE219" s="98"/>
      <c r="AF219" s="98"/>
      <c r="AG219" s="98"/>
      <c r="AH219" s="98"/>
    </row>
    <row r="220" spans="2:34" x14ac:dyDescent="0.25">
      <c r="B220" s="73"/>
      <c r="C220" s="74"/>
      <c r="D220" s="80"/>
      <c r="E220" s="81"/>
      <c r="F220" s="81"/>
      <c r="G220" s="81"/>
      <c r="H220" s="81"/>
      <c r="I220" s="82"/>
      <c r="J220" s="88"/>
      <c r="K220" s="89"/>
      <c r="L220" s="88"/>
      <c r="M220" s="89"/>
      <c r="N220" s="80"/>
      <c r="O220" s="82"/>
      <c r="P220" s="94"/>
      <c r="Q220" s="95"/>
      <c r="S220" s="99"/>
      <c r="T220" s="99"/>
      <c r="U220" s="99"/>
      <c r="V220" s="99"/>
      <c r="W220" s="99"/>
      <c r="X220" s="99"/>
      <c r="Y220" s="99"/>
      <c r="Z220" s="99"/>
      <c r="AA220" s="99"/>
      <c r="AB220" s="99"/>
      <c r="AC220" s="98"/>
      <c r="AD220" s="98"/>
      <c r="AE220" s="98"/>
      <c r="AF220" s="98"/>
      <c r="AG220" s="98"/>
      <c r="AH220" s="98"/>
    </row>
    <row r="221" spans="2:34" x14ac:dyDescent="0.25">
      <c r="B221" s="75"/>
      <c r="C221" s="76"/>
      <c r="D221" s="83"/>
      <c r="E221" s="84"/>
      <c r="F221" s="84"/>
      <c r="G221" s="84"/>
      <c r="H221" s="84"/>
      <c r="I221" s="85"/>
      <c r="J221" s="90"/>
      <c r="K221" s="91"/>
      <c r="L221" s="90"/>
      <c r="M221" s="91"/>
      <c r="N221" s="83"/>
      <c r="O221" s="85"/>
      <c r="P221" s="96"/>
      <c r="Q221" s="97"/>
      <c r="S221" s="99"/>
      <c r="T221" s="99"/>
      <c r="U221" s="99"/>
      <c r="V221" s="99"/>
      <c r="W221" s="99"/>
      <c r="X221" s="99"/>
      <c r="Y221" s="99"/>
      <c r="Z221" s="99"/>
      <c r="AA221" s="99"/>
      <c r="AB221" s="99"/>
      <c r="AC221" s="98"/>
      <c r="AD221" s="98"/>
      <c r="AE221" s="98"/>
      <c r="AF221" s="98"/>
      <c r="AG221" s="98"/>
      <c r="AH221" s="98"/>
    </row>
    <row r="222" spans="2:34" x14ac:dyDescent="0.25">
      <c r="B222" s="71"/>
      <c r="C222" s="72"/>
      <c r="D222" s="77"/>
      <c r="E222" s="78"/>
      <c r="F222" s="78"/>
      <c r="G222" s="78"/>
      <c r="H222" s="78"/>
      <c r="I222" s="79"/>
      <c r="J222" s="86"/>
      <c r="K222" s="87"/>
      <c r="L222" s="86"/>
      <c r="M222" s="87"/>
      <c r="N222" s="77"/>
      <c r="O222" s="79"/>
      <c r="P222" s="92"/>
      <c r="Q222" s="93"/>
      <c r="S222" s="99"/>
      <c r="T222" s="99"/>
      <c r="U222" s="99"/>
      <c r="V222" s="99"/>
      <c r="W222" s="99"/>
      <c r="X222" s="99"/>
      <c r="Y222" s="99"/>
      <c r="Z222" s="99"/>
      <c r="AA222" s="99"/>
      <c r="AB222" s="99"/>
      <c r="AC222" s="98"/>
      <c r="AD222" s="98"/>
      <c r="AE222" s="98"/>
      <c r="AF222" s="98"/>
      <c r="AG222" s="98"/>
      <c r="AH222" s="98"/>
    </row>
    <row r="223" spans="2:34" x14ac:dyDescent="0.25">
      <c r="B223" s="73"/>
      <c r="C223" s="74"/>
      <c r="D223" s="80"/>
      <c r="E223" s="81"/>
      <c r="F223" s="81"/>
      <c r="G223" s="81"/>
      <c r="H223" s="81"/>
      <c r="I223" s="82"/>
      <c r="J223" s="88"/>
      <c r="K223" s="89"/>
      <c r="L223" s="88"/>
      <c r="M223" s="89"/>
      <c r="N223" s="80"/>
      <c r="O223" s="82"/>
      <c r="P223" s="94"/>
      <c r="Q223" s="95"/>
      <c r="S223" s="99"/>
      <c r="T223" s="99"/>
      <c r="U223" s="99"/>
      <c r="V223" s="99"/>
      <c r="W223" s="99"/>
      <c r="X223" s="99"/>
      <c r="Y223" s="99"/>
      <c r="Z223" s="99"/>
      <c r="AA223" s="99"/>
      <c r="AB223" s="99"/>
      <c r="AC223" s="98"/>
      <c r="AD223" s="98"/>
      <c r="AE223" s="98"/>
      <c r="AF223" s="98"/>
      <c r="AG223" s="98"/>
      <c r="AH223" s="98"/>
    </row>
    <row r="224" spans="2:34" x14ac:dyDescent="0.25">
      <c r="B224" s="75"/>
      <c r="C224" s="76"/>
      <c r="D224" s="83"/>
      <c r="E224" s="84"/>
      <c r="F224" s="84"/>
      <c r="G224" s="84"/>
      <c r="H224" s="84"/>
      <c r="I224" s="85"/>
      <c r="J224" s="90"/>
      <c r="K224" s="91"/>
      <c r="L224" s="90"/>
      <c r="M224" s="91"/>
      <c r="N224" s="83"/>
      <c r="O224" s="85"/>
      <c r="P224" s="96"/>
      <c r="Q224" s="97"/>
      <c r="S224" s="99"/>
      <c r="T224" s="99"/>
      <c r="U224" s="99"/>
      <c r="V224" s="99"/>
      <c r="W224" s="99"/>
      <c r="X224" s="99"/>
      <c r="Y224" s="99"/>
      <c r="Z224" s="99"/>
      <c r="AA224" s="99"/>
      <c r="AB224" s="99"/>
      <c r="AC224" s="98"/>
      <c r="AD224" s="98"/>
      <c r="AE224" s="98"/>
      <c r="AF224" s="98"/>
      <c r="AG224" s="98"/>
      <c r="AH224" s="98"/>
    </row>
    <row r="225" spans="2:34" x14ac:dyDescent="0.25">
      <c r="B225" s="71"/>
      <c r="C225" s="72"/>
      <c r="D225" s="77"/>
      <c r="E225" s="78"/>
      <c r="F225" s="78"/>
      <c r="G225" s="78"/>
      <c r="H225" s="78"/>
      <c r="I225" s="79"/>
      <c r="J225" s="86"/>
      <c r="K225" s="87"/>
      <c r="L225" s="86"/>
      <c r="M225" s="87"/>
      <c r="N225" s="77"/>
      <c r="O225" s="79"/>
      <c r="P225" s="92"/>
      <c r="Q225" s="93"/>
      <c r="S225" s="99"/>
      <c r="T225" s="99"/>
      <c r="U225" s="99"/>
      <c r="V225" s="99"/>
      <c r="W225" s="99"/>
      <c r="X225" s="99"/>
      <c r="Y225" s="99"/>
      <c r="Z225" s="99"/>
      <c r="AA225" s="99"/>
      <c r="AB225" s="99"/>
      <c r="AC225" s="98"/>
      <c r="AD225" s="98"/>
      <c r="AE225" s="98"/>
      <c r="AF225" s="98"/>
      <c r="AG225" s="98"/>
      <c r="AH225" s="98"/>
    </row>
    <row r="226" spans="2:34" x14ac:dyDescent="0.25">
      <c r="B226" s="73"/>
      <c r="C226" s="74"/>
      <c r="D226" s="80"/>
      <c r="E226" s="81"/>
      <c r="F226" s="81"/>
      <c r="G226" s="81"/>
      <c r="H226" s="81"/>
      <c r="I226" s="82"/>
      <c r="J226" s="88"/>
      <c r="K226" s="89"/>
      <c r="L226" s="88"/>
      <c r="M226" s="89"/>
      <c r="N226" s="80"/>
      <c r="O226" s="82"/>
      <c r="P226" s="94"/>
      <c r="Q226" s="95"/>
      <c r="S226" s="99"/>
      <c r="T226" s="99"/>
      <c r="U226" s="99"/>
      <c r="V226" s="99"/>
      <c r="W226" s="99"/>
      <c r="X226" s="99"/>
      <c r="Y226" s="99"/>
      <c r="Z226" s="99"/>
      <c r="AA226" s="99"/>
      <c r="AB226" s="99"/>
      <c r="AC226" s="98"/>
      <c r="AD226" s="98"/>
      <c r="AE226" s="98"/>
      <c r="AF226" s="98"/>
      <c r="AG226" s="98"/>
      <c r="AH226" s="98"/>
    </row>
    <row r="227" spans="2:34" x14ac:dyDescent="0.25">
      <c r="B227" s="75"/>
      <c r="C227" s="76"/>
      <c r="D227" s="83"/>
      <c r="E227" s="84"/>
      <c r="F227" s="84"/>
      <c r="G227" s="84"/>
      <c r="H227" s="84"/>
      <c r="I227" s="85"/>
      <c r="J227" s="90"/>
      <c r="K227" s="91"/>
      <c r="L227" s="90"/>
      <c r="M227" s="91"/>
      <c r="N227" s="83"/>
      <c r="O227" s="85"/>
      <c r="P227" s="96"/>
      <c r="Q227" s="97"/>
      <c r="S227" s="99"/>
      <c r="T227" s="99"/>
      <c r="U227" s="99"/>
      <c r="V227" s="99"/>
      <c r="W227" s="99"/>
      <c r="X227" s="99"/>
      <c r="Y227" s="99"/>
      <c r="Z227" s="99"/>
      <c r="AA227" s="99"/>
      <c r="AB227" s="99"/>
      <c r="AC227" s="98"/>
      <c r="AD227" s="98"/>
      <c r="AE227" s="98"/>
      <c r="AF227" s="98"/>
      <c r="AG227" s="98"/>
      <c r="AH227" s="98"/>
    </row>
    <row r="228" spans="2:34" x14ac:dyDescent="0.25">
      <c r="B228" s="71"/>
      <c r="C228" s="72"/>
      <c r="D228" s="77"/>
      <c r="E228" s="78"/>
      <c r="F228" s="78"/>
      <c r="G228" s="78"/>
      <c r="H228" s="78"/>
      <c r="I228" s="79"/>
      <c r="J228" s="86"/>
      <c r="K228" s="87"/>
      <c r="L228" s="86"/>
      <c r="M228" s="87"/>
      <c r="N228" s="77"/>
      <c r="O228" s="79"/>
      <c r="P228" s="92"/>
      <c r="Q228" s="93"/>
      <c r="S228" s="99"/>
      <c r="T228" s="99"/>
      <c r="U228" s="99"/>
      <c r="V228" s="99"/>
      <c r="W228" s="99"/>
      <c r="X228" s="99"/>
      <c r="Y228" s="99"/>
      <c r="Z228" s="99"/>
      <c r="AA228" s="99"/>
      <c r="AB228" s="99"/>
      <c r="AC228" s="98"/>
      <c r="AD228" s="98"/>
      <c r="AE228" s="98"/>
      <c r="AF228" s="98"/>
      <c r="AG228" s="98"/>
      <c r="AH228" s="98"/>
    </row>
    <row r="229" spans="2:34" x14ac:dyDescent="0.25">
      <c r="B229" s="73"/>
      <c r="C229" s="74"/>
      <c r="D229" s="80"/>
      <c r="E229" s="81"/>
      <c r="F229" s="81"/>
      <c r="G229" s="81"/>
      <c r="H229" s="81"/>
      <c r="I229" s="82"/>
      <c r="J229" s="88"/>
      <c r="K229" s="89"/>
      <c r="L229" s="88"/>
      <c r="M229" s="89"/>
      <c r="N229" s="80"/>
      <c r="O229" s="82"/>
      <c r="P229" s="94"/>
      <c r="Q229" s="95"/>
      <c r="S229" s="99"/>
      <c r="T229" s="99"/>
      <c r="U229" s="99"/>
      <c r="V229" s="99"/>
      <c r="W229" s="99"/>
      <c r="X229" s="99"/>
      <c r="Y229" s="99"/>
      <c r="Z229" s="99"/>
      <c r="AA229" s="99"/>
      <c r="AB229" s="99"/>
      <c r="AC229" s="98"/>
      <c r="AD229" s="98"/>
      <c r="AE229" s="98"/>
      <c r="AF229" s="98"/>
      <c r="AG229" s="98"/>
      <c r="AH229" s="98"/>
    </row>
    <row r="230" spans="2:34" x14ac:dyDescent="0.25">
      <c r="B230" s="75"/>
      <c r="C230" s="76"/>
      <c r="D230" s="83"/>
      <c r="E230" s="84"/>
      <c r="F230" s="84"/>
      <c r="G230" s="84"/>
      <c r="H230" s="84"/>
      <c r="I230" s="85"/>
      <c r="J230" s="90"/>
      <c r="K230" s="91"/>
      <c r="L230" s="90"/>
      <c r="M230" s="91"/>
      <c r="N230" s="83"/>
      <c r="O230" s="85"/>
      <c r="P230" s="96"/>
      <c r="Q230" s="97"/>
      <c r="S230" s="99"/>
      <c r="T230" s="99"/>
      <c r="U230" s="99"/>
      <c r="V230" s="99"/>
      <c r="W230" s="99"/>
      <c r="X230" s="99"/>
      <c r="Y230" s="99"/>
      <c r="Z230" s="99"/>
      <c r="AA230" s="99"/>
      <c r="AB230" s="99"/>
      <c r="AC230" s="98"/>
      <c r="AD230" s="98"/>
      <c r="AE230" s="98"/>
      <c r="AF230" s="98"/>
      <c r="AG230" s="98"/>
      <c r="AH230" s="98"/>
    </row>
    <row r="231" spans="2:34" x14ac:dyDescent="0.25">
      <c r="B231" s="71"/>
      <c r="C231" s="72"/>
      <c r="D231" s="77"/>
      <c r="E231" s="78"/>
      <c r="F231" s="78"/>
      <c r="G231" s="78"/>
      <c r="H231" s="78"/>
      <c r="I231" s="79"/>
      <c r="J231" s="86"/>
      <c r="K231" s="87"/>
      <c r="L231" s="86"/>
      <c r="M231" s="87"/>
      <c r="N231" s="77"/>
      <c r="O231" s="79"/>
      <c r="P231" s="92"/>
      <c r="Q231" s="93"/>
      <c r="S231" s="99"/>
      <c r="T231" s="99"/>
      <c r="U231" s="99"/>
      <c r="V231" s="99"/>
      <c r="W231" s="99"/>
      <c r="X231" s="99"/>
      <c r="Y231" s="99"/>
      <c r="Z231" s="99"/>
      <c r="AA231" s="99"/>
      <c r="AB231" s="99"/>
      <c r="AC231" s="98"/>
      <c r="AD231" s="98"/>
      <c r="AE231" s="98"/>
      <c r="AF231" s="98"/>
      <c r="AG231" s="98"/>
      <c r="AH231" s="98"/>
    </row>
    <row r="232" spans="2:34" x14ac:dyDescent="0.25">
      <c r="B232" s="73"/>
      <c r="C232" s="74"/>
      <c r="D232" s="80"/>
      <c r="E232" s="81"/>
      <c r="F232" s="81"/>
      <c r="G232" s="81"/>
      <c r="H232" s="81"/>
      <c r="I232" s="82"/>
      <c r="J232" s="88"/>
      <c r="K232" s="89"/>
      <c r="L232" s="88"/>
      <c r="M232" s="89"/>
      <c r="N232" s="80"/>
      <c r="O232" s="82"/>
      <c r="P232" s="94"/>
      <c r="Q232" s="95"/>
      <c r="S232" s="99"/>
      <c r="T232" s="99"/>
      <c r="U232" s="99"/>
      <c r="V232" s="99"/>
      <c r="W232" s="99"/>
      <c r="X232" s="99"/>
      <c r="Y232" s="99"/>
      <c r="Z232" s="99"/>
      <c r="AA232" s="99"/>
      <c r="AB232" s="99"/>
      <c r="AC232" s="98"/>
      <c r="AD232" s="98"/>
      <c r="AE232" s="98"/>
      <c r="AF232" s="98"/>
      <c r="AG232" s="98"/>
      <c r="AH232" s="98"/>
    </row>
    <row r="233" spans="2:34" x14ac:dyDescent="0.25">
      <c r="B233" s="75"/>
      <c r="C233" s="76"/>
      <c r="D233" s="83"/>
      <c r="E233" s="84"/>
      <c r="F233" s="84"/>
      <c r="G233" s="84"/>
      <c r="H233" s="84"/>
      <c r="I233" s="85"/>
      <c r="J233" s="90"/>
      <c r="K233" s="91"/>
      <c r="L233" s="90"/>
      <c r="M233" s="91"/>
      <c r="N233" s="83"/>
      <c r="O233" s="85"/>
      <c r="P233" s="96"/>
      <c r="Q233" s="97"/>
      <c r="S233" s="99"/>
      <c r="T233" s="99"/>
      <c r="U233" s="99"/>
      <c r="V233" s="99"/>
      <c r="W233" s="99"/>
      <c r="X233" s="99"/>
      <c r="Y233" s="99"/>
      <c r="Z233" s="99"/>
      <c r="AA233" s="99"/>
      <c r="AB233" s="99"/>
      <c r="AC233" s="98"/>
      <c r="AD233" s="98"/>
      <c r="AE233" s="98"/>
      <c r="AF233" s="98"/>
      <c r="AG233" s="98"/>
      <c r="AH233" s="98"/>
    </row>
    <row r="234" spans="2:34" x14ac:dyDescent="0.25">
      <c r="B234" s="71"/>
      <c r="C234" s="72"/>
      <c r="D234" s="77"/>
      <c r="E234" s="78"/>
      <c r="F234" s="78"/>
      <c r="G234" s="78"/>
      <c r="H234" s="78"/>
      <c r="I234" s="79"/>
      <c r="J234" s="86"/>
      <c r="K234" s="87"/>
      <c r="L234" s="86"/>
      <c r="M234" s="87"/>
      <c r="N234" s="77"/>
      <c r="O234" s="79"/>
      <c r="P234" s="92"/>
      <c r="Q234" s="93"/>
      <c r="S234" s="99"/>
      <c r="T234" s="99"/>
      <c r="U234" s="99"/>
      <c r="V234" s="99"/>
      <c r="W234" s="99"/>
      <c r="X234" s="99"/>
      <c r="Y234" s="99"/>
      <c r="Z234" s="99"/>
      <c r="AA234" s="99"/>
      <c r="AB234" s="99"/>
      <c r="AC234" s="98"/>
      <c r="AD234" s="98"/>
      <c r="AE234" s="98"/>
      <c r="AF234" s="98"/>
      <c r="AG234" s="98"/>
      <c r="AH234" s="98"/>
    </row>
    <row r="235" spans="2:34" x14ac:dyDescent="0.25">
      <c r="B235" s="73"/>
      <c r="C235" s="74"/>
      <c r="D235" s="80"/>
      <c r="E235" s="81"/>
      <c r="F235" s="81"/>
      <c r="G235" s="81"/>
      <c r="H235" s="81"/>
      <c r="I235" s="82"/>
      <c r="J235" s="88"/>
      <c r="K235" s="89"/>
      <c r="L235" s="88"/>
      <c r="M235" s="89"/>
      <c r="N235" s="80"/>
      <c r="O235" s="82"/>
      <c r="P235" s="94"/>
      <c r="Q235" s="95"/>
      <c r="S235" s="99"/>
      <c r="T235" s="99"/>
      <c r="U235" s="99"/>
      <c r="V235" s="99"/>
      <c r="W235" s="99"/>
      <c r="X235" s="99"/>
      <c r="Y235" s="99"/>
      <c r="Z235" s="99"/>
      <c r="AA235" s="99"/>
      <c r="AB235" s="99"/>
      <c r="AC235" s="98"/>
      <c r="AD235" s="98"/>
      <c r="AE235" s="98"/>
      <c r="AF235" s="98"/>
      <c r="AG235" s="98"/>
      <c r="AH235" s="98"/>
    </row>
    <row r="236" spans="2:34" x14ac:dyDescent="0.25">
      <c r="B236" s="75"/>
      <c r="C236" s="76"/>
      <c r="D236" s="83"/>
      <c r="E236" s="84"/>
      <c r="F236" s="84"/>
      <c r="G236" s="84"/>
      <c r="H236" s="84"/>
      <c r="I236" s="85"/>
      <c r="J236" s="90"/>
      <c r="K236" s="91"/>
      <c r="L236" s="90"/>
      <c r="M236" s="91"/>
      <c r="N236" s="83"/>
      <c r="O236" s="85"/>
      <c r="P236" s="96"/>
      <c r="Q236" s="97"/>
      <c r="S236" s="99"/>
      <c r="T236" s="99"/>
      <c r="U236" s="99"/>
      <c r="V236" s="99"/>
      <c r="W236" s="99"/>
      <c r="X236" s="99"/>
      <c r="Y236" s="99"/>
      <c r="Z236" s="99"/>
      <c r="AA236" s="99"/>
      <c r="AB236" s="99"/>
      <c r="AC236" s="98"/>
      <c r="AD236" s="98"/>
      <c r="AE236" s="98"/>
      <c r="AF236" s="98"/>
      <c r="AG236" s="98"/>
      <c r="AH236" s="98"/>
    </row>
    <row r="237" spans="2:34" x14ac:dyDescent="0.25">
      <c r="B237" s="71"/>
      <c r="C237" s="72"/>
      <c r="D237" s="77"/>
      <c r="E237" s="78"/>
      <c r="F237" s="78"/>
      <c r="G237" s="78"/>
      <c r="H237" s="78"/>
      <c r="I237" s="79"/>
      <c r="J237" s="86"/>
      <c r="K237" s="87"/>
      <c r="L237" s="86"/>
      <c r="M237" s="87"/>
      <c r="N237" s="77"/>
      <c r="O237" s="79"/>
      <c r="P237" s="92"/>
      <c r="Q237" s="93"/>
      <c r="S237" s="99"/>
      <c r="T237" s="99"/>
      <c r="U237" s="99"/>
      <c r="V237" s="99"/>
      <c r="W237" s="99"/>
      <c r="X237" s="99"/>
      <c r="Y237" s="99"/>
      <c r="Z237" s="99"/>
      <c r="AA237" s="99"/>
      <c r="AB237" s="99"/>
      <c r="AC237" s="98"/>
      <c r="AD237" s="98"/>
      <c r="AE237" s="98"/>
      <c r="AF237" s="98"/>
      <c r="AG237" s="98"/>
      <c r="AH237" s="98"/>
    </row>
    <row r="238" spans="2:34" x14ac:dyDescent="0.25">
      <c r="B238" s="73"/>
      <c r="C238" s="74"/>
      <c r="D238" s="80"/>
      <c r="E238" s="81"/>
      <c r="F238" s="81"/>
      <c r="G238" s="81"/>
      <c r="H238" s="81"/>
      <c r="I238" s="82"/>
      <c r="J238" s="88"/>
      <c r="K238" s="89"/>
      <c r="L238" s="88"/>
      <c r="M238" s="89"/>
      <c r="N238" s="80"/>
      <c r="O238" s="82"/>
      <c r="P238" s="94"/>
      <c r="Q238" s="95"/>
      <c r="S238" s="99"/>
      <c r="T238" s="99"/>
      <c r="U238" s="99"/>
      <c r="V238" s="99"/>
      <c r="W238" s="99"/>
      <c r="X238" s="99"/>
      <c r="Y238" s="99"/>
      <c r="Z238" s="99"/>
      <c r="AA238" s="99"/>
      <c r="AB238" s="99"/>
      <c r="AC238" s="98"/>
      <c r="AD238" s="98"/>
      <c r="AE238" s="98"/>
      <c r="AF238" s="98"/>
      <c r="AG238" s="98"/>
      <c r="AH238" s="98"/>
    </row>
    <row r="239" spans="2:34" x14ac:dyDescent="0.25">
      <c r="B239" s="75"/>
      <c r="C239" s="76"/>
      <c r="D239" s="83"/>
      <c r="E239" s="84"/>
      <c r="F239" s="84"/>
      <c r="G239" s="84"/>
      <c r="H239" s="84"/>
      <c r="I239" s="85"/>
      <c r="J239" s="90"/>
      <c r="K239" s="91"/>
      <c r="L239" s="90"/>
      <c r="M239" s="91"/>
      <c r="N239" s="83"/>
      <c r="O239" s="85"/>
      <c r="P239" s="96"/>
      <c r="Q239" s="97"/>
      <c r="S239" s="99"/>
      <c r="T239" s="99"/>
      <c r="U239" s="99"/>
      <c r="V239" s="99"/>
      <c r="W239" s="99"/>
      <c r="X239" s="99"/>
      <c r="Y239" s="99"/>
      <c r="Z239" s="99"/>
      <c r="AA239" s="99"/>
      <c r="AB239" s="99"/>
      <c r="AC239" s="98"/>
      <c r="AD239" s="98"/>
      <c r="AE239" s="98"/>
      <c r="AF239" s="98"/>
      <c r="AG239" s="98"/>
      <c r="AH239" s="98"/>
    </row>
    <row r="240" spans="2:34" x14ac:dyDescent="0.25">
      <c r="B240" s="71"/>
      <c r="C240" s="72"/>
      <c r="D240" s="77"/>
      <c r="E240" s="78"/>
      <c r="F240" s="78"/>
      <c r="G240" s="78"/>
      <c r="H240" s="78"/>
      <c r="I240" s="79"/>
      <c r="J240" s="86"/>
      <c r="K240" s="87"/>
      <c r="L240" s="86"/>
      <c r="M240" s="87"/>
      <c r="N240" s="77"/>
      <c r="O240" s="79"/>
      <c r="P240" s="92"/>
      <c r="Q240" s="93"/>
      <c r="S240" s="99"/>
      <c r="T240" s="99"/>
      <c r="U240" s="99"/>
      <c r="V240" s="99"/>
      <c r="W240" s="99"/>
      <c r="X240" s="99"/>
      <c r="Y240" s="99"/>
      <c r="Z240" s="99"/>
      <c r="AA240" s="99"/>
      <c r="AB240" s="99"/>
      <c r="AC240" s="98"/>
      <c r="AD240" s="98"/>
      <c r="AE240" s="98"/>
      <c r="AF240" s="98"/>
      <c r="AG240" s="98"/>
      <c r="AH240" s="98"/>
    </row>
    <row r="241" spans="2:34" x14ac:dyDescent="0.25">
      <c r="B241" s="73"/>
      <c r="C241" s="74"/>
      <c r="D241" s="80"/>
      <c r="E241" s="81"/>
      <c r="F241" s="81"/>
      <c r="G241" s="81"/>
      <c r="H241" s="81"/>
      <c r="I241" s="82"/>
      <c r="J241" s="88"/>
      <c r="K241" s="89"/>
      <c r="L241" s="88"/>
      <c r="M241" s="89"/>
      <c r="N241" s="80"/>
      <c r="O241" s="82"/>
      <c r="P241" s="94"/>
      <c r="Q241" s="95"/>
      <c r="S241" s="99"/>
      <c r="T241" s="99"/>
      <c r="U241" s="99"/>
      <c r="V241" s="99"/>
      <c r="W241" s="99"/>
      <c r="X241" s="99"/>
      <c r="Y241" s="99"/>
      <c r="Z241" s="99"/>
      <c r="AA241" s="99"/>
      <c r="AB241" s="99"/>
      <c r="AC241" s="98"/>
      <c r="AD241" s="98"/>
      <c r="AE241" s="98"/>
      <c r="AF241" s="98"/>
      <c r="AG241" s="98"/>
      <c r="AH241" s="98"/>
    </row>
    <row r="242" spans="2:34" x14ac:dyDescent="0.25">
      <c r="B242" s="75"/>
      <c r="C242" s="76"/>
      <c r="D242" s="83"/>
      <c r="E242" s="84"/>
      <c r="F242" s="84"/>
      <c r="G242" s="84"/>
      <c r="H242" s="84"/>
      <c r="I242" s="85"/>
      <c r="J242" s="90"/>
      <c r="K242" s="91"/>
      <c r="L242" s="90"/>
      <c r="M242" s="91"/>
      <c r="N242" s="83"/>
      <c r="O242" s="85"/>
      <c r="P242" s="96"/>
      <c r="Q242" s="97"/>
      <c r="S242" s="99"/>
      <c r="T242" s="99"/>
      <c r="U242" s="99"/>
      <c r="V242" s="99"/>
      <c r="W242" s="99"/>
      <c r="X242" s="99"/>
      <c r="Y242" s="99"/>
      <c r="Z242" s="99"/>
      <c r="AA242" s="99"/>
      <c r="AB242" s="99"/>
      <c r="AC242" s="98"/>
      <c r="AD242" s="98"/>
      <c r="AE242" s="98"/>
      <c r="AF242" s="98"/>
      <c r="AG242" s="98"/>
      <c r="AH242" s="98"/>
    </row>
    <row r="243" spans="2:34" x14ac:dyDescent="0.25">
      <c r="B243" s="71"/>
      <c r="C243" s="72"/>
      <c r="D243" s="77"/>
      <c r="E243" s="78"/>
      <c r="F243" s="78"/>
      <c r="G243" s="78"/>
      <c r="H243" s="78"/>
      <c r="I243" s="79"/>
      <c r="J243" s="86"/>
      <c r="K243" s="87"/>
      <c r="L243" s="86"/>
      <c r="M243" s="87"/>
      <c r="N243" s="77"/>
      <c r="O243" s="79"/>
      <c r="P243" s="92"/>
      <c r="Q243" s="93"/>
      <c r="S243" s="99"/>
      <c r="T243" s="99"/>
      <c r="U243" s="99"/>
      <c r="V243" s="99"/>
      <c r="W243" s="99"/>
      <c r="X243" s="99"/>
      <c r="Y243" s="99"/>
      <c r="Z243" s="99"/>
      <c r="AA243" s="99"/>
      <c r="AB243" s="99"/>
      <c r="AC243" s="98"/>
      <c r="AD243" s="98"/>
      <c r="AE243" s="98"/>
      <c r="AF243" s="98"/>
      <c r="AG243" s="98"/>
      <c r="AH243" s="98"/>
    </row>
    <row r="244" spans="2:34" x14ac:dyDescent="0.25">
      <c r="B244" s="73"/>
      <c r="C244" s="74"/>
      <c r="D244" s="80"/>
      <c r="E244" s="81"/>
      <c r="F244" s="81"/>
      <c r="G244" s="81"/>
      <c r="H244" s="81"/>
      <c r="I244" s="82"/>
      <c r="J244" s="88"/>
      <c r="K244" s="89"/>
      <c r="L244" s="88"/>
      <c r="M244" s="89"/>
      <c r="N244" s="80"/>
      <c r="O244" s="82"/>
      <c r="P244" s="94"/>
      <c r="Q244" s="95"/>
      <c r="S244" s="99"/>
      <c r="T244" s="99"/>
      <c r="U244" s="99"/>
      <c r="V244" s="99"/>
      <c r="W244" s="99"/>
      <c r="X244" s="99"/>
      <c r="Y244" s="99"/>
      <c r="Z244" s="99"/>
      <c r="AA244" s="99"/>
      <c r="AB244" s="99"/>
      <c r="AC244" s="98"/>
      <c r="AD244" s="98"/>
      <c r="AE244" s="98"/>
      <c r="AF244" s="98"/>
      <c r="AG244" s="98"/>
      <c r="AH244" s="98"/>
    </row>
    <row r="245" spans="2:34" x14ac:dyDescent="0.25">
      <c r="B245" s="75"/>
      <c r="C245" s="76"/>
      <c r="D245" s="83"/>
      <c r="E245" s="84"/>
      <c r="F245" s="84"/>
      <c r="G245" s="84"/>
      <c r="H245" s="84"/>
      <c r="I245" s="85"/>
      <c r="J245" s="90"/>
      <c r="K245" s="91"/>
      <c r="L245" s="90"/>
      <c r="M245" s="91"/>
      <c r="N245" s="83"/>
      <c r="O245" s="85"/>
      <c r="P245" s="96"/>
      <c r="Q245" s="97"/>
      <c r="S245" s="99"/>
      <c r="T245" s="99"/>
      <c r="U245" s="99"/>
      <c r="V245" s="99"/>
      <c r="W245" s="99"/>
      <c r="X245" s="99"/>
      <c r="Y245" s="99"/>
      <c r="Z245" s="99"/>
      <c r="AA245" s="99"/>
      <c r="AB245" s="99"/>
      <c r="AC245" s="98"/>
      <c r="AD245" s="98"/>
      <c r="AE245" s="98"/>
      <c r="AF245" s="98"/>
      <c r="AG245" s="98"/>
      <c r="AH245" s="98"/>
    </row>
    <row r="246" spans="2:34" x14ac:dyDescent="0.25">
      <c r="B246" s="71"/>
      <c r="C246" s="72"/>
      <c r="D246" s="77"/>
      <c r="E246" s="78"/>
      <c r="F246" s="78"/>
      <c r="G246" s="78"/>
      <c r="H246" s="78"/>
      <c r="I246" s="79"/>
      <c r="J246" s="86"/>
      <c r="K246" s="87"/>
      <c r="L246" s="86"/>
      <c r="M246" s="87"/>
      <c r="N246" s="77"/>
      <c r="O246" s="79"/>
      <c r="P246" s="92"/>
      <c r="Q246" s="93"/>
      <c r="S246" s="99"/>
      <c r="T246" s="99"/>
      <c r="U246" s="99"/>
      <c r="V246" s="99"/>
      <c r="W246" s="99"/>
      <c r="X246" s="99"/>
      <c r="Y246" s="99"/>
      <c r="Z246" s="99"/>
      <c r="AA246" s="99"/>
      <c r="AB246" s="99"/>
      <c r="AC246" s="98"/>
      <c r="AD246" s="98"/>
      <c r="AE246" s="98"/>
      <c r="AF246" s="98"/>
      <c r="AG246" s="98"/>
      <c r="AH246" s="98"/>
    </row>
    <row r="247" spans="2:34" x14ac:dyDescent="0.25">
      <c r="B247" s="73"/>
      <c r="C247" s="74"/>
      <c r="D247" s="80"/>
      <c r="E247" s="81"/>
      <c r="F247" s="81"/>
      <c r="G247" s="81"/>
      <c r="H247" s="81"/>
      <c r="I247" s="82"/>
      <c r="J247" s="88"/>
      <c r="K247" s="89"/>
      <c r="L247" s="88"/>
      <c r="M247" s="89"/>
      <c r="N247" s="80"/>
      <c r="O247" s="82"/>
      <c r="P247" s="94"/>
      <c r="Q247" s="95"/>
      <c r="S247" s="99"/>
      <c r="T247" s="99"/>
      <c r="U247" s="99"/>
      <c r="V247" s="99"/>
      <c r="W247" s="99"/>
      <c r="X247" s="99"/>
      <c r="Y247" s="99"/>
      <c r="Z247" s="99"/>
      <c r="AA247" s="99"/>
      <c r="AB247" s="99"/>
      <c r="AC247" s="98"/>
      <c r="AD247" s="98"/>
      <c r="AE247" s="98"/>
      <c r="AF247" s="98"/>
      <c r="AG247" s="98"/>
      <c r="AH247" s="98"/>
    </row>
    <row r="248" spans="2:34" x14ac:dyDescent="0.25">
      <c r="B248" s="75"/>
      <c r="C248" s="76"/>
      <c r="D248" s="83"/>
      <c r="E248" s="84"/>
      <c r="F248" s="84"/>
      <c r="G248" s="84"/>
      <c r="H248" s="84"/>
      <c r="I248" s="85"/>
      <c r="J248" s="90"/>
      <c r="K248" s="91"/>
      <c r="L248" s="90"/>
      <c r="M248" s="91"/>
      <c r="N248" s="83"/>
      <c r="O248" s="85"/>
      <c r="P248" s="96"/>
      <c r="Q248" s="97"/>
      <c r="S248" s="99"/>
      <c r="T248" s="99"/>
      <c r="U248" s="99"/>
      <c r="V248" s="99"/>
      <c r="W248" s="99"/>
      <c r="X248" s="99"/>
      <c r="Y248" s="99"/>
      <c r="Z248" s="99"/>
      <c r="AA248" s="99"/>
      <c r="AB248" s="99"/>
      <c r="AC248" s="98"/>
      <c r="AD248" s="98"/>
      <c r="AE248" s="98"/>
      <c r="AF248" s="98"/>
      <c r="AG248" s="98"/>
      <c r="AH248" s="98"/>
    </row>
    <row r="249" spans="2:34" x14ac:dyDescent="0.25">
      <c r="B249" s="71"/>
      <c r="C249" s="72"/>
      <c r="D249" s="77"/>
      <c r="E249" s="78"/>
      <c r="F249" s="78"/>
      <c r="G249" s="78"/>
      <c r="H249" s="78"/>
      <c r="I249" s="79"/>
      <c r="J249" s="86"/>
      <c r="K249" s="87"/>
      <c r="L249" s="86"/>
      <c r="M249" s="87"/>
      <c r="N249" s="77"/>
      <c r="O249" s="79"/>
      <c r="P249" s="92"/>
      <c r="Q249" s="93"/>
      <c r="S249" s="99"/>
      <c r="T249" s="99"/>
      <c r="U249" s="99"/>
      <c r="V249" s="99"/>
      <c r="W249" s="99"/>
      <c r="X249" s="99"/>
      <c r="Y249" s="99"/>
      <c r="Z249" s="99"/>
      <c r="AA249" s="99"/>
      <c r="AB249" s="99"/>
      <c r="AC249" s="98"/>
      <c r="AD249" s="98"/>
      <c r="AE249" s="98"/>
      <c r="AF249" s="98"/>
      <c r="AG249" s="98"/>
      <c r="AH249" s="98"/>
    </row>
    <row r="250" spans="2:34" x14ac:dyDescent="0.25">
      <c r="B250" s="73"/>
      <c r="C250" s="74"/>
      <c r="D250" s="80"/>
      <c r="E250" s="81"/>
      <c r="F250" s="81"/>
      <c r="G250" s="81"/>
      <c r="H250" s="81"/>
      <c r="I250" s="82"/>
      <c r="J250" s="88"/>
      <c r="K250" s="89"/>
      <c r="L250" s="88"/>
      <c r="M250" s="89"/>
      <c r="N250" s="80"/>
      <c r="O250" s="82"/>
      <c r="P250" s="94"/>
      <c r="Q250" s="95"/>
      <c r="S250" s="99"/>
      <c r="T250" s="99"/>
      <c r="U250" s="99"/>
      <c r="V250" s="99"/>
      <c r="W250" s="99"/>
      <c r="X250" s="99"/>
      <c r="Y250" s="99"/>
      <c r="Z250" s="99"/>
      <c r="AA250" s="99"/>
      <c r="AB250" s="99"/>
      <c r="AC250" s="98"/>
      <c r="AD250" s="98"/>
      <c r="AE250" s="98"/>
      <c r="AF250" s="98"/>
      <c r="AG250" s="98"/>
      <c r="AH250" s="98"/>
    </row>
    <row r="251" spans="2:34" x14ac:dyDescent="0.25">
      <c r="B251" s="75"/>
      <c r="C251" s="76"/>
      <c r="D251" s="83"/>
      <c r="E251" s="84"/>
      <c r="F251" s="84"/>
      <c r="G251" s="84"/>
      <c r="H251" s="84"/>
      <c r="I251" s="85"/>
      <c r="J251" s="90"/>
      <c r="K251" s="91"/>
      <c r="L251" s="90"/>
      <c r="M251" s="91"/>
      <c r="N251" s="83"/>
      <c r="O251" s="85"/>
      <c r="P251" s="96"/>
      <c r="Q251" s="97"/>
      <c r="S251" s="99"/>
      <c r="T251" s="99"/>
      <c r="U251" s="99"/>
      <c r="V251" s="99"/>
      <c r="W251" s="99"/>
      <c r="X251" s="99"/>
      <c r="Y251" s="99"/>
      <c r="Z251" s="99"/>
      <c r="AA251" s="99"/>
      <c r="AB251" s="99"/>
      <c r="AC251" s="98"/>
      <c r="AD251" s="98"/>
      <c r="AE251" s="98"/>
      <c r="AF251" s="98"/>
      <c r="AG251" s="98"/>
      <c r="AH251" s="98"/>
    </row>
    <row r="252" spans="2:34" x14ac:dyDescent="0.25">
      <c r="B252" s="71"/>
      <c r="C252" s="72"/>
      <c r="D252" s="77"/>
      <c r="E252" s="78"/>
      <c r="F252" s="78"/>
      <c r="G252" s="78"/>
      <c r="H252" s="78"/>
      <c r="I252" s="79"/>
      <c r="J252" s="86"/>
      <c r="K252" s="87"/>
      <c r="L252" s="86"/>
      <c r="M252" s="87"/>
      <c r="N252" s="77"/>
      <c r="O252" s="79"/>
      <c r="P252" s="92"/>
      <c r="Q252" s="93"/>
      <c r="S252" s="99"/>
      <c r="T252" s="99"/>
      <c r="U252" s="99"/>
      <c r="V252" s="99"/>
      <c r="W252" s="99"/>
      <c r="X252" s="99"/>
      <c r="Y252" s="99"/>
      <c r="Z252" s="99"/>
      <c r="AA252" s="99"/>
      <c r="AB252" s="99"/>
      <c r="AC252" s="98"/>
      <c r="AD252" s="98"/>
      <c r="AE252" s="98"/>
      <c r="AF252" s="98"/>
      <c r="AG252" s="98"/>
      <c r="AH252" s="98"/>
    </row>
    <row r="253" spans="2:34" x14ac:dyDescent="0.25">
      <c r="B253" s="73"/>
      <c r="C253" s="74"/>
      <c r="D253" s="80"/>
      <c r="E253" s="81"/>
      <c r="F253" s="81"/>
      <c r="G253" s="81"/>
      <c r="H253" s="81"/>
      <c r="I253" s="82"/>
      <c r="J253" s="88"/>
      <c r="K253" s="89"/>
      <c r="L253" s="88"/>
      <c r="M253" s="89"/>
      <c r="N253" s="80"/>
      <c r="O253" s="82"/>
      <c r="P253" s="94"/>
      <c r="Q253" s="95"/>
      <c r="S253" s="99"/>
      <c r="T253" s="99"/>
      <c r="U253" s="99"/>
      <c r="V253" s="99"/>
      <c r="W253" s="99"/>
      <c r="X253" s="99"/>
      <c r="Y253" s="99"/>
      <c r="Z253" s="99"/>
      <c r="AA253" s="99"/>
      <c r="AB253" s="99"/>
      <c r="AC253" s="98"/>
      <c r="AD253" s="98"/>
      <c r="AE253" s="98"/>
      <c r="AF253" s="98"/>
      <c r="AG253" s="98"/>
      <c r="AH253" s="98"/>
    </row>
    <row r="254" spans="2:34" x14ac:dyDescent="0.25">
      <c r="B254" s="75"/>
      <c r="C254" s="76"/>
      <c r="D254" s="83"/>
      <c r="E254" s="84"/>
      <c r="F254" s="84"/>
      <c r="G254" s="84"/>
      <c r="H254" s="84"/>
      <c r="I254" s="85"/>
      <c r="J254" s="90"/>
      <c r="K254" s="91"/>
      <c r="L254" s="90"/>
      <c r="M254" s="91"/>
      <c r="N254" s="83"/>
      <c r="O254" s="85"/>
      <c r="P254" s="96"/>
      <c r="Q254" s="97"/>
      <c r="S254" s="99"/>
      <c r="T254" s="99"/>
      <c r="U254" s="99"/>
      <c r="V254" s="99"/>
      <c r="W254" s="99"/>
      <c r="X254" s="99"/>
      <c r="Y254" s="99"/>
      <c r="Z254" s="99"/>
      <c r="AA254" s="99"/>
      <c r="AB254" s="99"/>
      <c r="AC254" s="98"/>
      <c r="AD254" s="98"/>
      <c r="AE254" s="98"/>
      <c r="AF254" s="98"/>
      <c r="AG254" s="98"/>
      <c r="AH254" s="98"/>
    </row>
    <row r="255" spans="2:34" x14ac:dyDescent="0.25">
      <c r="B255" s="71"/>
      <c r="C255" s="72"/>
      <c r="D255" s="77"/>
      <c r="E255" s="78"/>
      <c r="F255" s="78"/>
      <c r="G255" s="78"/>
      <c r="H255" s="78"/>
      <c r="I255" s="79"/>
      <c r="J255" s="86"/>
      <c r="K255" s="87"/>
      <c r="L255" s="86"/>
      <c r="M255" s="87"/>
      <c r="N255" s="77"/>
      <c r="O255" s="79"/>
      <c r="P255" s="92"/>
      <c r="Q255" s="93"/>
      <c r="S255" s="99"/>
      <c r="T255" s="99"/>
      <c r="U255" s="99"/>
      <c r="V255" s="99"/>
      <c r="W255" s="99"/>
      <c r="X255" s="99"/>
      <c r="Y255" s="99"/>
      <c r="Z255" s="99"/>
      <c r="AA255" s="99"/>
      <c r="AB255" s="99"/>
      <c r="AC255" s="98"/>
      <c r="AD255" s="98"/>
      <c r="AE255" s="98"/>
      <c r="AF255" s="98"/>
      <c r="AG255" s="98"/>
      <c r="AH255" s="98"/>
    </row>
    <row r="256" spans="2:34" x14ac:dyDescent="0.25">
      <c r="B256" s="73"/>
      <c r="C256" s="74"/>
      <c r="D256" s="80"/>
      <c r="E256" s="81"/>
      <c r="F256" s="81"/>
      <c r="G256" s="81"/>
      <c r="H256" s="81"/>
      <c r="I256" s="82"/>
      <c r="J256" s="88"/>
      <c r="K256" s="89"/>
      <c r="L256" s="88"/>
      <c r="M256" s="89"/>
      <c r="N256" s="80"/>
      <c r="O256" s="82"/>
      <c r="P256" s="94"/>
      <c r="Q256" s="95"/>
      <c r="S256" s="99"/>
      <c r="T256" s="99"/>
      <c r="U256" s="99"/>
      <c r="V256" s="99"/>
      <c r="W256" s="99"/>
      <c r="X256" s="99"/>
      <c r="Y256" s="99"/>
      <c r="Z256" s="99"/>
      <c r="AA256" s="99"/>
      <c r="AB256" s="99"/>
      <c r="AC256" s="98"/>
      <c r="AD256" s="98"/>
      <c r="AE256" s="98"/>
      <c r="AF256" s="98"/>
      <c r="AG256" s="98"/>
      <c r="AH256" s="98"/>
    </row>
    <row r="257" spans="2:34" x14ac:dyDescent="0.25">
      <c r="B257" s="75"/>
      <c r="C257" s="76"/>
      <c r="D257" s="83"/>
      <c r="E257" s="84"/>
      <c r="F257" s="84"/>
      <c r="G257" s="84"/>
      <c r="H257" s="84"/>
      <c r="I257" s="85"/>
      <c r="J257" s="90"/>
      <c r="K257" s="91"/>
      <c r="L257" s="90"/>
      <c r="M257" s="91"/>
      <c r="N257" s="83"/>
      <c r="O257" s="85"/>
      <c r="P257" s="96"/>
      <c r="Q257" s="97"/>
      <c r="S257" s="99"/>
      <c r="T257" s="99"/>
      <c r="U257" s="99"/>
      <c r="V257" s="99"/>
      <c r="W257" s="99"/>
      <c r="X257" s="99"/>
      <c r="Y257" s="99"/>
      <c r="Z257" s="99"/>
      <c r="AA257" s="99"/>
      <c r="AB257" s="99"/>
      <c r="AC257" s="98"/>
      <c r="AD257" s="98"/>
      <c r="AE257" s="98"/>
      <c r="AF257" s="98"/>
      <c r="AG257" s="98"/>
      <c r="AH257" s="98"/>
    </row>
    <row r="258" spans="2:34" x14ac:dyDescent="0.25">
      <c r="B258" s="71"/>
      <c r="C258" s="72"/>
      <c r="D258" s="77"/>
      <c r="E258" s="78"/>
      <c r="F258" s="78"/>
      <c r="G258" s="78"/>
      <c r="H258" s="78"/>
      <c r="I258" s="79"/>
      <c r="J258" s="86"/>
      <c r="K258" s="87"/>
      <c r="L258" s="86"/>
      <c r="M258" s="87"/>
      <c r="N258" s="77"/>
      <c r="O258" s="79"/>
      <c r="P258" s="92"/>
      <c r="Q258" s="93"/>
      <c r="S258" s="99"/>
      <c r="T258" s="99"/>
      <c r="U258" s="99"/>
      <c r="V258" s="99"/>
      <c r="W258" s="99"/>
      <c r="X258" s="99"/>
      <c r="Y258" s="99"/>
      <c r="Z258" s="99"/>
      <c r="AA258" s="99"/>
      <c r="AB258" s="99"/>
      <c r="AC258" s="98"/>
      <c r="AD258" s="98"/>
      <c r="AE258" s="98"/>
      <c r="AF258" s="98"/>
      <c r="AG258" s="98"/>
      <c r="AH258" s="98"/>
    </row>
    <row r="259" spans="2:34" x14ac:dyDescent="0.25">
      <c r="B259" s="73"/>
      <c r="C259" s="74"/>
      <c r="D259" s="80"/>
      <c r="E259" s="81"/>
      <c r="F259" s="81"/>
      <c r="G259" s="81"/>
      <c r="H259" s="81"/>
      <c r="I259" s="82"/>
      <c r="J259" s="88"/>
      <c r="K259" s="89"/>
      <c r="L259" s="88"/>
      <c r="M259" s="89"/>
      <c r="N259" s="80"/>
      <c r="O259" s="82"/>
      <c r="P259" s="94"/>
      <c r="Q259" s="95"/>
      <c r="S259" s="99"/>
      <c r="T259" s="99"/>
      <c r="U259" s="99"/>
      <c r="V259" s="99"/>
      <c r="W259" s="99"/>
      <c r="X259" s="99"/>
      <c r="Y259" s="99"/>
      <c r="Z259" s="99"/>
      <c r="AA259" s="99"/>
      <c r="AB259" s="99"/>
      <c r="AC259" s="98"/>
      <c r="AD259" s="98"/>
      <c r="AE259" s="98"/>
      <c r="AF259" s="98"/>
      <c r="AG259" s="98"/>
      <c r="AH259" s="98"/>
    </row>
    <row r="260" spans="2:34" x14ac:dyDescent="0.25">
      <c r="B260" s="75"/>
      <c r="C260" s="76"/>
      <c r="D260" s="83"/>
      <c r="E260" s="84"/>
      <c r="F260" s="84"/>
      <c r="G260" s="84"/>
      <c r="H260" s="84"/>
      <c r="I260" s="85"/>
      <c r="J260" s="90"/>
      <c r="K260" s="91"/>
      <c r="L260" s="90"/>
      <c r="M260" s="91"/>
      <c r="N260" s="83"/>
      <c r="O260" s="85"/>
      <c r="P260" s="96"/>
      <c r="Q260" s="97"/>
      <c r="S260" s="99"/>
      <c r="T260" s="99"/>
      <c r="U260" s="99"/>
      <c r="V260" s="99"/>
      <c r="W260" s="99"/>
      <c r="X260" s="99"/>
      <c r="Y260" s="99"/>
      <c r="Z260" s="99"/>
      <c r="AA260" s="99"/>
      <c r="AB260" s="99"/>
      <c r="AC260" s="98"/>
      <c r="AD260" s="98"/>
      <c r="AE260" s="98"/>
      <c r="AF260" s="98"/>
      <c r="AG260" s="98"/>
      <c r="AH260" s="98"/>
    </row>
    <row r="261" spans="2:34" x14ac:dyDescent="0.25">
      <c r="B261" s="71"/>
      <c r="C261" s="72"/>
      <c r="D261" s="77"/>
      <c r="E261" s="78"/>
      <c r="F261" s="78"/>
      <c r="G261" s="78"/>
      <c r="H261" s="78"/>
      <c r="I261" s="79"/>
      <c r="J261" s="86"/>
      <c r="K261" s="87"/>
      <c r="L261" s="86"/>
      <c r="M261" s="87"/>
      <c r="N261" s="77"/>
      <c r="O261" s="79"/>
      <c r="P261" s="92"/>
      <c r="Q261" s="93"/>
      <c r="S261" s="99"/>
      <c r="T261" s="99"/>
      <c r="U261" s="99"/>
      <c r="V261" s="99"/>
      <c r="W261" s="99"/>
      <c r="X261" s="99"/>
      <c r="Y261" s="99"/>
      <c r="Z261" s="99"/>
      <c r="AA261" s="99"/>
      <c r="AB261" s="99"/>
      <c r="AC261" s="98"/>
      <c r="AD261" s="98"/>
      <c r="AE261" s="98"/>
      <c r="AF261" s="98"/>
      <c r="AG261" s="98"/>
      <c r="AH261" s="98"/>
    </row>
    <row r="262" spans="2:34" x14ac:dyDescent="0.25">
      <c r="B262" s="73"/>
      <c r="C262" s="74"/>
      <c r="D262" s="80"/>
      <c r="E262" s="81"/>
      <c r="F262" s="81"/>
      <c r="G262" s="81"/>
      <c r="H262" s="81"/>
      <c r="I262" s="82"/>
      <c r="J262" s="88"/>
      <c r="K262" s="89"/>
      <c r="L262" s="88"/>
      <c r="M262" s="89"/>
      <c r="N262" s="80"/>
      <c r="O262" s="82"/>
      <c r="P262" s="94"/>
      <c r="Q262" s="95"/>
      <c r="S262" s="99"/>
      <c r="T262" s="99"/>
      <c r="U262" s="99"/>
      <c r="V262" s="99"/>
      <c r="W262" s="99"/>
      <c r="X262" s="99"/>
      <c r="Y262" s="99"/>
      <c r="Z262" s="99"/>
      <c r="AA262" s="99"/>
      <c r="AB262" s="99"/>
      <c r="AC262" s="98"/>
      <c r="AD262" s="98"/>
      <c r="AE262" s="98"/>
      <c r="AF262" s="98"/>
      <c r="AG262" s="98"/>
      <c r="AH262" s="98"/>
    </row>
    <row r="263" spans="2:34" x14ac:dyDescent="0.25">
      <c r="B263" s="75"/>
      <c r="C263" s="76"/>
      <c r="D263" s="83"/>
      <c r="E263" s="84"/>
      <c r="F263" s="84"/>
      <c r="G263" s="84"/>
      <c r="H263" s="84"/>
      <c r="I263" s="85"/>
      <c r="J263" s="90"/>
      <c r="K263" s="91"/>
      <c r="L263" s="90"/>
      <c r="M263" s="91"/>
      <c r="N263" s="83"/>
      <c r="O263" s="85"/>
      <c r="P263" s="96"/>
      <c r="Q263" s="97"/>
      <c r="S263" s="99"/>
      <c r="T263" s="99"/>
      <c r="U263" s="99"/>
      <c r="V263" s="99"/>
      <c r="W263" s="99"/>
      <c r="X263" s="99"/>
      <c r="Y263" s="99"/>
      <c r="Z263" s="99"/>
      <c r="AA263" s="99"/>
      <c r="AB263" s="99"/>
      <c r="AC263" s="98"/>
      <c r="AD263" s="98"/>
      <c r="AE263" s="98"/>
      <c r="AF263" s="98"/>
      <c r="AG263" s="98"/>
      <c r="AH263" s="98"/>
    </row>
    <row r="264" spans="2:34" x14ac:dyDescent="0.25">
      <c r="B264" s="71"/>
      <c r="C264" s="72"/>
      <c r="D264" s="77"/>
      <c r="E264" s="78"/>
      <c r="F264" s="78"/>
      <c r="G264" s="78"/>
      <c r="H264" s="78"/>
      <c r="I264" s="79"/>
      <c r="J264" s="86"/>
      <c r="K264" s="87"/>
      <c r="L264" s="86"/>
      <c r="M264" s="87"/>
      <c r="N264" s="77"/>
      <c r="O264" s="79"/>
      <c r="P264" s="92"/>
      <c r="Q264" s="93"/>
      <c r="S264" s="99"/>
      <c r="T264" s="99"/>
      <c r="U264" s="99"/>
      <c r="V264" s="99"/>
      <c r="W264" s="99"/>
      <c r="X264" s="99"/>
      <c r="Y264" s="99"/>
      <c r="Z264" s="99"/>
      <c r="AA264" s="99"/>
      <c r="AB264" s="99"/>
      <c r="AC264" s="98"/>
      <c r="AD264" s="98"/>
      <c r="AE264" s="98"/>
      <c r="AF264" s="98"/>
      <c r="AG264" s="98"/>
      <c r="AH264" s="98"/>
    </row>
    <row r="265" spans="2:34" x14ac:dyDescent="0.25">
      <c r="B265" s="73"/>
      <c r="C265" s="74"/>
      <c r="D265" s="80"/>
      <c r="E265" s="81"/>
      <c r="F265" s="81"/>
      <c r="G265" s="81"/>
      <c r="H265" s="81"/>
      <c r="I265" s="82"/>
      <c r="J265" s="88"/>
      <c r="K265" s="89"/>
      <c r="L265" s="88"/>
      <c r="M265" s="89"/>
      <c r="N265" s="80"/>
      <c r="O265" s="82"/>
      <c r="P265" s="94"/>
      <c r="Q265" s="95"/>
      <c r="S265" s="99"/>
      <c r="T265" s="99"/>
      <c r="U265" s="99"/>
      <c r="V265" s="99"/>
      <c r="W265" s="99"/>
      <c r="X265" s="99"/>
      <c r="Y265" s="99"/>
      <c r="Z265" s="99"/>
      <c r="AA265" s="99"/>
      <c r="AB265" s="99"/>
      <c r="AC265" s="98"/>
      <c r="AD265" s="98"/>
      <c r="AE265" s="98"/>
      <c r="AF265" s="98"/>
      <c r="AG265" s="98"/>
      <c r="AH265" s="98"/>
    </row>
    <row r="266" spans="2:34" x14ac:dyDescent="0.25">
      <c r="B266" s="75"/>
      <c r="C266" s="76"/>
      <c r="D266" s="83"/>
      <c r="E266" s="84"/>
      <c r="F266" s="84"/>
      <c r="G266" s="84"/>
      <c r="H266" s="84"/>
      <c r="I266" s="85"/>
      <c r="J266" s="90"/>
      <c r="K266" s="91"/>
      <c r="L266" s="90"/>
      <c r="M266" s="91"/>
      <c r="N266" s="83"/>
      <c r="O266" s="85"/>
      <c r="P266" s="96"/>
      <c r="Q266" s="97"/>
      <c r="S266" s="99"/>
      <c r="T266" s="99"/>
      <c r="U266" s="99"/>
      <c r="V266" s="99"/>
      <c r="W266" s="99"/>
      <c r="X266" s="99"/>
      <c r="Y266" s="99"/>
      <c r="Z266" s="99"/>
      <c r="AA266" s="99"/>
      <c r="AB266" s="99"/>
      <c r="AC266" s="98"/>
      <c r="AD266" s="98"/>
      <c r="AE266" s="98"/>
      <c r="AF266" s="98"/>
      <c r="AG266" s="98"/>
      <c r="AH266" s="98"/>
    </row>
    <row r="267" spans="2:34" x14ac:dyDescent="0.25">
      <c r="B267" s="71"/>
      <c r="C267" s="72"/>
      <c r="D267" s="77"/>
      <c r="E267" s="78"/>
      <c r="F267" s="78"/>
      <c r="G267" s="78"/>
      <c r="H267" s="78"/>
      <c r="I267" s="79"/>
      <c r="J267" s="86"/>
      <c r="K267" s="87"/>
      <c r="L267" s="86"/>
      <c r="M267" s="87"/>
      <c r="N267" s="77"/>
      <c r="O267" s="79"/>
      <c r="P267" s="92"/>
      <c r="Q267" s="93"/>
      <c r="S267" s="99"/>
      <c r="T267" s="99"/>
      <c r="U267" s="99"/>
      <c r="V267" s="99"/>
      <c r="W267" s="99"/>
      <c r="X267" s="99"/>
      <c r="Y267" s="99"/>
      <c r="Z267" s="99"/>
      <c r="AA267" s="99"/>
      <c r="AB267" s="99"/>
      <c r="AC267" s="98"/>
      <c r="AD267" s="98"/>
      <c r="AE267" s="98"/>
      <c r="AF267" s="98"/>
      <c r="AG267" s="98"/>
      <c r="AH267" s="98"/>
    </row>
    <row r="268" spans="2:34" x14ac:dyDescent="0.25">
      <c r="B268" s="73"/>
      <c r="C268" s="74"/>
      <c r="D268" s="80"/>
      <c r="E268" s="81"/>
      <c r="F268" s="81"/>
      <c r="G268" s="81"/>
      <c r="H268" s="81"/>
      <c r="I268" s="82"/>
      <c r="J268" s="88"/>
      <c r="K268" s="89"/>
      <c r="L268" s="88"/>
      <c r="M268" s="89"/>
      <c r="N268" s="80"/>
      <c r="O268" s="82"/>
      <c r="P268" s="94"/>
      <c r="Q268" s="95"/>
      <c r="S268" s="99"/>
      <c r="T268" s="99"/>
      <c r="U268" s="99"/>
      <c r="V268" s="99"/>
      <c r="W268" s="99"/>
      <c r="X268" s="99"/>
      <c r="Y268" s="99"/>
      <c r="Z268" s="99"/>
      <c r="AA268" s="99"/>
      <c r="AB268" s="99"/>
      <c r="AC268" s="98"/>
      <c r="AD268" s="98"/>
      <c r="AE268" s="98"/>
      <c r="AF268" s="98"/>
      <c r="AG268" s="98"/>
      <c r="AH268" s="98"/>
    </row>
    <row r="269" spans="2:34" x14ac:dyDescent="0.25">
      <c r="B269" s="75"/>
      <c r="C269" s="76"/>
      <c r="D269" s="83"/>
      <c r="E269" s="84"/>
      <c r="F269" s="84"/>
      <c r="G269" s="84"/>
      <c r="H269" s="84"/>
      <c r="I269" s="85"/>
      <c r="J269" s="90"/>
      <c r="K269" s="91"/>
      <c r="L269" s="90"/>
      <c r="M269" s="91"/>
      <c r="N269" s="83"/>
      <c r="O269" s="85"/>
      <c r="P269" s="96"/>
      <c r="Q269" s="97"/>
      <c r="S269" s="99"/>
      <c r="T269" s="99"/>
      <c r="U269" s="99"/>
      <c r="V269" s="99"/>
      <c r="W269" s="99"/>
      <c r="X269" s="99"/>
      <c r="Y269" s="99"/>
      <c r="Z269" s="99"/>
      <c r="AA269" s="99"/>
      <c r="AB269" s="99"/>
      <c r="AC269" s="98"/>
      <c r="AD269" s="98"/>
      <c r="AE269" s="98"/>
      <c r="AF269" s="98"/>
      <c r="AG269" s="98"/>
      <c r="AH269" s="98"/>
    </row>
    <row r="270" spans="2:34" x14ac:dyDescent="0.25">
      <c r="B270" s="71"/>
      <c r="C270" s="72"/>
      <c r="D270" s="77"/>
      <c r="E270" s="78"/>
      <c r="F270" s="78"/>
      <c r="G270" s="78"/>
      <c r="H270" s="78"/>
      <c r="I270" s="79"/>
      <c r="J270" s="86"/>
      <c r="K270" s="87"/>
      <c r="L270" s="86"/>
      <c r="M270" s="87"/>
      <c r="N270" s="77"/>
      <c r="O270" s="79"/>
      <c r="P270" s="92"/>
      <c r="Q270" s="93"/>
      <c r="S270" s="99"/>
      <c r="T270" s="99"/>
      <c r="U270" s="99"/>
      <c r="V270" s="99"/>
      <c r="W270" s="99"/>
      <c r="X270" s="99"/>
      <c r="Y270" s="99"/>
      <c r="Z270" s="99"/>
      <c r="AA270" s="99"/>
      <c r="AB270" s="99"/>
      <c r="AC270" s="98"/>
      <c r="AD270" s="98"/>
      <c r="AE270" s="98"/>
      <c r="AF270" s="98"/>
      <c r="AG270" s="98"/>
      <c r="AH270" s="98"/>
    </row>
    <row r="271" spans="2:34" x14ac:dyDescent="0.25">
      <c r="B271" s="73"/>
      <c r="C271" s="74"/>
      <c r="D271" s="80"/>
      <c r="E271" s="81"/>
      <c r="F271" s="81"/>
      <c r="G271" s="81"/>
      <c r="H271" s="81"/>
      <c r="I271" s="82"/>
      <c r="J271" s="88"/>
      <c r="K271" s="89"/>
      <c r="L271" s="88"/>
      <c r="M271" s="89"/>
      <c r="N271" s="80"/>
      <c r="O271" s="82"/>
      <c r="P271" s="94"/>
      <c r="Q271" s="95"/>
      <c r="S271" s="99"/>
      <c r="T271" s="99"/>
      <c r="U271" s="99"/>
      <c r="V271" s="99"/>
      <c r="W271" s="99"/>
      <c r="X271" s="99"/>
      <c r="Y271" s="99"/>
      <c r="Z271" s="99"/>
      <c r="AA271" s="99"/>
      <c r="AB271" s="99"/>
      <c r="AC271" s="98"/>
      <c r="AD271" s="98"/>
      <c r="AE271" s="98"/>
      <c r="AF271" s="98"/>
      <c r="AG271" s="98"/>
      <c r="AH271" s="98"/>
    </row>
    <row r="272" spans="2:34" x14ac:dyDescent="0.25">
      <c r="B272" s="75"/>
      <c r="C272" s="76"/>
      <c r="D272" s="83"/>
      <c r="E272" s="84"/>
      <c r="F272" s="84"/>
      <c r="G272" s="84"/>
      <c r="H272" s="84"/>
      <c r="I272" s="85"/>
      <c r="J272" s="90"/>
      <c r="K272" s="91"/>
      <c r="L272" s="90"/>
      <c r="M272" s="91"/>
      <c r="N272" s="83"/>
      <c r="O272" s="85"/>
      <c r="P272" s="96"/>
      <c r="Q272" s="97"/>
      <c r="S272" s="99"/>
      <c r="T272" s="99"/>
      <c r="U272" s="99"/>
      <c r="V272" s="99"/>
      <c r="W272" s="99"/>
      <c r="X272" s="99"/>
      <c r="Y272" s="99"/>
      <c r="Z272" s="99"/>
      <c r="AA272" s="99"/>
      <c r="AB272" s="99"/>
      <c r="AC272" s="98"/>
      <c r="AD272" s="98"/>
      <c r="AE272" s="98"/>
      <c r="AF272" s="98"/>
      <c r="AG272" s="98"/>
      <c r="AH272" s="98"/>
    </row>
    <row r="273" spans="2:34" x14ac:dyDescent="0.25">
      <c r="B273" s="71"/>
      <c r="C273" s="72"/>
      <c r="D273" s="77"/>
      <c r="E273" s="78"/>
      <c r="F273" s="78"/>
      <c r="G273" s="78"/>
      <c r="H273" s="78"/>
      <c r="I273" s="79"/>
      <c r="J273" s="86"/>
      <c r="K273" s="87"/>
      <c r="L273" s="86"/>
      <c r="M273" s="87"/>
      <c r="N273" s="77"/>
      <c r="O273" s="79"/>
      <c r="P273" s="92"/>
      <c r="Q273" s="93"/>
      <c r="S273" s="99"/>
      <c r="T273" s="99"/>
      <c r="U273" s="99"/>
      <c r="V273" s="99"/>
      <c r="W273" s="99"/>
      <c r="X273" s="99"/>
      <c r="Y273" s="99"/>
      <c r="Z273" s="99"/>
      <c r="AA273" s="99"/>
      <c r="AB273" s="99"/>
      <c r="AC273" s="98"/>
      <c r="AD273" s="98"/>
      <c r="AE273" s="98"/>
      <c r="AF273" s="98"/>
      <c r="AG273" s="98"/>
      <c r="AH273" s="98"/>
    </row>
    <row r="274" spans="2:34" x14ac:dyDescent="0.25">
      <c r="B274" s="73"/>
      <c r="C274" s="74"/>
      <c r="D274" s="80"/>
      <c r="E274" s="81"/>
      <c r="F274" s="81"/>
      <c r="G274" s="81"/>
      <c r="H274" s="81"/>
      <c r="I274" s="82"/>
      <c r="J274" s="88"/>
      <c r="K274" s="89"/>
      <c r="L274" s="88"/>
      <c r="M274" s="89"/>
      <c r="N274" s="80"/>
      <c r="O274" s="82"/>
      <c r="P274" s="94"/>
      <c r="Q274" s="95"/>
      <c r="S274" s="99"/>
      <c r="T274" s="99"/>
      <c r="U274" s="99"/>
      <c r="V274" s="99"/>
      <c r="W274" s="99"/>
      <c r="X274" s="99"/>
      <c r="Y274" s="99"/>
      <c r="Z274" s="99"/>
      <c r="AA274" s="99"/>
      <c r="AB274" s="99"/>
      <c r="AC274" s="98"/>
      <c r="AD274" s="98"/>
      <c r="AE274" s="98"/>
      <c r="AF274" s="98"/>
      <c r="AG274" s="98"/>
      <c r="AH274" s="98"/>
    </row>
    <row r="275" spans="2:34" x14ac:dyDescent="0.25">
      <c r="B275" s="75"/>
      <c r="C275" s="76"/>
      <c r="D275" s="83"/>
      <c r="E275" s="84"/>
      <c r="F275" s="84"/>
      <c r="G275" s="84"/>
      <c r="H275" s="84"/>
      <c r="I275" s="85"/>
      <c r="J275" s="90"/>
      <c r="K275" s="91"/>
      <c r="L275" s="90"/>
      <c r="M275" s="91"/>
      <c r="N275" s="83"/>
      <c r="O275" s="85"/>
      <c r="P275" s="96"/>
      <c r="Q275" s="97"/>
      <c r="S275" s="99"/>
      <c r="T275" s="99"/>
      <c r="U275" s="99"/>
      <c r="V275" s="99"/>
      <c r="W275" s="99"/>
      <c r="X275" s="99"/>
      <c r="Y275" s="99"/>
      <c r="Z275" s="99"/>
      <c r="AA275" s="99"/>
      <c r="AB275" s="99"/>
      <c r="AC275" s="98"/>
      <c r="AD275" s="98"/>
      <c r="AE275" s="98"/>
      <c r="AF275" s="98"/>
      <c r="AG275" s="98"/>
      <c r="AH275" s="98"/>
    </row>
    <row r="276" spans="2:34" x14ac:dyDescent="0.25">
      <c r="B276" s="71"/>
      <c r="C276" s="72"/>
      <c r="D276" s="77"/>
      <c r="E276" s="78"/>
      <c r="F276" s="78"/>
      <c r="G276" s="78"/>
      <c r="H276" s="78"/>
      <c r="I276" s="79"/>
      <c r="J276" s="86"/>
      <c r="K276" s="87"/>
      <c r="L276" s="86"/>
      <c r="M276" s="87"/>
      <c r="N276" s="77"/>
      <c r="O276" s="79"/>
      <c r="P276" s="92"/>
      <c r="Q276" s="93"/>
      <c r="S276" s="99"/>
      <c r="T276" s="99"/>
      <c r="U276" s="99"/>
      <c r="V276" s="99"/>
      <c r="W276" s="99"/>
      <c r="X276" s="99"/>
      <c r="Y276" s="99"/>
      <c r="Z276" s="99"/>
      <c r="AA276" s="99"/>
      <c r="AB276" s="99"/>
      <c r="AC276" s="98"/>
      <c r="AD276" s="98"/>
      <c r="AE276" s="98"/>
      <c r="AF276" s="98"/>
      <c r="AG276" s="98"/>
      <c r="AH276" s="98"/>
    </row>
    <row r="277" spans="2:34" x14ac:dyDescent="0.25">
      <c r="B277" s="73"/>
      <c r="C277" s="74"/>
      <c r="D277" s="80"/>
      <c r="E277" s="81"/>
      <c r="F277" s="81"/>
      <c r="G277" s="81"/>
      <c r="H277" s="81"/>
      <c r="I277" s="82"/>
      <c r="J277" s="88"/>
      <c r="K277" s="89"/>
      <c r="L277" s="88"/>
      <c r="M277" s="89"/>
      <c r="N277" s="80"/>
      <c r="O277" s="82"/>
      <c r="P277" s="94"/>
      <c r="Q277" s="95"/>
      <c r="S277" s="99"/>
      <c r="T277" s="99"/>
      <c r="U277" s="99"/>
      <c r="V277" s="99"/>
      <c r="W277" s="99"/>
      <c r="X277" s="99"/>
      <c r="Y277" s="99"/>
      <c r="Z277" s="99"/>
      <c r="AA277" s="99"/>
      <c r="AB277" s="99"/>
      <c r="AC277" s="98"/>
      <c r="AD277" s="98"/>
      <c r="AE277" s="98"/>
      <c r="AF277" s="98"/>
      <c r="AG277" s="98"/>
      <c r="AH277" s="98"/>
    </row>
    <row r="278" spans="2:34" x14ac:dyDescent="0.25">
      <c r="B278" s="75"/>
      <c r="C278" s="76"/>
      <c r="D278" s="83"/>
      <c r="E278" s="84"/>
      <c r="F278" s="84"/>
      <c r="G278" s="84"/>
      <c r="H278" s="84"/>
      <c r="I278" s="85"/>
      <c r="J278" s="90"/>
      <c r="K278" s="91"/>
      <c r="L278" s="90"/>
      <c r="M278" s="91"/>
      <c r="N278" s="83"/>
      <c r="O278" s="85"/>
      <c r="P278" s="96"/>
      <c r="Q278" s="97"/>
      <c r="S278" s="99"/>
      <c r="T278" s="99"/>
      <c r="U278" s="99"/>
      <c r="V278" s="99"/>
      <c r="W278" s="99"/>
      <c r="X278" s="99"/>
      <c r="Y278" s="99"/>
      <c r="Z278" s="99"/>
      <c r="AA278" s="99"/>
      <c r="AB278" s="99"/>
      <c r="AC278" s="98"/>
      <c r="AD278" s="98"/>
      <c r="AE278" s="98"/>
      <c r="AF278" s="98"/>
      <c r="AG278" s="98"/>
      <c r="AH278" s="98"/>
    </row>
    <row r="279" spans="2:34" x14ac:dyDescent="0.25">
      <c r="B279" s="71"/>
      <c r="C279" s="72"/>
      <c r="D279" s="77"/>
      <c r="E279" s="78"/>
      <c r="F279" s="78"/>
      <c r="G279" s="78"/>
      <c r="H279" s="78"/>
      <c r="I279" s="79"/>
      <c r="J279" s="86"/>
      <c r="K279" s="87"/>
      <c r="L279" s="86"/>
      <c r="M279" s="87"/>
      <c r="N279" s="77"/>
      <c r="O279" s="79"/>
      <c r="P279" s="92"/>
      <c r="Q279" s="93"/>
      <c r="S279" s="99"/>
      <c r="T279" s="99"/>
      <c r="U279" s="99"/>
      <c r="V279" s="99"/>
      <c r="W279" s="99"/>
      <c r="X279" s="99"/>
      <c r="Y279" s="99"/>
      <c r="Z279" s="99"/>
      <c r="AA279" s="99"/>
      <c r="AB279" s="99"/>
      <c r="AC279" s="98"/>
      <c r="AD279" s="98"/>
      <c r="AE279" s="98"/>
      <c r="AF279" s="98"/>
      <c r="AG279" s="98"/>
      <c r="AH279" s="98"/>
    </row>
    <row r="280" spans="2:34" x14ac:dyDescent="0.25">
      <c r="B280" s="73"/>
      <c r="C280" s="74"/>
      <c r="D280" s="80"/>
      <c r="E280" s="81"/>
      <c r="F280" s="81"/>
      <c r="G280" s="81"/>
      <c r="H280" s="81"/>
      <c r="I280" s="82"/>
      <c r="J280" s="88"/>
      <c r="K280" s="89"/>
      <c r="L280" s="88"/>
      <c r="M280" s="89"/>
      <c r="N280" s="80"/>
      <c r="O280" s="82"/>
      <c r="P280" s="94"/>
      <c r="Q280" s="95"/>
      <c r="S280" s="99"/>
      <c r="T280" s="99"/>
      <c r="U280" s="99"/>
      <c r="V280" s="99"/>
      <c r="W280" s="99"/>
      <c r="X280" s="99"/>
      <c r="Y280" s="99"/>
      <c r="Z280" s="99"/>
      <c r="AA280" s="99"/>
      <c r="AB280" s="99"/>
      <c r="AC280" s="98"/>
      <c r="AD280" s="98"/>
      <c r="AE280" s="98"/>
      <c r="AF280" s="98"/>
      <c r="AG280" s="98"/>
      <c r="AH280" s="98"/>
    </row>
    <row r="281" spans="2:34" x14ac:dyDescent="0.25">
      <c r="B281" s="75"/>
      <c r="C281" s="76"/>
      <c r="D281" s="83"/>
      <c r="E281" s="84"/>
      <c r="F281" s="84"/>
      <c r="G281" s="84"/>
      <c r="H281" s="84"/>
      <c r="I281" s="85"/>
      <c r="J281" s="90"/>
      <c r="K281" s="91"/>
      <c r="L281" s="90"/>
      <c r="M281" s="91"/>
      <c r="N281" s="83"/>
      <c r="O281" s="85"/>
      <c r="P281" s="96"/>
      <c r="Q281" s="97"/>
      <c r="S281" s="99"/>
      <c r="T281" s="99"/>
      <c r="U281" s="99"/>
      <c r="V281" s="99"/>
      <c r="W281" s="99"/>
      <c r="X281" s="99"/>
      <c r="Y281" s="99"/>
      <c r="Z281" s="99"/>
      <c r="AA281" s="99"/>
      <c r="AB281" s="99"/>
      <c r="AC281" s="98"/>
      <c r="AD281" s="98"/>
      <c r="AE281" s="98"/>
      <c r="AF281" s="98"/>
      <c r="AG281" s="98"/>
      <c r="AH281" s="98"/>
    </row>
    <row r="282" spans="2:34" x14ac:dyDescent="0.25">
      <c r="B282" s="71"/>
      <c r="C282" s="72"/>
      <c r="D282" s="77"/>
      <c r="E282" s="78"/>
      <c r="F282" s="78"/>
      <c r="G282" s="78"/>
      <c r="H282" s="78"/>
      <c r="I282" s="79"/>
      <c r="J282" s="86"/>
      <c r="K282" s="87"/>
      <c r="L282" s="86"/>
      <c r="M282" s="87"/>
      <c r="N282" s="77"/>
      <c r="O282" s="79"/>
      <c r="P282" s="92"/>
      <c r="Q282" s="93"/>
      <c r="S282" s="99"/>
      <c r="T282" s="99"/>
      <c r="U282" s="99"/>
      <c r="V282" s="99"/>
      <c r="W282" s="99"/>
      <c r="X282" s="99"/>
      <c r="Y282" s="99"/>
      <c r="Z282" s="99"/>
      <c r="AA282" s="99"/>
      <c r="AB282" s="99"/>
      <c r="AC282" s="98"/>
      <c r="AD282" s="98"/>
      <c r="AE282" s="98"/>
      <c r="AF282" s="98"/>
      <c r="AG282" s="98"/>
      <c r="AH282" s="98"/>
    </row>
    <row r="283" spans="2:34" x14ac:dyDescent="0.25">
      <c r="B283" s="73"/>
      <c r="C283" s="74"/>
      <c r="D283" s="80"/>
      <c r="E283" s="81"/>
      <c r="F283" s="81"/>
      <c r="G283" s="81"/>
      <c r="H283" s="81"/>
      <c r="I283" s="82"/>
      <c r="J283" s="88"/>
      <c r="K283" s="89"/>
      <c r="L283" s="88"/>
      <c r="M283" s="89"/>
      <c r="N283" s="80"/>
      <c r="O283" s="82"/>
      <c r="P283" s="94"/>
      <c r="Q283" s="95"/>
      <c r="S283" s="99"/>
      <c r="T283" s="99"/>
      <c r="U283" s="99"/>
      <c r="V283" s="99"/>
      <c r="W283" s="99"/>
      <c r="X283" s="99"/>
      <c r="Y283" s="99"/>
      <c r="Z283" s="99"/>
      <c r="AA283" s="99"/>
      <c r="AB283" s="99"/>
      <c r="AC283" s="98"/>
      <c r="AD283" s="98"/>
      <c r="AE283" s="98"/>
      <c r="AF283" s="98"/>
      <c r="AG283" s="98"/>
      <c r="AH283" s="98"/>
    </row>
    <row r="284" spans="2:34" x14ac:dyDescent="0.25">
      <c r="B284" s="75"/>
      <c r="C284" s="76"/>
      <c r="D284" s="83"/>
      <c r="E284" s="84"/>
      <c r="F284" s="84"/>
      <c r="G284" s="84"/>
      <c r="H284" s="84"/>
      <c r="I284" s="85"/>
      <c r="J284" s="90"/>
      <c r="K284" s="91"/>
      <c r="L284" s="90"/>
      <c r="M284" s="91"/>
      <c r="N284" s="83"/>
      <c r="O284" s="85"/>
      <c r="P284" s="96"/>
      <c r="Q284" s="97"/>
      <c r="S284" s="99"/>
      <c r="T284" s="99"/>
      <c r="U284" s="99"/>
      <c r="V284" s="99"/>
      <c r="W284" s="99"/>
      <c r="X284" s="99"/>
      <c r="Y284" s="99"/>
      <c r="Z284" s="99"/>
      <c r="AA284" s="99"/>
      <c r="AB284" s="99"/>
      <c r="AC284" s="98"/>
      <c r="AD284" s="98"/>
      <c r="AE284" s="98"/>
      <c r="AF284" s="98"/>
      <c r="AG284" s="98"/>
      <c r="AH284" s="98"/>
    </row>
    <row r="285" spans="2:34" x14ac:dyDescent="0.25">
      <c r="B285" s="71"/>
      <c r="C285" s="72"/>
      <c r="D285" s="77"/>
      <c r="E285" s="78"/>
      <c r="F285" s="78"/>
      <c r="G285" s="78"/>
      <c r="H285" s="78"/>
      <c r="I285" s="79"/>
      <c r="J285" s="86"/>
      <c r="K285" s="87"/>
      <c r="L285" s="86"/>
      <c r="M285" s="87"/>
      <c r="N285" s="77"/>
      <c r="O285" s="79"/>
      <c r="P285" s="92"/>
      <c r="Q285" s="93"/>
      <c r="S285" s="99"/>
      <c r="T285" s="99"/>
      <c r="U285" s="99"/>
      <c r="V285" s="99"/>
      <c r="W285" s="99"/>
      <c r="X285" s="99"/>
      <c r="Y285" s="99"/>
      <c r="Z285" s="99"/>
      <c r="AA285" s="99"/>
      <c r="AB285" s="99"/>
      <c r="AC285" s="98"/>
      <c r="AD285" s="98"/>
      <c r="AE285" s="98"/>
      <c r="AF285" s="98"/>
      <c r="AG285" s="98"/>
      <c r="AH285" s="98"/>
    </row>
    <row r="286" spans="2:34" x14ac:dyDescent="0.25">
      <c r="B286" s="73"/>
      <c r="C286" s="74"/>
      <c r="D286" s="80"/>
      <c r="E286" s="81"/>
      <c r="F286" s="81"/>
      <c r="G286" s="81"/>
      <c r="H286" s="81"/>
      <c r="I286" s="82"/>
      <c r="J286" s="88"/>
      <c r="K286" s="89"/>
      <c r="L286" s="88"/>
      <c r="M286" s="89"/>
      <c r="N286" s="80"/>
      <c r="O286" s="82"/>
      <c r="P286" s="94"/>
      <c r="Q286" s="95"/>
      <c r="S286" s="99"/>
      <c r="T286" s="99"/>
      <c r="U286" s="99"/>
      <c r="V286" s="99"/>
      <c r="W286" s="99"/>
      <c r="X286" s="99"/>
      <c r="Y286" s="99"/>
      <c r="Z286" s="99"/>
      <c r="AA286" s="99"/>
      <c r="AB286" s="99"/>
      <c r="AC286" s="98"/>
      <c r="AD286" s="98"/>
      <c r="AE286" s="98"/>
      <c r="AF286" s="98"/>
      <c r="AG286" s="98"/>
      <c r="AH286" s="98"/>
    </row>
    <row r="287" spans="2:34" x14ac:dyDescent="0.25">
      <c r="B287" s="75"/>
      <c r="C287" s="76"/>
      <c r="D287" s="83"/>
      <c r="E287" s="84"/>
      <c r="F287" s="84"/>
      <c r="G287" s="84"/>
      <c r="H287" s="84"/>
      <c r="I287" s="85"/>
      <c r="J287" s="90"/>
      <c r="K287" s="91"/>
      <c r="L287" s="90"/>
      <c r="M287" s="91"/>
      <c r="N287" s="83"/>
      <c r="O287" s="85"/>
      <c r="P287" s="96"/>
      <c r="Q287" s="97"/>
      <c r="S287" s="99"/>
      <c r="T287" s="99"/>
      <c r="U287" s="99"/>
      <c r="V287" s="99"/>
      <c r="W287" s="99"/>
      <c r="X287" s="99"/>
      <c r="Y287" s="99"/>
      <c r="Z287" s="99"/>
      <c r="AA287" s="99"/>
      <c r="AB287" s="99"/>
      <c r="AC287" s="98"/>
      <c r="AD287" s="98"/>
      <c r="AE287" s="98"/>
      <c r="AF287" s="98"/>
      <c r="AG287" s="98"/>
      <c r="AH287" s="98"/>
    </row>
    <row r="288" spans="2:34" x14ac:dyDescent="0.25">
      <c r="B288" s="71"/>
      <c r="C288" s="72"/>
      <c r="D288" s="77"/>
      <c r="E288" s="78"/>
      <c r="F288" s="78"/>
      <c r="G288" s="78"/>
      <c r="H288" s="78"/>
      <c r="I288" s="79"/>
      <c r="J288" s="86"/>
      <c r="K288" s="87"/>
      <c r="L288" s="86"/>
      <c r="M288" s="87"/>
      <c r="N288" s="77"/>
      <c r="O288" s="79"/>
      <c r="P288" s="92"/>
      <c r="Q288" s="93"/>
      <c r="S288" s="99"/>
      <c r="T288" s="99"/>
      <c r="U288" s="99"/>
      <c r="V288" s="99"/>
      <c r="W288" s="99"/>
      <c r="X288" s="99"/>
      <c r="Y288" s="99"/>
      <c r="Z288" s="99"/>
      <c r="AA288" s="99"/>
      <c r="AB288" s="99"/>
      <c r="AC288" s="98"/>
      <c r="AD288" s="98"/>
      <c r="AE288" s="98"/>
      <c r="AF288" s="98"/>
      <c r="AG288" s="98"/>
      <c r="AH288" s="98"/>
    </row>
    <row r="289" spans="2:34" x14ac:dyDescent="0.25">
      <c r="B289" s="73"/>
      <c r="C289" s="74"/>
      <c r="D289" s="80"/>
      <c r="E289" s="81"/>
      <c r="F289" s="81"/>
      <c r="G289" s="81"/>
      <c r="H289" s="81"/>
      <c r="I289" s="82"/>
      <c r="J289" s="88"/>
      <c r="K289" s="89"/>
      <c r="L289" s="88"/>
      <c r="M289" s="89"/>
      <c r="N289" s="80"/>
      <c r="O289" s="82"/>
      <c r="P289" s="94"/>
      <c r="Q289" s="95"/>
      <c r="S289" s="99"/>
      <c r="T289" s="99"/>
      <c r="U289" s="99"/>
      <c r="V289" s="99"/>
      <c r="W289" s="99"/>
      <c r="X289" s="99"/>
      <c r="Y289" s="99"/>
      <c r="Z289" s="99"/>
      <c r="AA289" s="99"/>
      <c r="AB289" s="99"/>
      <c r="AC289" s="98"/>
      <c r="AD289" s="98"/>
      <c r="AE289" s="98"/>
      <c r="AF289" s="98"/>
      <c r="AG289" s="98"/>
      <c r="AH289" s="98"/>
    </row>
    <row r="290" spans="2:34" x14ac:dyDescent="0.25">
      <c r="B290" s="75"/>
      <c r="C290" s="76"/>
      <c r="D290" s="83"/>
      <c r="E290" s="84"/>
      <c r="F290" s="84"/>
      <c r="G290" s="84"/>
      <c r="H290" s="84"/>
      <c r="I290" s="85"/>
      <c r="J290" s="90"/>
      <c r="K290" s="91"/>
      <c r="L290" s="90"/>
      <c r="M290" s="91"/>
      <c r="N290" s="83"/>
      <c r="O290" s="85"/>
      <c r="P290" s="96"/>
      <c r="Q290" s="97"/>
      <c r="S290" s="99"/>
      <c r="T290" s="99"/>
      <c r="U290" s="99"/>
      <c r="V290" s="99"/>
      <c r="W290" s="99"/>
      <c r="X290" s="99"/>
      <c r="Y290" s="99"/>
      <c r="Z290" s="99"/>
      <c r="AA290" s="99"/>
      <c r="AB290" s="99"/>
      <c r="AC290" s="98"/>
      <c r="AD290" s="98"/>
      <c r="AE290" s="98"/>
      <c r="AF290" s="98"/>
      <c r="AG290" s="98"/>
      <c r="AH290" s="98"/>
    </row>
    <row r="291" spans="2:34" x14ac:dyDescent="0.25">
      <c r="B291" s="71"/>
      <c r="C291" s="72"/>
      <c r="D291" s="77"/>
      <c r="E291" s="78"/>
      <c r="F291" s="78"/>
      <c r="G291" s="78"/>
      <c r="H291" s="78"/>
      <c r="I291" s="79"/>
      <c r="J291" s="86"/>
      <c r="K291" s="87"/>
      <c r="L291" s="86"/>
      <c r="M291" s="87"/>
      <c r="N291" s="77"/>
      <c r="O291" s="79"/>
      <c r="P291" s="92"/>
      <c r="Q291" s="93"/>
      <c r="S291" s="99"/>
      <c r="T291" s="99"/>
      <c r="U291" s="99"/>
      <c r="V291" s="99"/>
      <c r="W291" s="99"/>
      <c r="X291" s="99"/>
      <c r="Y291" s="99"/>
      <c r="Z291" s="99"/>
      <c r="AA291" s="99"/>
      <c r="AB291" s="99"/>
      <c r="AC291" s="98"/>
      <c r="AD291" s="98"/>
      <c r="AE291" s="98"/>
      <c r="AF291" s="98"/>
      <c r="AG291" s="98"/>
      <c r="AH291" s="98"/>
    </row>
    <row r="292" spans="2:34" x14ac:dyDescent="0.25">
      <c r="B292" s="73"/>
      <c r="C292" s="74"/>
      <c r="D292" s="80"/>
      <c r="E292" s="81"/>
      <c r="F292" s="81"/>
      <c r="G292" s="81"/>
      <c r="H292" s="81"/>
      <c r="I292" s="82"/>
      <c r="J292" s="88"/>
      <c r="K292" s="89"/>
      <c r="L292" s="88"/>
      <c r="M292" s="89"/>
      <c r="N292" s="80"/>
      <c r="O292" s="82"/>
      <c r="P292" s="94"/>
      <c r="Q292" s="95"/>
      <c r="S292" s="99"/>
      <c r="T292" s="99"/>
      <c r="U292" s="99"/>
      <c r="V292" s="99"/>
      <c r="W292" s="99"/>
      <c r="X292" s="99"/>
      <c r="Y292" s="99"/>
      <c r="Z292" s="99"/>
      <c r="AA292" s="99"/>
      <c r="AB292" s="99"/>
      <c r="AC292" s="98"/>
      <c r="AD292" s="98"/>
      <c r="AE292" s="98"/>
      <c r="AF292" s="98"/>
      <c r="AG292" s="98"/>
      <c r="AH292" s="98"/>
    </row>
    <row r="293" spans="2:34" x14ac:dyDescent="0.25">
      <c r="B293" s="75"/>
      <c r="C293" s="76"/>
      <c r="D293" s="83"/>
      <c r="E293" s="84"/>
      <c r="F293" s="84"/>
      <c r="G293" s="84"/>
      <c r="H293" s="84"/>
      <c r="I293" s="85"/>
      <c r="J293" s="90"/>
      <c r="K293" s="91"/>
      <c r="L293" s="90"/>
      <c r="M293" s="91"/>
      <c r="N293" s="83"/>
      <c r="O293" s="85"/>
      <c r="P293" s="96"/>
      <c r="Q293" s="97"/>
      <c r="S293" s="99"/>
      <c r="T293" s="99"/>
      <c r="U293" s="99"/>
      <c r="V293" s="99"/>
      <c r="W293" s="99"/>
      <c r="X293" s="99"/>
      <c r="Y293" s="99"/>
      <c r="Z293" s="99"/>
      <c r="AA293" s="99"/>
      <c r="AB293" s="99"/>
      <c r="AC293" s="98"/>
      <c r="AD293" s="98"/>
      <c r="AE293" s="98"/>
      <c r="AF293" s="98"/>
      <c r="AG293" s="98"/>
      <c r="AH293" s="98"/>
    </row>
    <row r="294" spans="2:34" x14ac:dyDescent="0.25">
      <c r="B294" s="71"/>
      <c r="C294" s="72"/>
      <c r="D294" s="77"/>
      <c r="E294" s="78"/>
      <c r="F294" s="78"/>
      <c r="G294" s="78"/>
      <c r="H294" s="78"/>
      <c r="I294" s="79"/>
      <c r="J294" s="86"/>
      <c r="K294" s="87"/>
      <c r="L294" s="86"/>
      <c r="M294" s="87"/>
      <c r="N294" s="77"/>
      <c r="O294" s="79"/>
      <c r="P294" s="92"/>
      <c r="Q294" s="93"/>
      <c r="S294" s="99"/>
      <c r="T294" s="99"/>
      <c r="U294" s="99"/>
      <c r="V294" s="99"/>
      <c r="W294" s="99"/>
      <c r="X294" s="99"/>
      <c r="Y294" s="99"/>
      <c r="Z294" s="99"/>
      <c r="AA294" s="99"/>
      <c r="AB294" s="99"/>
      <c r="AC294" s="98"/>
      <c r="AD294" s="98"/>
      <c r="AE294" s="98"/>
      <c r="AF294" s="98"/>
      <c r="AG294" s="98"/>
      <c r="AH294" s="98"/>
    </row>
    <row r="295" spans="2:34" x14ac:dyDescent="0.25">
      <c r="B295" s="73"/>
      <c r="C295" s="74"/>
      <c r="D295" s="80"/>
      <c r="E295" s="81"/>
      <c r="F295" s="81"/>
      <c r="G295" s="81"/>
      <c r="H295" s="81"/>
      <c r="I295" s="82"/>
      <c r="J295" s="88"/>
      <c r="K295" s="89"/>
      <c r="L295" s="88"/>
      <c r="M295" s="89"/>
      <c r="N295" s="80"/>
      <c r="O295" s="82"/>
      <c r="P295" s="94"/>
      <c r="Q295" s="95"/>
      <c r="S295" s="99"/>
      <c r="T295" s="99"/>
      <c r="U295" s="99"/>
      <c r="V295" s="99"/>
      <c r="W295" s="99"/>
      <c r="X295" s="99"/>
      <c r="Y295" s="99"/>
      <c r="Z295" s="99"/>
      <c r="AA295" s="99"/>
      <c r="AB295" s="99"/>
      <c r="AC295" s="98"/>
      <c r="AD295" s="98"/>
      <c r="AE295" s="98"/>
      <c r="AF295" s="98"/>
      <c r="AG295" s="98"/>
      <c r="AH295" s="98"/>
    </row>
    <row r="296" spans="2:34" x14ac:dyDescent="0.25">
      <c r="B296" s="75"/>
      <c r="C296" s="76"/>
      <c r="D296" s="83"/>
      <c r="E296" s="84"/>
      <c r="F296" s="84"/>
      <c r="G296" s="84"/>
      <c r="H296" s="84"/>
      <c r="I296" s="85"/>
      <c r="J296" s="90"/>
      <c r="K296" s="91"/>
      <c r="L296" s="90"/>
      <c r="M296" s="91"/>
      <c r="N296" s="83"/>
      <c r="O296" s="85"/>
      <c r="P296" s="96"/>
      <c r="Q296" s="97"/>
      <c r="S296" s="99"/>
      <c r="T296" s="99"/>
      <c r="U296" s="99"/>
      <c r="V296" s="99"/>
      <c r="W296" s="99"/>
      <c r="X296" s="99"/>
      <c r="Y296" s="99"/>
      <c r="Z296" s="99"/>
      <c r="AA296" s="99"/>
      <c r="AB296" s="99"/>
      <c r="AC296" s="98"/>
      <c r="AD296" s="98"/>
      <c r="AE296" s="98"/>
      <c r="AF296" s="98"/>
      <c r="AG296" s="98"/>
      <c r="AH296" s="98"/>
    </row>
    <row r="297" spans="2:34" x14ac:dyDescent="0.25">
      <c r="B297" s="71"/>
      <c r="C297" s="72"/>
      <c r="D297" s="77"/>
      <c r="E297" s="78"/>
      <c r="F297" s="78"/>
      <c r="G297" s="78"/>
      <c r="H297" s="78"/>
      <c r="I297" s="79"/>
      <c r="J297" s="86"/>
      <c r="K297" s="87"/>
      <c r="L297" s="86"/>
      <c r="M297" s="87"/>
      <c r="N297" s="77"/>
      <c r="O297" s="79"/>
      <c r="P297" s="92"/>
      <c r="Q297" s="93"/>
      <c r="S297" s="99"/>
      <c r="T297" s="99"/>
      <c r="U297" s="99"/>
      <c r="V297" s="99"/>
      <c r="W297" s="99"/>
      <c r="X297" s="99"/>
      <c r="Y297" s="99"/>
      <c r="Z297" s="99"/>
      <c r="AA297" s="99"/>
      <c r="AB297" s="99"/>
      <c r="AC297" s="98"/>
      <c r="AD297" s="98"/>
      <c r="AE297" s="98"/>
      <c r="AF297" s="98"/>
      <c r="AG297" s="98"/>
      <c r="AH297" s="98"/>
    </row>
    <row r="298" spans="2:34" x14ac:dyDescent="0.25">
      <c r="B298" s="73"/>
      <c r="C298" s="74"/>
      <c r="D298" s="80"/>
      <c r="E298" s="81"/>
      <c r="F298" s="81"/>
      <c r="G298" s="81"/>
      <c r="H298" s="81"/>
      <c r="I298" s="82"/>
      <c r="J298" s="88"/>
      <c r="K298" s="89"/>
      <c r="L298" s="88"/>
      <c r="M298" s="89"/>
      <c r="N298" s="80"/>
      <c r="O298" s="82"/>
      <c r="P298" s="94"/>
      <c r="Q298" s="95"/>
      <c r="S298" s="99"/>
      <c r="T298" s="99"/>
      <c r="U298" s="99"/>
      <c r="V298" s="99"/>
      <c r="W298" s="99"/>
      <c r="X298" s="99"/>
      <c r="Y298" s="99"/>
      <c r="Z298" s="99"/>
      <c r="AA298" s="99"/>
      <c r="AB298" s="99"/>
      <c r="AC298" s="98"/>
      <c r="AD298" s="98"/>
      <c r="AE298" s="98"/>
      <c r="AF298" s="98"/>
      <c r="AG298" s="98"/>
      <c r="AH298" s="98"/>
    </row>
    <row r="299" spans="2:34" x14ac:dyDescent="0.25">
      <c r="B299" s="75"/>
      <c r="C299" s="76"/>
      <c r="D299" s="83"/>
      <c r="E299" s="84"/>
      <c r="F299" s="84"/>
      <c r="G299" s="84"/>
      <c r="H299" s="84"/>
      <c r="I299" s="85"/>
      <c r="J299" s="90"/>
      <c r="K299" s="91"/>
      <c r="L299" s="90"/>
      <c r="M299" s="91"/>
      <c r="N299" s="83"/>
      <c r="O299" s="85"/>
      <c r="P299" s="96"/>
      <c r="Q299" s="97"/>
      <c r="S299" s="99"/>
      <c r="T299" s="99"/>
      <c r="U299" s="99"/>
      <c r="V299" s="99"/>
      <c r="W299" s="99"/>
      <c r="X299" s="99"/>
      <c r="Y299" s="99"/>
      <c r="Z299" s="99"/>
      <c r="AA299" s="99"/>
      <c r="AB299" s="99"/>
      <c r="AC299" s="98"/>
      <c r="AD299" s="98"/>
      <c r="AE299" s="98"/>
      <c r="AF299" s="98"/>
      <c r="AG299" s="98"/>
      <c r="AH299" s="98"/>
    </row>
    <row r="300" spans="2:34" x14ac:dyDescent="0.25">
      <c r="B300" s="71"/>
      <c r="C300" s="72"/>
      <c r="D300" s="77"/>
      <c r="E300" s="78"/>
      <c r="F300" s="78"/>
      <c r="G300" s="78"/>
      <c r="H300" s="78"/>
      <c r="I300" s="79"/>
      <c r="J300" s="86"/>
      <c r="K300" s="87"/>
      <c r="L300" s="86"/>
      <c r="M300" s="87"/>
      <c r="N300" s="77"/>
      <c r="O300" s="79"/>
      <c r="P300" s="92"/>
      <c r="Q300" s="93"/>
      <c r="S300" s="99"/>
      <c r="T300" s="99"/>
      <c r="U300" s="99"/>
      <c r="V300" s="99"/>
      <c r="W300" s="99"/>
      <c r="X300" s="99"/>
      <c r="Y300" s="99"/>
      <c r="Z300" s="99"/>
      <c r="AA300" s="99"/>
      <c r="AB300" s="99"/>
      <c r="AC300" s="98"/>
      <c r="AD300" s="98"/>
      <c r="AE300" s="98"/>
      <c r="AF300" s="98"/>
      <c r="AG300" s="98"/>
      <c r="AH300" s="98"/>
    </row>
    <row r="301" spans="2:34" x14ac:dyDescent="0.25">
      <c r="B301" s="73"/>
      <c r="C301" s="74"/>
      <c r="D301" s="80"/>
      <c r="E301" s="81"/>
      <c r="F301" s="81"/>
      <c r="G301" s="81"/>
      <c r="H301" s="81"/>
      <c r="I301" s="82"/>
      <c r="J301" s="88"/>
      <c r="K301" s="89"/>
      <c r="L301" s="88"/>
      <c r="M301" s="89"/>
      <c r="N301" s="80"/>
      <c r="O301" s="82"/>
      <c r="P301" s="94"/>
      <c r="Q301" s="95"/>
      <c r="S301" s="99"/>
      <c r="T301" s="99"/>
      <c r="U301" s="99"/>
      <c r="V301" s="99"/>
      <c r="W301" s="99"/>
      <c r="X301" s="99"/>
      <c r="Y301" s="99"/>
      <c r="Z301" s="99"/>
      <c r="AA301" s="99"/>
      <c r="AB301" s="99"/>
      <c r="AC301" s="98"/>
      <c r="AD301" s="98"/>
      <c r="AE301" s="98"/>
      <c r="AF301" s="98"/>
      <c r="AG301" s="98"/>
      <c r="AH301" s="98"/>
    </row>
    <row r="302" spans="2:34" x14ac:dyDescent="0.25">
      <c r="B302" s="75"/>
      <c r="C302" s="76"/>
      <c r="D302" s="83"/>
      <c r="E302" s="84"/>
      <c r="F302" s="84"/>
      <c r="G302" s="84"/>
      <c r="H302" s="84"/>
      <c r="I302" s="85"/>
      <c r="J302" s="90"/>
      <c r="K302" s="91"/>
      <c r="L302" s="90"/>
      <c r="M302" s="91"/>
      <c r="N302" s="83"/>
      <c r="O302" s="85"/>
      <c r="P302" s="96"/>
      <c r="Q302" s="97"/>
      <c r="S302" s="99"/>
      <c r="T302" s="99"/>
      <c r="U302" s="99"/>
      <c r="V302" s="99"/>
      <c r="W302" s="99"/>
      <c r="X302" s="99"/>
      <c r="Y302" s="99"/>
      <c r="Z302" s="99"/>
      <c r="AA302" s="99"/>
      <c r="AB302" s="99"/>
      <c r="AC302" s="98"/>
      <c r="AD302" s="98"/>
      <c r="AE302" s="98"/>
      <c r="AF302" s="98"/>
      <c r="AG302" s="98"/>
      <c r="AH302" s="98"/>
    </row>
    <row r="303" spans="2:34" x14ac:dyDescent="0.25">
      <c r="B303" s="71"/>
      <c r="C303" s="72"/>
      <c r="D303" s="77"/>
      <c r="E303" s="78"/>
      <c r="F303" s="78"/>
      <c r="G303" s="78"/>
      <c r="H303" s="78"/>
      <c r="I303" s="79"/>
      <c r="J303" s="86"/>
      <c r="K303" s="87"/>
      <c r="L303" s="86"/>
      <c r="M303" s="87"/>
      <c r="N303" s="77"/>
      <c r="O303" s="79"/>
      <c r="P303" s="92"/>
      <c r="Q303" s="93"/>
      <c r="S303" s="99"/>
      <c r="T303" s="99"/>
      <c r="U303" s="99"/>
      <c r="V303" s="99"/>
      <c r="W303" s="99"/>
      <c r="X303" s="99"/>
      <c r="Y303" s="99"/>
      <c r="Z303" s="99"/>
      <c r="AA303" s="99"/>
      <c r="AB303" s="99"/>
      <c r="AC303" s="98"/>
      <c r="AD303" s="98"/>
      <c r="AE303" s="98"/>
      <c r="AF303" s="98"/>
      <c r="AG303" s="98"/>
      <c r="AH303" s="98"/>
    </row>
    <row r="304" spans="2:34" x14ac:dyDescent="0.25">
      <c r="B304" s="73"/>
      <c r="C304" s="74"/>
      <c r="D304" s="80"/>
      <c r="E304" s="81"/>
      <c r="F304" s="81"/>
      <c r="G304" s="81"/>
      <c r="H304" s="81"/>
      <c r="I304" s="82"/>
      <c r="J304" s="88"/>
      <c r="K304" s="89"/>
      <c r="L304" s="88"/>
      <c r="M304" s="89"/>
      <c r="N304" s="80"/>
      <c r="O304" s="82"/>
      <c r="P304" s="94"/>
      <c r="Q304" s="95"/>
      <c r="S304" s="99"/>
      <c r="T304" s="99"/>
      <c r="U304" s="99"/>
      <c r="V304" s="99"/>
      <c r="W304" s="99"/>
      <c r="X304" s="99"/>
      <c r="Y304" s="99"/>
      <c r="Z304" s="99"/>
      <c r="AA304" s="99"/>
      <c r="AB304" s="99"/>
      <c r="AC304" s="98"/>
      <c r="AD304" s="98"/>
      <c r="AE304" s="98"/>
      <c r="AF304" s="98"/>
      <c r="AG304" s="98"/>
      <c r="AH304" s="98"/>
    </row>
    <row r="305" spans="2:34" x14ac:dyDescent="0.25">
      <c r="B305" s="75"/>
      <c r="C305" s="76"/>
      <c r="D305" s="83"/>
      <c r="E305" s="84"/>
      <c r="F305" s="84"/>
      <c r="G305" s="84"/>
      <c r="H305" s="84"/>
      <c r="I305" s="85"/>
      <c r="J305" s="90"/>
      <c r="K305" s="91"/>
      <c r="L305" s="90"/>
      <c r="M305" s="91"/>
      <c r="N305" s="83"/>
      <c r="O305" s="85"/>
      <c r="P305" s="96"/>
      <c r="Q305" s="97"/>
      <c r="S305" s="99"/>
      <c r="T305" s="99"/>
      <c r="U305" s="99"/>
      <c r="V305" s="99"/>
      <c r="W305" s="99"/>
      <c r="X305" s="99"/>
      <c r="Y305" s="99"/>
      <c r="Z305" s="99"/>
      <c r="AA305" s="99"/>
      <c r="AB305" s="99"/>
      <c r="AC305" s="98"/>
      <c r="AD305" s="98"/>
      <c r="AE305" s="98"/>
      <c r="AF305" s="98"/>
      <c r="AG305" s="98"/>
      <c r="AH305" s="98"/>
    </row>
    <row r="306" spans="2:34" x14ac:dyDescent="0.25">
      <c r="B306" s="71"/>
      <c r="C306" s="72"/>
      <c r="D306" s="77"/>
      <c r="E306" s="78"/>
      <c r="F306" s="78"/>
      <c r="G306" s="78"/>
      <c r="H306" s="78"/>
      <c r="I306" s="79"/>
      <c r="J306" s="86"/>
      <c r="K306" s="87"/>
      <c r="L306" s="86"/>
      <c r="M306" s="87"/>
      <c r="N306" s="77"/>
      <c r="O306" s="79"/>
      <c r="P306" s="92"/>
      <c r="Q306" s="93"/>
      <c r="S306" s="99"/>
      <c r="T306" s="99"/>
      <c r="U306" s="99"/>
      <c r="V306" s="99"/>
      <c r="W306" s="99"/>
      <c r="X306" s="99"/>
      <c r="Y306" s="99"/>
      <c r="Z306" s="99"/>
      <c r="AA306" s="99"/>
      <c r="AB306" s="99"/>
      <c r="AC306" s="98"/>
      <c r="AD306" s="98"/>
      <c r="AE306" s="98"/>
      <c r="AF306" s="98"/>
      <c r="AG306" s="98"/>
      <c r="AH306" s="98"/>
    </row>
    <row r="307" spans="2:34" x14ac:dyDescent="0.25">
      <c r="B307" s="73"/>
      <c r="C307" s="74"/>
      <c r="D307" s="80"/>
      <c r="E307" s="81"/>
      <c r="F307" s="81"/>
      <c r="G307" s="81"/>
      <c r="H307" s="81"/>
      <c r="I307" s="82"/>
      <c r="J307" s="88"/>
      <c r="K307" s="89"/>
      <c r="L307" s="88"/>
      <c r="M307" s="89"/>
      <c r="N307" s="80"/>
      <c r="O307" s="82"/>
      <c r="P307" s="94"/>
      <c r="Q307" s="95"/>
      <c r="S307" s="99"/>
      <c r="T307" s="99"/>
      <c r="U307" s="99"/>
      <c r="V307" s="99"/>
      <c r="W307" s="99"/>
      <c r="X307" s="99"/>
      <c r="Y307" s="99"/>
      <c r="Z307" s="99"/>
      <c r="AA307" s="99"/>
      <c r="AB307" s="99"/>
      <c r="AC307" s="98"/>
      <c r="AD307" s="98"/>
      <c r="AE307" s="98"/>
      <c r="AF307" s="98"/>
      <c r="AG307" s="98"/>
      <c r="AH307" s="98"/>
    </row>
    <row r="308" spans="2:34" x14ac:dyDescent="0.25">
      <c r="B308" s="75"/>
      <c r="C308" s="76"/>
      <c r="D308" s="83"/>
      <c r="E308" s="84"/>
      <c r="F308" s="84"/>
      <c r="G308" s="84"/>
      <c r="H308" s="84"/>
      <c r="I308" s="85"/>
      <c r="J308" s="90"/>
      <c r="K308" s="91"/>
      <c r="L308" s="90"/>
      <c r="M308" s="91"/>
      <c r="N308" s="83"/>
      <c r="O308" s="85"/>
      <c r="P308" s="96"/>
      <c r="Q308" s="97"/>
      <c r="S308" s="99"/>
      <c r="T308" s="99"/>
      <c r="U308" s="99"/>
      <c r="V308" s="99"/>
      <c r="W308" s="99"/>
      <c r="X308" s="99"/>
      <c r="Y308" s="99"/>
      <c r="Z308" s="99"/>
      <c r="AA308" s="99"/>
      <c r="AB308" s="99"/>
      <c r="AC308" s="98"/>
      <c r="AD308" s="98"/>
      <c r="AE308" s="98"/>
      <c r="AF308" s="98"/>
      <c r="AG308" s="98"/>
      <c r="AH308" s="98"/>
    </row>
    <row r="309" spans="2:34" x14ac:dyDescent="0.25">
      <c r="B309" s="71"/>
      <c r="C309" s="72"/>
      <c r="D309" s="77"/>
      <c r="E309" s="78"/>
      <c r="F309" s="78"/>
      <c r="G309" s="78"/>
      <c r="H309" s="78"/>
      <c r="I309" s="79"/>
      <c r="J309" s="86"/>
      <c r="K309" s="87"/>
      <c r="L309" s="86"/>
      <c r="M309" s="87"/>
      <c r="N309" s="77"/>
      <c r="O309" s="79"/>
      <c r="P309" s="92"/>
      <c r="Q309" s="93"/>
      <c r="S309" s="99"/>
      <c r="T309" s="99"/>
      <c r="U309" s="99"/>
      <c r="V309" s="99"/>
      <c r="W309" s="99"/>
      <c r="X309" s="99"/>
      <c r="Y309" s="99"/>
      <c r="Z309" s="99"/>
      <c r="AA309" s="99"/>
      <c r="AB309" s="99"/>
      <c r="AC309" s="98"/>
      <c r="AD309" s="98"/>
      <c r="AE309" s="98"/>
      <c r="AF309" s="98"/>
      <c r="AG309" s="98"/>
      <c r="AH309" s="98"/>
    </row>
    <row r="310" spans="2:34" x14ac:dyDescent="0.25">
      <c r="B310" s="73"/>
      <c r="C310" s="74"/>
      <c r="D310" s="80"/>
      <c r="E310" s="81"/>
      <c r="F310" s="81"/>
      <c r="G310" s="81"/>
      <c r="H310" s="81"/>
      <c r="I310" s="82"/>
      <c r="J310" s="88"/>
      <c r="K310" s="89"/>
      <c r="L310" s="88"/>
      <c r="M310" s="89"/>
      <c r="N310" s="80"/>
      <c r="O310" s="82"/>
      <c r="P310" s="94"/>
      <c r="Q310" s="95"/>
      <c r="S310" s="99"/>
      <c r="T310" s="99"/>
      <c r="U310" s="99"/>
      <c r="V310" s="99"/>
      <c r="W310" s="99"/>
      <c r="X310" s="99"/>
      <c r="Y310" s="99"/>
      <c r="Z310" s="99"/>
      <c r="AA310" s="99"/>
      <c r="AB310" s="99"/>
      <c r="AC310" s="98"/>
      <c r="AD310" s="98"/>
      <c r="AE310" s="98"/>
      <c r="AF310" s="98"/>
      <c r="AG310" s="98"/>
      <c r="AH310" s="98"/>
    </row>
    <row r="311" spans="2:34" x14ac:dyDescent="0.25">
      <c r="B311" s="75"/>
      <c r="C311" s="76"/>
      <c r="D311" s="83"/>
      <c r="E311" s="84"/>
      <c r="F311" s="84"/>
      <c r="G311" s="84"/>
      <c r="H311" s="84"/>
      <c r="I311" s="85"/>
      <c r="J311" s="90"/>
      <c r="K311" s="91"/>
      <c r="L311" s="90"/>
      <c r="M311" s="91"/>
      <c r="N311" s="83"/>
      <c r="O311" s="85"/>
      <c r="P311" s="96"/>
      <c r="Q311" s="97"/>
      <c r="S311" s="99"/>
      <c r="T311" s="99"/>
      <c r="U311" s="99"/>
      <c r="V311" s="99"/>
      <c r="W311" s="99"/>
      <c r="X311" s="99"/>
      <c r="Y311" s="99"/>
      <c r="Z311" s="99"/>
      <c r="AA311" s="99"/>
      <c r="AB311" s="99"/>
      <c r="AC311" s="98"/>
      <c r="AD311" s="98"/>
      <c r="AE311" s="98"/>
      <c r="AF311" s="98"/>
      <c r="AG311" s="98"/>
      <c r="AH311" s="98"/>
    </row>
    <row r="312" spans="2:34" x14ac:dyDescent="0.25">
      <c r="B312" s="71"/>
      <c r="C312" s="72"/>
      <c r="D312" s="77"/>
      <c r="E312" s="78"/>
      <c r="F312" s="78"/>
      <c r="G312" s="78"/>
      <c r="H312" s="78"/>
      <c r="I312" s="79"/>
      <c r="J312" s="86"/>
      <c r="K312" s="87"/>
      <c r="L312" s="86"/>
      <c r="M312" s="87"/>
      <c r="N312" s="77"/>
      <c r="O312" s="79"/>
      <c r="P312" s="92"/>
      <c r="Q312" s="93"/>
      <c r="S312" s="99"/>
      <c r="T312" s="99"/>
      <c r="U312" s="99"/>
      <c r="V312" s="99"/>
      <c r="W312" s="99"/>
      <c r="X312" s="99"/>
      <c r="Y312" s="99"/>
      <c r="Z312" s="99"/>
      <c r="AA312" s="99"/>
      <c r="AB312" s="99"/>
      <c r="AC312" s="98"/>
      <c r="AD312" s="98"/>
      <c r="AE312" s="98"/>
      <c r="AF312" s="98"/>
      <c r="AG312" s="98"/>
      <c r="AH312" s="98"/>
    </row>
    <row r="313" spans="2:34" x14ac:dyDescent="0.25">
      <c r="B313" s="73"/>
      <c r="C313" s="74"/>
      <c r="D313" s="80"/>
      <c r="E313" s="81"/>
      <c r="F313" s="81"/>
      <c r="G313" s="81"/>
      <c r="H313" s="81"/>
      <c r="I313" s="82"/>
      <c r="J313" s="88"/>
      <c r="K313" s="89"/>
      <c r="L313" s="88"/>
      <c r="M313" s="89"/>
      <c r="N313" s="80"/>
      <c r="O313" s="82"/>
      <c r="P313" s="94"/>
      <c r="Q313" s="95"/>
      <c r="S313" s="99"/>
      <c r="T313" s="99"/>
      <c r="U313" s="99"/>
      <c r="V313" s="99"/>
      <c r="W313" s="99"/>
      <c r="X313" s="99"/>
      <c r="Y313" s="99"/>
      <c r="Z313" s="99"/>
      <c r="AA313" s="99"/>
      <c r="AB313" s="99"/>
      <c r="AC313" s="98"/>
      <c r="AD313" s="98"/>
      <c r="AE313" s="98"/>
      <c r="AF313" s="98"/>
      <c r="AG313" s="98"/>
      <c r="AH313" s="98"/>
    </row>
    <row r="314" spans="2:34" x14ac:dyDescent="0.25">
      <c r="B314" s="75"/>
      <c r="C314" s="76"/>
      <c r="D314" s="83"/>
      <c r="E314" s="84"/>
      <c r="F314" s="84"/>
      <c r="G314" s="84"/>
      <c r="H314" s="84"/>
      <c r="I314" s="85"/>
      <c r="J314" s="90"/>
      <c r="K314" s="91"/>
      <c r="L314" s="90"/>
      <c r="M314" s="91"/>
      <c r="N314" s="83"/>
      <c r="O314" s="85"/>
      <c r="P314" s="96"/>
      <c r="Q314" s="97"/>
      <c r="S314" s="99"/>
      <c r="T314" s="99"/>
      <c r="U314" s="99"/>
      <c r="V314" s="99"/>
      <c r="W314" s="99"/>
      <c r="X314" s="99"/>
      <c r="Y314" s="99"/>
      <c r="Z314" s="99"/>
      <c r="AA314" s="99"/>
      <c r="AB314" s="99"/>
      <c r="AC314" s="98"/>
      <c r="AD314" s="98"/>
      <c r="AE314" s="98"/>
      <c r="AF314" s="98"/>
      <c r="AG314" s="98"/>
      <c r="AH314" s="98"/>
    </row>
    <row r="315" spans="2:34" x14ac:dyDescent="0.25">
      <c r="B315" s="71"/>
      <c r="C315" s="72"/>
      <c r="D315" s="77"/>
      <c r="E315" s="78"/>
      <c r="F315" s="78"/>
      <c r="G315" s="78"/>
      <c r="H315" s="78"/>
      <c r="I315" s="79"/>
      <c r="J315" s="86"/>
      <c r="K315" s="87"/>
      <c r="L315" s="86"/>
      <c r="M315" s="87"/>
      <c r="N315" s="77"/>
      <c r="O315" s="79"/>
      <c r="P315" s="92"/>
      <c r="Q315" s="93"/>
      <c r="S315" s="99"/>
      <c r="T315" s="99"/>
      <c r="U315" s="99"/>
      <c r="V315" s="99"/>
      <c r="W315" s="99"/>
      <c r="X315" s="99"/>
      <c r="Y315" s="99"/>
      <c r="Z315" s="99"/>
      <c r="AA315" s="99"/>
      <c r="AB315" s="99"/>
      <c r="AC315" s="98"/>
      <c r="AD315" s="98"/>
      <c r="AE315" s="98"/>
      <c r="AF315" s="98"/>
      <c r="AG315" s="98"/>
      <c r="AH315" s="98"/>
    </row>
    <row r="316" spans="2:34" x14ac:dyDescent="0.25">
      <c r="B316" s="73"/>
      <c r="C316" s="74"/>
      <c r="D316" s="80"/>
      <c r="E316" s="81"/>
      <c r="F316" s="81"/>
      <c r="G316" s="81"/>
      <c r="H316" s="81"/>
      <c r="I316" s="82"/>
      <c r="J316" s="88"/>
      <c r="K316" s="89"/>
      <c r="L316" s="88"/>
      <c r="M316" s="89"/>
      <c r="N316" s="80"/>
      <c r="O316" s="82"/>
      <c r="P316" s="94"/>
      <c r="Q316" s="95"/>
      <c r="S316" s="99"/>
      <c r="T316" s="99"/>
      <c r="U316" s="99"/>
      <c r="V316" s="99"/>
      <c r="W316" s="99"/>
      <c r="X316" s="99"/>
      <c r="Y316" s="99"/>
      <c r="Z316" s="99"/>
      <c r="AA316" s="99"/>
      <c r="AB316" s="99"/>
      <c r="AC316" s="98"/>
      <c r="AD316" s="98"/>
      <c r="AE316" s="98"/>
      <c r="AF316" s="98"/>
      <c r="AG316" s="98"/>
      <c r="AH316" s="98"/>
    </row>
    <row r="317" spans="2:34" x14ac:dyDescent="0.25">
      <c r="B317" s="75"/>
      <c r="C317" s="76"/>
      <c r="D317" s="83"/>
      <c r="E317" s="84"/>
      <c r="F317" s="84"/>
      <c r="G317" s="84"/>
      <c r="H317" s="84"/>
      <c r="I317" s="85"/>
      <c r="J317" s="90"/>
      <c r="K317" s="91"/>
      <c r="L317" s="90"/>
      <c r="M317" s="91"/>
      <c r="N317" s="83"/>
      <c r="O317" s="85"/>
      <c r="P317" s="96"/>
      <c r="Q317" s="97"/>
      <c r="S317" s="99"/>
      <c r="T317" s="99"/>
      <c r="U317" s="99"/>
      <c r="V317" s="99"/>
      <c r="W317" s="99"/>
      <c r="X317" s="99"/>
      <c r="Y317" s="99"/>
      <c r="Z317" s="99"/>
      <c r="AA317" s="99"/>
      <c r="AB317" s="99"/>
      <c r="AC317" s="98"/>
      <c r="AD317" s="98"/>
      <c r="AE317" s="98"/>
      <c r="AF317" s="98"/>
      <c r="AG317" s="98"/>
      <c r="AH317" s="98"/>
    </row>
    <row r="318" spans="2:34" x14ac:dyDescent="0.25">
      <c r="B318" s="71"/>
      <c r="C318" s="72"/>
      <c r="D318" s="77"/>
      <c r="E318" s="78"/>
      <c r="F318" s="78"/>
      <c r="G318" s="78"/>
      <c r="H318" s="78"/>
      <c r="I318" s="79"/>
      <c r="J318" s="86"/>
      <c r="K318" s="87"/>
      <c r="L318" s="86"/>
      <c r="M318" s="87"/>
      <c r="N318" s="77"/>
      <c r="O318" s="79"/>
      <c r="P318" s="92"/>
      <c r="Q318" s="93"/>
      <c r="S318" s="99"/>
      <c r="T318" s="99"/>
      <c r="U318" s="99"/>
      <c r="V318" s="99"/>
      <c r="W318" s="99"/>
      <c r="X318" s="99"/>
      <c r="Y318" s="99"/>
      <c r="Z318" s="99"/>
      <c r="AA318" s="99"/>
      <c r="AB318" s="99"/>
      <c r="AC318" s="98"/>
      <c r="AD318" s="98"/>
      <c r="AE318" s="98"/>
      <c r="AF318" s="98"/>
      <c r="AG318" s="98"/>
      <c r="AH318" s="98"/>
    </row>
    <row r="319" spans="2:34" x14ac:dyDescent="0.25">
      <c r="B319" s="73"/>
      <c r="C319" s="74"/>
      <c r="D319" s="80"/>
      <c r="E319" s="81"/>
      <c r="F319" s="81"/>
      <c r="G319" s="81"/>
      <c r="H319" s="81"/>
      <c r="I319" s="82"/>
      <c r="J319" s="88"/>
      <c r="K319" s="89"/>
      <c r="L319" s="88"/>
      <c r="M319" s="89"/>
      <c r="N319" s="80"/>
      <c r="O319" s="82"/>
      <c r="P319" s="94"/>
      <c r="Q319" s="95"/>
      <c r="S319" s="99"/>
      <c r="T319" s="99"/>
      <c r="U319" s="99"/>
      <c r="V319" s="99"/>
      <c r="W319" s="99"/>
      <c r="X319" s="99"/>
      <c r="Y319" s="99"/>
      <c r="Z319" s="99"/>
      <c r="AA319" s="99"/>
      <c r="AB319" s="99"/>
      <c r="AC319" s="98"/>
      <c r="AD319" s="98"/>
      <c r="AE319" s="98"/>
      <c r="AF319" s="98"/>
      <c r="AG319" s="98"/>
      <c r="AH319" s="98"/>
    </row>
    <row r="320" spans="2:34" x14ac:dyDescent="0.25">
      <c r="B320" s="75"/>
      <c r="C320" s="76"/>
      <c r="D320" s="83"/>
      <c r="E320" s="84"/>
      <c r="F320" s="84"/>
      <c r="G320" s="84"/>
      <c r="H320" s="84"/>
      <c r="I320" s="85"/>
      <c r="J320" s="90"/>
      <c r="K320" s="91"/>
      <c r="L320" s="90"/>
      <c r="M320" s="91"/>
      <c r="N320" s="83"/>
      <c r="O320" s="85"/>
      <c r="P320" s="96"/>
      <c r="Q320" s="97"/>
      <c r="S320" s="99"/>
      <c r="T320" s="99"/>
      <c r="U320" s="99"/>
      <c r="V320" s="99"/>
      <c r="W320" s="99"/>
      <c r="X320" s="99"/>
      <c r="Y320" s="99"/>
      <c r="Z320" s="99"/>
      <c r="AA320" s="99"/>
      <c r="AB320" s="99"/>
      <c r="AC320" s="98"/>
      <c r="AD320" s="98"/>
      <c r="AE320" s="98"/>
      <c r="AF320" s="98"/>
      <c r="AG320" s="98"/>
      <c r="AH320" s="98"/>
    </row>
    <row r="321" spans="2:34" x14ac:dyDescent="0.25">
      <c r="B321" s="71"/>
      <c r="C321" s="72"/>
      <c r="D321" s="77"/>
      <c r="E321" s="78"/>
      <c r="F321" s="78"/>
      <c r="G321" s="78"/>
      <c r="H321" s="78"/>
      <c r="I321" s="79"/>
      <c r="J321" s="86"/>
      <c r="K321" s="87"/>
      <c r="L321" s="86"/>
      <c r="M321" s="87"/>
      <c r="N321" s="77"/>
      <c r="O321" s="79"/>
      <c r="P321" s="92"/>
      <c r="Q321" s="93"/>
      <c r="S321" s="99"/>
      <c r="T321" s="99"/>
      <c r="U321" s="99"/>
      <c r="V321" s="99"/>
      <c r="W321" s="99"/>
      <c r="X321" s="99"/>
      <c r="Y321" s="99"/>
      <c r="Z321" s="99"/>
      <c r="AA321" s="99"/>
      <c r="AB321" s="99"/>
      <c r="AC321" s="98"/>
      <c r="AD321" s="98"/>
      <c r="AE321" s="98"/>
      <c r="AF321" s="98"/>
      <c r="AG321" s="98"/>
      <c r="AH321" s="98"/>
    </row>
    <row r="322" spans="2:34" x14ac:dyDescent="0.25">
      <c r="B322" s="73"/>
      <c r="C322" s="74"/>
      <c r="D322" s="80"/>
      <c r="E322" s="81"/>
      <c r="F322" s="81"/>
      <c r="G322" s="81"/>
      <c r="H322" s="81"/>
      <c r="I322" s="82"/>
      <c r="J322" s="88"/>
      <c r="K322" s="89"/>
      <c r="L322" s="88"/>
      <c r="M322" s="89"/>
      <c r="N322" s="80"/>
      <c r="O322" s="82"/>
      <c r="P322" s="94"/>
      <c r="Q322" s="95"/>
      <c r="S322" s="99"/>
      <c r="T322" s="99"/>
      <c r="U322" s="99"/>
      <c r="V322" s="99"/>
      <c r="W322" s="99"/>
      <c r="X322" s="99"/>
      <c r="Y322" s="99"/>
      <c r="Z322" s="99"/>
      <c r="AA322" s="99"/>
      <c r="AB322" s="99"/>
      <c r="AC322" s="98"/>
      <c r="AD322" s="98"/>
      <c r="AE322" s="98"/>
      <c r="AF322" s="98"/>
      <c r="AG322" s="98"/>
      <c r="AH322" s="98"/>
    </row>
    <row r="323" spans="2:34" x14ac:dyDescent="0.25">
      <c r="B323" s="75"/>
      <c r="C323" s="76"/>
      <c r="D323" s="83"/>
      <c r="E323" s="84"/>
      <c r="F323" s="84"/>
      <c r="G323" s="84"/>
      <c r="H323" s="84"/>
      <c r="I323" s="85"/>
      <c r="J323" s="90"/>
      <c r="K323" s="91"/>
      <c r="L323" s="90"/>
      <c r="M323" s="91"/>
      <c r="N323" s="83"/>
      <c r="O323" s="85"/>
      <c r="P323" s="96"/>
      <c r="Q323" s="97"/>
      <c r="S323" s="99"/>
      <c r="T323" s="99"/>
      <c r="U323" s="99"/>
      <c r="V323" s="99"/>
      <c r="W323" s="99"/>
      <c r="X323" s="99"/>
      <c r="Y323" s="99"/>
      <c r="Z323" s="99"/>
      <c r="AA323" s="99"/>
      <c r="AB323" s="99"/>
      <c r="AC323" s="98"/>
      <c r="AD323" s="98"/>
      <c r="AE323" s="98"/>
      <c r="AF323" s="98"/>
      <c r="AG323" s="98"/>
      <c r="AH323" s="98"/>
    </row>
    <row r="324" spans="2:34" x14ac:dyDescent="0.25">
      <c r="B324" s="71"/>
      <c r="C324" s="72"/>
      <c r="D324" s="77"/>
      <c r="E324" s="78"/>
      <c r="F324" s="78"/>
      <c r="G324" s="78"/>
      <c r="H324" s="78"/>
      <c r="I324" s="79"/>
      <c r="J324" s="86"/>
      <c r="K324" s="87"/>
      <c r="L324" s="86"/>
      <c r="M324" s="87"/>
      <c r="N324" s="77"/>
      <c r="O324" s="79"/>
      <c r="P324" s="92"/>
      <c r="Q324" s="93"/>
      <c r="S324" s="99"/>
      <c r="T324" s="99"/>
      <c r="U324" s="99"/>
      <c r="V324" s="99"/>
      <c r="W324" s="99"/>
      <c r="X324" s="99"/>
      <c r="Y324" s="99"/>
      <c r="Z324" s="99"/>
      <c r="AA324" s="99"/>
      <c r="AB324" s="99"/>
      <c r="AC324" s="98"/>
      <c r="AD324" s="98"/>
      <c r="AE324" s="98"/>
      <c r="AF324" s="98"/>
      <c r="AG324" s="98"/>
      <c r="AH324" s="98"/>
    </row>
    <row r="325" spans="2:34" x14ac:dyDescent="0.25">
      <c r="B325" s="73"/>
      <c r="C325" s="74"/>
      <c r="D325" s="80"/>
      <c r="E325" s="81"/>
      <c r="F325" s="81"/>
      <c r="G325" s="81"/>
      <c r="H325" s="81"/>
      <c r="I325" s="82"/>
      <c r="J325" s="88"/>
      <c r="K325" s="89"/>
      <c r="L325" s="88"/>
      <c r="M325" s="89"/>
      <c r="N325" s="80"/>
      <c r="O325" s="82"/>
      <c r="P325" s="94"/>
      <c r="Q325" s="95"/>
      <c r="S325" s="99"/>
      <c r="T325" s="99"/>
      <c r="U325" s="99"/>
      <c r="V325" s="99"/>
      <c r="W325" s="99"/>
      <c r="X325" s="99"/>
      <c r="Y325" s="99"/>
      <c r="Z325" s="99"/>
      <c r="AA325" s="99"/>
      <c r="AB325" s="99"/>
      <c r="AC325" s="98"/>
      <c r="AD325" s="98"/>
      <c r="AE325" s="98"/>
      <c r="AF325" s="98"/>
      <c r="AG325" s="98"/>
      <c r="AH325" s="98"/>
    </row>
    <row r="326" spans="2:34" x14ac:dyDescent="0.25">
      <c r="B326" s="75"/>
      <c r="C326" s="76"/>
      <c r="D326" s="83"/>
      <c r="E326" s="84"/>
      <c r="F326" s="84"/>
      <c r="G326" s="84"/>
      <c r="H326" s="84"/>
      <c r="I326" s="85"/>
      <c r="J326" s="90"/>
      <c r="K326" s="91"/>
      <c r="L326" s="90"/>
      <c r="M326" s="91"/>
      <c r="N326" s="83"/>
      <c r="O326" s="85"/>
      <c r="P326" s="96"/>
      <c r="Q326" s="97"/>
      <c r="S326" s="99"/>
      <c r="T326" s="99"/>
      <c r="U326" s="99"/>
      <c r="V326" s="99"/>
      <c r="W326" s="99"/>
      <c r="X326" s="99"/>
      <c r="Y326" s="99"/>
      <c r="Z326" s="99"/>
      <c r="AA326" s="99"/>
      <c r="AB326" s="99"/>
      <c r="AC326" s="98"/>
      <c r="AD326" s="98"/>
      <c r="AE326" s="98"/>
      <c r="AF326" s="98"/>
      <c r="AG326" s="98"/>
      <c r="AH326" s="98"/>
    </row>
    <row r="327" spans="2:34" x14ac:dyDescent="0.25">
      <c r="B327" s="71"/>
      <c r="C327" s="72"/>
      <c r="D327" s="77"/>
      <c r="E327" s="78"/>
      <c r="F327" s="78"/>
      <c r="G327" s="78"/>
      <c r="H327" s="78"/>
      <c r="I327" s="79"/>
      <c r="J327" s="86"/>
      <c r="K327" s="87"/>
      <c r="L327" s="86"/>
      <c r="M327" s="87"/>
      <c r="N327" s="77"/>
      <c r="O327" s="79"/>
      <c r="P327" s="92"/>
      <c r="Q327" s="93"/>
      <c r="S327" s="99"/>
      <c r="T327" s="99"/>
      <c r="U327" s="99"/>
      <c r="V327" s="99"/>
      <c r="W327" s="99"/>
      <c r="X327" s="99"/>
      <c r="Y327" s="99"/>
      <c r="Z327" s="99"/>
      <c r="AA327" s="99"/>
      <c r="AB327" s="99"/>
      <c r="AC327" s="98"/>
      <c r="AD327" s="98"/>
      <c r="AE327" s="98"/>
      <c r="AF327" s="98"/>
      <c r="AG327" s="98"/>
      <c r="AH327" s="98"/>
    </row>
    <row r="328" spans="2:34" x14ac:dyDescent="0.25">
      <c r="B328" s="73"/>
      <c r="C328" s="74"/>
      <c r="D328" s="80"/>
      <c r="E328" s="81"/>
      <c r="F328" s="81"/>
      <c r="G328" s="81"/>
      <c r="H328" s="81"/>
      <c r="I328" s="82"/>
      <c r="J328" s="88"/>
      <c r="K328" s="89"/>
      <c r="L328" s="88"/>
      <c r="M328" s="89"/>
      <c r="N328" s="80"/>
      <c r="O328" s="82"/>
      <c r="P328" s="94"/>
      <c r="Q328" s="95"/>
      <c r="S328" s="99"/>
      <c r="T328" s="99"/>
      <c r="U328" s="99"/>
      <c r="V328" s="99"/>
      <c r="W328" s="99"/>
      <c r="X328" s="99"/>
      <c r="Y328" s="99"/>
      <c r="Z328" s="99"/>
      <c r="AA328" s="99"/>
      <c r="AB328" s="99"/>
      <c r="AC328" s="98"/>
      <c r="AD328" s="98"/>
      <c r="AE328" s="98"/>
      <c r="AF328" s="98"/>
      <c r="AG328" s="98"/>
      <c r="AH328" s="98"/>
    </row>
    <row r="329" spans="2:34" x14ac:dyDescent="0.25">
      <c r="B329" s="75"/>
      <c r="C329" s="76"/>
      <c r="D329" s="83"/>
      <c r="E329" s="84"/>
      <c r="F329" s="84"/>
      <c r="G329" s="84"/>
      <c r="H329" s="84"/>
      <c r="I329" s="85"/>
      <c r="J329" s="90"/>
      <c r="K329" s="91"/>
      <c r="L329" s="90"/>
      <c r="M329" s="91"/>
      <c r="N329" s="83"/>
      <c r="O329" s="85"/>
      <c r="P329" s="96"/>
      <c r="Q329" s="97"/>
      <c r="S329" s="99"/>
      <c r="T329" s="99"/>
      <c r="U329" s="99"/>
      <c r="V329" s="99"/>
      <c r="W329" s="99"/>
      <c r="X329" s="99"/>
      <c r="Y329" s="99"/>
      <c r="Z329" s="99"/>
      <c r="AA329" s="99"/>
      <c r="AB329" s="99"/>
      <c r="AC329" s="98"/>
      <c r="AD329" s="98"/>
      <c r="AE329" s="98"/>
      <c r="AF329" s="98"/>
      <c r="AG329" s="98"/>
      <c r="AH329" s="98"/>
    </row>
    <row r="330" spans="2:34" x14ac:dyDescent="0.25">
      <c r="B330" s="71"/>
      <c r="C330" s="72"/>
      <c r="D330" s="77"/>
      <c r="E330" s="78"/>
      <c r="F330" s="78"/>
      <c r="G330" s="78"/>
      <c r="H330" s="78"/>
      <c r="I330" s="79"/>
      <c r="J330" s="86"/>
      <c r="K330" s="87"/>
      <c r="L330" s="86"/>
      <c r="M330" s="87"/>
      <c r="N330" s="77"/>
      <c r="O330" s="79"/>
      <c r="P330" s="92"/>
      <c r="Q330" s="93"/>
      <c r="S330" s="99"/>
      <c r="T330" s="99"/>
      <c r="U330" s="99"/>
      <c r="V330" s="99"/>
      <c r="W330" s="99"/>
      <c r="X330" s="99"/>
      <c r="Y330" s="99"/>
      <c r="Z330" s="99"/>
      <c r="AA330" s="99"/>
      <c r="AB330" s="99"/>
      <c r="AC330" s="98"/>
      <c r="AD330" s="98"/>
      <c r="AE330" s="98"/>
      <c r="AF330" s="98"/>
      <c r="AG330" s="98"/>
      <c r="AH330" s="98"/>
    </row>
    <row r="331" spans="2:34" x14ac:dyDescent="0.25">
      <c r="B331" s="73"/>
      <c r="C331" s="74"/>
      <c r="D331" s="80"/>
      <c r="E331" s="81"/>
      <c r="F331" s="81"/>
      <c r="G331" s="81"/>
      <c r="H331" s="81"/>
      <c r="I331" s="82"/>
      <c r="J331" s="88"/>
      <c r="K331" s="89"/>
      <c r="L331" s="88"/>
      <c r="M331" s="89"/>
      <c r="N331" s="80"/>
      <c r="O331" s="82"/>
      <c r="P331" s="94"/>
      <c r="Q331" s="95"/>
      <c r="S331" s="99"/>
      <c r="T331" s="99"/>
      <c r="U331" s="99"/>
      <c r="V331" s="99"/>
      <c r="W331" s="99"/>
      <c r="X331" s="99"/>
      <c r="Y331" s="99"/>
      <c r="Z331" s="99"/>
      <c r="AA331" s="99"/>
      <c r="AB331" s="99"/>
      <c r="AC331" s="98"/>
      <c r="AD331" s="98"/>
      <c r="AE331" s="98"/>
      <c r="AF331" s="98"/>
      <c r="AG331" s="98"/>
      <c r="AH331" s="98"/>
    </row>
    <row r="332" spans="2:34" x14ac:dyDescent="0.25">
      <c r="B332" s="75"/>
      <c r="C332" s="76"/>
      <c r="D332" s="83"/>
      <c r="E332" s="84"/>
      <c r="F332" s="84"/>
      <c r="G332" s="84"/>
      <c r="H332" s="84"/>
      <c r="I332" s="85"/>
      <c r="J332" s="90"/>
      <c r="K332" s="91"/>
      <c r="L332" s="90"/>
      <c r="M332" s="91"/>
      <c r="N332" s="83"/>
      <c r="O332" s="85"/>
      <c r="P332" s="96"/>
      <c r="Q332" s="97"/>
      <c r="S332" s="99"/>
      <c r="T332" s="99"/>
      <c r="U332" s="99"/>
      <c r="V332" s="99"/>
      <c r="W332" s="99"/>
      <c r="X332" s="99"/>
      <c r="Y332" s="99"/>
      <c r="Z332" s="99"/>
      <c r="AA332" s="99"/>
      <c r="AB332" s="99"/>
      <c r="AC332" s="98"/>
      <c r="AD332" s="98"/>
      <c r="AE332" s="98"/>
      <c r="AF332" s="98"/>
      <c r="AG332" s="98"/>
      <c r="AH332" s="98"/>
    </row>
    <row r="333" spans="2:34" x14ac:dyDescent="0.25">
      <c r="B333" s="71"/>
      <c r="C333" s="72"/>
      <c r="D333" s="77"/>
      <c r="E333" s="78"/>
      <c r="F333" s="78"/>
      <c r="G333" s="78"/>
      <c r="H333" s="78"/>
      <c r="I333" s="79"/>
      <c r="J333" s="86"/>
      <c r="K333" s="87"/>
      <c r="L333" s="86"/>
      <c r="M333" s="87"/>
      <c r="N333" s="77"/>
      <c r="O333" s="79"/>
      <c r="P333" s="92"/>
      <c r="Q333" s="93"/>
      <c r="S333" s="99"/>
      <c r="T333" s="99"/>
      <c r="U333" s="99"/>
      <c r="V333" s="99"/>
      <c r="W333" s="99"/>
      <c r="X333" s="99"/>
      <c r="Y333" s="99"/>
      <c r="Z333" s="99"/>
      <c r="AA333" s="99"/>
      <c r="AB333" s="99"/>
      <c r="AC333" s="98"/>
      <c r="AD333" s="98"/>
      <c r="AE333" s="98"/>
      <c r="AF333" s="98"/>
      <c r="AG333" s="98"/>
      <c r="AH333" s="98"/>
    </row>
    <row r="334" spans="2:34" x14ac:dyDescent="0.25">
      <c r="B334" s="73"/>
      <c r="C334" s="74"/>
      <c r="D334" s="80"/>
      <c r="E334" s="81"/>
      <c r="F334" s="81"/>
      <c r="G334" s="81"/>
      <c r="H334" s="81"/>
      <c r="I334" s="82"/>
      <c r="J334" s="88"/>
      <c r="K334" s="89"/>
      <c r="L334" s="88"/>
      <c r="M334" s="89"/>
      <c r="N334" s="80"/>
      <c r="O334" s="82"/>
      <c r="P334" s="94"/>
      <c r="Q334" s="95"/>
      <c r="S334" s="99"/>
      <c r="T334" s="99"/>
      <c r="U334" s="99"/>
      <c r="V334" s="99"/>
      <c r="W334" s="99"/>
      <c r="X334" s="99"/>
      <c r="Y334" s="99"/>
      <c r="Z334" s="99"/>
      <c r="AA334" s="99"/>
      <c r="AB334" s="99"/>
      <c r="AC334" s="98"/>
      <c r="AD334" s="98"/>
      <c r="AE334" s="98"/>
      <c r="AF334" s="98"/>
      <c r="AG334" s="98"/>
      <c r="AH334" s="98"/>
    </row>
    <row r="335" spans="2:34" x14ac:dyDescent="0.25">
      <c r="B335" s="75"/>
      <c r="C335" s="76"/>
      <c r="D335" s="83"/>
      <c r="E335" s="84"/>
      <c r="F335" s="84"/>
      <c r="G335" s="84"/>
      <c r="H335" s="84"/>
      <c r="I335" s="85"/>
      <c r="J335" s="90"/>
      <c r="K335" s="91"/>
      <c r="L335" s="90"/>
      <c r="M335" s="91"/>
      <c r="N335" s="83"/>
      <c r="O335" s="85"/>
      <c r="P335" s="96"/>
      <c r="Q335" s="97"/>
      <c r="S335" s="99"/>
      <c r="T335" s="99"/>
      <c r="U335" s="99"/>
      <c r="V335" s="99"/>
      <c r="W335" s="99"/>
      <c r="X335" s="99"/>
      <c r="Y335" s="99"/>
      <c r="Z335" s="99"/>
      <c r="AA335" s="99"/>
      <c r="AB335" s="99"/>
      <c r="AC335" s="98"/>
      <c r="AD335" s="98"/>
      <c r="AE335" s="98"/>
      <c r="AF335" s="98"/>
      <c r="AG335" s="98"/>
      <c r="AH335" s="98"/>
    </row>
    <row r="336" spans="2:34" x14ac:dyDescent="0.25">
      <c r="B336" s="71"/>
      <c r="C336" s="72"/>
      <c r="D336" s="77"/>
      <c r="E336" s="78"/>
      <c r="F336" s="78"/>
      <c r="G336" s="78"/>
      <c r="H336" s="78"/>
      <c r="I336" s="79"/>
      <c r="J336" s="86"/>
      <c r="K336" s="87"/>
      <c r="L336" s="86"/>
      <c r="M336" s="87"/>
      <c r="N336" s="77"/>
      <c r="O336" s="79"/>
      <c r="P336" s="92"/>
      <c r="Q336" s="93"/>
      <c r="S336" s="99"/>
      <c r="T336" s="99"/>
      <c r="U336" s="99"/>
      <c r="V336" s="99"/>
      <c r="W336" s="99"/>
      <c r="X336" s="99"/>
      <c r="Y336" s="99"/>
      <c r="Z336" s="99"/>
      <c r="AA336" s="99"/>
      <c r="AB336" s="99"/>
      <c r="AC336" s="98"/>
      <c r="AD336" s="98"/>
      <c r="AE336" s="98"/>
      <c r="AF336" s="98"/>
      <c r="AG336" s="98"/>
      <c r="AH336" s="98"/>
    </row>
    <row r="337" spans="2:34" x14ac:dyDescent="0.25">
      <c r="B337" s="73"/>
      <c r="C337" s="74"/>
      <c r="D337" s="80"/>
      <c r="E337" s="81"/>
      <c r="F337" s="81"/>
      <c r="G337" s="81"/>
      <c r="H337" s="81"/>
      <c r="I337" s="82"/>
      <c r="J337" s="88"/>
      <c r="K337" s="89"/>
      <c r="L337" s="88"/>
      <c r="M337" s="89"/>
      <c r="N337" s="80"/>
      <c r="O337" s="82"/>
      <c r="P337" s="94"/>
      <c r="Q337" s="95"/>
      <c r="S337" s="99"/>
      <c r="T337" s="99"/>
      <c r="U337" s="99"/>
      <c r="V337" s="99"/>
      <c r="W337" s="99"/>
      <c r="X337" s="99"/>
      <c r="Y337" s="99"/>
      <c r="Z337" s="99"/>
      <c r="AA337" s="99"/>
      <c r="AB337" s="99"/>
      <c r="AC337" s="98"/>
      <c r="AD337" s="98"/>
      <c r="AE337" s="98"/>
      <c r="AF337" s="98"/>
      <c r="AG337" s="98"/>
      <c r="AH337" s="98"/>
    </row>
    <row r="338" spans="2:34" x14ac:dyDescent="0.25">
      <c r="B338" s="75"/>
      <c r="C338" s="76"/>
      <c r="D338" s="83"/>
      <c r="E338" s="84"/>
      <c r="F338" s="84"/>
      <c r="G338" s="84"/>
      <c r="H338" s="84"/>
      <c r="I338" s="85"/>
      <c r="J338" s="90"/>
      <c r="K338" s="91"/>
      <c r="L338" s="90"/>
      <c r="M338" s="91"/>
      <c r="N338" s="83"/>
      <c r="O338" s="85"/>
      <c r="P338" s="96"/>
      <c r="Q338" s="97"/>
      <c r="S338" s="99"/>
      <c r="T338" s="99"/>
      <c r="U338" s="99"/>
      <c r="V338" s="99"/>
      <c r="W338" s="99"/>
      <c r="X338" s="99"/>
      <c r="Y338" s="99"/>
      <c r="Z338" s="99"/>
      <c r="AA338" s="99"/>
      <c r="AB338" s="99"/>
      <c r="AC338" s="98"/>
      <c r="AD338" s="98"/>
      <c r="AE338" s="98"/>
      <c r="AF338" s="98"/>
      <c r="AG338" s="98"/>
      <c r="AH338" s="98"/>
    </row>
    <row r="339" spans="2:34" x14ac:dyDescent="0.25">
      <c r="B339" s="71"/>
      <c r="C339" s="72"/>
      <c r="D339" s="77"/>
      <c r="E339" s="78"/>
      <c r="F339" s="78"/>
      <c r="G339" s="78"/>
      <c r="H339" s="78"/>
      <c r="I339" s="79"/>
      <c r="J339" s="86"/>
      <c r="K339" s="87"/>
      <c r="L339" s="86"/>
      <c r="M339" s="87"/>
      <c r="N339" s="77"/>
      <c r="O339" s="79"/>
      <c r="P339" s="92"/>
      <c r="Q339" s="93"/>
      <c r="S339" s="99"/>
      <c r="T339" s="99"/>
      <c r="U339" s="99"/>
      <c r="V339" s="99"/>
      <c r="W339" s="99"/>
      <c r="X339" s="99"/>
      <c r="Y339" s="99"/>
      <c r="Z339" s="99"/>
      <c r="AA339" s="99"/>
      <c r="AB339" s="99"/>
      <c r="AC339" s="98"/>
      <c r="AD339" s="98"/>
      <c r="AE339" s="98"/>
      <c r="AF339" s="98"/>
      <c r="AG339" s="98"/>
      <c r="AH339" s="98"/>
    </row>
    <row r="340" spans="2:34" x14ac:dyDescent="0.25">
      <c r="B340" s="73"/>
      <c r="C340" s="74"/>
      <c r="D340" s="80"/>
      <c r="E340" s="81"/>
      <c r="F340" s="81"/>
      <c r="G340" s="81"/>
      <c r="H340" s="81"/>
      <c r="I340" s="82"/>
      <c r="J340" s="88"/>
      <c r="K340" s="89"/>
      <c r="L340" s="88"/>
      <c r="M340" s="89"/>
      <c r="N340" s="80"/>
      <c r="O340" s="82"/>
      <c r="P340" s="94"/>
      <c r="Q340" s="95"/>
      <c r="S340" s="99"/>
      <c r="T340" s="99"/>
      <c r="U340" s="99"/>
      <c r="V340" s="99"/>
      <c r="W340" s="99"/>
      <c r="X340" s="99"/>
      <c r="Y340" s="99"/>
      <c r="Z340" s="99"/>
      <c r="AA340" s="99"/>
      <c r="AB340" s="99"/>
      <c r="AC340" s="98"/>
      <c r="AD340" s="98"/>
      <c r="AE340" s="98"/>
      <c r="AF340" s="98"/>
      <c r="AG340" s="98"/>
      <c r="AH340" s="98"/>
    </row>
    <row r="341" spans="2:34" x14ac:dyDescent="0.25">
      <c r="B341" s="75"/>
      <c r="C341" s="76"/>
      <c r="D341" s="83"/>
      <c r="E341" s="84"/>
      <c r="F341" s="84"/>
      <c r="G341" s="84"/>
      <c r="H341" s="84"/>
      <c r="I341" s="85"/>
      <c r="J341" s="90"/>
      <c r="K341" s="91"/>
      <c r="L341" s="90"/>
      <c r="M341" s="91"/>
      <c r="N341" s="83"/>
      <c r="O341" s="85"/>
      <c r="P341" s="96"/>
      <c r="Q341" s="97"/>
      <c r="S341" s="99"/>
      <c r="T341" s="99"/>
      <c r="U341" s="99"/>
      <c r="V341" s="99"/>
      <c r="W341" s="99"/>
      <c r="X341" s="99"/>
      <c r="Y341" s="99"/>
      <c r="Z341" s="99"/>
      <c r="AA341" s="99"/>
      <c r="AB341" s="99"/>
      <c r="AC341" s="98"/>
      <c r="AD341" s="98"/>
      <c r="AE341" s="98"/>
      <c r="AF341" s="98"/>
      <c r="AG341" s="98"/>
      <c r="AH341" s="98"/>
    </row>
    <row r="342" spans="2:34" x14ac:dyDescent="0.25">
      <c r="B342" s="71"/>
      <c r="C342" s="72"/>
      <c r="D342" s="77"/>
      <c r="E342" s="78"/>
      <c r="F342" s="78"/>
      <c r="G342" s="78"/>
      <c r="H342" s="78"/>
      <c r="I342" s="79"/>
      <c r="J342" s="86"/>
      <c r="K342" s="87"/>
      <c r="L342" s="86"/>
      <c r="M342" s="87"/>
      <c r="N342" s="77"/>
      <c r="O342" s="79"/>
      <c r="P342" s="92"/>
      <c r="Q342" s="93"/>
      <c r="S342" s="99"/>
      <c r="T342" s="99"/>
      <c r="U342" s="99"/>
      <c r="V342" s="99"/>
      <c r="W342" s="99"/>
      <c r="X342" s="99"/>
      <c r="Y342" s="99"/>
      <c r="Z342" s="99"/>
      <c r="AA342" s="99"/>
      <c r="AB342" s="99"/>
      <c r="AC342" s="98"/>
      <c r="AD342" s="98"/>
      <c r="AE342" s="98"/>
      <c r="AF342" s="98"/>
      <c r="AG342" s="98"/>
      <c r="AH342" s="98"/>
    </row>
    <row r="343" spans="2:34" x14ac:dyDescent="0.25">
      <c r="B343" s="73"/>
      <c r="C343" s="74"/>
      <c r="D343" s="80"/>
      <c r="E343" s="81"/>
      <c r="F343" s="81"/>
      <c r="G343" s="81"/>
      <c r="H343" s="81"/>
      <c r="I343" s="82"/>
      <c r="J343" s="88"/>
      <c r="K343" s="89"/>
      <c r="L343" s="88"/>
      <c r="M343" s="89"/>
      <c r="N343" s="80"/>
      <c r="O343" s="82"/>
      <c r="P343" s="94"/>
      <c r="Q343" s="95"/>
      <c r="S343" s="99"/>
      <c r="T343" s="99"/>
      <c r="U343" s="99"/>
      <c r="V343" s="99"/>
      <c r="W343" s="99"/>
      <c r="X343" s="99"/>
      <c r="Y343" s="99"/>
      <c r="Z343" s="99"/>
      <c r="AA343" s="99"/>
      <c r="AB343" s="99"/>
      <c r="AC343" s="98"/>
      <c r="AD343" s="98"/>
      <c r="AE343" s="98"/>
      <c r="AF343" s="98"/>
      <c r="AG343" s="98"/>
      <c r="AH343" s="98"/>
    </row>
    <row r="344" spans="2:34" x14ac:dyDescent="0.25">
      <c r="B344" s="75"/>
      <c r="C344" s="76"/>
      <c r="D344" s="83"/>
      <c r="E344" s="84"/>
      <c r="F344" s="84"/>
      <c r="G344" s="84"/>
      <c r="H344" s="84"/>
      <c r="I344" s="85"/>
      <c r="J344" s="90"/>
      <c r="K344" s="91"/>
      <c r="L344" s="90"/>
      <c r="M344" s="91"/>
      <c r="N344" s="83"/>
      <c r="O344" s="85"/>
      <c r="P344" s="96"/>
      <c r="Q344" s="97"/>
      <c r="S344" s="99"/>
      <c r="T344" s="99"/>
      <c r="U344" s="99"/>
      <c r="V344" s="99"/>
      <c r="W344" s="99"/>
      <c r="X344" s="99"/>
      <c r="Y344" s="99"/>
      <c r="Z344" s="99"/>
      <c r="AA344" s="99"/>
      <c r="AB344" s="99"/>
      <c r="AC344" s="98"/>
      <c r="AD344" s="98"/>
      <c r="AE344" s="98"/>
      <c r="AF344" s="98"/>
      <c r="AG344" s="98"/>
      <c r="AH344" s="98"/>
    </row>
    <row r="345" spans="2:34" x14ac:dyDescent="0.25">
      <c r="B345" s="71"/>
      <c r="C345" s="72"/>
      <c r="D345" s="77"/>
      <c r="E345" s="78"/>
      <c r="F345" s="78"/>
      <c r="G345" s="78"/>
      <c r="H345" s="78"/>
      <c r="I345" s="79"/>
      <c r="J345" s="86"/>
      <c r="K345" s="87"/>
      <c r="L345" s="86"/>
      <c r="M345" s="87"/>
      <c r="N345" s="77"/>
      <c r="O345" s="79"/>
      <c r="P345" s="92"/>
      <c r="Q345" s="93"/>
      <c r="S345" s="99"/>
      <c r="T345" s="99"/>
      <c r="U345" s="99"/>
      <c r="V345" s="99"/>
      <c r="W345" s="99"/>
      <c r="X345" s="99"/>
      <c r="Y345" s="99"/>
      <c r="Z345" s="99"/>
      <c r="AA345" s="99"/>
      <c r="AB345" s="99"/>
      <c r="AC345" s="98"/>
      <c r="AD345" s="98"/>
      <c r="AE345" s="98"/>
      <c r="AF345" s="98"/>
      <c r="AG345" s="98"/>
      <c r="AH345" s="98"/>
    </row>
    <row r="346" spans="2:34" x14ac:dyDescent="0.25">
      <c r="B346" s="73"/>
      <c r="C346" s="74"/>
      <c r="D346" s="80"/>
      <c r="E346" s="81"/>
      <c r="F346" s="81"/>
      <c r="G346" s="81"/>
      <c r="H346" s="81"/>
      <c r="I346" s="82"/>
      <c r="J346" s="88"/>
      <c r="K346" s="89"/>
      <c r="L346" s="88"/>
      <c r="M346" s="89"/>
      <c r="N346" s="80"/>
      <c r="O346" s="82"/>
      <c r="P346" s="94"/>
      <c r="Q346" s="95"/>
      <c r="S346" s="99"/>
      <c r="T346" s="99"/>
      <c r="U346" s="99"/>
      <c r="V346" s="99"/>
      <c r="W346" s="99"/>
      <c r="X346" s="99"/>
      <c r="Y346" s="99"/>
      <c r="Z346" s="99"/>
      <c r="AA346" s="99"/>
      <c r="AB346" s="99"/>
      <c r="AC346" s="98"/>
      <c r="AD346" s="98"/>
      <c r="AE346" s="98"/>
      <c r="AF346" s="98"/>
      <c r="AG346" s="98"/>
      <c r="AH346" s="98"/>
    </row>
    <row r="347" spans="2:34" x14ac:dyDescent="0.25">
      <c r="B347" s="75"/>
      <c r="C347" s="76"/>
      <c r="D347" s="83"/>
      <c r="E347" s="84"/>
      <c r="F347" s="84"/>
      <c r="G347" s="84"/>
      <c r="H347" s="84"/>
      <c r="I347" s="85"/>
      <c r="J347" s="90"/>
      <c r="K347" s="91"/>
      <c r="L347" s="90"/>
      <c r="M347" s="91"/>
      <c r="N347" s="83"/>
      <c r="O347" s="85"/>
      <c r="P347" s="96"/>
      <c r="Q347" s="97"/>
      <c r="S347" s="99"/>
      <c r="T347" s="99"/>
      <c r="U347" s="99"/>
      <c r="V347" s="99"/>
      <c r="W347" s="99"/>
      <c r="X347" s="99"/>
      <c r="Y347" s="99"/>
      <c r="Z347" s="99"/>
      <c r="AA347" s="99"/>
      <c r="AB347" s="99"/>
      <c r="AC347" s="98"/>
      <c r="AD347" s="98"/>
      <c r="AE347" s="98"/>
      <c r="AF347" s="98"/>
      <c r="AG347" s="98"/>
      <c r="AH347" s="98"/>
    </row>
    <row r="348" spans="2:34" x14ac:dyDescent="0.25">
      <c r="B348" s="71"/>
      <c r="C348" s="72"/>
      <c r="D348" s="77"/>
      <c r="E348" s="78"/>
      <c r="F348" s="78"/>
      <c r="G348" s="78"/>
      <c r="H348" s="78"/>
      <c r="I348" s="79"/>
      <c r="J348" s="86"/>
      <c r="K348" s="87"/>
      <c r="L348" s="86"/>
      <c r="M348" s="87"/>
      <c r="N348" s="77"/>
      <c r="O348" s="79"/>
      <c r="P348" s="92"/>
      <c r="Q348" s="93"/>
      <c r="S348" s="99"/>
      <c r="T348" s="99"/>
      <c r="U348" s="99"/>
      <c r="V348" s="99"/>
      <c r="W348" s="99"/>
      <c r="X348" s="99"/>
      <c r="Y348" s="99"/>
      <c r="Z348" s="99"/>
      <c r="AA348" s="99"/>
      <c r="AB348" s="99"/>
      <c r="AC348" s="98"/>
      <c r="AD348" s="98"/>
      <c r="AE348" s="98"/>
      <c r="AF348" s="98"/>
      <c r="AG348" s="98"/>
      <c r="AH348" s="98"/>
    </row>
    <row r="349" spans="2:34" x14ac:dyDescent="0.25">
      <c r="B349" s="73"/>
      <c r="C349" s="74"/>
      <c r="D349" s="80"/>
      <c r="E349" s="81"/>
      <c r="F349" s="81"/>
      <c r="G349" s="81"/>
      <c r="H349" s="81"/>
      <c r="I349" s="82"/>
      <c r="J349" s="88"/>
      <c r="K349" s="89"/>
      <c r="L349" s="88"/>
      <c r="M349" s="89"/>
      <c r="N349" s="80"/>
      <c r="O349" s="82"/>
      <c r="P349" s="94"/>
      <c r="Q349" s="95"/>
      <c r="S349" s="99"/>
      <c r="T349" s="99"/>
      <c r="U349" s="99"/>
      <c r="V349" s="99"/>
      <c r="W349" s="99"/>
      <c r="X349" s="99"/>
      <c r="Y349" s="99"/>
      <c r="Z349" s="99"/>
      <c r="AA349" s="99"/>
      <c r="AB349" s="99"/>
      <c r="AC349" s="98"/>
      <c r="AD349" s="98"/>
      <c r="AE349" s="98"/>
      <c r="AF349" s="98"/>
      <c r="AG349" s="98"/>
      <c r="AH349" s="98"/>
    </row>
    <row r="350" spans="2:34" x14ac:dyDescent="0.25">
      <c r="B350" s="75"/>
      <c r="C350" s="76"/>
      <c r="D350" s="83"/>
      <c r="E350" s="84"/>
      <c r="F350" s="84"/>
      <c r="G350" s="84"/>
      <c r="H350" s="84"/>
      <c r="I350" s="85"/>
      <c r="J350" s="90"/>
      <c r="K350" s="91"/>
      <c r="L350" s="90"/>
      <c r="M350" s="91"/>
      <c r="N350" s="83"/>
      <c r="O350" s="85"/>
      <c r="P350" s="96"/>
      <c r="Q350" s="97"/>
      <c r="S350" s="99"/>
      <c r="T350" s="99"/>
      <c r="U350" s="99"/>
      <c r="V350" s="99"/>
      <c r="W350" s="99"/>
      <c r="X350" s="99"/>
      <c r="Y350" s="99"/>
      <c r="Z350" s="99"/>
      <c r="AA350" s="99"/>
      <c r="AB350" s="99"/>
      <c r="AC350" s="98"/>
      <c r="AD350" s="98"/>
      <c r="AE350" s="98"/>
      <c r="AF350" s="98"/>
      <c r="AG350" s="98"/>
      <c r="AH350" s="98"/>
    </row>
    <row r="351" spans="2:34" x14ac:dyDescent="0.25">
      <c r="B351" s="71"/>
      <c r="C351" s="72"/>
      <c r="D351" s="77"/>
      <c r="E351" s="78"/>
      <c r="F351" s="78"/>
      <c r="G351" s="78"/>
      <c r="H351" s="78"/>
      <c r="I351" s="79"/>
      <c r="J351" s="86"/>
      <c r="K351" s="87"/>
      <c r="L351" s="86"/>
      <c r="M351" s="87"/>
      <c r="N351" s="77"/>
      <c r="O351" s="79"/>
      <c r="P351" s="92"/>
      <c r="Q351" s="93"/>
      <c r="S351" s="99"/>
      <c r="T351" s="99"/>
      <c r="U351" s="99"/>
      <c r="V351" s="99"/>
      <c r="W351" s="99"/>
      <c r="X351" s="99"/>
      <c r="Y351" s="99"/>
      <c r="Z351" s="99"/>
      <c r="AA351" s="99"/>
      <c r="AB351" s="99"/>
      <c r="AC351" s="98"/>
      <c r="AD351" s="98"/>
      <c r="AE351" s="98"/>
      <c r="AF351" s="98"/>
      <c r="AG351" s="98"/>
      <c r="AH351" s="98"/>
    </row>
    <row r="352" spans="2:34" x14ac:dyDescent="0.25">
      <c r="B352" s="73"/>
      <c r="C352" s="74"/>
      <c r="D352" s="80"/>
      <c r="E352" s="81"/>
      <c r="F352" s="81"/>
      <c r="G352" s="81"/>
      <c r="H352" s="81"/>
      <c r="I352" s="82"/>
      <c r="J352" s="88"/>
      <c r="K352" s="89"/>
      <c r="L352" s="88"/>
      <c r="M352" s="89"/>
      <c r="N352" s="80"/>
      <c r="O352" s="82"/>
      <c r="P352" s="94"/>
      <c r="Q352" s="95"/>
      <c r="S352" s="99"/>
      <c r="T352" s="99"/>
      <c r="U352" s="99"/>
      <c r="V352" s="99"/>
      <c r="W352" s="99"/>
      <c r="X352" s="99"/>
      <c r="Y352" s="99"/>
      <c r="Z352" s="99"/>
      <c r="AA352" s="99"/>
      <c r="AB352" s="99"/>
      <c r="AC352" s="98"/>
      <c r="AD352" s="98"/>
      <c r="AE352" s="98"/>
      <c r="AF352" s="98"/>
      <c r="AG352" s="98"/>
      <c r="AH352" s="98"/>
    </row>
    <row r="353" spans="2:34" x14ac:dyDescent="0.25">
      <c r="B353" s="75"/>
      <c r="C353" s="76"/>
      <c r="D353" s="83"/>
      <c r="E353" s="84"/>
      <c r="F353" s="84"/>
      <c r="G353" s="84"/>
      <c r="H353" s="84"/>
      <c r="I353" s="85"/>
      <c r="J353" s="90"/>
      <c r="K353" s="91"/>
      <c r="L353" s="90"/>
      <c r="M353" s="91"/>
      <c r="N353" s="83"/>
      <c r="O353" s="85"/>
      <c r="P353" s="96"/>
      <c r="Q353" s="97"/>
      <c r="S353" s="99"/>
      <c r="T353" s="99"/>
      <c r="U353" s="99"/>
      <c r="V353" s="99"/>
      <c r="W353" s="99"/>
      <c r="X353" s="99"/>
      <c r="Y353" s="99"/>
      <c r="Z353" s="99"/>
      <c r="AA353" s="99"/>
      <c r="AB353" s="99"/>
      <c r="AC353" s="98"/>
      <c r="AD353" s="98"/>
      <c r="AE353" s="98"/>
      <c r="AF353" s="98"/>
      <c r="AG353" s="98"/>
      <c r="AH353" s="98"/>
    </row>
    <row r="354" spans="2:34" x14ac:dyDescent="0.25">
      <c r="B354" s="71"/>
      <c r="C354" s="72"/>
      <c r="D354" s="77"/>
      <c r="E354" s="78"/>
      <c r="F354" s="78"/>
      <c r="G354" s="78"/>
      <c r="H354" s="78"/>
      <c r="I354" s="79"/>
      <c r="J354" s="86"/>
      <c r="K354" s="87"/>
      <c r="L354" s="86"/>
      <c r="M354" s="87"/>
      <c r="N354" s="77"/>
      <c r="O354" s="79"/>
      <c r="P354" s="92"/>
      <c r="Q354" s="93"/>
      <c r="S354" s="99"/>
      <c r="T354" s="99"/>
      <c r="U354" s="99"/>
      <c r="V354" s="99"/>
      <c r="W354" s="99"/>
      <c r="X354" s="99"/>
      <c r="Y354" s="99"/>
      <c r="Z354" s="99"/>
      <c r="AA354" s="99"/>
      <c r="AB354" s="99"/>
      <c r="AC354" s="98"/>
      <c r="AD354" s="98"/>
      <c r="AE354" s="98"/>
      <c r="AF354" s="98"/>
      <c r="AG354" s="98"/>
      <c r="AH354" s="98"/>
    </row>
    <row r="355" spans="2:34" x14ac:dyDescent="0.25">
      <c r="B355" s="73"/>
      <c r="C355" s="74"/>
      <c r="D355" s="80"/>
      <c r="E355" s="81"/>
      <c r="F355" s="81"/>
      <c r="G355" s="81"/>
      <c r="H355" s="81"/>
      <c r="I355" s="82"/>
      <c r="J355" s="88"/>
      <c r="K355" s="89"/>
      <c r="L355" s="88"/>
      <c r="M355" s="89"/>
      <c r="N355" s="80"/>
      <c r="O355" s="82"/>
      <c r="P355" s="94"/>
      <c r="Q355" s="95"/>
      <c r="S355" s="99"/>
      <c r="T355" s="99"/>
      <c r="U355" s="99"/>
      <c r="V355" s="99"/>
      <c r="W355" s="99"/>
      <c r="X355" s="99"/>
      <c r="Y355" s="99"/>
      <c r="Z355" s="99"/>
      <c r="AA355" s="99"/>
      <c r="AB355" s="99"/>
      <c r="AC355" s="98"/>
      <c r="AD355" s="98"/>
      <c r="AE355" s="98"/>
      <c r="AF355" s="98"/>
      <c r="AG355" s="98"/>
      <c r="AH355" s="98"/>
    </row>
    <row r="356" spans="2:34" x14ac:dyDescent="0.25">
      <c r="B356" s="75"/>
      <c r="C356" s="76"/>
      <c r="D356" s="83"/>
      <c r="E356" s="84"/>
      <c r="F356" s="84"/>
      <c r="G356" s="84"/>
      <c r="H356" s="84"/>
      <c r="I356" s="85"/>
      <c r="J356" s="90"/>
      <c r="K356" s="91"/>
      <c r="L356" s="90"/>
      <c r="M356" s="91"/>
      <c r="N356" s="83"/>
      <c r="O356" s="85"/>
      <c r="P356" s="96"/>
      <c r="Q356" s="97"/>
      <c r="S356" s="99"/>
      <c r="T356" s="99"/>
      <c r="U356" s="99"/>
      <c r="V356" s="99"/>
      <c r="W356" s="99"/>
      <c r="X356" s="99"/>
      <c r="Y356" s="99"/>
      <c r="Z356" s="99"/>
      <c r="AA356" s="99"/>
      <c r="AB356" s="99"/>
      <c r="AC356" s="98"/>
      <c r="AD356" s="98"/>
      <c r="AE356" s="98"/>
      <c r="AF356" s="98"/>
      <c r="AG356" s="98"/>
      <c r="AH356" s="98"/>
    </row>
    <row r="357" spans="2:34" x14ac:dyDescent="0.25">
      <c r="B357" s="71"/>
      <c r="C357" s="72"/>
      <c r="D357" s="77"/>
      <c r="E357" s="78"/>
      <c r="F357" s="78"/>
      <c r="G357" s="78"/>
      <c r="H357" s="78"/>
      <c r="I357" s="79"/>
      <c r="J357" s="86"/>
      <c r="K357" s="87"/>
      <c r="L357" s="86"/>
      <c r="M357" s="87"/>
      <c r="N357" s="77"/>
      <c r="O357" s="79"/>
      <c r="P357" s="92"/>
      <c r="Q357" s="93"/>
      <c r="S357" s="99"/>
      <c r="T357" s="99"/>
      <c r="U357" s="99"/>
      <c r="V357" s="99"/>
      <c r="W357" s="99"/>
      <c r="X357" s="99"/>
      <c r="Y357" s="99"/>
      <c r="Z357" s="99"/>
      <c r="AA357" s="99"/>
      <c r="AB357" s="99"/>
      <c r="AC357" s="98"/>
      <c r="AD357" s="98"/>
      <c r="AE357" s="98"/>
      <c r="AF357" s="98"/>
      <c r="AG357" s="98"/>
      <c r="AH357" s="98"/>
    </row>
    <row r="358" spans="2:34" x14ac:dyDescent="0.25">
      <c r="B358" s="73"/>
      <c r="C358" s="74"/>
      <c r="D358" s="80"/>
      <c r="E358" s="81"/>
      <c r="F358" s="81"/>
      <c r="G358" s="81"/>
      <c r="H358" s="81"/>
      <c r="I358" s="82"/>
      <c r="J358" s="88"/>
      <c r="K358" s="89"/>
      <c r="L358" s="88"/>
      <c r="M358" s="89"/>
      <c r="N358" s="80"/>
      <c r="O358" s="82"/>
      <c r="P358" s="94"/>
      <c r="Q358" s="95"/>
      <c r="S358" s="99"/>
      <c r="T358" s="99"/>
      <c r="U358" s="99"/>
      <c r="V358" s="99"/>
      <c r="W358" s="99"/>
      <c r="X358" s="99"/>
      <c r="Y358" s="99"/>
      <c r="Z358" s="99"/>
      <c r="AA358" s="99"/>
      <c r="AB358" s="99"/>
      <c r="AC358" s="98"/>
      <c r="AD358" s="98"/>
      <c r="AE358" s="98"/>
      <c r="AF358" s="98"/>
      <c r="AG358" s="98"/>
      <c r="AH358" s="98"/>
    </row>
    <row r="359" spans="2:34" x14ac:dyDescent="0.25">
      <c r="B359" s="75"/>
      <c r="C359" s="76"/>
      <c r="D359" s="83"/>
      <c r="E359" s="84"/>
      <c r="F359" s="84"/>
      <c r="G359" s="84"/>
      <c r="H359" s="84"/>
      <c r="I359" s="85"/>
      <c r="J359" s="90"/>
      <c r="K359" s="91"/>
      <c r="L359" s="90"/>
      <c r="M359" s="91"/>
      <c r="N359" s="83"/>
      <c r="O359" s="85"/>
      <c r="P359" s="96"/>
      <c r="Q359" s="97"/>
      <c r="S359" s="99"/>
      <c r="T359" s="99"/>
      <c r="U359" s="99"/>
      <c r="V359" s="99"/>
      <c r="W359" s="99"/>
      <c r="X359" s="99"/>
      <c r="Y359" s="99"/>
      <c r="Z359" s="99"/>
      <c r="AA359" s="99"/>
      <c r="AB359" s="99"/>
      <c r="AC359" s="98"/>
      <c r="AD359" s="98"/>
      <c r="AE359" s="98"/>
      <c r="AF359" s="98"/>
      <c r="AG359" s="98"/>
      <c r="AH359" s="98"/>
    </row>
    <row r="360" spans="2:34" x14ac:dyDescent="0.25">
      <c r="B360" s="71"/>
      <c r="C360" s="72"/>
      <c r="D360" s="77"/>
      <c r="E360" s="78"/>
      <c r="F360" s="78"/>
      <c r="G360" s="78"/>
      <c r="H360" s="78"/>
      <c r="I360" s="79"/>
      <c r="J360" s="86"/>
      <c r="K360" s="87"/>
      <c r="L360" s="86"/>
      <c r="M360" s="87"/>
      <c r="N360" s="77"/>
      <c r="O360" s="79"/>
      <c r="P360" s="92"/>
      <c r="Q360" s="93"/>
      <c r="S360" s="99"/>
      <c r="T360" s="99"/>
      <c r="U360" s="99"/>
      <c r="V360" s="99"/>
      <c r="W360" s="99"/>
      <c r="X360" s="99"/>
      <c r="Y360" s="99"/>
      <c r="Z360" s="99"/>
      <c r="AA360" s="99"/>
      <c r="AB360" s="99"/>
      <c r="AC360" s="98"/>
      <c r="AD360" s="98"/>
      <c r="AE360" s="98"/>
      <c r="AF360" s="98"/>
      <c r="AG360" s="98"/>
      <c r="AH360" s="98"/>
    </row>
    <row r="361" spans="2:34" x14ac:dyDescent="0.25">
      <c r="B361" s="73"/>
      <c r="C361" s="74"/>
      <c r="D361" s="80"/>
      <c r="E361" s="81"/>
      <c r="F361" s="81"/>
      <c r="G361" s="81"/>
      <c r="H361" s="81"/>
      <c r="I361" s="82"/>
      <c r="J361" s="88"/>
      <c r="K361" s="89"/>
      <c r="L361" s="88"/>
      <c r="M361" s="89"/>
      <c r="N361" s="80"/>
      <c r="O361" s="82"/>
      <c r="P361" s="94"/>
      <c r="Q361" s="95"/>
      <c r="S361" s="99"/>
      <c r="T361" s="99"/>
      <c r="U361" s="99"/>
      <c r="V361" s="99"/>
      <c r="W361" s="99"/>
      <c r="X361" s="99"/>
      <c r="Y361" s="99"/>
      <c r="Z361" s="99"/>
      <c r="AA361" s="99"/>
      <c r="AB361" s="99"/>
      <c r="AC361" s="98"/>
      <c r="AD361" s="98"/>
      <c r="AE361" s="98"/>
      <c r="AF361" s="98"/>
      <c r="AG361" s="98"/>
      <c r="AH361" s="98"/>
    </row>
    <row r="362" spans="2:34" x14ac:dyDescent="0.25">
      <c r="B362" s="75"/>
      <c r="C362" s="76"/>
      <c r="D362" s="83"/>
      <c r="E362" s="84"/>
      <c r="F362" s="84"/>
      <c r="G362" s="84"/>
      <c r="H362" s="84"/>
      <c r="I362" s="85"/>
      <c r="J362" s="90"/>
      <c r="K362" s="91"/>
      <c r="L362" s="90"/>
      <c r="M362" s="91"/>
      <c r="N362" s="83"/>
      <c r="O362" s="85"/>
      <c r="P362" s="96"/>
      <c r="Q362" s="97"/>
      <c r="S362" s="99"/>
      <c r="T362" s="99"/>
      <c r="U362" s="99"/>
      <c r="V362" s="99"/>
      <c r="W362" s="99"/>
      <c r="X362" s="99"/>
      <c r="Y362" s="99"/>
      <c r="Z362" s="99"/>
      <c r="AA362" s="99"/>
      <c r="AB362" s="99"/>
      <c r="AC362" s="98"/>
      <c r="AD362" s="98"/>
      <c r="AE362" s="98"/>
      <c r="AF362" s="98"/>
      <c r="AG362" s="98"/>
      <c r="AH362" s="98"/>
    </row>
    <row r="363" spans="2:34" x14ac:dyDescent="0.25">
      <c r="B363" s="71"/>
      <c r="C363" s="72"/>
      <c r="D363" s="77"/>
      <c r="E363" s="78"/>
      <c r="F363" s="78"/>
      <c r="G363" s="78"/>
      <c r="H363" s="78"/>
      <c r="I363" s="79"/>
      <c r="J363" s="86"/>
      <c r="K363" s="87"/>
      <c r="L363" s="86"/>
      <c r="M363" s="87"/>
      <c r="N363" s="77"/>
      <c r="O363" s="79"/>
      <c r="P363" s="92"/>
      <c r="Q363" s="93"/>
      <c r="S363" s="99"/>
      <c r="T363" s="99"/>
      <c r="U363" s="99"/>
      <c r="V363" s="99"/>
      <c r="W363" s="99"/>
      <c r="X363" s="99"/>
      <c r="Y363" s="99"/>
      <c r="Z363" s="99"/>
      <c r="AA363" s="99"/>
      <c r="AB363" s="99"/>
      <c r="AC363" s="98"/>
      <c r="AD363" s="98"/>
      <c r="AE363" s="98"/>
      <c r="AF363" s="98"/>
      <c r="AG363" s="98"/>
      <c r="AH363" s="98"/>
    </row>
    <row r="364" spans="2:34" x14ac:dyDescent="0.25">
      <c r="B364" s="73"/>
      <c r="C364" s="74"/>
      <c r="D364" s="80"/>
      <c r="E364" s="81"/>
      <c r="F364" s="81"/>
      <c r="G364" s="81"/>
      <c r="H364" s="81"/>
      <c r="I364" s="82"/>
      <c r="J364" s="88"/>
      <c r="K364" s="89"/>
      <c r="L364" s="88"/>
      <c r="M364" s="89"/>
      <c r="N364" s="80"/>
      <c r="O364" s="82"/>
      <c r="P364" s="94"/>
      <c r="Q364" s="95"/>
      <c r="S364" s="99"/>
      <c r="T364" s="99"/>
      <c r="U364" s="99"/>
      <c r="V364" s="99"/>
      <c r="W364" s="99"/>
      <c r="X364" s="99"/>
      <c r="Y364" s="99"/>
      <c r="Z364" s="99"/>
      <c r="AA364" s="99"/>
      <c r="AB364" s="99"/>
      <c r="AC364" s="98"/>
      <c r="AD364" s="98"/>
      <c r="AE364" s="98"/>
      <c r="AF364" s="98"/>
      <c r="AG364" s="98"/>
      <c r="AH364" s="98"/>
    </row>
    <row r="365" spans="2:34" x14ac:dyDescent="0.25">
      <c r="B365" s="75"/>
      <c r="C365" s="76"/>
      <c r="D365" s="83"/>
      <c r="E365" s="84"/>
      <c r="F365" s="84"/>
      <c r="G365" s="84"/>
      <c r="H365" s="84"/>
      <c r="I365" s="85"/>
      <c r="J365" s="90"/>
      <c r="K365" s="91"/>
      <c r="L365" s="90"/>
      <c r="M365" s="91"/>
      <c r="N365" s="83"/>
      <c r="O365" s="85"/>
      <c r="P365" s="96"/>
      <c r="Q365" s="97"/>
      <c r="S365" s="99"/>
      <c r="T365" s="99"/>
      <c r="U365" s="99"/>
      <c r="V365" s="99"/>
      <c r="W365" s="99"/>
      <c r="X365" s="99"/>
      <c r="Y365" s="99"/>
      <c r="Z365" s="99"/>
      <c r="AA365" s="99"/>
      <c r="AB365" s="99"/>
      <c r="AC365" s="98"/>
      <c r="AD365" s="98"/>
      <c r="AE365" s="98"/>
      <c r="AF365" s="98"/>
      <c r="AG365" s="98"/>
      <c r="AH365" s="98"/>
    </row>
    <row r="366" spans="2:34" x14ac:dyDescent="0.25">
      <c r="B366" s="71"/>
      <c r="C366" s="72"/>
      <c r="D366" s="77"/>
      <c r="E366" s="78"/>
      <c r="F366" s="78"/>
      <c r="G366" s="78"/>
      <c r="H366" s="78"/>
      <c r="I366" s="79"/>
      <c r="J366" s="86"/>
      <c r="K366" s="87"/>
      <c r="L366" s="86"/>
      <c r="M366" s="87"/>
      <c r="N366" s="77"/>
      <c r="O366" s="79"/>
      <c r="P366" s="92"/>
      <c r="Q366" s="93"/>
      <c r="S366" s="99"/>
      <c r="T366" s="99"/>
      <c r="U366" s="99"/>
      <c r="V366" s="99"/>
      <c r="W366" s="99"/>
      <c r="X366" s="99"/>
      <c r="Y366" s="99"/>
      <c r="Z366" s="99"/>
      <c r="AA366" s="99"/>
      <c r="AB366" s="99"/>
      <c r="AC366" s="98"/>
      <c r="AD366" s="98"/>
      <c r="AE366" s="98"/>
      <c r="AF366" s="98"/>
      <c r="AG366" s="98"/>
      <c r="AH366" s="98"/>
    </row>
    <row r="367" spans="2:34" x14ac:dyDescent="0.25">
      <c r="B367" s="73"/>
      <c r="C367" s="74"/>
      <c r="D367" s="80"/>
      <c r="E367" s="81"/>
      <c r="F367" s="81"/>
      <c r="G367" s="81"/>
      <c r="H367" s="81"/>
      <c r="I367" s="82"/>
      <c r="J367" s="88"/>
      <c r="K367" s="89"/>
      <c r="L367" s="88"/>
      <c r="M367" s="89"/>
      <c r="N367" s="80"/>
      <c r="O367" s="82"/>
      <c r="P367" s="94"/>
      <c r="Q367" s="95"/>
      <c r="S367" s="99"/>
      <c r="T367" s="99"/>
      <c r="U367" s="99"/>
      <c r="V367" s="99"/>
      <c r="W367" s="99"/>
      <c r="X367" s="99"/>
      <c r="Y367" s="99"/>
      <c r="Z367" s="99"/>
      <c r="AA367" s="99"/>
      <c r="AB367" s="99"/>
      <c r="AC367" s="98"/>
      <c r="AD367" s="98"/>
      <c r="AE367" s="98"/>
      <c r="AF367" s="98"/>
      <c r="AG367" s="98"/>
      <c r="AH367" s="98"/>
    </row>
    <row r="368" spans="2:34" x14ac:dyDescent="0.25">
      <c r="B368" s="75"/>
      <c r="C368" s="76"/>
      <c r="D368" s="83"/>
      <c r="E368" s="84"/>
      <c r="F368" s="84"/>
      <c r="G368" s="84"/>
      <c r="H368" s="84"/>
      <c r="I368" s="85"/>
      <c r="J368" s="90"/>
      <c r="K368" s="91"/>
      <c r="L368" s="90"/>
      <c r="M368" s="91"/>
      <c r="N368" s="83"/>
      <c r="O368" s="85"/>
      <c r="P368" s="96"/>
      <c r="Q368" s="97"/>
      <c r="S368" s="99"/>
      <c r="T368" s="99"/>
      <c r="U368" s="99"/>
      <c r="V368" s="99"/>
      <c r="W368" s="99"/>
      <c r="X368" s="99"/>
      <c r="Y368" s="99"/>
      <c r="Z368" s="99"/>
      <c r="AA368" s="99"/>
      <c r="AB368" s="99"/>
      <c r="AC368" s="98"/>
      <c r="AD368" s="98"/>
      <c r="AE368" s="98"/>
      <c r="AF368" s="98"/>
      <c r="AG368" s="98"/>
      <c r="AH368" s="98"/>
    </row>
    <row r="369" spans="2:34" x14ac:dyDescent="0.25">
      <c r="B369" s="71"/>
      <c r="C369" s="72"/>
      <c r="D369" s="77"/>
      <c r="E369" s="78"/>
      <c r="F369" s="78"/>
      <c r="G369" s="78"/>
      <c r="H369" s="78"/>
      <c r="I369" s="79"/>
      <c r="J369" s="86"/>
      <c r="K369" s="87"/>
      <c r="L369" s="86"/>
      <c r="M369" s="87"/>
      <c r="N369" s="77"/>
      <c r="O369" s="79"/>
      <c r="P369" s="92"/>
      <c r="Q369" s="93"/>
      <c r="S369" s="99"/>
      <c r="T369" s="99"/>
      <c r="U369" s="99"/>
      <c r="V369" s="99"/>
      <c r="W369" s="99"/>
      <c r="X369" s="99"/>
      <c r="Y369" s="99"/>
      <c r="Z369" s="99"/>
      <c r="AA369" s="99"/>
      <c r="AB369" s="99"/>
      <c r="AC369" s="98"/>
      <c r="AD369" s="98"/>
      <c r="AE369" s="98"/>
      <c r="AF369" s="98"/>
      <c r="AG369" s="98"/>
      <c r="AH369" s="98"/>
    </row>
    <row r="370" spans="2:34" x14ac:dyDescent="0.25">
      <c r="B370" s="73"/>
      <c r="C370" s="74"/>
      <c r="D370" s="80"/>
      <c r="E370" s="81"/>
      <c r="F370" s="81"/>
      <c r="G370" s="81"/>
      <c r="H370" s="81"/>
      <c r="I370" s="82"/>
      <c r="J370" s="88"/>
      <c r="K370" s="89"/>
      <c r="L370" s="88"/>
      <c r="M370" s="89"/>
      <c r="N370" s="80"/>
      <c r="O370" s="82"/>
      <c r="P370" s="94"/>
      <c r="Q370" s="95"/>
      <c r="S370" s="99"/>
      <c r="T370" s="99"/>
      <c r="U370" s="99"/>
      <c r="V370" s="99"/>
      <c r="W370" s="99"/>
      <c r="X370" s="99"/>
      <c r="Y370" s="99"/>
      <c r="Z370" s="99"/>
      <c r="AA370" s="99"/>
      <c r="AB370" s="99"/>
      <c r="AC370" s="98"/>
      <c r="AD370" s="98"/>
      <c r="AE370" s="98"/>
      <c r="AF370" s="98"/>
      <c r="AG370" s="98"/>
      <c r="AH370" s="98"/>
    </row>
    <row r="371" spans="2:34" x14ac:dyDescent="0.25">
      <c r="B371" s="75"/>
      <c r="C371" s="76"/>
      <c r="D371" s="83"/>
      <c r="E371" s="84"/>
      <c r="F371" s="84"/>
      <c r="G371" s="84"/>
      <c r="H371" s="84"/>
      <c r="I371" s="85"/>
      <c r="J371" s="90"/>
      <c r="K371" s="91"/>
      <c r="L371" s="90"/>
      <c r="M371" s="91"/>
      <c r="N371" s="83"/>
      <c r="O371" s="85"/>
      <c r="P371" s="96"/>
      <c r="Q371" s="97"/>
      <c r="S371" s="99"/>
      <c r="T371" s="99"/>
      <c r="U371" s="99"/>
      <c r="V371" s="99"/>
      <c r="W371" s="99"/>
      <c r="X371" s="99"/>
      <c r="Y371" s="99"/>
      <c r="Z371" s="99"/>
      <c r="AA371" s="99"/>
      <c r="AB371" s="99"/>
      <c r="AC371" s="98"/>
      <c r="AD371" s="98"/>
      <c r="AE371" s="98"/>
      <c r="AF371" s="98"/>
      <c r="AG371" s="98"/>
      <c r="AH371" s="98"/>
    </row>
    <row r="372" spans="2:34" x14ac:dyDescent="0.25">
      <c r="B372" s="71"/>
      <c r="C372" s="72"/>
      <c r="D372" s="77"/>
      <c r="E372" s="78"/>
      <c r="F372" s="78"/>
      <c r="G372" s="78"/>
      <c r="H372" s="78"/>
      <c r="I372" s="79"/>
      <c r="J372" s="86"/>
      <c r="K372" s="87"/>
      <c r="L372" s="86"/>
      <c r="M372" s="87"/>
      <c r="N372" s="77"/>
      <c r="O372" s="79"/>
      <c r="P372" s="92"/>
      <c r="Q372" s="93"/>
      <c r="S372" s="99"/>
      <c r="T372" s="99"/>
      <c r="U372" s="99"/>
      <c r="V372" s="99"/>
      <c r="W372" s="99"/>
      <c r="X372" s="99"/>
      <c r="Y372" s="99"/>
      <c r="Z372" s="99"/>
      <c r="AA372" s="99"/>
      <c r="AB372" s="99"/>
      <c r="AC372" s="98"/>
      <c r="AD372" s="98"/>
      <c r="AE372" s="98"/>
      <c r="AF372" s="98"/>
      <c r="AG372" s="98"/>
      <c r="AH372" s="98"/>
    </row>
    <row r="373" spans="2:34" x14ac:dyDescent="0.25">
      <c r="B373" s="73"/>
      <c r="C373" s="74"/>
      <c r="D373" s="80"/>
      <c r="E373" s="81"/>
      <c r="F373" s="81"/>
      <c r="G373" s="81"/>
      <c r="H373" s="81"/>
      <c r="I373" s="82"/>
      <c r="J373" s="88"/>
      <c r="K373" s="89"/>
      <c r="L373" s="88"/>
      <c r="M373" s="89"/>
      <c r="N373" s="80"/>
      <c r="O373" s="82"/>
      <c r="P373" s="94"/>
      <c r="Q373" s="95"/>
      <c r="S373" s="99"/>
      <c r="T373" s="99"/>
      <c r="U373" s="99"/>
      <c r="V373" s="99"/>
      <c r="W373" s="99"/>
      <c r="X373" s="99"/>
      <c r="Y373" s="99"/>
      <c r="Z373" s="99"/>
      <c r="AA373" s="99"/>
      <c r="AB373" s="99"/>
      <c r="AC373" s="98"/>
      <c r="AD373" s="98"/>
      <c r="AE373" s="98"/>
      <c r="AF373" s="98"/>
      <c r="AG373" s="98"/>
      <c r="AH373" s="98"/>
    </row>
    <row r="374" spans="2:34" x14ac:dyDescent="0.25">
      <c r="B374" s="75"/>
      <c r="C374" s="76"/>
      <c r="D374" s="83"/>
      <c r="E374" s="84"/>
      <c r="F374" s="84"/>
      <c r="G374" s="84"/>
      <c r="H374" s="84"/>
      <c r="I374" s="85"/>
      <c r="J374" s="90"/>
      <c r="K374" s="91"/>
      <c r="L374" s="90"/>
      <c r="M374" s="91"/>
      <c r="N374" s="83"/>
      <c r="O374" s="85"/>
      <c r="P374" s="96"/>
      <c r="Q374" s="97"/>
      <c r="S374" s="99"/>
      <c r="T374" s="99"/>
      <c r="U374" s="99"/>
      <c r="V374" s="99"/>
      <c r="W374" s="99"/>
      <c r="X374" s="99"/>
      <c r="Y374" s="99"/>
      <c r="Z374" s="99"/>
      <c r="AA374" s="99"/>
      <c r="AB374" s="99"/>
      <c r="AC374" s="98"/>
      <c r="AD374" s="98"/>
      <c r="AE374" s="98"/>
      <c r="AF374" s="98"/>
      <c r="AG374" s="98"/>
      <c r="AH374" s="98"/>
    </row>
    <row r="375" spans="2:34" x14ac:dyDescent="0.25">
      <c r="B375" s="71"/>
      <c r="C375" s="72"/>
      <c r="D375" s="77"/>
      <c r="E375" s="78"/>
      <c r="F375" s="78"/>
      <c r="G375" s="78"/>
      <c r="H375" s="78"/>
      <c r="I375" s="79"/>
      <c r="J375" s="86"/>
      <c r="K375" s="87"/>
      <c r="L375" s="86"/>
      <c r="M375" s="87"/>
      <c r="N375" s="77"/>
      <c r="O375" s="79"/>
      <c r="P375" s="92"/>
      <c r="Q375" s="93"/>
      <c r="S375" s="99"/>
      <c r="T375" s="99"/>
      <c r="U375" s="99"/>
      <c r="V375" s="99"/>
      <c r="W375" s="99"/>
      <c r="X375" s="99"/>
      <c r="Y375" s="99"/>
      <c r="Z375" s="99"/>
      <c r="AA375" s="99"/>
      <c r="AB375" s="99"/>
      <c r="AC375" s="98"/>
      <c r="AD375" s="98"/>
      <c r="AE375" s="98"/>
      <c r="AF375" s="98"/>
      <c r="AG375" s="98"/>
      <c r="AH375" s="98"/>
    </row>
    <row r="376" spans="2:34" x14ac:dyDescent="0.25">
      <c r="B376" s="73"/>
      <c r="C376" s="74"/>
      <c r="D376" s="80"/>
      <c r="E376" s="81"/>
      <c r="F376" s="81"/>
      <c r="G376" s="81"/>
      <c r="H376" s="81"/>
      <c r="I376" s="82"/>
      <c r="J376" s="88"/>
      <c r="K376" s="89"/>
      <c r="L376" s="88"/>
      <c r="M376" s="89"/>
      <c r="N376" s="80"/>
      <c r="O376" s="82"/>
      <c r="P376" s="94"/>
      <c r="Q376" s="95"/>
      <c r="S376" s="99"/>
      <c r="T376" s="99"/>
      <c r="U376" s="99"/>
      <c r="V376" s="99"/>
      <c r="W376" s="99"/>
      <c r="X376" s="99"/>
      <c r="Y376" s="99"/>
      <c r="Z376" s="99"/>
      <c r="AA376" s="99"/>
      <c r="AB376" s="99"/>
      <c r="AC376" s="98"/>
      <c r="AD376" s="98"/>
      <c r="AE376" s="98"/>
      <c r="AF376" s="98"/>
      <c r="AG376" s="98"/>
      <c r="AH376" s="98"/>
    </row>
    <row r="377" spans="2:34" x14ac:dyDescent="0.25">
      <c r="B377" s="75"/>
      <c r="C377" s="76"/>
      <c r="D377" s="83"/>
      <c r="E377" s="84"/>
      <c r="F377" s="84"/>
      <c r="G377" s="84"/>
      <c r="H377" s="84"/>
      <c r="I377" s="85"/>
      <c r="J377" s="90"/>
      <c r="K377" s="91"/>
      <c r="L377" s="90"/>
      <c r="M377" s="91"/>
      <c r="N377" s="83"/>
      <c r="O377" s="85"/>
      <c r="P377" s="96"/>
      <c r="Q377" s="97"/>
      <c r="S377" s="99"/>
      <c r="T377" s="99"/>
      <c r="U377" s="99"/>
      <c r="V377" s="99"/>
      <c r="W377" s="99"/>
      <c r="X377" s="99"/>
      <c r="Y377" s="99"/>
      <c r="Z377" s="99"/>
      <c r="AA377" s="99"/>
      <c r="AB377" s="99"/>
      <c r="AC377" s="98"/>
      <c r="AD377" s="98"/>
      <c r="AE377" s="98"/>
      <c r="AF377" s="98"/>
      <c r="AG377" s="98"/>
      <c r="AH377" s="98"/>
    </row>
    <row r="378" spans="2:34" x14ac:dyDescent="0.25">
      <c r="B378" s="71"/>
      <c r="C378" s="72"/>
      <c r="D378" s="77"/>
      <c r="E378" s="78"/>
      <c r="F378" s="78"/>
      <c r="G378" s="78"/>
      <c r="H378" s="78"/>
      <c r="I378" s="79"/>
      <c r="J378" s="86"/>
      <c r="K378" s="87"/>
      <c r="L378" s="86"/>
      <c r="M378" s="87"/>
      <c r="N378" s="77"/>
      <c r="O378" s="79"/>
      <c r="P378" s="92"/>
      <c r="Q378" s="93"/>
      <c r="S378" s="99"/>
      <c r="T378" s="99"/>
      <c r="U378" s="99"/>
      <c r="V378" s="99"/>
      <c r="W378" s="99"/>
      <c r="X378" s="99"/>
      <c r="Y378" s="99"/>
      <c r="Z378" s="99"/>
      <c r="AA378" s="99"/>
      <c r="AB378" s="99"/>
      <c r="AC378" s="98"/>
      <c r="AD378" s="98"/>
      <c r="AE378" s="98"/>
      <c r="AF378" s="98"/>
      <c r="AG378" s="98"/>
      <c r="AH378" s="98"/>
    </row>
    <row r="379" spans="2:34" x14ac:dyDescent="0.25">
      <c r="B379" s="73"/>
      <c r="C379" s="74"/>
      <c r="D379" s="80"/>
      <c r="E379" s="81"/>
      <c r="F379" s="81"/>
      <c r="G379" s="81"/>
      <c r="H379" s="81"/>
      <c r="I379" s="82"/>
      <c r="J379" s="88"/>
      <c r="K379" s="89"/>
      <c r="L379" s="88"/>
      <c r="M379" s="89"/>
      <c r="N379" s="80"/>
      <c r="O379" s="82"/>
      <c r="P379" s="94"/>
      <c r="Q379" s="95"/>
      <c r="S379" s="99"/>
      <c r="T379" s="99"/>
      <c r="U379" s="99"/>
      <c r="V379" s="99"/>
      <c r="W379" s="99"/>
      <c r="X379" s="99"/>
      <c r="Y379" s="99"/>
      <c r="Z379" s="99"/>
      <c r="AA379" s="99"/>
      <c r="AB379" s="99"/>
      <c r="AC379" s="98"/>
      <c r="AD379" s="98"/>
      <c r="AE379" s="98"/>
      <c r="AF379" s="98"/>
      <c r="AG379" s="98"/>
      <c r="AH379" s="98"/>
    </row>
    <row r="380" spans="2:34" x14ac:dyDescent="0.25">
      <c r="B380" s="75"/>
      <c r="C380" s="76"/>
      <c r="D380" s="83"/>
      <c r="E380" s="84"/>
      <c r="F380" s="84"/>
      <c r="G380" s="84"/>
      <c r="H380" s="84"/>
      <c r="I380" s="85"/>
      <c r="J380" s="90"/>
      <c r="K380" s="91"/>
      <c r="L380" s="90"/>
      <c r="M380" s="91"/>
      <c r="N380" s="83"/>
      <c r="O380" s="85"/>
      <c r="P380" s="96"/>
      <c r="Q380" s="97"/>
      <c r="S380" s="99"/>
      <c r="T380" s="99"/>
      <c r="U380" s="99"/>
      <c r="V380" s="99"/>
      <c r="W380" s="99"/>
      <c r="X380" s="99"/>
      <c r="Y380" s="99"/>
      <c r="Z380" s="99"/>
      <c r="AA380" s="99"/>
      <c r="AB380" s="99"/>
      <c r="AC380" s="98"/>
      <c r="AD380" s="98"/>
      <c r="AE380" s="98"/>
      <c r="AF380" s="98"/>
      <c r="AG380" s="98"/>
      <c r="AH380" s="98"/>
    </row>
    <row r="381" spans="2:34" x14ac:dyDescent="0.25">
      <c r="B381" s="71"/>
      <c r="C381" s="72"/>
      <c r="D381" s="77"/>
      <c r="E381" s="78"/>
      <c r="F381" s="78"/>
      <c r="G381" s="78"/>
      <c r="H381" s="78"/>
      <c r="I381" s="79"/>
      <c r="J381" s="86"/>
      <c r="K381" s="87"/>
      <c r="L381" s="86"/>
      <c r="M381" s="87"/>
      <c r="N381" s="77"/>
      <c r="O381" s="79"/>
      <c r="P381" s="92"/>
      <c r="Q381" s="93"/>
      <c r="S381" s="99"/>
      <c r="T381" s="99"/>
      <c r="U381" s="99"/>
      <c r="V381" s="99"/>
      <c r="W381" s="99"/>
      <c r="X381" s="99"/>
      <c r="Y381" s="99"/>
      <c r="Z381" s="99"/>
      <c r="AA381" s="99"/>
      <c r="AB381" s="99"/>
      <c r="AC381" s="98"/>
      <c r="AD381" s="98"/>
      <c r="AE381" s="98"/>
      <c r="AF381" s="98"/>
      <c r="AG381" s="98"/>
      <c r="AH381" s="98"/>
    </row>
    <row r="382" spans="2:34" x14ac:dyDescent="0.25">
      <c r="B382" s="73"/>
      <c r="C382" s="74"/>
      <c r="D382" s="80"/>
      <c r="E382" s="81"/>
      <c r="F382" s="81"/>
      <c r="G382" s="81"/>
      <c r="H382" s="81"/>
      <c r="I382" s="82"/>
      <c r="J382" s="88"/>
      <c r="K382" s="89"/>
      <c r="L382" s="88"/>
      <c r="M382" s="89"/>
      <c r="N382" s="80"/>
      <c r="O382" s="82"/>
      <c r="P382" s="94"/>
      <c r="Q382" s="95"/>
      <c r="S382" s="99"/>
      <c r="T382" s="99"/>
      <c r="U382" s="99"/>
      <c r="V382" s="99"/>
      <c r="W382" s="99"/>
      <c r="X382" s="99"/>
      <c r="Y382" s="99"/>
      <c r="Z382" s="99"/>
      <c r="AA382" s="99"/>
      <c r="AB382" s="99"/>
      <c r="AC382" s="98"/>
      <c r="AD382" s="98"/>
      <c r="AE382" s="98"/>
      <c r="AF382" s="98"/>
      <c r="AG382" s="98"/>
      <c r="AH382" s="98"/>
    </row>
    <row r="383" spans="2:34" x14ac:dyDescent="0.25">
      <c r="B383" s="75"/>
      <c r="C383" s="76"/>
      <c r="D383" s="83"/>
      <c r="E383" s="84"/>
      <c r="F383" s="84"/>
      <c r="G383" s="84"/>
      <c r="H383" s="84"/>
      <c r="I383" s="85"/>
      <c r="J383" s="90"/>
      <c r="K383" s="91"/>
      <c r="L383" s="90"/>
      <c r="M383" s="91"/>
      <c r="N383" s="83"/>
      <c r="O383" s="85"/>
      <c r="P383" s="96"/>
      <c r="Q383" s="97"/>
      <c r="S383" s="99"/>
      <c r="T383" s="99"/>
      <c r="U383" s="99"/>
      <c r="V383" s="99"/>
      <c r="W383" s="99"/>
      <c r="X383" s="99"/>
      <c r="Y383" s="99"/>
      <c r="Z383" s="99"/>
      <c r="AA383" s="99"/>
      <c r="AB383" s="99"/>
      <c r="AC383" s="98"/>
      <c r="AD383" s="98"/>
      <c r="AE383" s="98"/>
      <c r="AF383" s="98"/>
      <c r="AG383" s="98"/>
      <c r="AH383" s="98"/>
    </row>
    <row r="384" spans="2:34" x14ac:dyDescent="0.25">
      <c r="B384" s="71"/>
      <c r="C384" s="72"/>
      <c r="D384" s="77"/>
      <c r="E384" s="78"/>
      <c r="F384" s="78"/>
      <c r="G384" s="78"/>
      <c r="H384" s="78"/>
      <c r="I384" s="79"/>
      <c r="J384" s="86"/>
      <c r="K384" s="87"/>
      <c r="L384" s="86"/>
      <c r="M384" s="87"/>
      <c r="N384" s="77"/>
      <c r="O384" s="79"/>
      <c r="P384" s="92"/>
      <c r="Q384" s="93"/>
      <c r="S384" s="99"/>
      <c r="T384" s="99"/>
      <c r="U384" s="99"/>
      <c r="V384" s="99"/>
      <c r="W384" s="99"/>
      <c r="X384" s="99"/>
      <c r="Y384" s="99"/>
      <c r="Z384" s="99"/>
      <c r="AA384" s="99"/>
      <c r="AB384" s="99"/>
      <c r="AC384" s="98"/>
      <c r="AD384" s="98"/>
      <c r="AE384" s="98"/>
      <c r="AF384" s="98"/>
      <c r="AG384" s="98"/>
      <c r="AH384" s="98"/>
    </row>
    <row r="385" spans="2:34" x14ac:dyDescent="0.25">
      <c r="B385" s="73"/>
      <c r="C385" s="74"/>
      <c r="D385" s="80"/>
      <c r="E385" s="81"/>
      <c r="F385" s="81"/>
      <c r="G385" s="81"/>
      <c r="H385" s="81"/>
      <c r="I385" s="82"/>
      <c r="J385" s="88"/>
      <c r="K385" s="89"/>
      <c r="L385" s="88"/>
      <c r="M385" s="89"/>
      <c r="N385" s="80"/>
      <c r="O385" s="82"/>
      <c r="P385" s="94"/>
      <c r="Q385" s="95"/>
      <c r="S385" s="99"/>
      <c r="T385" s="99"/>
      <c r="U385" s="99"/>
      <c r="V385" s="99"/>
      <c r="W385" s="99"/>
      <c r="X385" s="99"/>
      <c r="Y385" s="99"/>
      <c r="Z385" s="99"/>
      <c r="AA385" s="99"/>
      <c r="AB385" s="99"/>
      <c r="AC385" s="98"/>
      <c r="AD385" s="98"/>
      <c r="AE385" s="98"/>
      <c r="AF385" s="98"/>
      <c r="AG385" s="98"/>
      <c r="AH385" s="98"/>
    </row>
    <row r="386" spans="2:34" x14ac:dyDescent="0.25">
      <c r="B386" s="75"/>
      <c r="C386" s="76"/>
      <c r="D386" s="83"/>
      <c r="E386" s="84"/>
      <c r="F386" s="84"/>
      <c r="G386" s="84"/>
      <c r="H386" s="84"/>
      <c r="I386" s="85"/>
      <c r="J386" s="90"/>
      <c r="K386" s="91"/>
      <c r="L386" s="90"/>
      <c r="M386" s="91"/>
      <c r="N386" s="83"/>
      <c r="O386" s="85"/>
      <c r="P386" s="96"/>
      <c r="Q386" s="97"/>
      <c r="S386" s="99"/>
      <c r="T386" s="99"/>
      <c r="U386" s="99"/>
      <c r="V386" s="99"/>
      <c r="W386" s="99"/>
      <c r="X386" s="99"/>
      <c r="Y386" s="99"/>
      <c r="Z386" s="99"/>
      <c r="AA386" s="99"/>
      <c r="AB386" s="99"/>
      <c r="AC386" s="98"/>
      <c r="AD386" s="98"/>
      <c r="AE386" s="98"/>
      <c r="AF386" s="98"/>
      <c r="AG386" s="98"/>
      <c r="AH386" s="98"/>
    </row>
    <row r="387" spans="2:34" x14ac:dyDescent="0.25">
      <c r="B387" s="71"/>
      <c r="C387" s="72"/>
      <c r="D387" s="77"/>
      <c r="E387" s="78"/>
      <c r="F387" s="78"/>
      <c r="G387" s="78"/>
      <c r="H387" s="78"/>
      <c r="I387" s="79"/>
      <c r="J387" s="86"/>
      <c r="K387" s="87"/>
      <c r="L387" s="86"/>
      <c r="M387" s="87"/>
      <c r="N387" s="77"/>
      <c r="O387" s="79"/>
      <c r="P387" s="92"/>
      <c r="Q387" s="93"/>
      <c r="S387" s="99"/>
      <c r="T387" s="99"/>
      <c r="U387" s="99"/>
      <c r="V387" s="99"/>
      <c r="W387" s="99"/>
      <c r="X387" s="99"/>
      <c r="Y387" s="99"/>
      <c r="Z387" s="99"/>
      <c r="AA387" s="99"/>
      <c r="AB387" s="99"/>
      <c r="AC387" s="98"/>
      <c r="AD387" s="98"/>
      <c r="AE387" s="98"/>
      <c r="AF387" s="98"/>
      <c r="AG387" s="98"/>
      <c r="AH387" s="98"/>
    </row>
    <row r="388" spans="2:34" x14ac:dyDescent="0.25">
      <c r="B388" s="73"/>
      <c r="C388" s="74"/>
      <c r="D388" s="80"/>
      <c r="E388" s="81"/>
      <c r="F388" s="81"/>
      <c r="G388" s="81"/>
      <c r="H388" s="81"/>
      <c r="I388" s="82"/>
      <c r="J388" s="88"/>
      <c r="K388" s="89"/>
      <c r="L388" s="88"/>
      <c r="M388" s="89"/>
      <c r="N388" s="80"/>
      <c r="O388" s="82"/>
      <c r="P388" s="94"/>
      <c r="Q388" s="95"/>
      <c r="S388" s="99"/>
      <c r="T388" s="99"/>
      <c r="U388" s="99"/>
      <c r="V388" s="99"/>
      <c r="W388" s="99"/>
      <c r="X388" s="99"/>
      <c r="Y388" s="99"/>
      <c r="Z388" s="99"/>
      <c r="AA388" s="99"/>
      <c r="AB388" s="99"/>
      <c r="AC388" s="98"/>
      <c r="AD388" s="98"/>
      <c r="AE388" s="98"/>
      <c r="AF388" s="98"/>
      <c r="AG388" s="98"/>
      <c r="AH388" s="98"/>
    </row>
    <row r="389" spans="2:34" x14ac:dyDescent="0.25">
      <c r="B389" s="75"/>
      <c r="C389" s="76"/>
      <c r="D389" s="83"/>
      <c r="E389" s="84"/>
      <c r="F389" s="84"/>
      <c r="G389" s="84"/>
      <c r="H389" s="84"/>
      <c r="I389" s="85"/>
      <c r="J389" s="90"/>
      <c r="K389" s="91"/>
      <c r="L389" s="90"/>
      <c r="M389" s="91"/>
      <c r="N389" s="83"/>
      <c r="O389" s="85"/>
      <c r="P389" s="96"/>
      <c r="Q389" s="97"/>
      <c r="S389" s="99"/>
      <c r="T389" s="99"/>
      <c r="U389" s="99"/>
      <c r="V389" s="99"/>
      <c r="W389" s="99"/>
      <c r="X389" s="99"/>
      <c r="Y389" s="99"/>
      <c r="Z389" s="99"/>
      <c r="AA389" s="99"/>
      <c r="AB389" s="99"/>
      <c r="AC389" s="98"/>
      <c r="AD389" s="98"/>
      <c r="AE389" s="98"/>
      <c r="AF389" s="98"/>
      <c r="AG389" s="98"/>
      <c r="AH389" s="98"/>
    </row>
    <row r="390" spans="2:34" x14ac:dyDescent="0.25">
      <c r="B390" s="71"/>
      <c r="C390" s="72"/>
      <c r="D390" s="77"/>
      <c r="E390" s="78"/>
      <c r="F390" s="78"/>
      <c r="G390" s="78"/>
      <c r="H390" s="78"/>
      <c r="I390" s="79"/>
      <c r="J390" s="86"/>
      <c r="K390" s="87"/>
      <c r="L390" s="86"/>
      <c r="M390" s="87"/>
      <c r="N390" s="77"/>
      <c r="O390" s="79"/>
      <c r="P390" s="92"/>
      <c r="Q390" s="93"/>
      <c r="S390" s="99"/>
      <c r="T390" s="99"/>
      <c r="U390" s="99"/>
      <c r="V390" s="99"/>
      <c r="W390" s="99"/>
      <c r="X390" s="99"/>
      <c r="Y390" s="99"/>
      <c r="Z390" s="99"/>
      <c r="AA390" s="99"/>
      <c r="AB390" s="99"/>
      <c r="AC390" s="98"/>
      <c r="AD390" s="98"/>
      <c r="AE390" s="98"/>
      <c r="AF390" s="98"/>
      <c r="AG390" s="98"/>
      <c r="AH390" s="98"/>
    </row>
    <row r="391" spans="2:34" x14ac:dyDescent="0.25">
      <c r="B391" s="73"/>
      <c r="C391" s="74"/>
      <c r="D391" s="80"/>
      <c r="E391" s="81"/>
      <c r="F391" s="81"/>
      <c r="G391" s="81"/>
      <c r="H391" s="81"/>
      <c r="I391" s="82"/>
      <c r="J391" s="88"/>
      <c r="K391" s="89"/>
      <c r="L391" s="88"/>
      <c r="M391" s="89"/>
      <c r="N391" s="80"/>
      <c r="O391" s="82"/>
      <c r="P391" s="94"/>
      <c r="Q391" s="95"/>
      <c r="S391" s="99"/>
      <c r="T391" s="99"/>
      <c r="U391" s="99"/>
      <c r="V391" s="99"/>
      <c r="W391" s="99"/>
      <c r="X391" s="99"/>
      <c r="Y391" s="99"/>
      <c r="Z391" s="99"/>
      <c r="AA391" s="99"/>
      <c r="AB391" s="99"/>
      <c r="AC391" s="98"/>
      <c r="AD391" s="98"/>
      <c r="AE391" s="98"/>
      <c r="AF391" s="98"/>
      <c r="AG391" s="98"/>
      <c r="AH391" s="98"/>
    </row>
    <row r="392" spans="2:34" x14ac:dyDescent="0.25">
      <c r="B392" s="75"/>
      <c r="C392" s="76"/>
      <c r="D392" s="83"/>
      <c r="E392" s="84"/>
      <c r="F392" s="84"/>
      <c r="G392" s="84"/>
      <c r="H392" s="84"/>
      <c r="I392" s="85"/>
      <c r="J392" s="90"/>
      <c r="K392" s="91"/>
      <c r="L392" s="90"/>
      <c r="M392" s="91"/>
      <c r="N392" s="83"/>
      <c r="O392" s="85"/>
      <c r="P392" s="96"/>
      <c r="Q392" s="97"/>
      <c r="S392" s="99"/>
      <c r="T392" s="99"/>
      <c r="U392" s="99"/>
      <c r="V392" s="99"/>
      <c r="W392" s="99"/>
      <c r="X392" s="99"/>
      <c r="Y392" s="99"/>
      <c r="Z392" s="99"/>
      <c r="AA392" s="99"/>
      <c r="AB392" s="99"/>
      <c r="AC392" s="98"/>
      <c r="AD392" s="98"/>
      <c r="AE392" s="98"/>
      <c r="AF392" s="98"/>
      <c r="AG392" s="98"/>
      <c r="AH392" s="98"/>
    </row>
    <row r="393" spans="2:34" x14ac:dyDescent="0.25">
      <c r="B393" s="71"/>
      <c r="C393" s="72"/>
      <c r="D393" s="77"/>
      <c r="E393" s="78"/>
      <c r="F393" s="78"/>
      <c r="G393" s="78"/>
      <c r="H393" s="78"/>
      <c r="I393" s="79"/>
      <c r="J393" s="86"/>
      <c r="K393" s="87"/>
      <c r="L393" s="86"/>
      <c r="M393" s="87"/>
      <c r="N393" s="77"/>
      <c r="O393" s="79"/>
      <c r="P393" s="92"/>
      <c r="Q393" s="93"/>
      <c r="S393" s="99"/>
      <c r="T393" s="99"/>
      <c r="U393" s="99"/>
      <c r="V393" s="99"/>
      <c r="W393" s="99"/>
      <c r="X393" s="99"/>
      <c r="Y393" s="99"/>
      <c r="Z393" s="99"/>
      <c r="AA393" s="99"/>
      <c r="AB393" s="99"/>
      <c r="AC393" s="98"/>
      <c r="AD393" s="98"/>
      <c r="AE393" s="98"/>
      <c r="AF393" s="98"/>
      <c r="AG393" s="98"/>
      <c r="AH393" s="98"/>
    </row>
    <row r="394" spans="2:34" x14ac:dyDescent="0.25">
      <c r="B394" s="73"/>
      <c r="C394" s="74"/>
      <c r="D394" s="80"/>
      <c r="E394" s="81"/>
      <c r="F394" s="81"/>
      <c r="G394" s="81"/>
      <c r="H394" s="81"/>
      <c r="I394" s="82"/>
      <c r="J394" s="88"/>
      <c r="K394" s="89"/>
      <c r="L394" s="88"/>
      <c r="M394" s="89"/>
      <c r="N394" s="80"/>
      <c r="O394" s="82"/>
      <c r="P394" s="94"/>
      <c r="Q394" s="95"/>
      <c r="S394" s="99"/>
      <c r="T394" s="99"/>
      <c r="U394" s="99"/>
      <c r="V394" s="99"/>
      <c r="W394" s="99"/>
      <c r="X394" s="99"/>
      <c r="Y394" s="99"/>
      <c r="Z394" s="99"/>
      <c r="AA394" s="99"/>
      <c r="AB394" s="99"/>
      <c r="AC394" s="98"/>
      <c r="AD394" s="98"/>
      <c r="AE394" s="98"/>
      <c r="AF394" s="98"/>
      <c r="AG394" s="98"/>
      <c r="AH394" s="98"/>
    </row>
    <row r="395" spans="2:34" x14ac:dyDescent="0.25">
      <c r="B395" s="75"/>
      <c r="C395" s="76"/>
      <c r="D395" s="83"/>
      <c r="E395" s="84"/>
      <c r="F395" s="84"/>
      <c r="G395" s="84"/>
      <c r="H395" s="84"/>
      <c r="I395" s="85"/>
      <c r="J395" s="90"/>
      <c r="K395" s="91"/>
      <c r="L395" s="90"/>
      <c r="M395" s="91"/>
      <c r="N395" s="83"/>
      <c r="O395" s="85"/>
      <c r="P395" s="96"/>
      <c r="Q395" s="97"/>
      <c r="S395" s="99"/>
      <c r="T395" s="99"/>
      <c r="U395" s="99"/>
      <c r="V395" s="99"/>
      <c r="W395" s="99"/>
      <c r="X395" s="99"/>
      <c r="Y395" s="99"/>
      <c r="Z395" s="99"/>
      <c r="AA395" s="99"/>
      <c r="AB395" s="99"/>
      <c r="AC395" s="98"/>
      <c r="AD395" s="98"/>
      <c r="AE395" s="98"/>
      <c r="AF395" s="98"/>
      <c r="AG395" s="98"/>
      <c r="AH395" s="98"/>
    </row>
    <row r="396" spans="2:34" x14ac:dyDescent="0.25">
      <c r="B396" s="71"/>
      <c r="C396" s="72"/>
      <c r="D396" s="77"/>
      <c r="E396" s="78"/>
      <c r="F396" s="78"/>
      <c r="G396" s="78"/>
      <c r="H396" s="78"/>
      <c r="I396" s="79"/>
      <c r="J396" s="86"/>
      <c r="K396" s="87"/>
      <c r="L396" s="86"/>
      <c r="M396" s="87"/>
      <c r="N396" s="77"/>
      <c r="O396" s="79"/>
      <c r="P396" s="92"/>
      <c r="Q396" s="93"/>
      <c r="S396" s="99"/>
      <c r="T396" s="99"/>
      <c r="U396" s="99"/>
      <c r="V396" s="99"/>
      <c r="W396" s="99"/>
      <c r="X396" s="99"/>
      <c r="Y396" s="99"/>
      <c r="Z396" s="99"/>
      <c r="AA396" s="99"/>
      <c r="AB396" s="99"/>
      <c r="AC396" s="98"/>
      <c r="AD396" s="98"/>
      <c r="AE396" s="98"/>
      <c r="AF396" s="98"/>
      <c r="AG396" s="98"/>
      <c r="AH396" s="98"/>
    </row>
    <row r="397" spans="2:34" x14ac:dyDescent="0.25">
      <c r="B397" s="73"/>
      <c r="C397" s="74"/>
      <c r="D397" s="80"/>
      <c r="E397" s="81"/>
      <c r="F397" s="81"/>
      <c r="G397" s="81"/>
      <c r="H397" s="81"/>
      <c r="I397" s="82"/>
      <c r="J397" s="88"/>
      <c r="K397" s="89"/>
      <c r="L397" s="88"/>
      <c r="M397" s="89"/>
      <c r="N397" s="80"/>
      <c r="O397" s="82"/>
      <c r="P397" s="94"/>
      <c r="Q397" s="95"/>
      <c r="S397" s="99"/>
      <c r="T397" s="99"/>
      <c r="U397" s="99"/>
      <c r="V397" s="99"/>
      <c r="W397" s="99"/>
      <c r="X397" s="99"/>
      <c r="Y397" s="99"/>
      <c r="Z397" s="99"/>
      <c r="AA397" s="99"/>
      <c r="AB397" s="99"/>
      <c r="AC397" s="98"/>
      <c r="AD397" s="98"/>
      <c r="AE397" s="98"/>
      <c r="AF397" s="98"/>
      <c r="AG397" s="98"/>
      <c r="AH397" s="98"/>
    </row>
    <row r="398" spans="2:34" x14ac:dyDescent="0.25">
      <c r="B398" s="75"/>
      <c r="C398" s="76"/>
      <c r="D398" s="83"/>
      <c r="E398" s="84"/>
      <c r="F398" s="84"/>
      <c r="G398" s="84"/>
      <c r="H398" s="84"/>
      <c r="I398" s="85"/>
      <c r="J398" s="90"/>
      <c r="K398" s="91"/>
      <c r="L398" s="90"/>
      <c r="M398" s="91"/>
      <c r="N398" s="83"/>
      <c r="O398" s="85"/>
      <c r="P398" s="96"/>
      <c r="Q398" s="97"/>
      <c r="S398" s="99"/>
      <c r="T398" s="99"/>
      <c r="U398" s="99"/>
      <c r="V398" s="99"/>
      <c r="W398" s="99"/>
      <c r="X398" s="99"/>
      <c r="Y398" s="99"/>
      <c r="Z398" s="99"/>
      <c r="AA398" s="99"/>
      <c r="AB398" s="99"/>
      <c r="AC398" s="98"/>
      <c r="AD398" s="98"/>
      <c r="AE398" s="98"/>
      <c r="AF398" s="98"/>
      <c r="AG398" s="98"/>
      <c r="AH398" s="98"/>
    </row>
    <row r="399" spans="2:34" x14ac:dyDescent="0.25">
      <c r="B399" s="71"/>
      <c r="C399" s="72"/>
      <c r="D399" s="77"/>
      <c r="E399" s="78"/>
      <c r="F399" s="78"/>
      <c r="G399" s="78"/>
      <c r="H399" s="78"/>
      <c r="I399" s="79"/>
      <c r="J399" s="86"/>
      <c r="K399" s="87"/>
      <c r="L399" s="86"/>
      <c r="M399" s="87"/>
      <c r="N399" s="77"/>
      <c r="O399" s="79"/>
      <c r="P399" s="92"/>
      <c r="Q399" s="93"/>
      <c r="S399" s="99"/>
      <c r="T399" s="99"/>
      <c r="U399" s="99"/>
      <c r="V399" s="99"/>
      <c r="W399" s="99"/>
      <c r="X399" s="99"/>
      <c r="Y399" s="99"/>
      <c r="Z399" s="99"/>
      <c r="AA399" s="99"/>
      <c r="AB399" s="99"/>
      <c r="AC399" s="98"/>
      <c r="AD399" s="98"/>
      <c r="AE399" s="98"/>
      <c r="AF399" s="98"/>
      <c r="AG399" s="98"/>
      <c r="AH399" s="98"/>
    </row>
    <row r="400" spans="2:34" x14ac:dyDescent="0.25">
      <c r="B400" s="73"/>
      <c r="C400" s="74"/>
      <c r="D400" s="80"/>
      <c r="E400" s="81"/>
      <c r="F400" s="81"/>
      <c r="G400" s="81"/>
      <c r="H400" s="81"/>
      <c r="I400" s="82"/>
      <c r="J400" s="88"/>
      <c r="K400" s="89"/>
      <c r="L400" s="88"/>
      <c r="M400" s="89"/>
      <c r="N400" s="80"/>
      <c r="O400" s="82"/>
      <c r="P400" s="94"/>
      <c r="Q400" s="95"/>
      <c r="S400" s="99"/>
      <c r="T400" s="99"/>
      <c r="U400" s="99"/>
      <c r="V400" s="99"/>
      <c r="W400" s="99"/>
      <c r="X400" s="99"/>
      <c r="Y400" s="99"/>
      <c r="Z400" s="99"/>
      <c r="AA400" s="99"/>
      <c r="AB400" s="99"/>
      <c r="AC400" s="98"/>
      <c r="AD400" s="98"/>
      <c r="AE400" s="98"/>
      <c r="AF400" s="98"/>
      <c r="AG400" s="98"/>
      <c r="AH400" s="98"/>
    </row>
    <row r="401" spans="2:34" x14ac:dyDescent="0.25">
      <c r="B401" s="75"/>
      <c r="C401" s="76"/>
      <c r="D401" s="83"/>
      <c r="E401" s="84"/>
      <c r="F401" s="84"/>
      <c r="G401" s="84"/>
      <c r="H401" s="84"/>
      <c r="I401" s="85"/>
      <c r="J401" s="90"/>
      <c r="K401" s="91"/>
      <c r="L401" s="90"/>
      <c r="M401" s="91"/>
      <c r="N401" s="83"/>
      <c r="O401" s="85"/>
      <c r="P401" s="96"/>
      <c r="Q401" s="97"/>
      <c r="S401" s="99"/>
      <c r="T401" s="99"/>
      <c r="U401" s="99"/>
      <c r="V401" s="99"/>
      <c r="W401" s="99"/>
      <c r="X401" s="99"/>
      <c r="Y401" s="99"/>
      <c r="Z401" s="99"/>
      <c r="AA401" s="99"/>
      <c r="AB401" s="99"/>
      <c r="AC401" s="98"/>
      <c r="AD401" s="98"/>
      <c r="AE401" s="98"/>
      <c r="AF401" s="98"/>
      <c r="AG401" s="98"/>
      <c r="AH401" s="98"/>
    </row>
    <row r="402" spans="2:34" x14ac:dyDescent="0.25">
      <c r="B402" s="71"/>
      <c r="C402" s="72"/>
      <c r="D402" s="77"/>
      <c r="E402" s="78"/>
      <c r="F402" s="78"/>
      <c r="G402" s="78"/>
      <c r="H402" s="78"/>
      <c r="I402" s="79"/>
      <c r="J402" s="86"/>
      <c r="K402" s="87"/>
      <c r="L402" s="86"/>
      <c r="M402" s="87"/>
      <c r="N402" s="77"/>
      <c r="O402" s="79"/>
      <c r="P402" s="92"/>
      <c r="Q402" s="93"/>
      <c r="S402" s="99"/>
      <c r="T402" s="99"/>
      <c r="U402" s="99"/>
      <c r="V402" s="99"/>
      <c r="W402" s="99"/>
      <c r="X402" s="99"/>
      <c r="Y402" s="99"/>
      <c r="Z402" s="99"/>
      <c r="AA402" s="99"/>
      <c r="AB402" s="99"/>
      <c r="AC402" s="98"/>
      <c r="AD402" s="98"/>
      <c r="AE402" s="98"/>
      <c r="AF402" s="98"/>
      <c r="AG402" s="98"/>
      <c r="AH402" s="98"/>
    </row>
    <row r="403" spans="2:34" x14ac:dyDescent="0.25">
      <c r="B403" s="73"/>
      <c r="C403" s="74"/>
      <c r="D403" s="80"/>
      <c r="E403" s="81"/>
      <c r="F403" s="81"/>
      <c r="G403" s="81"/>
      <c r="H403" s="81"/>
      <c r="I403" s="82"/>
      <c r="J403" s="88"/>
      <c r="K403" s="89"/>
      <c r="L403" s="88"/>
      <c r="M403" s="89"/>
      <c r="N403" s="80"/>
      <c r="O403" s="82"/>
      <c r="P403" s="94"/>
      <c r="Q403" s="95"/>
      <c r="S403" s="99"/>
      <c r="T403" s="99"/>
      <c r="U403" s="99"/>
      <c r="V403" s="99"/>
      <c r="W403" s="99"/>
      <c r="X403" s="99"/>
      <c r="Y403" s="99"/>
      <c r="Z403" s="99"/>
      <c r="AA403" s="99"/>
      <c r="AB403" s="99"/>
      <c r="AC403" s="98"/>
      <c r="AD403" s="98"/>
      <c r="AE403" s="98"/>
      <c r="AF403" s="98"/>
      <c r="AG403" s="98"/>
      <c r="AH403" s="98"/>
    </row>
    <row r="404" spans="2:34" x14ac:dyDescent="0.25">
      <c r="B404" s="75"/>
      <c r="C404" s="76"/>
      <c r="D404" s="83"/>
      <c r="E404" s="84"/>
      <c r="F404" s="84"/>
      <c r="G404" s="84"/>
      <c r="H404" s="84"/>
      <c r="I404" s="85"/>
      <c r="J404" s="90"/>
      <c r="K404" s="91"/>
      <c r="L404" s="90"/>
      <c r="M404" s="91"/>
      <c r="N404" s="83"/>
      <c r="O404" s="85"/>
      <c r="P404" s="96"/>
      <c r="Q404" s="97"/>
      <c r="S404" s="99"/>
      <c r="T404" s="99"/>
      <c r="U404" s="99"/>
      <c r="V404" s="99"/>
      <c r="W404" s="99"/>
      <c r="X404" s="99"/>
      <c r="Y404" s="99"/>
      <c r="Z404" s="99"/>
      <c r="AA404" s="99"/>
      <c r="AB404" s="99"/>
      <c r="AC404" s="98"/>
      <c r="AD404" s="98"/>
      <c r="AE404" s="98"/>
      <c r="AF404" s="98"/>
      <c r="AG404" s="98"/>
      <c r="AH404" s="98"/>
    </row>
    <row r="405" spans="2:34" x14ac:dyDescent="0.25">
      <c r="B405" s="71"/>
      <c r="C405" s="72"/>
      <c r="D405" s="77"/>
      <c r="E405" s="78"/>
      <c r="F405" s="78"/>
      <c r="G405" s="78"/>
      <c r="H405" s="78"/>
      <c r="I405" s="79"/>
      <c r="J405" s="86"/>
      <c r="K405" s="87"/>
      <c r="L405" s="86"/>
      <c r="M405" s="87"/>
      <c r="N405" s="77"/>
      <c r="O405" s="79"/>
      <c r="P405" s="92"/>
      <c r="Q405" s="93"/>
      <c r="S405" s="99"/>
      <c r="T405" s="99"/>
      <c r="U405" s="99"/>
      <c r="V405" s="99"/>
      <c r="W405" s="99"/>
      <c r="X405" s="99"/>
      <c r="Y405" s="99"/>
      <c r="Z405" s="99"/>
      <c r="AA405" s="99"/>
      <c r="AB405" s="99"/>
      <c r="AC405" s="98"/>
      <c r="AD405" s="98"/>
      <c r="AE405" s="98"/>
      <c r="AF405" s="98"/>
      <c r="AG405" s="98"/>
      <c r="AH405" s="98"/>
    </row>
    <row r="406" spans="2:34" x14ac:dyDescent="0.25">
      <c r="B406" s="73"/>
      <c r="C406" s="74"/>
      <c r="D406" s="80"/>
      <c r="E406" s="81"/>
      <c r="F406" s="81"/>
      <c r="G406" s="81"/>
      <c r="H406" s="81"/>
      <c r="I406" s="82"/>
      <c r="J406" s="88"/>
      <c r="K406" s="89"/>
      <c r="L406" s="88"/>
      <c r="M406" s="89"/>
      <c r="N406" s="80"/>
      <c r="O406" s="82"/>
      <c r="P406" s="94"/>
      <c r="Q406" s="95"/>
      <c r="S406" s="99"/>
      <c r="T406" s="99"/>
      <c r="U406" s="99"/>
      <c r="V406" s="99"/>
      <c r="W406" s="99"/>
      <c r="X406" s="99"/>
      <c r="Y406" s="99"/>
      <c r="Z406" s="99"/>
      <c r="AA406" s="99"/>
      <c r="AB406" s="99"/>
      <c r="AC406" s="98"/>
      <c r="AD406" s="98"/>
      <c r="AE406" s="98"/>
      <c r="AF406" s="98"/>
      <c r="AG406" s="98"/>
      <c r="AH406" s="98"/>
    </row>
    <row r="407" spans="2:34" x14ac:dyDescent="0.25">
      <c r="B407" s="75"/>
      <c r="C407" s="76"/>
      <c r="D407" s="83"/>
      <c r="E407" s="84"/>
      <c r="F407" s="84"/>
      <c r="G407" s="84"/>
      <c r="H407" s="84"/>
      <c r="I407" s="85"/>
      <c r="J407" s="90"/>
      <c r="K407" s="91"/>
      <c r="L407" s="90"/>
      <c r="M407" s="91"/>
      <c r="N407" s="83"/>
      <c r="O407" s="85"/>
      <c r="P407" s="96"/>
      <c r="Q407" s="97"/>
      <c r="S407" s="99"/>
      <c r="T407" s="99"/>
      <c r="U407" s="99"/>
      <c r="V407" s="99"/>
      <c r="W407" s="99"/>
      <c r="X407" s="99"/>
      <c r="Y407" s="99"/>
      <c r="Z407" s="99"/>
      <c r="AA407" s="99"/>
      <c r="AB407" s="99"/>
      <c r="AC407" s="98"/>
      <c r="AD407" s="98"/>
      <c r="AE407" s="98"/>
      <c r="AF407" s="98"/>
      <c r="AG407" s="98"/>
      <c r="AH407" s="98"/>
    </row>
    <row r="408" spans="2:34" x14ac:dyDescent="0.25">
      <c r="B408" s="71"/>
      <c r="C408" s="72"/>
      <c r="D408" s="77"/>
      <c r="E408" s="78"/>
      <c r="F408" s="78"/>
      <c r="G408" s="78"/>
      <c r="H408" s="78"/>
      <c r="I408" s="79"/>
      <c r="J408" s="86"/>
      <c r="K408" s="87"/>
      <c r="L408" s="86"/>
      <c r="M408" s="87"/>
      <c r="N408" s="77"/>
      <c r="O408" s="79"/>
      <c r="P408" s="92"/>
      <c r="Q408" s="93"/>
      <c r="S408" s="99"/>
      <c r="T408" s="99"/>
      <c r="U408" s="99"/>
      <c r="V408" s="99"/>
      <c r="W408" s="99"/>
      <c r="X408" s="99"/>
      <c r="Y408" s="99"/>
      <c r="Z408" s="99"/>
      <c r="AA408" s="99"/>
      <c r="AB408" s="99"/>
      <c r="AC408" s="98"/>
      <c r="AD408" s="98"/>
      <c r="AE408" s="98"/>
      <c r="AF408" s="98"/>
      <c r="AG408" s="98"/>
      <c r="AH408" s="98"/>
    </row>
    <row r="409" spans="2:34" x14ac:dyDescent="0.25">
      <c r="B409" s="73"/>
      <c r="C409" s="74"/>
      <c r="D409" s="80"/>
      <c r="E409" s="81"/>
      <c r="F409" s="81"/>
      <c r="G409" s="81"/>
      <c r="H409" s="81"/>
      <c r="I409" s="82"/>
      <c r="J409" s="88"/>
      <c r="K409" s="89"/>
      <c r="L409" s="88"/>
      <c r="M409" s="89"/>
      <c r="N409" s="80"/>
      <c r="O409" s="82"/>
      <c r="P409" s="94"/>
      <c r="Q409" s="95"/>
      <c r="S409" s="99"/>
      <c r="T409" s="99"/>
      <c r="U409" s="99"/>
      <c r="V409" s="99"/>
      <c r="W409" s="99"/>
      <c r="X409" s="99"/>
      <c r="Y409" s="99"/>
      <c r="Z409" s="99"/>
      <c r="AA409" s="99"/>
      <c r="AB409" s="99"/>
      <c r="AC409" s="98"/>
      <c r="AD409" s="98"/>
      <c r="AE409" s="98"/>
      <c r="AF409" s="98"/>
      <c r="AG409" s="98"/>
      <c r="AH409" s="98"/>
    </row>
    <row r="410" spans="2:34" x14ac:dyDescent="0.25">
      <c r="B410" s="75"/>
      <c r="C410" s="76"/>
      <c r="D410" s="83"/>
      <c r="E410" s="84"/>
      <c r="F410" s="84"/>
      <c r="G410" s="84"/>
      <c r="H410" s="84"/>
      <c r="I410" s="85"/>
      <c r="J410" s="90"/>
      <c r="K410" s="91"/>
      <c r="L410" s="90"/>
      <c r="M410" s="91"/>
      <c r="N410" s="83"/>
      <c r="O410" s="85"/>
      <c r="P410" s="96"/>
      <c r="Q410" s="97"/>
      <c r="S410" s="99"/>
      <c r="T410" s="99"/>
      <c r="U410" s="99"/>
      <c r="V410" s="99"/>
      <c r="W410" s="99"/>
      <c r="X410" s="99"/>
      <c r="Y410" s="99"/>
      <c r="Z410" s="99"/>
      <c r="AA410" s="99"/>
      <c r="AB410" s="99"/>
      <c r="AC410" s="98"/>
      <c r="AD410" s="98"/>
      <c r="AE410" s="98"/>
      <c r="AF410" s="98"/>
      <c r="AG410" s="98"/>
      <c r="AH410" s="98"/>
    </row>
    <row r="411" spans="2:34" x14ac:dyDescent="0.25">
      <c r="B411" s="71"/>
      <c r="C411" s="72"/>
      <c r="D411" s="77"/>
      <c r="E411" s="78"/>
      <c r="F411" s="78"/>
      <c r="G411" s="78"/>
      <c r="H411" s="78"/>
      <c r="I411" s="79"/>
      <c r="J411" s="86"/>
      <c r="K411" s="87"/>
      <c r="L411" s="86"/>
      <c r="M411" s="87"/>
      <c r="N411" s="77"/>
      <c r="O411" s="79"/>
      <c r="P411" s="92"/>
      <c r="Q411" s="93"/>
      <c r="S411" s="99"/>
      <c r="T411" s="99"/>
      <c r="U411" s="99"/>
      <c r="V411" s="99"/>
      <c r="W411" s="99"/>
      <c r="X411" s="99"/>
      <c r="Y411" s="99"/>
      <c r="Z411" s="99"/>
      <c r="AA411" s="99"/>
      <c r="AB411" s="99"/>
      <c r="AC411" s="98"/>
      <c r="AD411" s="98"/>
      <c r="AE411" s="98"/>
      <c r="AF411" s="98"/>
      <c r="AG411" s="98"/>
      <c r="AH411" s="98"/>
    </row>
    <row r="412" spans="2:34" x14ac:dyDescent="0.25">
      <c r="B412" s="73"/>
      <c r="C412" s="74"/>
      <c r="D412" s="80"/>
      <c r="E412" s="81"/>
      <c r="F412" s="81"/>
      <c r="G412" s="81"/>
      <c r="H412" s="81"/>
      <c r="I412" s="82"/>
      <c r="J412" s="88"/>
      <c r="K412" s="89"/>
      <c r="L412" s="88"/>
      <c r="M412" s="89"/>
      <c r="N412" s="80"/>
      <c r="O412" s="82"/>
      <c r="P412" s="94"/>
      <c r="Q412" s="95"/>
      <c r="S412" s="99"/>
      <c r="T412" s="99"/>
      <c r="U412" s="99"/>
      <c r="V412" s="99"/>
      <c r="W412" s="99"/>
      <c r="X412" s="99"/>
      <c r="Y412" s="99"/>
      <c r="Z412" s="99"/>
      <c r="AA412" s="99"/>
      <c r="AB412" s="99"/>
      <c r="AC412" s="98"/>
      <c r="AD412" s="98"/>
      <c r="AE412" s="98"/>
      <c r="AF412" s="98"/>
      <c r="AG412" s="98"/>
      <c r="AH412" s="98"/>
    </row>
    <row r="413" spans="2:34" x14ac:dyDescent="0.25">
      <c r="B413" s="75"/>
      <c r="C413" s="76"/>
      <c r="D413" s="83"/>
      <c r="E413" s="84"/>
      <c r="F413" s="84"/>
      <c r="G413" s="84"/>
      <c r="H413" s="84"/>
      <c r="I413" s="85"/>
      <c r="J413" s="90"/>
      <c r="K413" s="91"/>
      <c r="L413" s="90"/>
      <c r="M413" s="91"/>
      <c r="N413" s="83"/>
      <c r="O413" s="85"/>
      <c r="P413" s="96"/>
      <c r="Q413" s="97"/>
      <c r="S413" s="99"/>
      <c r="T413" s="99"/>
      <c r="U413" s="99"/>
      <c r="V413" s="99"/>
      <c r="W413" s="99"/>
      <c r="X413" s="99"/>
      <c r="Y413" s="99"/>
      <c r="Z413" s="99"/>
      <c r="AA413" s="99"/>
      <c r="AB413" s="99"/>
      <c r="AC413" s="98"/>
      <c r="AD413" s="98"/>
      <c r="AE413" s="98"/>
      <c r="AF413" s="98"/>
      <c r="AG413" s="98"/>
      <c r="AH413" s="98"/>
    </row>
    <row r="414" spans="2:34" x14ac:dyDescent="0.25">
      <c r="B414" s="71"/>
      <c r="C414" s="72"/>
      <c r="D414" s="77"/>
      <c r="E414" s="78"/>
      <c r="F414" s="78"/>
      <c r="G414" s="78"/>
      <c r="H414" s="78"/>
      <c r="I414" s="79"/>
      <c r="J414" s="86"/>
      <c r="K414" s="87"/>
      <c r="L414" s="86"/>
      <c r="M414" s="87"/>
      <c r="N414" s="77"/>
      <c r="O414" s="79"/>
      <c r="P414" s="92"/>
      <c r="Q414" s="93"/>
      <c r="S414" s="99"/>
      <c r="T414" s="99"/>
      <c r="U414" s="99"/>
      <c r="V414" s="99"/>
      <c r="W414" s="99"/>
      <c r="X414" s="99"/>
      <c r="Y414" s="99"/>
      <c r="Z414" s="99"/>
      <c r="AA414" s="99"/>
      <c r="AB414" s="99"/>
      <c r="AC414" s="98"/>
      <c r="AD414" s="98"/>
      <c r="AE414" s="98"/>
      <c r="AF414" s="98"/>
      <c r="AG414" s="98"/>
      <c r="AH414" s="98"/>
    </row>
    <row r="415" spans="2:34" x14ac:dyDescent="0.25">
      <c r="B415" s="73"/>
      <c r="C415" s="74"/>
      <c r="D415" s="80"/>
      <c r="E415" s="81"/>
      <c r="F415" s="81"/>
      <c r="G415" s="81"/>
      <c r="H415" s="81"/>
      <c r="I415" s="82"/>
      <c r="J415" s="88"/>
      <c r="K415" s="89"/>
      <c r="L415" s="88"/>
      <c r="M415" s="89"/>
      <c r="N415" s="80"/>
      <c r="O415" s="82"/>
      <c r="P415" s="94"/>
      <c r="Q415" s="95"/>
      <c r="S415" s="99"/>
      <c r="T415" s="99"/>
      <c r="U415" s="99"/>
      <c r="V415" s="99"/>
      <c r="W415" s="99"/>
      <c r="X415" s="99"/>
      <c r="Y415" s="99"/>
      <c r="Z415" s="99"/>
      <c r="AA415" s="99"/>
      <c r="AB415" s="99"/>
      <c r="AC415" s="98"/>
      <c r="AD415" s="98"/>
      <c r="AE415" s="98"/>
      <c r="AF415" s="98"/>
      <c r="AG415" s="98"/>
      <c r="AH415" s="98"/>
    </row>
    <row r="416" spans="2:34" x14ac:dyDescent="0.25">
      <c r="B416" s="75"/>
      <c r="C416" s="76"/>
      <c r="D416" s="83"/>
      <c r="E416" s="84"/>
      <c r="F416" s="84"/>
      <c r="G416" s="84"/>
      <c r="H416" s="84"/>
      <c r="I416" s="85"/>
      <c r="J416" s="90"/>
      <c r="K416" s="91"/>
      <c r="L416" s="90"/>
      <c r="M416" s="91"/>
      <c r="N416" s="83"/>
      <c r="O416" s="85"/>
      <c r="P416" s="96"/>
      <c r="Q416" s="97"/>
      <c r="S416" s="99"/>
      <c r="T416" s="99"/>
      <c r="U416" s="99"/>
      <c r="V416" s="99"/>
      <c r="W416" s="99"/>
      <c r="X416" s="99"/>
      <c r="Y416" s="99"/>
      <c r="Z416" s="99"/>
      <c r="AA416" s="99"/>
      <c r="AB416" s="99"/>
      <c r="AC416" s="98"/>
      <c r="AD416" s="98"/>
      <c r="AE416" s="98"/>
      <c r="AF416" s="98"/>
      <c r="AG416" s="98"/>
      <c r="AH416" s="98"/>
    </row>
    <row r="417" spans="2:34" x14ac:dyDescent="0.25">
      <c r="B417" s="71"/>
      <c r="C417" s="72"/>
      <c r="D417" s="77"/>
      <c r="E417" s="78"/>
      <c r="F417" s="78"/>
      <c r="G417" s="78"/>
      <c r="H417" s="78"/>
      <c r="I417" s="79"/>
      <c r="J417" s="86"/>
      <c r="K417" s="87"/>
      <c r="L417" s="86"/>
      <c r="M417" s="87"/>
      <c r="N417" s="77"/>
      <c r="O417" s="79"/>
      <c r="P417" s="92"/>
      <c r="Q417" s="93"/>
      <c r="S417" s="99"/>
      <c r="T417" s="99"/>
      <c r="U417" s="99"/>
      <c r="V417" s="99"/>
      <c r="W417" s="99"/>
      <c r="X417" s="99"/>
      <c r="Y417" s="99"/>
      <c r="Z417" s="99"/>
      <c r="AA417" s="99"/>
      <c r="AB417" s="99"/>
      <c r="AC417" s="98"/>
      <c r="AD417" s="98"/>
      <c r="AE417" s="98"/>
      <c r="AF417" s="98"/>
      <c r="AG417" s="98"/>
      <c r="AH417" s="98"/>
    </row>
    <row r="418" spans="2:34" x14ac:dyDescent="0.25">
      <c r="B418" s="73"/>
      <c r="C418" s="74"/>
      <c r="D418" s="80"/>
      <c r="E418" s="81"/>
      <c r="F418" s="81"/>
      <c r="G418" s="81"/>
      <c r="H418" s="81"/>
      <c r="I418" s="82"/>
      <c r="J418" s="88"/>
      <c r="K418" s="89"/>
      <c r="L418" s="88"/>
      <c r="M418" s="89"/>
      <c r="N418" s="80"/>
      <c r="O418" s="82"/>
      <c r="P418" s="94"/>
      <c r="Q418" s="95"/>
      <c r="S418" s="99"/>
      <c r="T418" s="99"/>
      <c r="U418" s="99"/>
      <c r="V418" s="99"/>
      <c r="W418" s="99"/>
      <c r="X418" s="99"/>
      <c r="Y418" s="99"/>
      <c r="Z418" s="99"/>
      <c r="AA418" s="99"/>
      <c r="AB418" s="99"/>
      <c r="AC418" s="98"/>
      <c r="AD418" s="98"/>
      <c r="AE418" s="98"/>
      <c r="AF418" s="98"/>
      <c r="AG418" s="98"/>
      <c r="AH418" s="98"/>
    </row>
    <row r="419" spans="2:34" x14ac:dyDescent="0.25">
      <c r="B419" s="75"/>
      <c r="C419" s="76"/>
      <c r="D419" s="83"/>
      <c r="E419" s="84"/>
      <c r="F419" s="84"/>
      <c r="G419" s="84"/>
      <c r="H419" s="84"/>
      <c r="I419" s="85"/>
      <c r="J419" s="90"/>
      <c r="K419" s="91"/>
      <c r="L419" s="90"/>
      <c r="M419" s="91"/>
      <c r="N419" s="83"/>
      <c r="O419" s="85"/>
      <c r="P419" s="96"/>
      <c r="Q419" s="97"/>
      <c r="S419" s="99"/>
      <c r="T419" s="99"/>
      <c r="U419" s="99"/>
      <c r="V419" s="99"/>
      <c r="W419" s="99"/>
      <c r="X419" s="99"/>
      <c r="Y419" s="99"/>
      <c r="Z419" s="99"/>
      <c r="AA419" s="99"/>
      <c r="AB419" s="99"/>
      <c r="AC419" s="98"/>
      <c r="AD419" s="98"/>
      <c r="AE419" s="98"/>
      <c r="AF419" s="98"/>
      <c r="AG419" s="98"/>
      <c r="AH419" s="98"/>
    </row>
    <row r="420" spans="2:34" x14ac:dyDescent="0.25">
      <c r="B420" s="71"/>
      <c r="C420" s="72"/>
      <c r="D420" s="77"/>
      <c r="E420" s="78"/>
      <c r="F420" s="78"/>
      <c r="G420" s="78"/>
      <c r="H420" s="78"/>
      <c r="I420" s="79"/>
      <c r="J420" s="86"/>
      <c r="K420" s="87"/>
      <c r="L420" s="86"/>
      <c r="M420" s="87"/>
      <c r="N420" s="77"/>
      <c r="O420" s="79"/>
      <c r="P420" s="92"/>
      <c r="Q420" s="93"/>
      <c r="S420" s="99"/>
      <c r="T420" s="99"/>
      <c r="U420" s="99"/>
      <c r="V420" s="99"/>
      <c r="W420" s="99"/>
      <c r="X420" s="99"/>
      <c r="Y420" s="99"/>
      <c r="Z420" s="99"/>
      <c r="AA420" s="99"/>
      <c r="AB420" s="99"/>
      <c r="AC420" s="98"/>
      <c r="AD420" s="98"/>
      <c r="AE420" s="98"/>
      <c r="AF420" s="98"/>
      <c r="AG420" s="98"/>
      <c r="AH420" s="98"/>
    </row>
    <row r="421" spans="2:34" x14ac:dyDescent="0.25">
      <c r="B421" s="73"/>
      <c r="C421" s="74"/>
      <c r="D421" s="80"/>
      <c r="E421" s="81"/>
      <c r="F421" s="81"/>
      <c r="G421" s="81"/>
      <c r="H421" s="81"/>
      <c r="I421" s="82"/>
      <c r="J421" s="88"/>
      <c r="K421" s="89"/>
      <c r="L421" s="88"/>
      <c r="M421" s="89"/>
      <c r="N421" s="80"/>
      <c r="O421" s="82"/>
      <c r="P421" s="94"/>
      <c r="Q421" s="95"/>
      <c r="S421" s="99"/>
      <c r="T421" s="99"/>
      <c r="U421" s="99"/>
      <c r="V421" s="99"/>
      <c r="W421" s="99"/>
      <c r="X421" s="99"/>
      <c r="Y421" s="99"/>
      <c r="Z421" s="99"/>
      <c r="AA421" s="99"/>
      <c r="AB421" s="99"/>
      <c r="AC421" s="98"/>
      <c r="AD421" s="98"/>
      <c r="AE421" s="98"/>
      <c r="AF421" s="98"/>
      <c r="AG421" s="98"/>
      <c r="AH421" s="98"/>
    </row>
    <row r="422" spans="2:34" x14ac:dyDescent="0.25">
      <c r="B422" s="75"/>
      <c r="C422" s="76"/>
      <c r="D422" s="83"/>
      <c r="E422" s="84"/>
      <c r="F422" s="84"/>
      <c r="G422" s="84"/>
      <c r="H422" s="84"/>
      <c r="I422" s="85"/>
      <c r="J422" s="90"/>
      <c r="K422" s="91"/>
      <c r="L422" s="90"/>
      <c r="M422" s="91"/>
      <c r="N422" s="83"/>
      <c r="O422" s="85"/>
      <c r="P422" s="96"/>
      <c r="Q422" s="97"/>
      <c r="S422" s="99"/>
      <c r="T422" s="99"/>
      <c r="U422" s="99"/>
      <c r="V422" s="99"/>
      <c r="W422" s="99"/>
      <c r="X422" s="99"/>
      <c r="Y422" s="99"/>
      <c r="Z422" s="99"/>
      <c r="AA422" s="99"/>
      <c r="AB422" s="99"/>
      <c r="AC422" s="98"/>
      <c r="AD422" s="98"/>
      <c r="AE422" s="98"/>
      <c r="AF422" s="98"/>
      <c r="AG422" s="98"/>
      <c r="AH422" s="98"/>
    </row>
    <row r="423" spans="2:34" x14ac:dyDescent="0.25">
      <c r="B423" s="71"/>
      <c r="C423" s="72"/>
      <c r="D423" s="77"/>
      <c r="E423" s="78"/>
      <c r="F423" s="78"/>
      <c r="G423" s="78"/>
      <c r="H423" s="78"/>
      <c r="I423" s="79"/>
      <c r="J423" s="86"/>
      <c r="K423" s="87"/>
      <c r="L423" s="86"/>
      <c r="M423" s="87"/>
      <c r="N423" s="77"/>
      <c r="O423" s="79"/>
      <c r="P423" s="92"/>
      <c r="Q423" s="93"/>
      <c r="S423" s="99"/>
      <c r="T423" s="99"/>
      <c r="U423" s="99"/>
      <c r="V423" s="99"/>
      <c r="W423" s="99"/>
      <c r="X423" s="99"/>
      <c r="Y423" s="99"/>
      <c r="Z423" s="99"/>
      <c r="AA423" s="99"/>
      <c r="AB423" s="99"/>
      <c r="AC423" s="98"/>
      <c r="AD423" s="98"/>
      <c r="AE423" s="98"/>
      <c r="AF423" s="98"/>
      <c r="AG423" s="98"/>
      <c r="AH423" s="98"/>
    </row>
    <row r="424" spans="2:34" x14ac:dyDescent="0.25">
      <c r="B424" s="73"/>
      <c r="C424" s="74"/>
      <c r="D424" s="80"/>
      <c r="E424" s="81"/>
      <c r="F424" s="81"/>
      <c r="G424" s="81"/>
      <c r="H424" s="81"/>
      <c r="I424" s="82"/>
      <c r="J424" s="88"/>
      <c r="K424" s="89"/>
      <c r="L424" s="88"/>
      <c r="M424" s="89"/>
      <c r="N424" s="80"/>
      <c r="O424" s="82"/>
      <c r="P424" s="94"/>
      <c r="Q424" s="95"/>
      <c r="S424" s="99"/>
      <c r="T424" s="99"/>
      <c r="U424" s="99"/>
      <c r="V424" s="99"/>
      <c r="W424" s="99"/>
      <c r="X424" s="99"/>
      <c r="Y424" s="99"/>
      <c r="Z424" s="99"/>
      <c r="AA424" s="99"/>
      <c r="AB424" s="99"/>
      <c r="AC424" s="98"/>
      <c r="AD424" s="98"/>
      <c r="AE424" s="98"/>
      <c r="AF424" s="98"/>
      <c r="AG424" s="98"/>
      <c r="AH424" s="98"/>
    </row>
    <row r="425" spans="2:34" x14ac:dyDescent="0.25">
      <c r="B425" s="75"/>
      <c r="C425" s="76"/>
      <c r="D425" s="83"/>
      <c r="E425" s="84"/>
      <c r="F425" s="84"/>
      <c r="G425" s="84"/>
      <c r="H425" s="84"/>
      <c r="I425" s="85"/>
      <c r="J425" s="90"/>
      <c r="K425" s="91"/>
      <c r="L425" s="90"/>
      <c r="M425" s="91"/>
      <c r="N425" s="83"/>
      <c r="O425" s="85"/>
      <c r="P425" s="96"/>
      <c r="Q425" s="97"/>
      <c r="S425" s="99"/>
      <c r="T425" s="99"/>
      <c r="U425" s="99"/>
      <c r="V425" s="99"/>
      <c r="W425" s="99"/>
      <c r="X425" s="99"/>
      <c r="Y425" s="99"/>
      <c r="Z425" s="99"/>
      <c r="AA425" s="99"/>
      <c r="AB425" s="99"/>
      <c r="AC425" s="98"/>
      <c r="AD425" s="98"/>
      <c r="AE425" s="98"/>
      <c r="AF425" s="98"/>
      <c r="AG425" s="98"/>
      <c r="AH425" s="98"/>
    </row>
    <row r="426" spans="2:34" x14ac:dyDescent="0.25">
      <c r="B426" s="71"/>
      <c r="C426" s="72"/>
      <c r="D426" s="77"/>
      <c r="E426" s="78"/>
      <c r="F426" s="78"/>
      <c r="G426" s="78"/>
      <c r="H426" s="78"/>
      <c r="I426" s="79"/>
      <c r="J426" s="86"/>
      <c r="K426" s="87"/>
      <c r="L426" s="86"/>
      <c r="M426" s="87"/>
      <c r="N426" s="77"/>
      <c r="O426" s="79"/>
      <c r="P426" s="92"/>
      <c r="Q426" s="93"/>
      <c r="S426" s="99"/>
      <c r="T426" s="99"/>
      <c r="U426" s="99"/>
      <c r="V426" s="99"/>
      <c r="W426" s="99"/>
      <c r="X426" s="99"/>
      <c r="Y426" s="99"/>
      <c r="Z426" s="99"/>
      <c r="AA426" s="99"/>
      <c r="AB426" s="99"/>
      <c r="AC426" s="98"/>
      <c r="AD426" s="98"/>
      <c r="AE426" s="98"/>
      <c r="AF426" s="98"/>
      <c r="AG426" s="98"/>
      <c r="AH426" s="98"/>
    </row>
    <row r="427" spans="2:34" x14ac:dyDescent="0.25">
      <c r="B427" s="73"/>
      <c r="C427" s="74"/>
      <c r="D427" s="80"/>
      <c r="E427" s="81"/>
      <c r="F427" s="81"/>
      <c r="G427" s="81"/>
      <c r="H427" s="81"/>
      <c r="I427" s="82"/>
      <c r="J427" s="88"/>
      <c r="K427" s="89"/>
      <c r="L427" s="88"/>
      <c r="M427" s="89"/>
      <c r="N427" s="80"/>
      <c r="O427" s="82"/>
      <c r="P427" s="94"/>
      <c r="Q427" s="95"/>
      <c r="S427" s="99"/>
      <c r="T427" s="99"/>
      <c r="U427" s="99"/>
      <c r="V427" s="99"/>
      <c r="W427" s="99"/>
      <c r="X427" s="99"/>
      <c r="Y427" s="99"/>
      <c r="Z427" s="99"/>
      <c r="AA427" s="99"/>
      <c r="AB427" s="99"/>
      <c r="AC427" s="98"/>
      <c r="AD427" s="98"/>
      <c r="AE427" s="98"/>
      <c r="AF427" s="98"/>
      <c r="AG427" s="98"/>
      <c r="AH427" s="98"/>
    </row>
    <row r="428" spans="2:34" x14ac:dyDescent="0.25">
      <c r="B428" s="75"/>
      <c r="C428" s="76"/>
      <c r="D428" s="83"/>
      <c r="E428" s="84"/>
      <c r="F428" s="84"/>
      <c r="G428" s="84"/>
      <c r="H428" s="84"/>
      <c r="I428" s="85"/>
      <c r="J428" s="90"/>
      <c r="K428" s="91"/>
      <c r="L428" s="90"/>
      <c r="M428" s="91"/>
      <c r="N428" s="83"/>
      <c r="O428" s="85"/>
      <c r="P428" s="96"/>
      <c r="Q428" s="97"/>
      <c r="S428" s="99"/>
      <c r="T428" s="99"/>
      <c r="U428" s="99"/>
      <c r="V428" s="99"/>
      <c r="W428" s="99"/>
      <c r="X428" s="99"/>
      <c r="Y428" s="99"/>
      <c r="Z428" s="99"/>
      <c r="AA428" s="99"/>
      <c r="AB428" s="99"/>
      <c r="AC428" s="98"/>
      <c r="AD428" s="98"/>
      <c r="AE428" s="98"/>
      <c r="AF428" s="98"/>
      <c r="AG428" s="98"/>
      <c r="AH428" s="98"/>
    </row>
    <row r="429" spans="2:34" x14ac:dyDescent="0.25">
      <c r="B429" s="71"/>
      <c r="C429" s="72"/>
      <c r="D429" s="77"/>
      <c r="E429" s="78"/>
      <c r="F429" s="78"/>
      <c r="G429" s="78"/>
      <c r="H429" s="78"/>
      <c r="I429" s="79"/>
      <c r="J429" s="86"/>
      <c r="K429" s="87"/>
      <c r="L429" s="86"/>
      <c r="M429" s="87"/>
      <c r="N429" s="77"/>
      <c r="O429" s="79"/>
      <c r="P429" s="92"/>
      <c r="Q429" s="93"/>
      <c r="S429" s="99"/>
      <c r="T429" s="99"/>
      <c r="U429" s="99"/>
      <c r="V429" s="99"/>
      <c r="W429" s="99"/>
      <c r="X429" s="99"/>
      <c r="Y429" s="99"/>
      <c r="Z429" s="99"/>
      <c r="AA429" s="99"/>
      <c r="AB429" s="99"/>
      <c r="AC429" s="98"/>
      <c r="AD429" s="98"/>
      <c r="AE429" s="98"/>
      <c r="AF429" s="98"/>
      <c r="AG429" s="98"/>
      <c r="AH429" s="98"/>
    </row>
    <row r="430" spans="2:34" x14ac:dyDescent="0.25">
      <c r="B430" s="73"/>
      <c r="C430" s="74"/>
      <c r="D430" s="80"/>
      <c r="E430" s="81"/>
      <c r="F430" s="81"/>
      <c r="G430" s="81"/>
      <c r="H430" s="81"/>
      <c r="I430" s="82"/>
      <c r="J430" s="88"/>
      <c r="K430" s="89"/>
      <c r="L430" s="88"/>
      <c r="M430" s="89"/>
      <c r="N430" s="80"/>
      <c r="O430" s="82"/>
      <c r="P430" s="94"/>
      <c r="Q430" s="95"/>
      <c r="S430" s="99"/>
      <c r="T430" s="99"/>
      <c r="U430" s="99"/>
      <c r="V430" s="99"/>
      <c r="W430" s="99"/>
      <c r="X430" s="99"/>
      <c r="Y430" s="99"/>
      <c r="Z430" s="99"/>
      <c r="AA430" s="99"/>
      <c r="AB430" s="99"/>
      <c r="AC430" s="98"/>
      <c r="AD430" s="98"/>
      <c r="AE430" s="98"/>
      <c r="AF430" s="98"/>
      <c r="AG430" s="98"/>
      <c r="AH430" s="98"/>
    </row>
    <row r="431" spans="2:34" x14ac:dyDescent="0.25">
      <c r="B431" s="75"/>
      <c r="C431" s="76"/>
      <c r="D431" s="83"/>
      <c r="E431" s="84"/>
      <c r="F431" s="84"/>
      <c r="G431" s="84"/>
      <c r="H431" s="84"/>
      <c r="I431" s="85"/>
      <c r="J431" s="90"/>
      <c r="K431" s="91"/>
      <c r="L431" s="90"/>
      <c r="M431" s="91"/>
      <c r="N431" s="83"/>
      <c r="O431" s="85"/>
      <c r="P431" s="96"/>
      <c r="Q431" s="97"/>
      <c r="S431" s="99"/>
      <c r="T431" s="99"/>
      <c r="U431" s="99"/>
      <c r="V431" s="99"/>
      <c r="W431" s="99"/>
      <c r="X431" s="99"/>
      <c r="Y431" s="99"/>
      <c r="Z431" s="99"/>
      <c r="AA431" s="99"/>
      <c r="AB431" s="99"/>
      <c r="AC431" s="98"/>
      <c r="AD431" s="98"/>
      <c r="AE431" s="98"/>
      <c r="AF431" s="98"/>
      <c r="AG431" s="98"/>
      <c r="AH431" s="98"/>
    </row>
    <row r="432" spans="2:34" x14ac:dyDescent="0.25">
      <c r="B432" s="71"/>
      <c r="C432" s="72"/>
      <c r="D432" s="77"/>
      <c r="E432" s="78"/>
      <c r="F432" s="78"/>
      <c r="G432" s="78"/>
      <c r="H432" s="78"/>
      <c r="I432" s="79"/>
      <c r="J432" s="86"/>
      <c r="K432" s="87"/>
      <c r="L432" s="86"/>
      <c r="M432" s="87"/>
      <c r="N432" s="77"/>
      <c r="O432" s="79"/>
      <c r="P432" s="92"/>
      <c r="Q432" s="93"/>
      <c r="S432" s="99"/>
      <c r="T432" s="99"/>
      <c r="U432" s="99"/>
      <c r="V432" s="99"/>
      <c r="W432" s="99"/>
      <c r="X432" s="99"/>
      <c r="Y432" s="99"/>
      <c r="Z432" s="99"/>
      <c r="AA432" s="99"/>
      <c r="AB432" s="99"/>
      <c r="AC432" s="98"/>
      <c r="AD432" s="98"/>
      <c r="AE432" s="98"/>
      <c r="AF432" s="98"/>
      <c r="AG432" s="98"/>
      <c r="AH432" s="98"/>
    </row>
    <row r="433" spans="2:34" x14ac:dyDescent="0.25">
      <c r="B433" s="73"/>
      <c r="C433" s="74"/>
      <c r="D433" s="80"/>
      <c r="E433" s="81"/>
      <c r="F433" s="81"/>
      <c r="G433" s="81"/>
      <c r="H433" s="81"/>
      <c r="I433" s="82"/>
      <c r="J433" s="88"/>
      <c r="K433" s="89"/>
      <c r="L433" s="88"/>
      <c r="M433" s="89"/>
      <c r="N433" s="80"/>
      <c r="O433" s="82"/>
      <c r="P433" s="94"/>
      <c r="Q433" s="95"/>
      <c r="S433" s="99"/>
      <c r="T433" s="99"/>
      <c r="U433" s="99"/>
      <c r="V433" s="99"/>
      <c r="W433" s="99"/>
      <c r="X433" s="99"/>
      <c r="Y433" s="99"/>
      <c r="Z433" s="99"/>
      <c r="AA433" s="99"/>
      <c r="AB433" s="99"/>
      <c r="AC433" s="98"/>
      <c r="AD433" s="98"/>
      <c r="AE433" s="98"/>
      <c r="AF433" s="98"/>
      <c r="AG433" s="98"/>
      <c r="AH433" s="98"/>
    </row>
    <row r="434" spans="2:34" x14ac:dyDescent="0.25">
      <c r="B434" s="75"/>
      <c r="C434" s="76"/>
      <c r="D434" s="83"/>
      <c r="E434" s="84"/>
      <c r="F434" s="84"/>
      <c r="G434" s="84"/>
      <c r="H434" s="84"/>
      <c r="I434" s="85"/>
      <c r="J434" s="90"/>
      <c r="K434" s="91"/>
      <c r="L434" s="90"/>
      <c r="M434" s="91"/>
      <c r="N434" s="83"/>
      <c r="O434" s="85"/>
      <c r="P434" s="96"/>
      <c r="Q434" s="97"/>
      <c r="S434" s="99"/>
      <c r="T434" s="99"/>
      <c r="U434" s="99"/>
      <c r="V434" s="99"/>
      <c r="W434" s="99"/>
      <c r="X434" s="99"/>
      <c r="Y434" s="99"/>
      <c r="Z434" s="99"/>
      <c r="AA434" s="99"/>
      <c r="AB434" s="99"/>
      <c r="AC434" s="98"/>
      <c r="AD434" s="98"/>
      <c r="AE434" s="98"/>
      <c r="AF434" s="98"/>
      <c r="AG434" s="98"/>
      <c r="AH434" s="98"/>
    </row>
    <row r="435" spans="2:34" x14ac:dyDescent="0.25">
      <c r="B435" s="71"/>
      <c r="C435" s="72"/>
      <c r="D435" s="77"/>
      <c r="E435" s="78"/>
      <c r="F435" s="78"/>
      <c r="G435" s="78"/>
      <c r="H435" s="78"/>
      <c r="I435" s="79"/>
      <c r="J435" s="86"/>
      <c r="K435" s="87"/>
      <c r="L435" s="86"/>
      <c r="M435" s="87"/>
      <c r="N435" s="77"/>
      <c r="O435" s="79"/>
      <c r="P435" s="92"/>
      <c r="Q435" s="93"/>
      <c r="S435" s="99"/>
      <c r="T435" s="99"/>
      <c r="U435" s="99"/>
      <c r="V435" s="99"/>
      <c r="W435" s="99"/>
      <c r="X435" s="99"/>
      <c r="Y435" s="99"/>
      <c r="Z435" s="99"/>
      <c r="AA435" s="99"/>
      <c r="AB435" s="99"/>
      <c r="AC435" s="98"/>
      <c r="AD435" s="98"/>
      <c r="AE435" s="98"/>
      <c r="AF435" s="98"/>
      <c r="AG435" s="98"/>
      <c r="AH435" s="98"/>
    </row>
    <row r="436" spans="2:34" x14ac:dyDescent="0.25">
      <c r="B436" s="73"/>
      <c r="C436" s="74"/>
      <c r="D436" s="80"/>
      <c r="E436" s="81"/>
      <c r="F436" s="81"/>
      <c r="G436" s="81"/>
      <c r="H436" s="81"/>
      <c r="I436" s="82"/>
      <c r="J436" s="88"/>
      <c r="K436" s="89"/>
      <c r="L436" s="88"/>
      <c r="M436" s="89"/>
      <c r="N436" s="80"/>
      <c r="O436" s="82"/>
      <c r="P436" s="94"/>
      <c r="Q436" s="95"/>
      <c r="S436" s="99"/>
      <c r="T436" s="99"/>
      <c r="U436" s="99"/>
      <c r="V436" s="99"/>
      <c r="W436" s="99"/>
      <c r="X436" s="99"/>
      <c r="Y436" s="99"/>
      <c r="Z436" s="99"/>
      <c r="AA436" s="99"/>
      <c r="AB436" s="99"/>
      <c r="AC436" s="98"/>
      <c r="AD436" s="98"/>
      <c r="AE436" s="98"/>
      <c r="AF436" s="98"/>
      <c r="AG436" s="98"/>
      <c r="AH436" s="98"/>
    </row>
    <row r="437" spans="2:34" x14ac:dyDescent="0.25">
      <c r="B437" s="75"/>
      <c r="C437" s="76"/>
      <c r="D437" s="83"/>
      <c r="E437" s="84"/>
      <c r="F437" s="84"/>
      <c r="G437" s="84"/>
      <c r="H437" s="84"/>
      <c r="I437" s="85"/>
      <c r="J437" s="90"/>
      <c r="K437" s="91"/>
      <c r="L437" s="90"/>
      <c r="M437" s="91"/>
      <c r="N437" s="83"/>
      <c r="O437" s="85"/>
      <c r="P437" s="96"/>
      <c r="Q437" s="97"/>
      <c r="S437" s="99"/>
      <c r="T437" s="99"/>
      <c r="U437" s="99"/>
      <c r="V437" s="99"/>
      <c r="W437" s="99"/>
      <c r="X437" s="99"/>
      <c r="Y437" s="99"/>
      <c r="Z437" s="99"/>
      <c r="AA437" s="99"/>
      <c r="AB437" s="99"/>
      <c r="AC437" s="98"/>
      <c r="AD437" s="98"/>
      <c r="AE437" s="98"/>
      <c r="AF437" s="98"/>
      <c r="AG437" s="98"/>
      <c r="AH437" s="98"/>
    </row>
    <row r="438" spans="2:34" x14ac:dyDescent="0.25">
      <c r="B438" s="71"/>
      <c r="C438" s="72"/>
      <c r="D438" s="77"/>
      <c r="E438" s="78"/>
      <c r="F438" s="78"/>
      <c r="G438" s="78"/>
      <c r="H438" s="78"/>
      <c r="I438" s="79"/>
      <c r="J438" s="86"/>
      <c r="K438" s="87"/>
      <c r="L438" s="86"/>
      <c r="M438" s="87"/>
      <c r="N438" s="77"/>
      <c r="O438" s="79"/>
      <c r="P438" s="92"/>
      <c r="Q438" s="93"/>
      <c r="S438" s="99"/>
      <c r="T438" s="99"/>
      <c r="U438" s="99"/>
      <c r="V438" s="99"/>
      <c r="W438" s="99"/>
      <c r="X438" s="99"/>
      <c r="Y438" s="99"/>
      <c r="Z438" s="99"/>
      <c r="AA438" s="99"/>
      <c r="AB438" s="99"/>
      <c r="AC438" s="98"/>
      <c r="AD438" s="98"/>
      <c r="AE438" s="98"/>
      <c r="AF438" s="98"/>
      <c r="AG438" s="98"/>
      <c r="AH438" s="98"/>
    </row>
    <row r="439" spans="2:34" x14ac:dyDescent="0.25">
      <c r="B439" s="73"/>
      <c r="C439" s="74"/>
      <c r="D439" s="80"/>
      <c r="E439" s="81"/>
      <c r="F439" s="81"/>
      <c r="G439" s="81"/>
      <c r="H439" s="81"/>
      <c r="I439" s="82"/>
      <c r="J439" s="88"/>
      <c r="K439" s="89"/>
      <c r="L439" s="88"/>
      <c r="M439" s="89"/>
      <c r="N439" s="80"/>
      <c r="O439" s="82"/>
      <c r="P439" s="94"/>
      <c r="Q439" s="95"/>
      <c r="S439" s="99"/>
      <c r="T439" s="99"/>
      <c r="U439" s="99"/>
      <c r="V439" s="99"/>
      <c r="W439" s="99"/>
      <c r="X439" s="99"/>
      <c r="Y439" s="99"/>
      <c r="Z439" s="99"/>
      <c r="AA439" s="99"/>
      <c r="AB439" s="99"/>
      <c r="AC439" s="98"/>
      <c r="AD439" s="98"/>
      <c r="AE439" s="98"/>
      <c r="AF439" s="98"/>
      <c r="AG439" s="98"/>
      <c r="AH439" s="98"/>
    </row>
    <row r="440" spans="2:34" x14ac:dyDescent="0.25">
      <c r="B440" s="75"/>
      <c r="C440" s="76"/>
      <c r="D440" s="83"/>
      <c r="E440" s="84"/>
      <c r="F440" s="84"/>
      <c r="G440" s="84"/>
      <c r="H440" s="84"/>
      <c r="I440" s="85"/>
      <c r="J440" s="90"/>
      <c r="K440" s="91"/>
      <c r="L440" s="90"/>
      <c r="M440" s="91"/>
      <c r="N440" s="83"/>
      <c r="O440" s="85"/>
      <c r="P440" s="96"/>
      <c r="Q440" s="97"/>
      <c r="S440" s="99"/>
      <c r="T440" s="99"/>
      <c r="U440" s="99"/>
      <c r="V440" s="99"/>
      <c r="W440" s="99"/>
      <c r="X440" s="99"/>
      <c r="Y440" s="99"/>
      <c r="Z440" s="99"/>
      <c r="AA440" s="99"/>
      <c r="AB440" s="99"/>
      <c r="AC440" s="98"/>
      <c r="AD440" s="98"/>
      <c r="AE440" s="98"/>
      <c r="AF440" s="98"/>
      <c r="AG440" s="98"/>
      <c r="AH440" s="98"/>
    </row>
    <row r="441" spans="2:34" x14ac:dyDescent="0.25">
      <c r="B441" s="71"/>
      <c r="C441" s="72"/>
      <c r="D441" s="77"/>
      <c r="E441" s="78"/>
      <c r="F441" s="78"/>
      <c r="G441" s="78"/>
      <c r="H441" s="78"/>
      <c r="I441" s="79"/>
      <c r="J441" s="86"/>
      <c r="K441" s="87"/>
      <c r="L441" s="86"/>
      <c r="M441" s="87"/>
      <c r="N441" s="77"/>
      <c r="O441" s="79"/>
      <c r="P441" s="92"/>
      <c r="Q441" s="93"/>
      <c r="S441" s="99"/>
      <c r="T441" s="99"/>
      <c r="U441" s="99"/>
      <c r="V441" s="99"/>
      <c r="W441" s="99"/>
      <c r="X441" s="99"/>
      <c r="Y441" s="99"/>
      <c r="Z441" s="99"/>
      <c r="AA441" s="99"/>
      <c r="AB441" s="99"/>
      <c r="AC441" s="98"/>
      <c r="AD441" s="98"/>
      <c r="AE441" s="98"/>
      <c r="AF441" s="98"/>
      <c r="AG441" s="98"/>
      <c r="AH441" s="98"/>
    </row>
    <row r="442" spans="2:34" x14ac:dyDescent="0.25">
      <c r="B442" s="73"/>
      <c r="C442" s="74"/>
      <c r="D442" s="80"/>
      <c r="E442" s="81"/>
      <c r="F442" s="81"/>
      <c r="G442" s="81"/>
      <c r="H442" s="81"/>
      <c r="I442" s="82"/>
      <c r="J442" s="88"/>
      <c r="K442" s="89"/>
      <c r="L442" s="88"/>
      <c r="M442" s="89"/>
      <c r="N442" s="80"/>
      <c r="O442" s="82"/>
      <c r="P442" s="94"/>
      <c r="Q442" s="95"/>
      <c r="S442" s="99"/>
      <c r="T442" s="99"/>
      <c r="U442" s="99"/>
      <c r="V442" s="99"/>
      <c r="W442" s="99"/>
      <c r="X442" s="99"/>
      <c r="Y442" s="99"/>
      <c r="Z442" s="99"/>
      <c r="AA442" s="99"/>
      <c r="AB442" s="99"/>
      <c r="AC442" s="98"/>
      <c r="AD442" s="98"/>
      <c r="AE442" s="98"/>
      <c r="AF442" s="98"/>
      <c r="AG442" s="98"/>
      <c r="AH442" s="98"/>
    </row>
    <row r="443" spans="2:34" x14ac:dyDescent="0.25">
      <c r="B443" s="75"/>
      <c r="C443" s="76"/>
      <c r="D443" s="83"/>
      <c r="E443" s="84"/>
      <c r="F443" s="84"/>
      <c r="G443" s="84"/>
      <c r="H443" s="84"/>
      <c r="I443" s="85"/>
      <c r="J443" s="90"/>
      <c r="K443" s="91"/>
      <c r="L443" s="90"/>
      <c r="M443" s="91"/>
      <c r="N443" s="83"/>
      <c r="O443" s="85"/>
      <c r="P443" s="96"/>
      <c r="Q443" s="97"/>
      <c r="S443" s="99"/>
      <c r="T443" s="99"/>
      <c r="U443" s="99"/>
      <c r="V443" s="99"/>
      <c r="W443" s="99"/>
      <c r="X443" s="99"/>
      <c r="Y443" s="99"/>
      <c r="Z443" s="99"/>
      <c r="AA443" s="99"/>
      <c r="AB443" s="99"/>
      <c r="AC443" s="98"/>
      <c r="AD443" s="98"/>
      <c r="AE443" s="98"/>
      <c r="AF443" s="98"/>
      <c r="AG443" s="98"/>
      <c r="AH443" s="98"/>
    </row>
    <row r="444" spans="2:34" x14ac:dyDescent="0.25">
      <c r="B444" s="71"/>
      <c r="C444" s="72"/>
      <c r="D444" s="77"/>
      <c r="E444" s="78"/>
      <c r="F444" s="78"/>
      <c r="G444" s="78"/>
      <c r="H444" s="78"/>
      <c r="I444" s="79"/>
      <c r="J444" s="86"/>
      <c r="K444" s="87"/>
      <c r="L444" s="86"/>
      <c r="M444" s="87"/>
      <c r="N444" s="77"/>
      <c r="O444" s="79"/>
      <c r="P444" s="92"/>
      <c r="Q444" s="93"/>
      <c r="S444" s="99"/>
      <c r="T444" s="99"/>
      <c r="U444" s="99"/>
      <c r="V444" s="99"/>
      <c r="W444" s="99"/>
      <c r="X444" s="99"/>
      <c r="Y444" s="99"/>
      <c r="Z444" s="99"/>
      <c r="AA444" s="99"/>
      <c r="AB444" s="99"/>
      <c r="AC444" s="98"/>
      <c r="AD444" s="98"/>
      <c r="AE444" s="98"/>
      <c r="AF444" s="98"/>
      <c r="AG444" s="98"/>
      <c r="AH444" s="98"/>
    </row>
    <row r="445" spans="2:34" x14ac:dyDescent="0.25">
      <c r="B445" s="73"/>
      <c r="C445" s="74"/>
      <c r="D445" s="80"/>
      <c r="E445" s="81"/>
      <c r="F445" s="81"/>
      <c r="G445" s="81"/>
      <c r="H445" s="81"/>
      <c r="I445" s="82"/>
      <c r="J445" s="88"/>
      <c r="K445" s="89"/>
      <c r="L445" s="88"/>
      <c r="M445" s="89"/>
      <c r="N445" s="80"/>
      <c r="O445" s="82"/>
      <c r="P445" s="94"/>
      <c r="Q445" s="95"/>
      <c r="S445" s="99"/>
      <c r="T445" s="99"/>
      <c r="U445" s="99"/>
      <c r="V445" s="99"/>
      <c r="W445" s="99"/>
      <c r="X445" s="99"/>
      <c r="Y445" s="99"/>
      <c r="Z445" s="99"/>
      <c r="AA445" s="99"/>
      <c r="AB445" s="99"/>
      <c r="AC445" s="98"/>
      <c r="AD445" s="98"/>
      <c r="AE445" s="98"/>
      <c r="AF445" s="98"/>
      <c r="AG445" s="98"/>
      <c r="AH445" s="98"/>
    </row>
    <row r="446" spans="2:34" x14ac:dyDescent="0.25">
      <c r="B446" s="75"/>
      <c r="C446" s="76"/>
      <c r="D446" s="83"/>
      <c r="E446" s="84"/>
      <c r="F446" s="84"/>
      <c r="G446" s="84"/>
      <c r="H446" s="84"/>
      <c r="I446" s="85"/>
      <c r="J446" s="90"/>
      <c r="K446" s="91"/>
      <c r="L446" s="90"/>
      <c r="M446" s="91"/>
      <c r="N446" s="83"/>
      <c r="O446" s="85"/>
      <c r="P446" s="96"/>
      <c r="Q446" s="97"/>
      <c r="S446" s="99"/>
      <c r="T446" s="99"/>
      <c r="U446" s="99"/>
      <c r="V446" s="99"/>
      <c r="W446" s="99"/>
      <c r="X446" s="99"/>
      <c r="Y446" s="99"/>
      <c r="Z446" s="99"/>
      <c r="AA446" s="99"/>
      <c r="AB446" s="99"/>
      <c r="AC446" s="98"/>
      <c r="AD446" s="98"/>
      <c r="AE446" s="98"/>
      <c r="AF446" s="98"/>
      <c r="AG446" s="98"/>
      <c r="AH446" s="98"/>
    </row>
    <row r="447" spans="2:34" x14ac:dyDescent="0.25">
      <c r="B447" s="71"/>
      <c r="C447" s="72"/>
      <c r="D447" s="77"/>
      <c r="E447" s="78"/>
      <c r="F447" s="78"/>
      <c r="G447" s="78"/>
      <c r="H447" s="78"/>
      <c r="I447" s="79"/>
      <c r="J447" s="86"/>
      <c r="K447" s="87"/>
      <c r="L447" s="86"/>
      <c r="M447" s="87"/>
      <c r="N447" s="77"/>
      <c r="O447" s="79"/>
      <c r="P447" s="92"/>
      <c r="Q447" s="93"/>
      <c r="S447" s="99"/>
      <c r="T447" s="99"/>
      <c r="U447" s="99"/>
      <c r="V447" s="99"/>
      <c r="W447" s="99"/>
      <c r="X447" s="99"/>
      <c r="Y447" s="99"/>
      <c r="Z447" s="99"/>
      <c r="AA447" s="99"/>
      <c r="AB447" s="99"/>
      <c r="AC447" s="98"/>
      <c r="AD447" s="98"/>
      <c r="AE447" s="98"/>
      <c r="AF447" s="98"/>
      <c r="AG447" s="98"/>
      <c r="AH447" s="98"/>
    </row>
    <row r="448" spans="2:34" x14ac:dyDescent="0.25">
      <c r="B448" s="73"/>
      <c r="C448" s="74"/>
      <c r="D448" s="80"/>
      <c r="E448" s="81"/>
      <c r="F448" s="81"/>
      <c r="G448" s="81"/>
      <c r="H448" s="81"/>
      <c r="I448" s="82"/>
      <c r="J448" s="88"/>
      <c r="K448" s="89"/>
      <c r="L448" s="88"/>
      <c r="M448" s="89"/>
      <c r="N448" s="80"/>
      <c r="O448" s="82"/>
      <c r="P448" s="94"/>
      <c r="Q448" s="95"/>
      <c r="S448" s="99"/>
      <c r="T448" s="99"/>
      <c r="U448" s="99"/>
      <c r="V448" s="99"/>
      <c r="W448" s="99"/>
      <c r="X448" s="99"/>
      <c r="Y448" s="99"/>
      <c r="Z448" s="99"/>
      <c r="AA448" s="99"/>
      <c r="AB448" s="99"/>
      <c r="AC448" s="98"/>
      <c r="AD448" s="98"/>
      <c r="AE448" s="98"/>
      <c r="AF448" s="98"/>
      <c r="AG448" s="98"/>
      <c r="AH448" s="98"/>
    </row>
    <row r="449" spans="2:34" x14ac:dyDescent="0.25">
      <c r="B449" s="75"/>
      <c r="C449" s="76"/>
      <c r="D449" s="83"/>
      <c r="E449" s="84"/>
      <c r="F449" s="84"/>
      <c r="G449" s="84"/>
      <c r="H449" s="84"/>
      <c r="I449" s="85"/>
      <c r="J449" s="90"/>
      <c r="K449" s="91"/>
      <c r="L449" s="90"/>
      <c r="M449" s="91"/>
      <c r="N449" s="83"/>
      <c r="O449" s="85"/>
      <c r="P449" s="96"/>
      <c r="Q449" s="97"/>
      <c r="S449" s="99"/>
      <c r="T449" s="99"/>
      <c r="U449" s="99"/>
      <c r="V449" s="99"/>
      <c r="W449" s="99"/>
      <c r="X449" s="99"/>
      <c r="Y449" s="99"/>
      <c r="Z449" s="99"/>
      <c r="AA449" s="99"/>
      <c r="AB449" s="99"/>
      <c r="AC449" s="98"/>
      <c r="AD449" s="98"/>
      <c r="AE449" s="98"/>
      <c r="AF449" s="98"/>
      <c r="AG449" s="98"/>
      <c r="AH449" s="98"/>
    </row>
    <row r="450" spans="2:34" x14ac:dyDescent="0.25">
      <c r="B450" s="71"/>
      <c r="C450" s="72"/>
      <c r="D450" s="77"/>
      <c r="E450" s="78"/>
      <c r="F450" s="78"/>
      <c r="G450" s="78"/>
      <c r="H450" s="78"/>
      <c r="I450" s="79"/>
      <c r="J450" s="86"/>
      <c r="K450" s="87"/>
      <c r="L450" s="86"/>
      <c r="M450" s="87"/>
      <c r="N450" s="77"/>
      <c r="O450" s="79"/>
      <c r="P450" s="92"/>
      <c r="Q450" s="93"/>
      <c r="S450" s="99"/>
      <c r="T450" s="99"/>
      <c r="U450" s="99"/>
      <c r="V450" s="99"/>
      <c r="W450" s="99"/>
      <c r="X450" s="99"/>
      <c r="Y450" s="99"/>
      <c r="Z450" s="99"/>
      <c r="AA450" s="99"/>
      <c r="AB450" s="99"/>
      <c r="AC450" s="98"/>
      <c r="AD450" s="98"/>
      <c r="AE450" s="98"/>
      <c r="AF450" s="98"/>
      <c r="AG450" s="98"/>
      <c r="AH450" s="98"/>
    </row>
    <row r="451" spans="2:34" x14ac:dyDescent="0.25">
      <c r="B451" s="73"/>
      <c r="C451" s="74"/>
      <c r="D451" s="80"/>
      <c r="E451" s="81"/>
      <c r="F451" s="81"/>
      <c r="G451" s="81"/>
      <c r="H451" s="81"/>
      <c r="I451" s="82"/>
      <c r="J451" s="88"/>
      <c r="K451" s="89"/>
      <c r="L451" s="88"/>
      <c r="M451" s="89"/>
      <c r="N451" s="80"/>
      <c r="O451" s="82"/>
      <c r="P451" s="94"/>
      <c r="Q451" s="95"/>
      <c r="S451" s="99"/>
      <c r="T451" s="99"/>
      <c r="U451" s="99"/>
      <c r="V451" s="99"/>
      <c r="W451" s="99"/>
      <c r="X451" s="99"/>
      <c r="Y451" s="99"/>
      <c r="Z451" s="99"/>
      <c r="AA451" s="99"/>
      <c r="AB451" s="99"/>
      <c r="AC451" s="98"/>
      <c r="AD451" s="98"/>
      <c r="AE451" s="98"/>
      <c r="AF451" s="98"/>
      <c r="AG451" s="98"/>
      <c r="AH451" s="98"/>
    </row>
    <row r="452" spans="2:34" x14ac:dyDescent="0.25">
      <c r="B452" s="75"/>
      <c r="C452" s="76"/>
      <c r="D452" s="83"/>
      <c r="E452" s="84"/>
      <c r="F452" s="84"/>
      <c r="G452" s="84"/>
      <c r="H452" s="84"/>
      <c r="I452" s="85"/>
      <c r="J452" s="90"/>
      <c r="K452" s="91"/>
      <c r="L452" s="90"/>
      <c r="M452" s="91"/>
      <c r="N452" s="83"/>
      <c r="O452" s="85"/>
      <c r="P452" s="96"/>
      <c r="Q452" s="97"/>
      <c r="S452" s="99"/>
      <c r="T452" s="99"/>
      <c r="U452" s="99"/>
      <c r="V452" s="99"/>
      <c r="W452" s="99"/>
      <c r="X452" s="99"/>
      <c r="Y452" s="99"/>
      <c r="Z452" s="99"/>
      <c r="AA452" s="99"/>
      <c r="AB452" s="99"/>
      <c r="AC452" s="98"/>
      <c r="AD452" s="98"/>
      <c r="AE452" s="98"/>
      <c r="AF452" s="98"/>
      <c r="AG452" s="98"/>
      <c r="AH452" s="98"/>
    </row>
    <row r="453" spans="2:34" x14ac:dyDescent="0.25">
      <c r="B453" s="71"/>
      <c r="C453" s="72"/>
      <c r="D453" s="77"/>
      <c r="E453" s="78"/>
      <c r="F453" s="78"/>
      <c r="G453" s="78"/>
      <c r="H453" s="78"/>
      <c r="I453" s="79"/>
      <c r="J453" s="86"/>
      <c r="K453" s="87"/>
      <c r="L453" s="86"/>
      <c r="M453" s="87"/>
      <c r="N453" s="77"/>
      <c r="O453" s="79"/>
      <c r="P453" s="92"/>
      <c r="Q453" s="93"/>
      <c r="S453" s="99"/>
      <c r="T453" s="99"/>
      <c r="U453" s="99"/>
      <c r="V453" s="99"/>
      <c r="W453" s="99"/>
      <c r="X453" s="99"/>
      <c r="Y453" s="99"/>
      <c r="Z453" s="99"/>
      <c r="AA453" s="99"/>
      <c r="AB453" s="99"/>
      <c r="AC453" s="98"/>
      <c r="AD453" s="98"/>
      <c r="AE453" s="98"/>
      <c r="AF453" s="98"/>
      <c r="AG453" s="98"/>
      <c r="AH453" s="98"/>
    </row>
    <row r="454" spans="2:34" x14ac:dyDescent="0.25">
      <c r="B454" s="73"/>
      <c r="C454" s="74"/>
      <c r="D454" s="80"/>
      <c r="E454" s="81"/>
      <c r="F454" s="81"/>
      <c r="G454" s="81"/>
      <c r="H454" s="81"/>
      <c r="I454" s="82"/>
      <c r="J454" s="88"/>
      <c r="K454" s="89"/>
      <c r="L454" s="88"/>
      <c r="M454" s="89"/>
      <c r="N454" s="80"/>
      <c r="O454" s="82"/>
      <c r="P454" s="94"/>
      <c r="Q454" s="95"/>
      <c r="S454" s="99"/>
      <c r="T454" s="99"/>
      <c r="U454" s="99"/>
      <c r="V454" s="99"/>
      <c r="W454" s="99"/>
      <c r="X454" s="99"/>
      <c r="Y454" s="99"/>
      <c r="Z454" s="99"/>
      <c r="AA454" s="99"/>
      <c r="AB454" s="99"/>
      <c r="AC454" s="98"/>
      <c r="AD454" s="98"/>
      <c r="AE454" s="98"/>
      <c r="AF454" s="98"/>
      <c r="AG454" s="98"/>
      <c r="AH454" s="98"/>
    </row>
    <row r="455" spans="2:34" x14ac:dyDescent="0.25">
      <c r="B455" s="75"/>
      <c r="C455" s="76"/>
      <c r="D455" s="83"/>
      <c r="E455" s="84"/>
      <c r="F455" s="84"/>
      <c r="G455" s="84"/>
      <c r="H455" s="84"/>
      <c r="I455" s="85"/>
      <c r="J455" s="90"/>
      <c r="K455" s="91"/>
      <c r="L455" s="90"/>
      <c r="M455" s="91"/>
      <c r="N455" s="83"/>
      <c r="O455" s="85"/>
      <c r="P455" s="96"/>
      <c r="Q455" s="97"/>
      <c r="S455" s="99"/>
      <c r="T455" s="99"/>
      <c r="U455" s="99"/>
      <c r="V455" s="99"/>
      <c r="W455" s="99"/>
      <c r="X455" s="99"/>
      <c r="Y455" s="99"/>
      <c r="Z455" s="99"/>
      <c r="AA455" s="99"/>
      <c r="AB455" s="99"/>
      <c r="AC455" s="98"/>
      <c r="AD455" s="98"/>
      <c r="AE455" s="98"/>
      <c r="AF455" s="98"/>
      <c r="AG455" s="98"/>
      <c r="AH455" s="98"/>
    </row>
    <row r="456" spans="2:34" x14ac:dyDescent="0.25">
      <c r="B456" s="71"/>
      <c r="C456" s="72"/>
      <c r="D456" s="77"/>
      <c r="E456" s="78"/>
      <c r="F456" s="78"/>
      <c r="G456" s="78"/>
      <c r="H456" s="78"/>
      <c r="I456" s="79"/>
      <c r="J456" s="86"/>
      <c r="K456" s="87"/>
      <c r="L456" s="86"/>
      <c r="M456" s="87"/>
      <c r="N456" s="77"/>
      <c r="O456" s="79"/>
      <c r="P456" s="92"/>
      <c r="Q456" s="93"/>
      <c r="S456" s="99"/>
      <c r="T456" s="99"/>
      <c r="U456" s="99"/>
      <c r="V456" s="99"/>
      <c r="W456" s="99"/>
      <c r="X456" s="99"/>
      <c r="Y456" s="99"/>
      <c r="Z456" s="99"/>
      <c r="AA456" s="99"/>
      <c r="AB456" s="99"/>
      <c r="AC456" s="98"/>
      <c r="AD456" s="98"/>
      <c r="AE456" s="98"/>
      <c r="AF456" s="98"/>
      <c r="AG456" s="98"/>
      <c r="AH456" s="98"/>
    </row>
    <row r="457" spans="2:34" x14ac:dyDescent="0.25">
      <c r="B457" s="73"/>
      <c r="C457" s="74"/>
      <c r="D457" s="80"/>
      <c r="E457" s="81"/>
      <c r="F457" s="81"/>
      <c r="G457" s="81"/>
      <c r="H457" s="81"/>
      <c r="I457" s="82"/>
      <c r="J457" s="88"/>
      <c r="K457" s="89"/>
      <c r="L457" s="88"/>
      <c r="M457" s="89"/>
      <c r="N457" s="80"/>
      <c r="O457" s="82"/>
      <c r="P457" s="94"/>
      <c r="Q457" s="95"/>
      <c r="S457" s="99"/>
      <c r="T457" s="99"/>
      <c r="U457" s="99"/>
      <c r="V457" s="99"/>
      <c r="W457" s="99"/>
      <c r="X457" s="99"/>
      <c r="Y457" s="99"/>
      <c r="Z457" s="99"/>
      <c r="AA457" s="99"/>
      <c r="AB457" s="99"/>
      <c r="AC457" s="98"/>
      <c r="AD457" s="98"/>
      <c r="AE457" s="98"/>
      <c r="AF457" s="98"/>
      <c r="AG457" s="98"/>
      <c r="AH457" s="98"/>
    </row>
    <row r="458" spans="2:34" x14ac:dyDescent="0.25">
      <c r="B458" s="75"/>
      <c r="C458" s="76"/>
      <c r="D458" s="83"/>
      <c r="E458" s="84"/>
      <c r="F458" s="84"/>
      <c r="G458" s="84"/>
      <c r="H458" s="84"/>
      <c r="I458" s="85"/>
      <c r="J458" s="90"/>
      <c r="K458" s="91"/>
      <c r="L458" s="90"/>
      <c r="M458" s="91"/>
      <c r="N458" s="83"/>
      <c r="O458" s="85"/>
      <c r="P458" s="96"/>
      <c r="Q458" s="97"/>
      <c r="S458" s="99"/>
      <c r="T458" s="99"/>
      <c r="U458" s="99"/>
      <c r="V458" s="99"/>
      <c r="W458" s="99"/>
      <c r="X458" s="99"/>
      <c r="Y458" s="99"/>
      <c r="Z458" s="99"/>
      <c r="AA458" s="99"/>
      <c r="AB458" s="99"/>
      <c r="AC458" s="98"/>
      <c r="AD458" s="98"/>
      <c r="AE458" s="98"/>
      <c r="AF458" s="98"/>
      <c r="AG458" s="98"/>
      <c r="AH458" s="98"/>
    </row>
    <row r="459" spans="2:34" x14ac:dyDescent="0.25">
      <c r="B459" s="71"/>
      <c r="C459" s="72"/>
      <c r="D459" s="77"/>
      <c r="E459" s="78"/>
      <c r="F459" s="78"/>
      <c r="G459" s="78"/>
      <c r="H459" s="78"/>
      <c r="I459" s="79"/>
      <c r="J459" s="86"/>
      <c r="K459" s="87"/>
      <c r="L459" s="86"/>
      <c r="M459" s="87"/>
      <c r="N459" s="77"/>
      <c r="O459" s="79"/>
      <c r="P459" s="92"/>
      <c r="Q459" s="93"/>
      <c r="S459" s="99"/>
      <c r="T459" s="99"/>
      <c r="U459" s="99"/>
      <c r="V459" s="99"/>
      <c r="W459" s="99"/>
      <c r="X459" s="99"/>
      <c r="Y459" s="99"/>
      <c r="Z459" s="99"/>
      <c r="AA459" s="99"/>
      <c r="AB459" s="99"/>
      <c r="AC459" s="98"/>
      <c r="AD459" s="98"/>
      <c r="AE459" s="98"/>
      <c r="AF459" s="98"/>
      <c r="AG459" s="98"/>
      <c r="AH459" s="98"/>
    </row>
    <row r="460" spans="2:34" x14ac:dyDescent="0.25">
      <c r="B460" s="73"/>
      <c r="C460" s="74"/>
      <c r="D460" s="80"/>
      <c r="E460" s="81"/>
      <c r="F460" s="81"/>
      <c r="G460" s="81"/>
      <c r="H460" s="81"/>
      <c r="I460" s="82"/>
      <c r="J460" s="88"/>
      <c r="K460" s="89"/>
      <c r="L460" s="88"/>
      <c r="M460" s="89"/>
      <c r="N460" s="80"/>
      <c r="O460" s="82"/>
      <c r="P460" s="94"/>
      <c r="Q460" s="95"/>
      <c r="S460" s="99"/>
      <c r="T460" s="99"/>
      <c r="U460" s="99"/>
      <c r="V460" s="99"/>
      <c r="W460" s="99"/>
      <c r="X460" s="99"/>
      <c r="Y460" s="99"/>
      <c r="Z460" s="99"/>
      <c r="AA460" s="99"/>
      <c r="AB460" s="99"/>
      <c r="AC460" s="98"/>
      <c r="AD460" s="98"/>
      <c r="AE460" s="98"/>
      <c r="AF460" s="98"/>
      <c r="AG460" s="98"/>
      <c r="AH460" s="98"/>
    </row>
    <row r="461" spans="2:34" x14ac:dyDescent="0.25">
      <c r="B461" s="75"/>
      <c r="C461" s="76"/>
      <c r="D461" s="83"/>
      <c r="E461" s="84"/>
      <c r="F461" s="84"/>
      <c r="G461" s="84"/>
      <c r="H461" s="84"/>
      <c r="I461" s="85"/>
      <c r="J461" s="90"/>
      <c r="K461" s="91"/>
      <c r="L461" s="90"/>
      <c r="M461" s="91"/>
      <c r="N461" s="83"/>
      <c r="O461" s="85"/>
      <c r="P461" s="96"/>
      <c r="Q461" s="97"/>
      <c r="S461" s="99"/>
      <c r="T461" s="99"/>
      <c r="U461" s="99"/>
      <c r="V461" s="99"/>
      <c r="W461" s="99"/>
      <c r="X461" s="99"/>
      <c r="Y461" s="99"/>
      <c r="Z461" s="99"/>
      <c r="AA461" s="99"/>
      <c r="AB461" s="99"/>
      <c r="AC461" s="98"/>
      <c r="AD461" s="98"/>
      <c r="AE461" s="98"/>
      <c r="AF461" s="98"/>
      <c r="AG461" s="98"/>
      <c r="AH461" s="98"/>
    </row>
    <row r="462" spans="2:34" x14ac:dyDescent="0.25">
      <c r="B462" s="71"/>
      <c r="C462" s="72"/>
      <c r="D462" s="77"/>
      <c r="E462" s="78"/>
      <c r="F462" s="78"/>
      <c r="G462" s="78"/>
      <c r="H462" s="78"/>
      <c r="I462" s="79"/>
      <c r="J462" s="86"/>
      <c r="K462" s="87"/>
      <c r="L462" s="86"/>
      <c r="M462" s="87"/>
      <c r="N462" s="77"/>
      <c r="O462" s="79"/>
      <c r="P462" s="92"/>
      <c r="Q462" s="93"/>
      <c r="S462" s="99"/>
      <c r="T462" s="99"/>
      <c r="U462" s="99"/>
      <c r="V462" s="99"/>
      <c r="W462" s="99"/>
      <c r="X462" s="99"/>
      <c r="Y462" s="99"/>
      <c r="Z462" s="99"/>
      <c r="AA462" s="99"/>
      <c r="AB462" s="99"/>
      <c r="AC462" s="98"/>
      <c r="AD462" s="98"/>
      <c r="AE462" s="98"/>
      <c r="AF462" s="98"/>
      <c r="AG462" s="98"/>
      <c r="AH462" s="98"/>
    </row>
    <row r="463" spans="2:34" x14ac:dyDescent="0.25">
      <c r="B463" s="73"/>
      <c r="C463" s="74"/>
      <c r="D463" s="80"/>
      <c r="E463" s="81"/>
      <c r="F463" s="81"/>
      <c r="G463" s="81"/>
      <c r="H463" s="81"/>
      <c r="I463" s="82"/>
      <c r="J463" s="88"/>
      <c r="K463" s="89"/>
      <c r="L463" s="88"/>
      <c r="M463" s="89"/>
      <c r="N463" s="80"/>
      <c r="O463" s="82"/>
      <c r="P463" s="94"/>
      <c r="Q463" s="95"/>
      <c r="S463" s="99"/>
      <c r="T463" s="99"/>
      <c r="U463" s="99"/>
      <c r="V463" s="99"/>
      <c r="W463" s="99"/>
      <c r="X463" s="99"/>
      <c r="Y463" s="99"/>
      <c r="Z463" s="99"/>
      <c r="AA463" s="99"/>
      <c r="AB463" s="99"/>
      <c r="AC463" s="98"/>
      <c r="AD463" s="98"/>
      <c r="AE463" s="98"/>
      <c r="AF463" s="98"/>
      <c r="AG463" s="98"/>
      <c r="AH463" s="98"/>
    </row>
    <row r="464" spans="2:34" x14ac:dyDescent="0.25">
      <c r="B464" s="75"/>
      <c r="C464" s="76"/>
      <c r="D464" s="83"/>
      <c r="E464" s="84"/>
      <c r="F464" s="84"/>
      <c r="G464" s="84"/>
      <c r="H464" s="84"/>
      <c r="I464" s="85"/>
      <c r="J464" s="90"/>
      <c r="K464" s="91"/>
      <c r="L464" s="90"/>
      <c r="M464" s="91"/>
      <c r="N464" s="83"/>
      <c r="O464" s="85"/>
      <c r="P464" s="96"/>
      <c r="Q464" s="97"/>
      <c r="S464" s="99"/>
      <c r="T464" s="99"/>
      <c r="U464" s="99"/>
      <c r="V464" s="99"/>
      <c r="W464" s="99"/>
      <c r="X464" s="99"/>
      <c r="Y464" s="99"/>
      <c r="Z464" s="99"/>
      <c r="AA464" s="99"/>
      <c r="AB464" s="99"/>
      <c r="AC464" s="98"/>
      <c r="AD464" s="98"/>
      <c r="AE464" s="98"/>
      <c r="AF464" s="98"/>
      <c r="AG464" s="98"/>
      <c r="AH464" s="98"/>
    </row>
    <row r="465" spans="2:34" x14ac:dyDescent="0.25">
      <c r="B465" s="71"/>
      <c r="C465" s="72"/>
      <c r="D465" s="77"/>
      <c r="E465" s="78"/>
      <c r="F465" s="78"/>
      <c r="G465" s="78"/>
      <c r="H465" s="78"/>
      <c r="I465" s="79"/>
      <c r="J465" s="86"/>
      <c r="K465" s="87"/>
      <c r="L465" s="86"/>
      <c r="M465" s="87"/>
      <c r="N465" s="77"/>
      <c r="O465" s="79"/>
      <c r="P465" s="92"/>
      <c r="Q465" s="93"/>
      <c r="S465" s="99"/>
      <c r="T465" s="99"/>
      <c r="U465" s="99"/>
      <c r="V465" s="99"/>
      <c r="W465" s="99"/>
      <c r="X465" s="99"/>
      <c r="Y465" s="99"/>
      <c r="Z465" s="99"/>
      <c r="AA465" s="99"/>
      <c r="AB465" s="99"/>
      <c r="AC465" s="98"/>
      <c r="AD465" s="98"/>
      <c r="AE465" s="98"/>
      <c r="AF465" s="98"/>
      <c r="AG465" s="98"/>
      <c r="AH465" s="98"/>
    </row>
    <row r="466" spans="2:34" x14ac:dyDescent="0.25">
      <c r="B466" s="73"/>
      <c r="C466" s="74"/>
      <c r="D466" s="80"/>
      <c r="E466" s="81"/>
      <c r="F466" s="81"/>
      <c r="G466" s="81"/>
      <c r="H466" s="81"/>
      <c r="I466" s="82"/>
      <c r="J466" s="88"/>
      <c r="K466" s="89"/>
      <c r="L466" s="88"/>
      <c r="M466" s="89"/>
      <c r="N466" s="80"/>
      <c r="O466" s="82"/>
      <c r="P466" s="94"/>
      <c r="Q466" s="95"/>
      <c r="S466" s="99"/>
      <c r="T466" s="99"/>
      <c r="U466" s="99"/>
      <c r="V466" s="99"/>
      <c r="W466" s="99"/>
      <c r="X466" s="99"/>
      <c r="Y466" s="99"/>
      <c r="Z466" s="99"/>
      <c r="AA466" s="99"/>
      <c r="AB466" s="99"/>
      <c r="AC466" s="98"/>
      <c r="AD466" s="98"/>
      <c r="AE466" s="98"/>
      <c r="AF466" s="98"/>
      <c r="AG466" s="98"/>
      <c r="AH466" s="98"/>
    </row>
    <row r="467" spans="2:34" x14ac:dyDescent="0.25">
      <c r="B467" s="75"/>
      <c r="C467" s="76"/>
      <c r="D467" s="83"/>
      <c r="E467" s="84"/>
      <c r="F467" s="84"/>
      <c r="G467" s="84"/>
      <c r="H467" s="84"/>
      <c r="I467" s="85"/>
      <c r="J467" s="90"/>
      <c r="K467" s="91"/>
      <c r="L467" s="90"/>
      <c r="M467" s="91"/>
      <c r="N467" s="83"/>
      <c r="O467" s="85"/>
      <c r="P467" s="96"/>
      <c r="Q467" s="97"/>
      <c r="S467" s="99"/>
      <c r="T467" s="99"/>
      <c r="U467" s="99"/>
      <c r="V467" s="99"/>
      <c r="W467" s="99"/>
      <c r="X467" s="99"/>
      <c r="Y467" s="99"/>
      <c r="Z467" s="99"/>
      <c r="AA467" s="99"/>
      <c r="AB467" s="99"/>
      <c r="AC467" s="98"/>
      <c r="AD467" s="98"/>
      <c r="AE467" s="98"/>
      <c r="AF467" s="98"/>
      <c r="AG467" s="98"/>
      <c r="AH467" s="98"/>
    </row>
    <row r="468" spans="2:34" x14ac:dyDescent="0.25">
      <c r="B468" s="71"/>
      <c r="C468" s="72"/>
      <c r="D468" s="77"/>
      <c r="E468" s="78"/>
      <c r="F468" s="78"/>
      <c r="G468" s="78"/>
      <c r="H468" s="78"/>
      <c r="I468" s="79"/>
      <c r="J468" s="86"/>
      <c r="K468" s="87"/>
      <c r="L468" s="86"/>
      <c r="M468" s="87"/>
      <c r="N468" s="77"/>
      <c r="O468" s="79"/>
      <c r="P468" s="92"/>
      <c r="Q468" s="93"/>
      <c r="S468" s="99"/>
      <c r="T468" s="99"/>
      <c r="U468" s="99"/>
      <c r="V468" s="99"/>
      <c r="W468" s="99"/>
      <c r="X468" s="99"/>
      <c r="Y468" s="99"/>
      <c r="Z468" s="99"/>
      <c r="AA468" s="99"/>
      <c r="AB468" s="99"/>
      <c r="AC468" s="98"/>
      <c r="AD468" s="98"/>
      <c r="AE468" s="98"/>
      <c r="AF468" s="98"/>
      <c r="AG468" s="98"/>
      <c r="AH468" s="98"/>
    </row>
    <row r="469" spans="2:34" x14ac:dyDescent="0.25">
      <c r="B469" s="73"/>
      <c r="C469" s="74"/>
      <c r="D469" s="80"/>
      <c r="E469" s="81"/>
      <c r="F469" s="81"/>
      <c r="G469" s="81"/>
      <c r="H469" s="81"/>
      <c r="I469" s="82"/>
      <c r="J469" s="88"/>
      <c r="K469" s="89"/>
      <c r="L469" s="88"/>
      <c r="M469" s="89"/>
      <c r="N469" s="80"/>
      <c r="O469" s="82"/>
      <c r="P469" s="94"/>
      <c r="Q469" s="95"/>
      <c r="S469" s="99"/>
      <c r="T469" s="99"/>
      <c r="U469" s="99"/>
      <c r="V469" s="99"/>
      <c r="W469" s="99"/>
      <c r="X469" s="99"/>
      <c r="Y469" s="99"/>
      <c r="Z469" s="99"/>
      <c r="AA469" s="99"/>
      <c r="AB469" s="99"/>
      <c r="AC469" s="98"/>
      <c r="AD469" s="98"/>
      <c r="AE469" s="98"/>
      <c r="AF469" s="98"/>
      <c r="AG469" s="98"/>
      <c r="AH469" s="98"/>
    </row>
    <row r="470" spans="2:34" x14ac:dyDescent="0.25">
      <c r="B470" s="75"/>
      <c r="C470" s="76"/>
      <c r="D470" s="83"/>
      <c r="E470" s="84"/>
      <c r="F470" s="84"/>
      <c r="G470" s="84"/>
      <c r="H470" s="84"/>
      <c r="I470" s="85"/>
      <c r="J470" s="90"/>
      <c r="K470" s="91"/>
      <c r="L470" s="90"/>
      <c r="M470" s="91"/>
      <c r="N470" s="83"/>
      <c r="O470" s="85"/>
      <c r="P470" s="96"/>
      <c r="Q470" s="97"/>
      <c r="S470" s="99"/>
      <c r="T470" s="99"/>
      <c r="U470" s="99"/>
      <c r="V470" s="99"/>
      <c r="W470" s="99"/>
      <c r="X470" s="99"/>
      <c r="Y470" s="99"/>
      <c r="Z470" s="99"/>
      <c r="AA470" s="99"/>
      <c r="AB470" s="99"/>
      <c r="AC470" s="98"/>
      <c r="AD470" s="98"/>
      <c r="AE470" s="98"/>
      <c r="AF470" s="98"/>
      <c r="AG470" s="98"/>
      <c r="AH470" s="98"/>
    </row>
    <row r="471" spans="2:34" x14ac:dyDescent="0.25">
      <c r="B471" s="71"/>
      <c r="C471" s="72"/>
      <c r="D471" s="77"/>
      <c r="E471" s="78"/>
      <c r="F471" s="78"/>
      <c r="G471" s="78"/>
      <c r="H471" s="78"/>
      <c r="I471" s="79"/>
      <c r="J471" s="86"/>
      <c r="K471" s="87"/>
      <c r="L471" s="86"/>
      <c r="M471" s="87"/>
      <c r="N471" s="77"/>
      <c r="O471" s="79"/>
      <c r="P471" s="92"/>
      <c r="Q471" s="93"/>
      <c r="S471" s="99"/>
      <c r="T471" s="99"/>
      <c r="U471" s="99"/>
      <c r="V471" s="99"/>
      <c r="W471" s="99"/>
      <c r="X471" s="99"/>
      <c r="Y471" s="99"/>
      <c r="Z471" s="99"/>
      <c r="AA471" s="99"/>
      <c r="AB471" s="99"/>
      <c r="AC471" s="98"/>
      <c r="AD471" s="98"/>
      <c r="AE471" s="98"/>
      <c r="AF471" s="98"/>
      <c r="AG471" s="98"/>
      <c r="AH471" s="98"/>
    </row>
    <row r="472" spans="2:34" x14ac:dyDescent="0.25">
      <c r="B472" s="73"/>
      <c r="C472" s="74"/>
      <c r="D472" s="80"/>
      <c r="E472" s="81"/>
      <c r="F472" s="81"/>
      <c r="G472" s="81"/>
      <c r="H472" s="81"/>
      <c r="I472" s="82"/>
      <c r="J472" s="88"/>
      <c r="K472" s="89"/>
      <c r="L472" s="88"/>
      <c r="M472" s="89"/>
      <c r="N472" s="80"/>
      <c r="O472" s="82"/>
      <c r="P472" s="94"/>
      <c r="Q472" s="95"/>
      <c r="S472" s="99"/>
      <c r="T472" s="99"/>
      <c r="U472" s="99"/>
      <c r="V472" s="99"/>
      <c r="W472" s="99"/>
      <c r="X472" s="99"/>
      <c r="Y472" s="99"/>
      <c r="Z472" s="99"/>
      <c r="AA472" s="99"/>
      <c r="AB472" s="99"/>
      <c r="AC472" s="98"/>
      <c r="AD472" s="98"/>
      <c r="AE472" s="98"/>
      <c r="AF472" s="98"/>
      <c r="AG472" s="98"/>
      <c r="AH472" s="98"/>
    </row>
    <row r="473" spans="2:34" x14ac:dyDescent="0.25">
      <c r="B473" s="75"/>
      <c r="C473" s="76"/>
      <c r="D473" s="83"/>
      <c r="E473" s="84"/>
      <c r="F473" s="84"/>
      <c r="G473" s="84"/>
      <c r="H473" s="84"/>
      <c r="I473" s="85"/>
      <c r="J473" s="90"/>
      <c r="K473" s="91"/>
      <c r="L473" s="90"/>
      <c r="M473" s="91"/>
      <c r="N473" s="83"/>
      <c r="O473" s="85"/>
      <c r="P473" s="96"/>
      <c r="Q473" s="97"/>
      <c r="S473" s="99"/>
      <c r="T473" s="99"/>
      <c r="U473" s="99"/>
      <c r="V473" s="99"/>
      <c r="W473" s="99"/>
      <c r="X473" s="99"/>
      <c r="Y473" s="99"/>
      <c r="Z473" s="99"/>
      <c r="AA473" s="99"/>
      <c r="AB473" s="99"/>
      <c r="AC473" s="98"/>
      <c r="AD473" s="98"/>
      <c r="AE473" s="98"/>
      <c r="AF473" s="98"/>
      <c r="AG473" s="98"/>
      <c r="AH473" s="98"/>
    </row>
    <row r="474" spans="2:34" x14ac:dyDescent="0.25">
      <c r="B474" s="71"/>
      <c r="C474" s="72"/>
      <c r="D474" s="77"/>
      <c r="E474" s="78"/>
      <c r="F474" s="78"/>
      <c r="G474" s="78"/>
      <c r="H474" s="78"/>
      <c r="I474" s="79"/>
      <c r="J474" s="86"/>
      <c r="K474" s="87"/>
      <c r="L474" s="86"/>
      <c r="M474" s="87"/>
      <c r="N474" s="77"/>
      <c r="O474" s="79"/>
      <c r="P474" s="92"/>
      <c r="Q474" s="93"/>
      <c r="S474" s="99"/>
      <c r="T474" s="99"/>
      <c r="U474" s="99"/>
      <c r="V474" s="99"/>
      <c r="W474" s="99"/>
      <c r="X474" s="99"/>
      <c r="Y474" s="99"/>
      <c r="Z474" s="99"/>
      <c r="AA474" s="99"/>
      <c r="AB474" s="99"/>
      <c r="AC474" s="98"/>
      <c r="AD474" s="98"/>
      <c r="AE474" s="98"/>
      <c r="AF474" s="98"/>
      <c r="AG474" s="98"/>
      <c r="AH474" s="98"/>
    </row>
    <row r="475" spans="2:34" x14ac:dyDescent="0.25">
      <c r="B475" s="73"/>
      <c r="C475" s="74"/>
      <c r="D475" s="80"/>
      <c r="E475" s="81"/>
      <c r="F475" s="81"/>
      <c r="G475" s="81"/>
      <c r="H475" s="81"/>
      <c r="I475" s="82"/>
      <c r="J475" s="88"/>
      <c r="K475" s="89"/>
      <c r="L475" s="88"/>
      <c r="M475" s="89"/>
      <c r="N475" s="80"/>
      <c r="O475" s="82"/>
      <c r="P475" s="94"/>
      <c r="Q475" s="95"/>
      <c r="S475" s="99"/>
      <c r="T475" s="99"/>
      <c r="U475" s="99"/>
      <c r="V475" s="99"/>
      <c r="W475" s="99"/>
      <c r="X475" s="99"/>
      <c r="Y475" s="99"/>
      <c r="Z475" s="99"/>
      <c r="AA475" s="99"/>
      <c r="AB475" s="99"/>
      <c r="AC475" s="98"/>
      <c r="AD475" s="98"/>
      <c r="AE475" s="98"/>
      <c r="AF475" s="98"/>
      <c r="AG475" s="98"/>
      <c r="AH475" s="98"/>
    </row>
    <row r="476" spans="2:34" x14ac:dyDescent="0.25">
      <c r="B476" s="75"/>
      <c r="C476" s="76"/>
      <c r="D476" s="83"/>
      <c r="E476" s="84"/>
      <c r="F476" s="84"/>
      <c r="G476" s="84"/>
      <c r="H476" s="84"/>
      <c r="I476" s="85"/>
      <c r="J476" s="90"/>
      <c r="K476" s="91"/>
      <c r="L476" s="90"/>
      <c r="M476" s="91"/>
      <c r="N476" s="83"/>
      <c r="O476" s="85"/>
      <c r="P476" s="96"/>
      <c r="Q476" s="97"/>
      <c r="S476" s="99"/>
      <c r="T476" s="99"/>
      <c r="U476" s="99"/>
      <c r="V476" s="99"/>
      <c r="W476" s="99"/>
      <c r="X476" s="99"/>
      <c r="Y476" s="99"/>
      <c r="Z476" s="99"/>
      <c r="AA476" s="99"/>
      <c r="AB476" s="99"/>
      <c r="AC476" s="98"/>
      <c r="AD476" s="98"/>
      <c r="AE476" s="98"/>
      <c r="AF476" s="98"/>
      <c r="AG476" s="98"/>
      <c r="AH476" s="98"/>
    </row>
    <row r="477" spans="2:34" x14ac:dyDescent="0.25">
      <c r="B477" s="71"/>
      <c r="C477" s="72"/>
      <c r="D477" s="77"/>
      <c r="E477" s="78"/>
      <c r="F477" s="78"/>
      <c r="G477" s="78"/>
      <c r="H477" s="78"/>
      <c r="I477" s="79"/>
      <c r="J477" s="86"/>
      <c r="K477" s="87"/>
      <c r="L477" s="86"/>
      <c r="M477" s="87"/>
      <c r="N477" s="77"/>
      <c r="O477" s="79"/>
      <c r="P477" s="92"/>
      <c r="Q477" s="93"/>
      <c r="S477" s="99"/>
      <c r="T477" s="99"/>
      <c r="U477" s="99"/>
      <c r="V477" s="99"/>
      <c r="W477" s="99"/>
      <c r="X477" s="99"/>
      <c r="Y477" s="99"/>
      <c r="Z477" s="99"/>
      <c r="AA477" s="99"/>
      <c r="AB477" s="99"/>
      <c r="AC477" s="98"/>
      <c r="AD477" s="98"/>
      <c r="AE477" s="98"/>
      <c r="AF477" s="98"/>
      <c r="AG477" s="98"/>
      <c r="AH477" s="98"/>
    </row>
    <row r="478" spans="2:34" x14ac:dyDescent="0.25">
      <c r="B478" s="73"/>
      <c r="C478" s="74"/>
      <c r="D478" s="80"/>
      <c r="E478" s="81"/>
      <c r="F478" s="81"/>
      <c r="G478" s="81"/>
      <c r="H478" s="81"/>
      <c r="I478" s="82"/>
      <c r="J478" s="88"/>
      <c r="K478" s="89"/>
      <c r="L478" s="88"/>
      <c r="M478" s="89"/>
      <c r="N478" s="80"/>
      <c r="O478" s="82"/>
      <c r="P478" s="94"/>
      <c r="Q478" s="95"/>
      <c r="S478" s="99"/>
      <c r="T478" s="99"/>
      <c r="U478" s="99"/>
      <c r="V478" s="99"/>
      <c r="W478" s="99"/>
      <c r="X478" s="99"/>
      <c r="Y478" s="99"/>
      <c r="Z478" s="99"/>
      <c r="AA478" s="99"/>
      <c r="AB478" s="99"/>
      <c r="AC478" s="98"/>
      <c r="AD478" s="98"/>
      <c r="AE478" s="98"/>
      <c r="AF478" s="98"/>
      <c r="AG478" s="98"/>
      <c r="AH478" s="98"/>
    </row>
    <row r="479" spans="2:34" x14ac:dyDescent="0.25">
      <c r="B479" s="75"/>
      <c r="C479" s="76"/>
      <c r="D479" s="83"/>
      <c r="E479" s="84"/>
      <c r="F479" s="84"/>
      <c r="G479" s="84"/>
      <c r="H479" s="84"/>
      <c r="I479" s="85"/>
      <c r="J479" s="90"/>
      <c r="K479" s="91"/>
      <c r="L479" s="90"/>
      <c r="M479" s="91"/>
      <c r="N479" s="83"/>
      <c r="O479" s="85"/>
      <c r="P479" s="96"/>
      <c r="Q479" s="97"/>
      <c r="S479" s="99"/>
      <c r="T479" s="99"/>
      <c r="U479" s="99"/>
      <c r="V479" s="99"/>
      <c r="W479" s="99"/>
      <c r="X479" s="99"/>
      <c r="Y479" s="99"/>
      <c r="Z479" s="99"/>
      <c r="AA479" s="99"/>
      <c r="AB479" s="99"/>
      <c r="AC479" s="98"/>
      <c r="AD479" s="98"/>
      <c r="AE479" s="98"/>
      <c r="AF479" s="98"/>
      <c r="AG479" s="98"/>
      <c r="AH479" s="98"/>
    </row>
    <row r="480" spans="2:34" x14ac:dyDescent="0.25">
      <c r="B480" s="71"/>
      <c r="C480" s="72"/>
      <c r="D480" s="77"/>
      <c r="E480" s="78"/>
      <c r="F480" s="78"/>
      <c r="G480" s="78"/>
      <c r="H480" s="78"/>
      <c r="I480" s="79"/>
      <c r="J480" s="86"/>
      <c r="K480" s="87"/>
      <c r="L480" s="86"/>
      <c r="M480" s="87"/>
      <c r="N480" s="77"/>
      <c r="O480" s="79"/>
      <c r="P480" s="92"/>
      <c r="Q480" s="93"/>
      <c r="S480" s="99"/>
      <c r="T480" s="99"/>
      <c r="U480" s="99"/>
      <c r="V480" s="99"/>
      <c r="W480" s="99"/>
      <c r="X480" s="99"/>
      <c r="Y480" s="99"/>
      <c r="Z480" s="99"/>
      <c r="AA480" s="99"/>
      <c r="AB480" s="99"/>
      <c r="AC480" s="98"/>
      <c r="AD480" s="98"/>
      <c r="AE480" s="98"/>
      <c r="AF480" s="98"/>
      <c r="AG480" s="98"/>
      <c r="AH480" s="98"/>
    </row>
    <row r="481" spans="2:34" x14ac:dyDescent="0.25">
      <c r="B481" s="73"/>
      <c r="C481" s="74"/>
      <c r="D481" s="80"/>
      <c r="E481" s="81"/>
      <c r="F481" s="81"/>
      <c r="G481" s="81"/>
      <c r="H481" s="81"/>
      <c r="I481" s="82"/>
      <c r="J481" s="88"/>
      <c r="K481" s="89"/>
      <c r="L481" s="88"/>
      <c r="M481" s="89"/>
      <c r="N481" s="80"/>
      <c r="O481" s="82"/>
      <c r="P481" s="94"/>
      <c r="Q481" s="95"/>
      <c r="S481" s="99"/>
      <c r="T481" s="99"/>
      <c r="U481" s="99"/>
      <c r="V481" s="99"/>
      <c r="W481" s="99"/>
      <c r="X481" s="99"/>
      <c r="Y481" s="99"/>
      <c r="Z481" s="99"/>
      <c r="AA481" s="99"/>
      <c r="AB481" s="99"/>
      <c r="AC481" s="98"/>
      <c r="AD481" s="98"/>
      <c r="AE481" s="98"/>
      <c r="AF481" s="98"/>
      <c r="AG481" s="98"/>
      <c r="AH481" s="98"/>
    </row>
    <row r="482" spans="2:34" x14ac:dyDescent="0.25">
      <c r="B482" s="75"/>
      <c r="C482" s="76"/>
      <c r="D482" s="83"/>
      <c r="E482" s="84"/>
      <c r="F482" s="84"/>
      <c r="G482" s="84"/>
      <c r="H482" s="84"/>
      <c r="I482" s="85"/>
      <c r="J482" s="90"/>
      <c r="K482" s="91"/>
      <c r="L482" s="90"/>
      <c r="M482" s="91"/>
      <c r="N482" s="83"/>
      <c r="O482" s="85"/>
      <c r="P482" s="96"/>
      <c r="Q482" s="97"/>
      <c r="S482" s="99"/>
      <c r="T482" s="99"/>
      <c r="U482" s="99"/>
      <c r="V482" s="99"/>
      <c r="W482" s="99"/>
      <c r="X482" s="99"/>
      <c r="Y482" s="99"/>
      <c r="Z482" s="99"/>
      <c r="AA482" s="99"/>
      <c r="AB482" s="99"/>
      <c r="AC482" s="98"/>
      <c r="AD482" s="98"/>
      <c r="AE482" s="98"/>
      <c r="AF482" s="98"/>
      <c r="AG482" s="98"/>
      <c r="AH482" s="98"/>
    </row>
    <row r="483" spans="2:34" x14ac:dyDescent="0.25">
      <c r="B483" s="71"/>
      <c r="C483" s="72"/>
      <c r="D483" s="77"/>
      <c r="E483" s="78"/>
      <c r="F483" s="78"/>
      <c r="G483" s="78"/>
      <c r="H483" s="78"/>
      <c r="I483" s="79"/>
      <c r="J483" s="86"/>
      <c r="K483" s="87"/>
      <c r="L483" s="86"/>
      <c r="M483" s="87"/>
      <c r="N483" s="77"/>
      <c r="O483" s="79"/>
      <c r="P483" s="92"/>
      <c r="Q483" s="93"/>
      <c r="S483" s="99"/>
      <c r="T483" s="99"/>
      <c r="U483" s="99"/>
      <c r="V483" s="99"/>
      <c r="W483" s="99"/>
      <c r="X483" s="99"/>
      <c r="Y483" s="99"/>
      <c r="Z483" s="99"/>
      <c r="AA483" s="99"/>
      <c r="AB483" s="99"/>
      <c r="AC483" s="98"/>
      <c r="AD483" s="98"/>
      <c r="AE483" s="98"/>
      <c r="AF483" s="98"/>
      <c r="AG483" s="98"/>
      <c r="AH483" s="98"/>
    </row>
    <row r="484" spans="2:34" x14ac:dyDescent="0.25">
      <c r="B484" s="73"/>
      <c r="C484" s="74"/>
      <c r="D484" s="80"/>
      <c r="E484" s="81"/>
      <c r="F484" s="81"/>
      <c r="G484" s="81"/>
      <c r="H484" s="81"/>
      <c r="I484" s="82"/>
      <c r="J484" s="88"/>
      <c r="K484" s="89"/>
      <c r="L484" s="88"/>
      <c r="M484" s="89"/>
      <c r="N484" s="80"/>
      <c r="O484" s="82"/>
      <c r="P484" s="94"/>
      <c r="Q484" s="95"/>
      <c r="S484" s="99"/>
      <c r="T484" s="99"/>
      <c r="U484" s="99"/>
      <c r="V484" s="99"/>
      <c r="W484" s="99"/>
      <c r="X484" s="99"/>
      <c r="Y484" s="99"/>
      <c r="Z484" s="99"/>
      <c r="AA484" s="99"/>
      <c r="AB484" s="99"/>
      <c r="AC484" s="98"/>
      <c r="AD484" s="98"/>
      <c r="AE484" s="98"/>
      <c r="AF484" s="98"/>
      <c r="AG484" s="98"/>
      <c r="AH484" s="98"/>
    </row>
    <row r="485" spans="2:34" x14ac:dyDescent="0.25">
      <c r="B485" s="75"/>
      <c r="C485" s="76"/>
      <c r="D485" s="83"/>
      <c r="E485" s="84"/>
      <c r="F485" s="84"/>
      <c r="G485" s="84"/>
      <c r="H485" s="84"/>
      <c r="I485" s="85"/>
      <c r="J485" s="90"/>
      <c r="K485" s="91"/>
      <c r="L485" s="90"/>
      <c r="M485" s="91"/>
      <c r="N485" s="83"/>
      <c r="O485" s="85"/>
      <c r="P485" s="96"/>
      <c r="Q485" s="97"/>
      <c r="S485" s="99"/>
      <c r="T485" s="99"/>
      <c r="U485" s="99"/>
      <c r="V485" s="99"/>
      <c r="W485" s="99"/>
      <c r="X485" s="99"/>
      <c r="Y485" s="99"/>
      <c r="Z485" s="99"/>
      <c r="AA485" s="99"/>
      <c r="AB485" s="99"/>
      <c r="AC485" s="98"/>
      <c r="AD485" s="98"/>
      <c r="AE485" s="98"/>
      <c r="AF485" s="98"/>
      <c r="AG485" s="98"/>
      <c r="AH485" s="98"/>
    </row>
    <row r="486" spans="2:34" x14ac:dyDescent="0.25">
      <c r="B486" s="71"/>
      <c r="C486" s="72"/>
      <c r="D486" s="77"/>
      <c r="E486" s="78"/>
      <c r="F486" s="78"/>
      <c r="G486" s="78"/>
      <c r="H486" s="78"/>
      <c r="I486" s="79"/>
      <c r="J486" s="86"/>
      <c r="K486" s="87"/>
      <c r="L486" s="86"/>
      <c r="M486" s="87"/>
      <c r="N486" s="77"/>
      <c r="O486" s="79"/>
      <c r="P486" s="92"/>
      <c r="Q486" s="93"/>
      <c r="S486" s="99"/>
      <c r="T486" s="99"/>
      <c r="U486" s="99"/>
      <c r="V486" s="99"/>
      <c r="W486" s="99"/>
      <c r="X486" s="99"/>
      <c r="Y486" s="99"/>
      <c r="Z486" s="99"/>
      <c r="AA486" s="99"/>
      <c r="AB486" s="99"/>
      <c r="AC486" s="98"/>
      <c r="AD486" s="98"/>
      <c r="AE486" s="98"/>
      <c r="AF486" s="98"/>
      <c r="AG486" s="98"/>
      <c r="AH486" s="98"/>
    </row>
    <row r="487" spans="2:34" x14ac:dyDescent="0.25">
      <c r="B487" s="73"/>
      <c r="C487" s="74"/>
      <c r="D487" s="80"/>
      <c r="E487" s="81"/>
      <c r="F487" s="81"/>
      <c r="G487" s="81"/>
      <c r="H487" s="81"/>
      <c r="I487" s="82"/>
      <c r="J487" s="88"/>
      <c r="K487" s="89"/>
      <c r="L487" s="88"/>
      <c r="M487" s="89"/>
      <c r="N487" s="80"/>
      <c r="O487" s="82"/>
      <c r="P487" s="94"/>
      <c r="Q487" s="95"/>
      <c r="S487" s="99"/>
      <c r="T487" s="99"/>
      <c r="U487" s="99"/>
      <c r="V487" s="99"/>
      <c r="W487" s="99"/>
      <c r="X487" s="99"/>
      <c r="Y487" s="99"/>
      <c r="Z487" s="99"/>
      <c r="AA487" s="99"/>
      <c r="AB487" s="99"/>
      <c r="AC487" s="98"/>
      <c r="AD487" s="98"/>
      <c r="AE487" s="98"/>
      <c r="AF487" s="98"/>
      <c r="AG487" s="98"/>
      <c r="AH487" s="98"/>
    </row>
    <row r="488" spans="2:34" x14ac:dyDescent="0.25">
      <c r="B488" s="75"/>
      <c r="C488" s="76"/>
      <c r="D488" s="83"/>
      <c r="E488" s="84"/>
      <c r="F488" s="84"/>
      <c r="G488" s="84"/>
      <c r="H488" s="84"/>
      <c r="I488" s="85"/>
      <c r="J488" s="90"/>
      <c r="K488" s="91"/>
      <c r="L488" s="90"/>
      <c r="M488" s="91"/>
      <c r="N488" s="83"/>
      <c r="O488" s="85"/>
      <c r="P488" s="96"/>
      <c r="Q488" s="97"/>
      <c r="S488" s="99"/>
      <c r="T488" s="99"/>
      <c r="U488" s="99"/>
      <c r="V488" s="99"/>
      <c r="W488" s="99"/>
      <c r="X488" s="99"/>
      <c r="Y488" s="99"/>
      <c r="Z488" s="99"/>
      <c r="AA488" s="99"/>
      <c r="AB488" s="99"/>
      <c r="AC488" s="98"/>
      <c r="AD488" s="98"/>
      <c r="AE488" s="98"/>
      <c r="AF488" s="98"/>
      <c r="AG488" s="98"/>
      <c r="AH488" s="98"/>
    </row>
    <row r="489" spans="2:34" x14ac:dyDescent="0.25">
      <c r="B489" s="71"/>
      <c r="C489" s="72"/>
      <c r="D489" s="77"/>
      <c r="E489" s="78"/>
      <c r="F489" s="78"/>
      <c r="G489" s="78"/>
      <c r="H489" s="78"/>
      <c r="I489" s="79"/>
      <c r="J489" s="86"/>
      <c r="K489" s="87"/>
      <c r="L489" s="86"/>
      <c r="M489" s="87"/>
      <c r="N489" s="77"/>
      <c r="O489" s="79"/>
      <c r="P489" s="92"/>
      <c r="Q489" s="93"/>
      <c r="S489" s="99"/>
      <c r="T489" s="99"/>
      <c r="U489" s="99"/>
      <c r="V489" s="99"/>
      <c r="W489" s="99"/>
      <c r="X489" s="99"/>
      <c r="Y489" s="99"/>
      <c r="Z489" s="99"/>
      <c r="AA489" s="99"/>
      <c r="AB489" s="99"/>
      <c r="AC489" s="98"/>
      <c r="AD489" s="98"/>
      <c r="AE489" s="98"/>
      <c r="AF489" s="98"/>
      <c r="AG489" s="98"/>
      <c r="AH489" s="98"/>
    </row>
    <row r="490" spans="2:34" x14ac:dyDescent="0.25">
      <c r="B490" s="73"/>
      <c r="C490" s="74"/>
      <c r="D490" s="80"/>
      <c r="E490" s="81"/>
      <c r="F490" s="81"/>
      <c r="G490" s="81"/>
      <c r="H490" s="81"/>
      <c r="I490" s="82"/>
      <c r="J490" s="88"/>
      <c r="K490" s="89"/>
      <c r="L490" s="88"/>
      <c r="M490" s="89"/>
      <c r="N490" s="80"/>
      <c r="O490" s="82"/>
      <c r="P490" s="94"/>
      <c r="Q490" s="95"/>
      <c r="S490" s="99"/>
      <c r="T490" s="99"/>
      <c r="U490" s="99"/>
      <c r="V490" s="99"/>
      <c r="W490" s="99"/>
      <c r="X490" s="99"/>
      <c r="Y490" s="99"/>
      <c r="Z490" s="99"/>
      <c r="AA490" s="99"/>
      <c r="AB490" s="99"/>
      <c r="AC490" s="98"/>
      <c r="AD490" s="98"/>
      <c r="AE490" s="98"/>
      <c r="AF490" s="98"/>
      <c r="AG490" s="98"/>
      <c r="AH490" s="98"/>
    </row>
    <row r="491" spans="2:34" x14ac:dyDescent="0.25">
      <c r="B491" s="75"/>
      <c r="C491" s="76"/>
      <c r="D491" s="83"/>
      <c r="E491" s="84"/>
      <c r="F491" s="84"/>
      <c r="G491" s="84"/>
      <c r="H491" s="84"/>
      <c r="I491" s="85"/>
      <c r="J491" s="90"/>
      <c r="K491" s="91"/>
      <c r="L491" s="90"/>
      <c r="M491" s="91"/>
      <c r="N491" s="83"/>
      <c r="O491" s="85"/>
      <c r="P491" s="96"/>
      <c r="Q491" s="97"/>
      <c r="S491" s="99"/>
      <c r="T491" s="99"/>
      <c r="U491" s="99"/>
      <c r="V491" s="99"/>
      <c r="W491" s="99"/>
      <c r="X491" s="99"/>
      <c r="Y491" s="99"/>
      <c r="Z491" s="99"/>
      <c r="AA491" s="99"/>
      <c r="AB491" s="99"/>
      <c r="AC491" s="98"/>
      <c r="AD491" s="98"/>
      <c r="AE491" s="98"/>
      <c r="AF491" s="98"/>
      <c r="AG491" s="98"/>
      <c r="AH491" s="98"/>
    </row>
    <row r="492" spans="2:34" x14ac:dyDescent="0.25">
      <c r="B492" s="71"/>
      <c r="C492" s="72"/>
      <c r="D492" s="77"/>
      <c r="E492" s="78"/>
      <c r="F492" s="78"/>
      <c r="G492" s="78"/>
      <c r="H492" s="78"/>
      <c r="I492" s="79"/>
      <c r="J492" s="86"/>
      <c r="K492" s="87"/>
      <c r="L492" s="86"/>
      <c r="M492" s="87"/>
      <c r="N492" s="77"/>
      <c r="O492" s="79"/>
      <c r="P492" s="92"/>
      <c r="Q492" s="93"/>
      <c r="S492" s="99"/>
      <c r="T492" s="99"/>
      <c r="U492" s="99"/>
      <c r="V492" s="99"/>
      <c r="W492" s="99"/>
      <c r="X492" s="99"/>
      <c r="Y492" s="99"/>
      <c r="Z492" s="99"/>
      <c r="AA492" s="99"/>
      <c r="AB492" s="99"/>
      <c r="AC492" s="98"/>
      <c r="AD492" s="98"/>
      <c r="AE492" s="98"/>
      <c r="AF492" s="98"/>
      <c r="AG492" s="98"/>
      <c r="AH492" s="98"/>
    </row>
    <row r="493" spans="2:34" x14ac:dyDescent="0.25">
      <c r="B493" s="73"/>
      <c r="C493" s="74"/>
      <c r="D493" s="80"/>
      <c r="E493" s="81"/>
      <c r="F493" s="81"/>
      <c r="G493" s="81"/>
      <c r="H493" s="81"/>
      <c r="I493" s="82"/>
      <c r="J493" s="88"/>
      <c r="K493" s="89"/>
      <c r="L493" s="88"/>
      <c r="M493" s="89"/>
      <c r="N493" s="80"/>
      <c r="O493" s="82"/>
      <c r="P493" s="94"/>
      <c r="Q493" s="95"/>
      <c r="S493" s="99"/>
      <c r="T493" s="99"/>
      <c r="U493" s="99"/>
      <c r="V493" s="99"/>
      <c r="W493" s="99"/>
      <c r="X493" s="99"/>
      <c r="Y493" s="99"/>
      <c r="Z493" s="99"/>
      <c r="AA493" s="99"/>
      <c r="AB493" s="99"/>
      <c r="AC493" s="98"/>
      <c r="AD493" s="98"/>
      <c r="AE493" s="98"/>
      <c r="AF493" s="98"/>
      <c r="AG493" s="98"/>
      <c r="AH493" s="98"/>
    </row>
    <row r="494" spans="2:34" x14ac:dyDescent="0.25">
      <c r="B494" s="75"/>
      <c r="C494" s="76"/>
      <c r="D494" s="83"/>
      <c r="E494" s="84"/>
      <c r="F494" s="84"/>
      <c r="G494" s="84"/>
      <c r="H494" s="84"/>
      <c r="I494" s="85"/>
      <c r="J494" s="90"/>
      <c r="K494" s="91"/>
      <c r="L494" s="90"/>
      <c r="M494" s="91"/>
      <c r="N494" s="83"/>
      <c r="O494" s="85"/>
      <c r="P494" s="96"/>
      <c r="Q494" s="97"/>
      <c r="S494" s="99"/>
      <c r="T494" s="99"/>
      <c r="U494" s="99"/>
      <c r="V494" s="99"/>
      <c r="W494" s="99"/>
      <c r="X494" s="99"/>
      <c r="Y494" s="99"/>
      <c r="Z494" s="99"/>
      <c r="AA494" s="99"/>
      <c r="AB494" s="99"/>
      <c r="AC494" s="98"/>
      <c r="AD494" s="98"/>
      <c r="AE494" s="98"/>
      <c r="AF494" s="98"/>
      <c r="AG494" s="98"/>
      <c r="AH494" s="98"/>
    </row>
    <row r="495" spans="2:34" x14ac:dyDescent="0.25">
      <c r="B495" s="71"/>
      <c r="C495" s="72"/>
      <c r="D495" s="77"/>
      <c r="E495" s="78"/>
      <c r="F495" s="78"/>
      <c r="G495" s="78"/>
      <c r="H495" s="78"/>
      <c r="I495" s="79"/>
      <c r="J495" s="86"/>
      <c r="K495" s="87"/>
      <c r="L495" s="86"/>
      <c r="M495" s="87"/>
      <c r="N495" s="77"/>
      <c r="O495" s="79"/>
      <c r="P495" s="92"/>
      <c r="Q495" s="93"/>
      <c r="S495" s="99"/>
      <c r="T495" s="99"/>
      <c r="U495" s="99"/>
      <c r="V495" s="99"/>
      <c r="W495" s="99"/>
      <c r="X495" s="99"/>
      <c r="Y495" s="99"/>
      <c r="Z495" s="99"/>
      <c r="AA495" s="99"/>
      <c r="AB495" s="99"/>
      <c r="AC495" s="98"/>
      <c r="AD495" s="98"/>
      <c r="AE495" s="98"/>
      <c r="AF495" s="98"/>
      <c r="AG495" s="98"/>
      <c r="AH495" s="98"/>
    </row>
    <row r="496" spans="2:34" x14ac:dyDescent="0.25">
      <c r="B496" s="73"/>
      <c r="C496" s="74"/>
      <c r="D496" s="80"/>
      <c r="E496" s="81"/>
      <c r="F496" s="81"/>
      <c r="G496" s="81"/>
      <c r="H496" s="81"/>
      <c r="I496" s="82"/>
      <c r="J496" s="88"/>
      <c r="K496" s="89"/>
      <c r="L496" s="88"/>
      <c r="M496" s="89"/>
      <c r="N496" s="80"/>
      <c r="O496" s="82"/>
      <c r="P496" s="94"/>
      <c r="Q496" s="95"/>
      <c r="S496" s="99"/>
      <c r="T496" s="99"/>
      <c r="U496" s="99"/>
      <c r="V496" s="99"/>
      <c r="W496" s="99"/>
      <c r="X496" s="99"/>
      <c r="Y496" s="99"/>
      <c r="Z496" s="99"/>
      <c r="AA496" s="99"/>
      <c r="AB496" s="99"/>
      <c r="AC496" s="98"/>
      <c r="AD496" s="98"/>
      <c r="AE496" s="98"/>
      <c r="AF496" s="98"/>
      <c r="AG496" s="98"/>
      <c r="AH496" s="98"/>
    </row>
    <row r="497" spans="2:34" x14ac:dyDescent="0.25">
      <c r="B497" s="75"/>
      <c r="C497" s="76"/>
      <c r="D497" s="83"/>
      <c r="E497" s="84"/>
      <c r="F497" s="84"/>
      <c r="G497" s="84"/>
      <c r="H497" s="84"/>
      <c r="I497" s="85"/>
      <c r="J497" s="90"/>
      <c r="K497" s="91"/>
      <c r="L497" s="90"/>
      <c r="M497" s="91"/>
      <c r="N497" s="83"/>
      <c r="O497" s="85"/>
      <c r="P497" s="96"/>
      <c r="Q497" s="97"/>
      <c r="S497" s="99"/>
      <c r="T497" s="99"/>
      <c r="U497" s="99"/>
      <c r="V497" s="99"/>
      <c r="W497" s="99"/>
      <c r="X497" s="99"/>
      <c r="Y497" s="99"/>
      <c r="Z497" s="99"/>
      <c r="AA497" s="99"/>
      <c r="AB497" s="99"/>
      <c r="AC497" s="98"/>
      <c r="AD497" s="98"/>
      <c r="AE497" s="98"/>
      <c r="AF497" s="98"/>
      <c r="AG497" s="98"/>
      <c r="AH497" s="98"/>
    </row>
    <row r="498" spans="2:34" x14ac:dyDescent="0.25">
      <c r="B498" s="71"/>
      <c r="C498" s="72"/>
      <c r="D498" s="77"/>
      <c r="E498" s="78"/>
      <c r="F498" s="78"/>
      <c r="G498" s="78"/>
      <c r="H498" s="78"/>
      <c r="I498" s="79"/>
      <c r="J498" s="86"/>
      <c r="K498" s="87"/>
      <c r="L498" s="86"/>
      <c r="M498" s="87"/>
      <c r="N498" s="77"/>
      <c r="O498" s="79"/>
      <c r="P498" s="92"/>
      <c r="Q498" s="93"/>
      <c r="S498" s="99"/>
      <c r="T498" s="99"/>
      <c r="U498" s="99"/>
      <c r="V498" s="99"/>
      <c r="W498" s="99"/>
      <c r="X498" s="99"/>
      <c r="Y498" s="99"/>
      <c r="Z498" s="99"/>
      <c r="AA498" s="99"/>
      <c r="AB498" s="99"/>
      <c r="AC498" s="98"/>
      <c r="AD498" s="98"/>
      <c r="AE498" s="98"/>
      <c r="AF498" s="98"/>
      <c r="AG498" s="98"/>
      <c r="AH498" s="98"/>
    </row>
    <row r="499" spans="2:34" x14ac:dyDescent="0.25">
      <c r="B499" s="73"/>
      <c r="C499" s="74"/>
      <c r="D499" s="80"/>
      <c r="E499" s="81"/>
      <c r="F499" s="81"/>
      <c r="G499" s="81"/>
      <c r="H499" s="81"/>
      <c r="I499" s="82"/>
      <c r="J499" s="88"/>
      <c r="K499" s="89"/>
      <c r="L499" s="88"/>
      <c r="M499" s="89"/>
      <c r="N499" s="80"/>
      <c r="O499" s="82"/>
      <c r="P499" s="94"/>
      <c r="Q499" s="95"/>
      <c r="S499" s="99"/>
      <c r="T499" s="99"/>
      <c r="U499" s="99"/>
      <c r="V499" s="99"/>
      <c r="W499" s="99"/>
      <c r="X499" s="99"/>
      <c r="Y499" s="99"/>
      <c r="Z499" s="99"/>
      <c r="AA499" s="99"/>
      <c r="AB499" s="99"/>
      <c r="AC499" s="98"/>
      <c r="AD499" s="98"/>
      <c r="AE499" s="98"/>
      <c r="AF499" s="98"/>
      <c r="AG499" s="98"/>
      <c r="AH499" s="98"/>
    </row>
    <row r="500" spans="2:34" x14ac:dyDescent="0.25">
      <c r="B500" s="75"/>
      <c r="C500" s="76"/>
      <c r="D500" s="83"/>
      <c r="E500" s="84"/>
      <c r="F500" s="84"/>
      <c r="G500" s="84"/>
      <c r="H500" s="84"/>
      <c r="I500" s="85"/>
      <c r="J500" s="90"/>
      <c r="K500" s="91"/>
      <c r="L500" s="90"/>
      <c r="M500" s="91"/>
      <c r="N500" s="83"/>
      <c r="O500" s="85"/>
      <c r="P500" s="96"/>
      <c r="Q500" s="97"/>
      <c r="S500" s="99"/>
      <c r="T500" s="99"/>
      <c r="U500" s="99"/>
      <c r="V500" s="99"/>
      <c r="W500" s="99"/>
      <c r="X500" s="99"/>
      <c r="Y500" s="99"/>
      <c r="Z500" s="99"/>
      <c r="AA500" s="99"/>
      <c r="AB500" s="99"/>
      <c r="AC500" s="98"/>
      <c r="AD500" s="98"/>
      <c r="AE500" s="98"/>
      <c r="AF500" s="98"/>
      <c r="AG500" s="98"/>
      <c r="AH500" s="98"/>
    </row>
    <row r="501" spans="2:34" x14ac:dyDescent="0.25">
      <c r="B501" s="71"/>
      <c r="C501" s="72"/>
      <c r="D501" s="77"/>
      <c r="E501" s="78"/>
      <c r="F501" s="78"/>
      <c r="G501" s="78"/>
      <c r="H501" s="78"/>
      <c r="I501" s="79"/>
      <c r="J501" s="86"/>
      <c r="K501" s="87"/>
      <c r="L501" s="86"/>
      <c r="M501" s="87"/>
      <c r="N501" s="77"/>
      <c r="O501" s="79"/>
      <c r="P501" s="92"/>
      <c r="Q501" s="93"/>
      <c r="S501" s="99"/>
      <c r="T501" s="99"/>
      <c r="U501" s="99"/>
      <c r="V501" s="99"/>
      <c r="W501" s="99"/>
      <c r="X501" s="99"/>
      <c r="Y501" s="99"/>
      <c r="Z501" s="99"/>
      <c r="AA501" s="99"/>
      <c r="AB501" s="99"/>
      <c r="AC501" s="98"/>
      <c r="AD501" s="98"/>
      <c r="AE501" s="98"/>
      <c r="AF501" s="98"/>
      <c r="AG501" s="98"/>
      <c r="AH501" s="98"/>
    </row>
    <row r="502" spans="2:34" x14ac:dyDescent="0.25">
      <c r="B502" s="73"/>
      <c r="C502" s="74"/>
      <c r="D502" s="80"/>
      <c r="E502" s="81"/>
      <c r="F502" s="81"/>
      <c r="G502" s="81"/>
      <c r="H502" s="81"/>
      <c r="I502" s="82"/>
      <c r="J502" s="88"/>
      <c r="K502" s="89"/>
      <c r="L502" s="88"/>
      <c r="M502" s="89"/>
      <c r="N502" s="80"/>
      <c r="O502" s="82"/>
      <c r="P502" s="94"/>
      <c r="Q502" s="95"/>
      <c r="S502" s="99"/>
      <c r="T502" s="99"/>
      <c r="U502" s="99"/>
      <c r="V502" s="99"/>
      <c r="W502" s="99"/>
      <c r="X502" s="99"/>
      <c r="Y502" s="99"/>
      <c r="Z502" s="99"/>
      <c r="AA502" s="99"/>
      <c r="AB502" s="99"/>
      <c r="AC502" s="98"/>
      <c r="AD502" s="98"/>
      <c r="AE502" s="98"/>
      <c r="AF502" s="98"/>
      <c r="AG502" s="98"/>
      <c r="AH502" s="98"/>
    </row>
    <row r="503" spans="2:34" x14ac:dyDescent="0.25">
      <c r="B503" s="75"/>
      <c r="C503" s="76"/>
      <c r="D503" s="83"/>
      <c r="E503" s="84"/>
      <c r="F503" s="84"/>
      <c r="G503" s="84"/>
      <c r="H503" s="84"/>
      <c r="I503" s="85"/>
      <c r="J503" s="90"/>
      <c r="K503" s="91"/>
      <c r="L503" s="90"/>
      <c r="M503" s="91"/>
      <c r="N503" s="83"/>
      <c r="O503" s="85"/>
      <c r="P503" s="96"/>
      <c r="Q503" s="97"/>
      <c r="S503" s="99"/>
      <c r="T503" s="99"/>
      <c r="U503" s="99"/>
      <c r="V503" s="99"/>
      <c r="W503" s="99"/>
      <c r="X503" s="99"/>
      <c r="Y503" s="99"/>
      <c r="Z503" s="99"/>
      <c r="AA503" s="99"/>
      <c r="AB503" s="99"/>
      <c r="AC503" s="98"/>
      <c r="AD503" s="98"/>
      <c r="AE503" s="98"/>
      <c r="AF503" s="98"/>
      <c r="AG503" s="98"/>
      <c r="AH503" s="98"/>
    </row>
    <row r="504" spans="2:34" x14ac:dyDescent="0.25">
      <c r="B504" s="71"/>
      <c r="C504" s="72"/>
      <c r="D504" s="77"/>
      <c r="E504" s="78"/>
      <c r="F504" s="78"/>
      <c r="G504" s="78"/>
      <c r="H504" s="78"/>
      <c r="I504" s="79"/>
      <c r="J504" s="86"/>
      <c r="K504" s="87"/>
      <c r="L504" s="86"/>
      <c r="M504" s="87"/>
      <c r="N504" s="77"/>
      <c r="O504" s="79"/>
      <c r="P504" s="92"/>
      <c r="Q504" s="93"/>
      <c r="S504" s="99"/>
      <c r="T504" s="99"/>
      <c r="U504" s="99"/>
      <c r="V504" s="99"/>
      <c r="W504" s="99"/>
      <c r="X504" s="99"/>
      <c r="Y504" s="99"/>
      <c r="Z504" s="99"/>
      <c r="AA504" s="99"/>
      <c r="AB504" s="99"/>
      <c r="AC504" s="98"/>
      <c r="AD504" s="98"/>
      <c r="AE504" s="98"/>
      <c r="AF504" s="98"/>
      <c r="AG504" s="98"/>
      <c r="AH504" s="98"/>
    </row>
    <row r="505" spans="2:34" x14ac:dyDescent="0.25">
      <c r="B505" s="73"/>
      <c r="C505" s="74"/>
      <c r="D505" s="80"/>
      <c r="E505" s="81"/>
      <c r="F505" s="81"/>
      <c r="G505" s="81"/>
      <c r="H505" s="81"/>
      <c r="I505" s="82"/>
      <c r="J505" s="88"/>
      <c r="K505" s="89"/>
      <c r="L505" s="88"/>
      <c r="M505" s="89"/>
      <c r="N505" s="80"/>
      <c r="O505" s="82"/>
      <c r="P505" s="94"/>
      <c r="Q505" s="95"/>
      <c r="S505" s="99"/>
      <c r="T505" s="99"/>
      <c r="U505" s="99"/>
      <c r="V505" s="99"/>
      <c r="W505" s="99"/>
      <c r="X505" s="99"/>
      <c r="Y505" s="99"/>
      <c r="Z505" s="99"/>
      <c r="AA505" s="99"/>
      <c r="AB505" s="99"/>
      <c r="AC505" s="98"/>
      <c r="AD505" s="98"/>
      <c r="AE505" s="98"/>
      <c r="AF505" s="98"/>
      <c r="AG505" s="98"/>
      <c r="AH505" s="98"/>
    </row>
    <row r="506" spans="2:34" x14ac:dyDescent="0.25">
      <c r="B506" s="75"/>
      <c r="C506" s="76"/>
      <c r="D506" s="83"/>
      <c r="E506" s="84"/>
      <c r="F506" s="84"/>
      <c r="G506" s="84"/>
      <c r="H506" s="84"/>
      <c r="I506" s="85"/>
      <c r="J506" s="90"/>
      <c r="K506" s="91"/>
      <c r="L506" s="90"/>
      <c r="M506" s="91"/>
      <c r="N506" s="83"/>
      <c r="O506" s="85"/>
      <c r="P506" s="96"/>
      <c r="Q506" s="97"/>
      <c r="S506" s="99"/>
      <c r="T506" s="99"/>
      <c r="U506" s="99"/>
      <c r="V506" s="99"/>
      <c r="W506" s="99"/>
      <c r="X506" s="99"/>
      <c r="Y506" s="99"/>
      <c r="Z506" s="99"/>
      <c r="AA506" s="99"/>
      <c r="AB506" s="99"/>
      <c r="AC506" s="98"/>
      <c r="AD506" s="98"/>
      <c r="AE506" s="98"/>
      <c r="AF506" s="98"/>
      <c r="AG506" s="98"/>
      <c r="AH506" s="98"/>
    </row>
    <row r="507" spans="2:34" x14ac:dyDescent="0.25">
      <c r="B507" s="71"/>
      <c r="C507" s="72"/>
      <c r="D507" s="77"/>
      <c r="E507" s="78"/>
      <c r="F507" s="78"/>
      <c r="G507" s="78"/>
      <c r="H507" s="78"/>
      <c r="I507" s="79"/>
      <c r="J507" s="86"/>
      <c r="K507" s="87"/>
      <c r="L507" s="86"/>
      <c r="M507" s="87"/>
      <c r="N507" s="77"/>
      <c r="O507" s="79"/>
      <c r="P507" s="92"/>
      <c r="Q507" s="93"/>
      <c r="S507" s="99"/>
      <c r="T507" s="99"/>
      <c r="U507" s="99"/>
      <c r="V507" s="99"/>
      <c r="W507" s="99"/>
      <c r="X507" s="99"/>
      <c r="Y507" s="99"/>
      <c r="Z507" s="99"/>
      <c r="AA507" s="99"/>
      <c r="AB507" s="99"/>
      <c r="AC507" s="98"/>
      <c r="AD507" s="98"/>
      <c r="AE507" s="98"/>
      <c r="AF507" s="98"/>
      <c r="AG507" s="98"/>
      <c r="AH507" s="98"/>
    </row>
    <row r="508" spans="2:34" x14ac:dyDescent="0.25">
      <c r="B508" s="73"/>
      <c r="C508" s="74"/>
      <c r="D508" s="80"/>
      <c r="E508" s="81"/>
      <c r="F508" s="81"/>
      <c r="G508" s="81"/>
      <c r="H508" s="81"/>
      <c r="I508" s="82"/>
      <c r="J508" s="88"/>
      <c r="K508" s="89"/>
      <c r="L508" s="88"/>
      <c r="M508" s="89"/>
      <c r="N508" s="80"/>
      <c r="O508" s="82"/>
      <c r="P508" s="94"/>
      <c r="Q508" s="95"/>
      <c r="S508" s="99"/>
      <c r="T508" s="99"/>
      <c r="U508" s="99"/>
      <c r="V508" s="99"/>
      <c r="W508" s="99"/>
      <c r="X508" s="99"/>
      <c r="Y508" s="99"/>
      <c r="Z508" s="99"/>
      <c r="AA508" s="99"/>
      <c r="AB508" s="99"/>
      <c r="AC508" s="98"/>
      <c r="AD508" s="98"/>
      <c r="AE508" s="98"/>
      <c r="AF508" s="98"/>
      <c r="AG508" s="98"/>
      <c r="AH508" s="98"/>
    </row>
    <row r="509" spans="2:34" x14ac:dyDescent="0.25">
      <c r="B509" s="75"/>
      <c r="C509" s="76"/>
      <c r="D509" s="83"/>
      <c r="E509" s="84"/>
      <c r="F509" s="84"/>
      <c r="G509" s="84"/>
      <c r="H509" s="84"/>
      <c r="I509" s="85"/>
      <c r="J509" s="90"/>
      <c r="K509" s="91"/>
      <c r="L509" s="90"/>
      <c r="M509" s="91"/>
      <c r="N509" s="83"/>
      <c r="O509" s="85"/>
      <c r="P509" s="96"/>
      <c r="Q509" s="97"/>
      <c r="S509" s="99"/>
      <c r="T509" s="99"/>
      <c r="U509" s="99"/>
      <c r="V509" s="99"/>
      <c r="W509" s="99"/>
      <c r="X509" s="99"/>
      <c r="Y509" s="99"/>
      <c r="Z509" s="99"/>
      <c r="AA509" s="99"/>
      <c r="AB509" s="99"/>
      <c r="AC509" s="98"/>
      <c r="AD509" s="98"/>
      <c r="AE509" s="98"/>
      <c r="AF509" s="98"/>
      <c r="AG509" s="98"/>
      <c r="AH509" s="98"/>
    </row>
    <row r="510" spans="2:34" x14ac:dyDescent="0.25">
      <c r="B510" s="71"/>
      <c r="C510" s="72"/>
      <c r="D510" s="77"/>
      <c r="E510" s="78"/>
      <c r="F510" s="78"/>
      <c r="G510" s="78"/>
      <c r="H510" s="78"/>
      <c r="I510" s="79"/>
      <c r="J510" s="86"/>
      <c r="K510" s="87"/>
      <c r="L510" s="86"/>
      <c r="M510" s="87"/>
      <c r="N510" s="77"/>
      <c r="O510" s="79"/>
      <c r="P510" s="92"/>
      <c r="Q510" s="93"/>
      <c r="S510" s="99"/>
      <c r="T510" s="99"/>
      <c r="U510" s="99"/>
      <c r="V510" s="99"/>
      <c r="W510" s="99"/>
      <c r="X510" s="99"/>
      <c r="Y510" s="99"/>
      <c r="Z510" s="99"/>
      <c r="AA510" s="99"/>
      <c r="AB510" s="99"/>
      <c r="AC510" s="98"/>
      <c r="AD510" s="98"/>
      <c r="AE510" s="98"/>
      <c r="AF510" s="98"/>
      <c r="AG510" s="98"/>
      <c r="AH510" s="98"/>
    </row>
    <row r="511" spans="2:34" x14ac:dyDescent="0.25">
      <c r="B511" s="73"/>
      <c r="C511" s="74"/>
      <c r="D511" s="80"/>
      <c r="E511" s="81"/>
      <c r="F511" s="81"/>
      <c r="G511" s="81"/>
      <c r="H511" s="81"/>
      <c r="I511" s="82"/>
      <c r="J511" s="88"/>
      <c r="K511" s="89"/>
      <c r="L511" s="88"/>
      <c r="M511" s="89"/>
      <c r="N511" s="80"/>
      <c r="O511" s="82"/>
      <c r="P511" s="94"/>
      <c r="Q511" s="95"/>
      <c r="S511" s="99"/>
      <c r="T511" s="99"/>
      <c r="U511" s="99"/>
      <c r="V511" s="99"/>
      <c r="W511" s="99"/>
      <c r="X511" s="99"/>
      <c r="Y511" s="99"/>
      <c r="Z511" s="99"/>
      <c r="AA511" s="99"/>
      <c r="AB511" s="99"/>
      <c r="AC511" s="98"/>
      <c r="AD511" s="98"/>
      <c r="AE511" s="98"/>
      <c r="AF511" s="98"/>
      <c r="AG511" s="98"/>
      <c r="AH511" s="98"/>
    </row>
    <row r="512" spans="2:34" x14ac:dyDescent="0.25">
      <c r="B512" s="75"/>
      <c r="C512" s="76"/>
      <c r="D512" s="83"/>
      <c r="E512" s="84"/>
      <c r="F512" s="84"/>
      <c r="G512" s="84"/>
      <c r="H512" s="84"/>
      <c r="I512" s="85"/>
      <c r="J512" s="90"/>
      <c r="K512" s="91"/>
      <c r="L512" s="90"/>
      <c r="M512" s="91"/>
      <c r="N512" s="83"/>
      <c r="O512" s="85"/>
      <c r="P512" s="96"/>
      <c r="Q512" s="97"/>
      <c r="S512" s="99"/>
      <c r="T512" s="99"/>
      <c r="U512" s="99"/>
      <c r="V512" s="99"/>
      <c r="W512" s="99"/>
      <c r="X512" s="99"/>
      <c r="Y512" s="99"/>
      <c r="Z512" s="99"/>
      <c r="AA512" s="99"/>
      <c r="AB512" s="99"/>
      <c r="AC512" s="98"/>
      <c r="AD512" s="98"/>
      <c r="AE512" s="98"/>
      <c r="AF512" s="98"/>
      <c r="AG512" s="98"/>
      <c r="AH512" s="98"/>
    </row>
    <row r="513" spans="2:34" x14ac:dyDescent="0.25">
      <c r="B513" s="71"/>
      <c r="C513" s="72"/>
      <c r="D513" s="77"/>
      <c r="E513" s="78"/>
      <c r="F513" s="78"/>
      <c r="G513" s="78"/>
      <c r="H513" s="78"/>
      <c r="I513" s="79"/>
      <c r="J513" s="86"/>
      <c r="K513" s="87"/>
      <c r="L513" s="86"/>
      <c r="M513" s="87"/>
      <c r="N513" s="77"/>
      <c r="O513" s="79"/>
      <c r="P513" s="92"/>
      <c r="Q513" s="93"/>
      <c r="S513" s="99"/>
      <c r="T513" s="99"/>
      <c r="U513" s="99"/>
      <c r="V513" s="99"/>
      <c r="W513" s="99"/>
      <c r="X513" s="99"/>
      <c r="Y513" s="99"/>
      <c r="Z513" s="99"/>
      <c r="AA513" s="99"/>
      <c r="AB513" s="99"/>
      <c r="AC513" s="98"/>
      <c r="AD513" s="98"/>
      <c r="AE513" s="98"/>
      <c r="AF513" s="98"/>
      <c r="AG513" s="98"/>
      <c r="AH513" s="98"/>
    </row>
    <row r="514" spans="2:34" x14ac:dyDescent="0.25">
      <c r="B514" s="73"/>
      <c r="C514" s="74"/>
      <c r="D514" s="80"/>
      <c r="E514" s="81"/>
      <c r="F514" s="81"/>
      <c r="G514" s="81"/>
      <c r="H514" s="81"/>
      <c r="I514" s="82"/>
      <c r="J514" s="88"/>
      <c r="K514" s="89"/>
      <c r="L514" s="88"/>
      <c r="M514" s="89"/>
      <c r="N514" s="80"/>
      <c r="O514" s="82"/>
      <c r="P514" s="94"/>
      <c r="Q514" s="95"/>
      <c r="S514" s="99"/>
      <c r="T514" s="99"/>
      <c r="U514" s="99"/>
      <c r="V514" s="99"/>
      <c r="W514" s="99"/>
      <c r="X514" s="99"/>
      <c r="Y514" s="99"/>
      <c r="Z514" s="99"/>
      <c r="AA514" s="99"/>
      <c r="AB514" s="99"/>
      <c r="AC514" s="98"/>
      <c r="AD514" s="98"/>
      <c r="AE514" s="98"/>
      <c r="AF514" s="98"/>
      <c r="AG514" s="98"/>
      <c r="AH514" s="98"/>
    </row>
    <row r="515" spans="2:34" x14ac:dyDescent="0.25">
      <c r="B515" s="75"/>
      <c r="C515" s="76"/>
      <c r="D515" s="83"/>
      <c r="E515" s="84"/>
      <c r="F515" s="84"/>
      <c r="G515" s="84"/>
      <c r="H515" s="84"/>
      <c r="I515" s="85"/>
      <c r="J515" s="90"/>
      <c r="K515" s="91"/>
      <c r="L515" s="90"/>
      <c r="M515" s="91"/>
      <c r="N515" s="83"/>
      <c r="O515" s="85"/>
      <c r="P515" s="96"/>
      <c r="Q515" s="97"/>
      <c r="S515" s="99"/>
      <c r="T515" s="99"/>
      <c r="U515" s="99"/>
      <c r="V515" s="99"/>
      <c r="W515" s="99"/>
      <c r="X515" s="99"/>
      <c r="Y515" s="99"/>
      <c r="Z515" s="99"/>
      <c r="AA515" s="99"/>
      <c r="AB515" s="99"/>
      <c r="AC515" s="98"/>
      <c r="AD515" s="98"/>
      <c r="AE515" s="98"/>
      <c r="AF515" s="98"/>
      <c r="AG515" s="98"/>
      <c r="AH515" s="98"/>
    </row>
    <row r="516" spans="2:34" x14ac:dyDescent="0.25">
      <c r="B516" s="71"/>
      <c r="C516" s="72"/>
      <c r="D516" s="77"/>
      <c r="E516" s="78"/>
      <c r="F516" s="78"/>
      <c r="G516" s="78"/>
      <c r="H516" s="78"/>
      <c r="I516" s="79"/>
      <c r="J516" s="86"/>
      <c r="K516" s="87"/>
      <c r="L516" s="86"/>
      <c r="M516" s="87"/>
      <c r="N516" s="77"/>
      <c r="O516" s="79"/>
      <c r="P516" s="92"/>
      <c r="Q516" s="93"/>
      <c r="S516" s="99"/>
      <c r="T516" s="99"/>
      <c r="U516" s="99"/>
      <c r="V516" s="99"/>
      <c r="W516" s="99"/>
      <c r="X516" s="99"/>
      <c r="Y516" s="99"/>
      <c r="Z516" s="99"/>
      <c r="AA516" s="99"/>
      <c r="AB516" s="99"/>
      <c r="AC516" s="98"/>
      <c r="AD516" s="98"/>
      <c r="AE516" s="98"/>
      <c r="AF516" s="98"/>
      <c r="AG516" s="98"/>
      <c r="AH516" s="98"/>
    </row>
    <row r="517" spans="2:34" x14ac:dyDescent="0.25">
      <c r="B517" s="73"/>
      <c r="C517" s="74"/>
      <c r="D517" s="80"/>
      <c r="E517" s="81"/>
      <c r="F517" s="81"/>
      <c r="G517" s="81"/>
      <c r="H517" s="81"/>
      <c r="I517" s="82"/>
      <c r="J517" s="88"/>
      <c r="K517" s="89"/>
      <c r="L517" s="88"/>
      <c r="M517" s="89"/>
      <c r="N517" s="80"/>
      <c r="O517" s="82"/>
      <c r="P517" s="94"/>
      <c r="Q517" s="95"/>
      <c r="S517" s="99"/>
      <c r="T517" s="99"/>
      <c r="U517" s="99"/>
      <c r="V517" s="99"/>
      <c r="W517" s="99"/>
      <c r="X517" s="99"/>
      <c r="Y517" s="99"/>
      <c r="Z517" s="99"/>
      <c r="AA517" s="99"/>
      <c r="AB517" s="99"/>
      <c r="AC517" s="98"/>
      <c r="AD517" s="98"/>
      <c r="AE517" s="98"/>
      <c r="AF517" s="98"/>
      <c r="AG517" s="98"/>
      <c r="AH517" s="98"/>
    </row>
    <row r="518" spans="2:34" x14ac:dyDescent="0.25">
      <c r="B518" s="75"/>
      <c r="C518" s="76"/>
      <c r="D518" s="83"/>
      <c r="E518" s="84"/>
      <c r="F518" s="84"/>
      <c r="G518" s="84"/>
      <c r="H518" s="84"/>
      <c r="I518" s="85"/>
      <c r="J518" s="90"/>
      <c r="K518" s="91"/>
      <c r="L518" s="90"/>
      <c r="M518" s="91"/>
      <c r="N518" s="83"/>
      <c r="O518" s="85"/>
      <c r="P518" s="96"/>
      <c r="Q518" s="97"/>
      <c r="S518" s="99"/>
      <c r="T518" s="99"/>
      <c r="U518" s="99"/>
      <c r="V518" s="99"/>
      <c r="W518" s="99"/>
      <c r="X518" s="99"/>
      <c r="Y518" s="99"/>
      <c r="Z518" s="99"/>
      <c r="AA518" s="99"/>
      <c r="AB518" s="99"/>
      <c r="AC518" s="98"/>
      <c r="AD518" s="98"/>
      <c r="AE518" s="98"/>
      <c r="AF518" s="98"/>
      <c r="AG518" s="98"/>
      <c r="AH518" s="98"/>
    </row>
    <row r="519" spans="2:34" x14ac:dyDescent="0.25">
      <c r="B519" s="71"/>
      <c r="C519" s="72"/>
      <c r="D519" s="77"/>
      <c r="E519" s="78"/>
      <c r="F519" s="78"/>
      <c r="G519" s="78"/>
      <c r="H519" s="78"/>
      <c r="I519" s="79"/>
      <c r="J519" s="86"/>
      <c r="K519" s="87"/>
      <c r="L519" s="86"/>
      <c r="M519" s="87"/>
      <c r="N519" s="77"/>
      <c r="O519" s="79"/>
      <c r="P519" s="92"/>
      <c r="Q519" s="93"/>
      <c r="S519" s="99"/>
      <c r="T519" s="99"/>
      <c r="U519" s="99"/>
      <c r="V519" s="99"/>
      <c r="W519" s="99"/>
      <c r="X519" s="99"/>
      <c r="Y519" s="99"/>
      <c r="Z519" s="99"/>
      <c r="AA519" s="99"/>
      <c r="AB519" s="99"/>
      <c r="AC519" s="98"/>
      <c r="AD519" s="98"/>
      <c r="AE519" s="98"/>
      <c r="AF519" s="98"/>
      <c r="AG519" s="98"/>
      <c r="AH519" s="98"/>
    </row>
    <row r="520" spans="2:34" x14ac:dyDescent="0.25">
      <c r="B520" s="73"/>
      <c r="C520" s="74"/>
      <c r="D520" s="80"/>
      <c r="E520" s="81"/>
      <c r="F520" s="81"/>
      <c r="G520" s="81"/>
      <c r="H520" s="81"/>
      <c r="I520" s="82"/>
      <c r="J520" s="88"/>
      <c r="K520" s="89"/>
      <c r="L520" s="88"/>
      <c r="M520" s="89"/>
      <c r="N520" s="80"/>
      <c r="O520" s="82"/>
      <c r="P520" s="94"/>
      <c r="Q520" s="95"/>
      <c r="S520" s="99"/>
      <c r="T520" s="99"/>
      <c r="U520" s="99"/>
      <c r="V520" s="99"/>
      <c r="W520" s="99"/>
      <c r="X520" s="99"/>
      <c r="Y520" s="99"/>
      <c r="Z520" s="99"/>
      <c r="AA520" s="99"/>
      <c r="AB520" s="99"/>
      <c r="AC520" s="98"/>
      <c r="AD520" s="98"/>
      <c r="AE520" s="98"/>
      <c r="AF520" s="98"/>
      <c r="AG520" s="98"/>
      <c r="AH520" s="98"/>
    </row>
    <row r="521" spans="2:34" x14ac:dyDescent="0.25">
      <c r="B521" s="75"/>
      <c r="C521" s="76"/>
      <c r="D521" s="83"/>
      <c r="E521" s="84"/>
      <c r="F521" s="84"/>
      <c r="G521" s="84"/>
      <c r="H521" s="84"/>
      <c r="I521" s="85"/>
      <c r="J521" s="90"/>
      <c r="K521" s="91"/>
      <c r="L521" s="90"/>
      <c r="M521" s="91"/>
      <c r="N521" s="83"/>
      <c r="O521" s="85"/>
      <c r="P521" s="96"/>
      <c r="Q521" s="97"/>
      <c r="S521" s="99"/>
      <c r="T521" s="99"/>
      <c r="U521" s="99"/>
      <c r="V521" s="99"/>
      <c r="W521" s="99"/>
      <c r="X521" s="99"/>
      <c r="Y521" s="99"/>
      <c r="Z521" s="99"/>
      <c r="AA521" s="99"/>
      <c r="AB521" s="99"/>
      <c r="AC521" s="98"/>
      <c r="AD521" s="98"/>
      <c r="AE521" s="98"/>
      <c r="AF521" s="98"/>
      <c r="AG521" s="98"/>
      <c r="AH521" s="98"/>
    </row>
    <row r="522" spans="2:34" x14ac:dyDescent="0.25">
      <c r="B522" s="71"/>
      <c r="C522" s="72"/>
      <c r="D522" s="77"/>
      <c r="E522" s="78"/>
      <c r="F522" s="78"/>
      <c r="G522" s="78"/>
      <c r="H522" s="78"/>
      <c r="I522" s="79"/>
      <c r="J522" s="86"/>
      <c r="K522" s="87"/>
      <c r="L522" s="86"/>
      <c r="M522" s="87"/>
      <c r="N522" s="77"/>
      <c r="O522" s="79"/>
      <c r="P522" s="92"/>
      <c r="Q522" s="93"/>
      <c r="S522" s="99"/>
      <c r="T522" s="99"/>
      <c r="U522" s="99"/>
      <c r="V522" s="99"/>
      <c r="W522" s="99"/>
      <c r="X522" s="99"/>
      <c r="Y522" s="99"/>
      <c r="Z522" s="99"/>
      <c r="AA522" s="99"/>
      <c r="AB522" s="99"/>
      <c r="AC522" s="98"/>
      <c r="AD522" s="98"/>
      <c r="AE522" s="98"/>
      <c r="AF522" s="98"/>
      <c r="AG522" s="98"/>
      <c r="AH522" s="98"/>
    </row>
    <row r="523" spans="2:34" x14ac:dyDescent="0.25">
      <c r="B523" s="73"/>
      <c r="C523" s="74"/>
      <c r="D523" s="80"/>
      <c r="E523" s="81"/>
      <c r="F523" s="81"/>
      <c r="G523" s="81"/>
      <c r="H523" s="81"/>
      <c r="I523" s="82"/>
      <c r="J523" s="88"/>
      <c r="K523" s="89"/>
      <c r="L523" s="88"/>
      <c r="M523" s="89"/>
      <c r="N523" s="80"/>
      <c r="O523" s="82"/>
      <c r="P523" s="94"/>
      <c r="Q523" s="95"/>
      <c r="S523" s="99"/>
      <c r="T523" s="99"/>
      <c r="U523" s="99"/>
      <c r="V523" s="99"/>
      <c r="W523" s="99"/>
      <c r="X523" s="99"/>
      <c r="Y523" s="99"/>
      <c r="Z523" s="99"/>
      <c r="AA523" s="99"/>
      <c r="AB523" s="99"/>
      <c r="AC523" s="98"/>
      <c r="AD523" s="98"/>
      <c r="AE523" s="98"/>
      <c r="AF523" s="98"/>
      <c r="AG523" s="98"/>
      <c r="AH523" s="98"/>
    </row>
    <row r="524" spans="2:34" x14ac:dyDescent="0.25">
      <c r="B524" s="75"/>
      <c r="C524" s="76"/>
      <c r="D524" s="83"/>
      <c r="E524" s="84"/>
      <c r="F524" s="84"/>
      <c r="G524" s="84"/>
      <c r="H524" s="84"/>
      <c r="I524" s="85"/>
      <c r="J524" s="90"/>
      <c r="K524" s="91"/>
      <c r="L524" s="90"/>
      <c r="M524" s="91"/>
      <c r="N524" s="83"/>
      <c r="O524" s="85"/>
      <c r="P524" s="96"/>
      <c r="Q524" s="97"/>
      <c r="S524" s="99"/>
      <c r="T524" s="99"/>
      <c r="U524" s="99"/>
      <c r="V524" s="99"/>
      <c r="W524" s="99"/>
      <c r="X524" s="99"/>
      <c r="Y524" s="99"/>
      <c r="Z524" s="99"/>
      <c r="AA524" s="99"/>
      <c r="AB524" s="99"/>
      <c r="AC524" s="98"/>
      <c r="AD524" s="98"/>
      <c r="AE524" s="98"/>
      <c r="AF524" s="98"/>
      <c r="AG524" s="98"/>
      <c r="AH524" s="98"/>
    </row>
    <row r="525" spans="2:34" x14ac:dyDescent="0.25">
      <c r="B525" s="71"/>
      <c r="C525" s="72"/>
      <c r="D525" s="77"/>
      <c r="E525" s="78"/>
      <c r="F525" s="78"/>
      <c r="G525" s="78"/>
      <c r="H525" s="78"/>
      <c r="I525" s="79"/>
      <c r="J525" s="86"/>
      <c r="K525" s="87"/>
      <c r="L525" s="86"/>
      <c r="M525" s="87"/>
      <c r="N525" s="77"/>
      <c r="O525" s="79"/>
      <c r="P525" s="92"/>
      <c r="Q525" s="93"/>
      <c r="S525" s="99"/>
      <c r="T525" s="99"/>
      <c r="U525" s="99"/>
      <c r="V525" s="99"/>
      <c r="W525" s="99"/>
      <c r="X525" s="99"/>
      <c r="Y525" s="99"/>
      <c r="Z525" s="99"/>
      <c r="AA525" s="99"/>
      <c r="AB525" s="99"/>
      <c r="AC525" s="98"/>
      <c r="AD525" s="98"/>
      <c r="AE525" s="98"/>
      <c r="AF525" s="98"/>
      <c r="AG525" s="98"/>
      <c r="AH525" s="98"/>
    </row>
    <row r="526" spans="2:34" x14ac:dyDescent="0.25">
      <c r="B526" s="73"/>
      <c r="C526" s="74"/>
      <c r="D526" s="80"/>
      <c r="E526" s="81"/>
      <c r="F526" s="81"/>
      <c r="G526" s="81"/>
      <c r="H526" s="81"/>
      <c r="I526" s="82"/>
      <c r="J526" s="88"/>
      <c r="K526" s="89"/>
      <c r="L526" s="88"/>
      <c r="M526" s="89"/>
      <c r="N526" s="80"/>
      <c r="O526" s="82"/>
      <c r="P526" s="94"/>
      <c r="Q526" s="95"/>
      <c r="S526" s="99"/>
      <c r="T526" s="99"/>
      <c r="U526" s="99"/>
      <c r="V526" s="99"/>
      <c r="W526" s="99"/>
      <c r="X526" s="99"/>
      <c r="Y526" s="99"/>
      <c r="Z526" s="99"/>
      <c r="AA526" s="99"/>
      <c r="AB526" s="99"/>
      <c r="AC526" s="98"/>
      <c r="AD526" s="98"/>
      <c r="AE526" s="98"/>
      <c r="AF526" s="98"/>
      <c r="AG526" s="98"/>
      <c r="AH526" s="98"/>
    </row>
    <row r="527" spans="2:34" x14ac:dyDescent="0.25">
      <c r="B527" s="75"/>
      <c r="C527" s="76"/>
      <c r="D527" s="83"/>
      <c r="E527" s="84"/>
      <c r="F527" s="84"/>
      <c r="G527" s="84"/>
      <c r="H527" s="84"/>
      <c r="I527" s="85"/>
      <c r="J527" s="90"/>
      <c r="K527" s="91"/>
      <c r="L527" s="90"/>
      <c r="M527" s="91"/>
      <c r="N527" s="83"/>
      <c r="O527" s="85"/>
      <c r="P527" s="96"/>
      <c r="Q527" s="97"/>
      <c r="S527" s="99"/>
      <c r="T527" s="99"/>
      <c r="U527" s="99"/>
      <c r="V527" s="99"/>
      <c r="W527" s="99"/>
      <c r="X527" s="99"/>
      <c r="Y527" s="99"/>
      <c r="Z527" s="99"/>
      <c r="AA527" s="99"/>
      <c r="AB527" s="99"/>
      <c r="AC527" s="98"/>
      <c r="AD527" s="98"/>
      <c r="AE527" s="98"/>
      <c r="AF527" s="98"/>
      <c r="AG527" s="98"/>
      <c r="AH527" s="98"/>
    </row>
    <row r="528" spans="2:34" x14ac:dyDescent="0.25">
      <c r="B528" s="71"/>
      <c r="C528" s="72"/>
      <c r="D528" s="77"/>
      <c r="E528" s="78"/>
      <c r="F528" s="78"/>
      <c r="G528" s="78"/>
      <c r="H528" s="78"/>
      <c r="I528" s="79"/>
      <c r="J528" s="86"/>
      <c r="K528" s="87"/>
      <c r="L528" s="86"/>
      <c r="M528" s="87"/>
      <c r="N528" s="77"/>
      <c r="O528" s="79"/>
      <c r="P528" s="92"/>
      <c r="Q528" s="93"/>
      <c r="S528" s="99"/>
      <c r="T528" s="99"/>
      <c r="U528" s="99"/>
      <c r="V528" s="99"/>
      <c r="W528" s="99"/>
      <c r="X528" s="99"/>
      <c r="Y528" s="99"/>
      <c r="Z528" s="99"/>
      <c r="AA528" s="99"/>
      <c r="AB528" s="99"/>
      <c r="AC528" s="98"/>
      <c r="AD528" s="98"/>
      <c r="AE528" s="98"/>
      <c r="AF528" s="98"/>
      <c r="AG528" s="98"/>
      <c r="AH528" s="98"/>
    </row>
    <row r="529" spans="2:34" x14ac:dyDescent="0.25">
      <c r="B529" s="73"/>
      <c r="C529" s="74"/>
      <c r="D529" s="80"/>
      <c r="E529" s="81"/>
      <c r="F529" s="81"/>
      <c r="G529" s="81"/>
      <c r="H529" s="81"/>
      <c r="I529" s="82"/>
      <c r="J529" s="88"/>
      <c r="K529" s="89"/>
      <c r="L529" s="88"/>
      <c r="M529" s="89"/>
      <c r="N529" s="80"/>
      <c r="O529" s="82"/>
      <c r="P529" s="94"/>
      <c r="Q529" s="95"/>
      <c r="S529" s="99"/>
      <c r="T529" s="99"/>
      <c r="U529" s="99"/>
      <c r="V529" s="99"/>
      <c r="W529" s="99"/>
      <c r="X529" s="99"/>
      <c r="Y529" s="99"/>
      <c r="Z529" s="99"/>
      <c r="AA529" s="99"/>
      <c r="AB529" s="99"/>
      <c r="AC529" s="98"/>
      <c r="AD529" s="98"/>
      <c r="AE529" s="98"/>
      <c r="AF529" s="98"/>
      <c r="AG529" s="98"/>
      <c r="AH529" s="98"/>
    </row>
    <row r="530" spans="2:34" x14ac:dyDescent="0.25">
      <c r="B530" s="75"/>
      <c r="C530" s="76"/>
      <c r="D530" s="83"/>
      <c r="E530" s="84"/>
      <c r="F530" s="84"/>
      <c r="G530" s="84"/>
      <c r="H530" s="84"/>
      <c r="I530" s="85"/>
      <c r="J530" s="90"/>
      <c r="K530" s="91"/>
      <c r="L530" s="90"/>
      <c r="M530" s="91"/>
      <c r="N530" s="83"/>
      <c r="O530" s="85"/>
      <c r="P530" s="96"/>
      <c r="Q530" s="97"/>
      <c r="S530" s="99"/>
      <c r="T530" s="99"/>
      <c r="U530" s="99"/>
      <c r="V530" s="99"/>
      <c r="W530" s="99"/>
      <c r="X530" s="99"/>
      <c r="Y530" s="99"/>
      <c r="Z530" s="99"/>
      <c r="AA530" s="99"/>
      <c r="AB530" s="99"/>
      <c r="AC530" s="98"/>
      <c r="AD530" s="98"/>
      <c r="AE530" s="98"/>
      <c r="AF530" s="98"/>
      <c r="AG530" s="98"/>
      <c r="AH530" s="98"/>
    </row>
    <row r="531" spans="2:34" x14ac:dyDescent="0.25">
      <c r="B531" s="71"/>
      <c r="C531" s="72"/>
      <c r="D531" s="77"/>
      <c r="E531" s="78"/>
      <c r="F531" s="78"/>
      <c r="G531" s="78"/>
      <c r="H531" s="78"/>
      <c r="I531" s="79"/>
      <c r="J531" s="86"/>
      <c r="K531" s="87"/>
      <c r="L531" s="86"/>
      <c r="M531" s="87"/>
      <c r="N531" s="77"/>
      <c r="O531" s="79"/>
      <c r="P531" s="92"/>
      <c r="Q531" s="93"/>
      <c r="S531" s="99"/>
      <c r="T531" s="99"/>
      <c r="U531" s="99"/>
      <c r="V531" s="99"/>
      <c r="W531" s="99"/>
      <c r="X531" s="99"/>
      <c r="Y531" s="99"/>
      <c r="Z531" s="99"/>
      <c r="AA531" s="99"/>
      <c r="AB531" s="99"/>
      <c r="AC531" s="98"/>
      <c r="AD531" s="98"/>
      <c r="AE531" s="98"/>
      <c r="AF531" s="98"/>
      <c r="AG531" s="98"/>
      <c r="AH531" s="98"/>
    </row>
    <row r="532" spans="2:34" x14ac:dyDescent="0.25">
      <c r="B532" s="73"/>
      <c r="C532" s="74"/>
      <c r="D532" s="80"/>
      <c r="E532" s="81"/>
      <c r="F532" s="81"/>
      <c r="G532" s="81"/>
      <c r="H532" s="81"/>
      <c r="I532" s="82"/>
      <c r="J532" s="88"/>
      <c r="K532" s="89"/>
      <c r="L532" s="88"/>
      <c r="M532" s="89"/>
      <c r="N532" s="80"/>
      <c r="O532" s="82"/>
      <c r="P532" s="94"/>
      <c r="Q532" s="95"/>
      <c r="S532" s="99"/>
      <c r="T532" s="99"/>
      <c r="U532" s="99"/>
      <c r="V532" s="99"/>
      <c r="W532" s="99"/>
      <c r="X532" s="99"/>
      <c r="Y532" s="99"/>
      <c r="Z532" s="99"/>
      <c r="AA532" s="99"/>
      <c r="AB532" s="99"/>
      <c r="AC532" s="98"/>
      <c r="AD532" s="98"/>
      <c r="AE532" s="98"/>
      <c r="AF532" s="98"/>
      <c r="AG532" s="98"/>
      <c r="AH532" s="98"/>
    </row>
    <row r="533" spans="2:34" x14ac:dyDescent="0.25">
      <c r="B533" s="75"/>
      <c r="C533" s="76"/>
      <c r="D533" s="83"/>
      <c r="E533" s="84"/>
      <c r="F533" s="84"/>
      <c r="G533" s="84"/>
      <c r="H533" s="84"/>
      <c r="I533" s="85"/>
      <c r="J533" s="90"/>
      <c r="K533" s="91"/>
      <c r="L533" s="90"/>
      <c r="M533" s="91"/>
      <c r="N533" s="83"/>
      <c r="O533" s="85"/>
      <c r="P533" s="96"/>
      <c r="Q533" s="97"/>
      <c r="S533" s="99"/>
      <c r="T533" s="99"/>
      <c r="U533" s="99"/>
      <c r="V533" s="99"/>
      <c r="W533" s="99"/>
      <c r="X533" s="99"/>
      <c r="Y533" s="99"/>
      <c r="Z533" s="99"/>
      <c r="AA533" s="99"/>
      <c r="AB533" s="99"/>
      <c r="AC533" s="98"/>
      <c r="AD533" s="98"/>
      <c r="AE533" s="98"/>
      <c r="AF533" s="98"/>
      <c r="AG533" s="98"/>
      <c r="AH533" s="98"/>
    </row>
    <row r="534" spans="2:34" x14ac:dyDescent="0.25">
      <c r="B534" s="71"/>
      <c r="C534" s="72"/>
      <c r="D534" s="77"/>
      <c r="E534" s="78"/>
      <c r="F534" s="78"/>
      <c r="G534" s="78"/>
      <c r="H534" s="78"/>
      <c r="I534" s="79"/>
      <c r="J534" s="86"/>
      <c r="K534" s="87"/>
      <c r="L534" s="86"/>
      <c r="M534" s="87"/>
      <c r="N534" s="77"/>
      <c r="O534" s="79"/>
      <c r="P534" s="92"/>
      <c r="Q534" s="93"/>
      <c r="S534" s="99"/>
      <c r="T534" s="99"/>
      <c r="U534" s="99"/>
      <c r="V534" s="99"/>
      <c r="W534" s="99"/>
      <c r="X534" s="99"/>
      <c r="Y534" s="99"/>
      <c r="Z534" s="99"/>
      <c r="AA534" s="99"/>
      <c r="AB534" s="99"/>
      <c r="AC534" s="98"/>
      <c r="AD534" s="98"/>
      <c r="AE534" s="98"/>
      <c r="AF534" s="98"/>
      <c r="AG534" s="98"/>
      <c r="AH534" s="98"/>
    </row>
    <row r="535" spans="2:34" x14ac:dyDescent="0.25">
      <c r="B535" s="73"/>
      <c r="C535" s="74"/>
      <c r="D535" s="80"/>
      <c r="E535" s="81"/>
      <c r="F535" s="81"/>
      <c r="G535" s="81"/>
      <c r="H535" s="81"/>
      <c r="I535" s="82"/>
      <c r="J535" s="88"/>
      <c r="K535" s="89"/>
      <c r="L535" s="88"/>
      <c r="M535" s="89"/>
      <c r="N535" s="80"/>
      <c r="O535" s="82"/>
      <c r="P535" s="94"/>
      <c r="Q535" s="95"/>
      <c r="S535" s="99"/>
      <c r="T535" s="99"/>
      <c r="U535" s="99"/>
      <c r="V535" s="99"/>
      <c r="W535" s="99"/>
      <c r="X535" s="99"/>
      <c r="Y535" s="99"/>
      <c r="Z535" s="99"/>
      <c r="AA535" s="99"/>
      <c r="AB535" s="99"/>
      <c r="AC535" s="98"/>
      <c r="AD535" s="98"/>
      <c r="AE535" s="98"/>
      <c r="AF535" s="98"/>
      <c r="AG535" s="98"/>
      <c r="AH535" s="98"/>
    </row>
    <row r="536" spans="2:34" x14ac:dyDescent="0.25">
      <c r="B536" s="75"/>
      <c r="C536" s="76"/>
      <c r="D536" s="83"/>
      <c r="E536" s="84"/>
      <c r="F536" s="84"/>
      <c r="G536" s="84"/>
      <c r="H536" s="84"/>
      <c r="I536" s="85"/>
      <c r="J536" s="90"/>
      <c r="K536" s="91"/>
      <c r="L536" s="90"/>
      <c r="M536" s="91"/>
      <c r="N536" s="83"/>
      <c r="O536" s="85"/>
      <c r="P536" s="96"/>
      <c r="Q536" s="97"/>
      <c r="S536" s="99"/>
      <c r="T536" s="99"/>
      <c r="U536" s="99"/>
      <c r="V536" s="99"/>
      <c r="W536" s="99"/>
      <c r="X536" s="99"/>
      <c r="Y536" s="99"/>
      <c r="Z536" s="99"/>
      <c r="AA536" s="99"/>
      <c r="AB536" s="99"/>
      <c r="AC536" s="98"/>
      <c r="AD536" s="98"/>
      <c r="AE536" s="98"/>
      <c r="AF536" s="98"/>
      <c r="AG536" s="98"/>
      <c r="AH536" s="98"/>
    </row>
    <row r="537" spans="2:34" x14ac:dyDescent="0.25">
      <c r="B537" s="71"/>
      <c r="C537" s="72"/>
      <c r="D537" s="77"/>
      <c r="E537" s="78"/>
      <c r="F537" s="78"/>
      <c r="G537" s="78"/>
      <c r="H537" s="78"/>
      <c r="I537" s="79"/>
      <c r="J537" s="86"/>
      <c r="K537" s="87"/>
      <c r="L537" s="86"/>
      <c r="M537" s="87"/>
      <c r="N537" s="77"/>
      <c r="O537" s="79"/>
      <c r="P537" s="92"/>
      <c r="Q537" s="93"/>
      <c r="S537" s="99"/>
      <c r="T537" s="99"/>
      <c r="U537" s="99"/>
      <c r="V537" s="99"/>
      <c r="W537" s="99"/>
      <c r="X537" s="99"/>
      <c r="Y537" s="99"/>
      <c r="Z537" s="99"/>
      <c r="AA537" s="99"/>
      <c r="AB537" s="99"/>
      <c r="AC537" s="98"/>
      <c r="AD537" s="98"/>
      <c r="AE537" s="98"/>
      <c r="AF537" s="98"/>
      <c r="AG537" s="98"/>
      <c r="AH537" s="98"/>
    </row>
    <row r="538" spans="2:34" x14ac:dyDescent="0.25">
      <c r="B538" s="73"/>
      <c r="C538" s="74"/>
      <c r="D538" s="80"/>
      <c r="E538" s="81"/>
      <c r="F538" s="81"/>
      <c r="G538" s="81"/>
      <c r="H538" s="81"/>
      <c r="I538" s="82"/>
      <c r="J538" s="88"/>
      <c r="K538" s="89"/>
      <c r="L538" s="88"/>
      <c r="M538" s="89"/>
      <c r="N538" s="80"/>
      <c r="O538" s="82"/>
      <c r="P538" s="94"/>
      <c r="Q538" s="95"/>
      <c r="S538" s="99"/>
      <c r="T538" s="99"/>
      <c r="U538" s="99"/>
      <c r="V538" s="99"/>
      <c r="W538" s="99"/>
      <c r="X538" s="99"/>
      <c r="Y538" s="99"/>
      <c r="Z538" s="99"/>
      <c r="AA538" s="99"/>
      <c r="AB538" s="99"/>
      <c r="AC538" s="98"/>
      <c r="AD538" s="98"/>
      <c r="AE538" s="98"/>
      <c r="AF538" s="98"/>
      <c r="AG538" s="98"/>
      <c r="AH538" s="98"/>
    </row>
    <row r="539" spans="2:34" x14ac:dyDescent="0.25">
      <c r="B539" s="75"/>
      <c r="C539" s="76"/>
      <c r="D539" s="83"/>
      <c r="E539" s="84"/>
      <c r="F539" s="84"/>
      <c r="G539" s="84"/>
      <c r="H539" s="84"/>
      <c r="I539" s="85"/>
      <c r="J539" s="90"/>
      <c r="K539" s="91"/>
      <c r="L539" s="90"/>
      <c r="M539" s="91"/>
      <c r="N539" s="83"/>
      <c r="O539" s="85"/>
      <c r="P539" s="96"/>
      <c r="Q539" s="97"/>
      <c r="S539" s="99"/>
      <c r="T539" s="99"/>
      <c r="U539" s="99"/>
      <c r="V539" s="99"/>
      <c r="W539" s="99"/>
      <c r="X539" s="99"/>
      <c r="Y539" s="99"/>
      <c r="Z539" s="99"/>
      <c r="AA539" s="99"/>
      <c r="AB539" s="99"/>
      <c r="AC539" s="98"/>
      <c r="AD539" s="98"/>
      <c r="AE539" s="98"/>
      <c r="AF539" s="98"/>
      <c r="AG539" s="98"/>
      <c r="AH539" s="98"/>
    </row>
    <row r="540" spans="2:34" x14ac:dyDescent="0.25">
      <c r="B540" s="71"/>
      <c r="C540" s="72"/>
      <c r="D540" s="77"/>
      <c r="E540" s="78"/>
      <c r="F540" s="78"/>
      <c r="G540" s="78"/>
      <c r="H540" s="78"/>
      <c r="I540" s="79"/>
      <c r="J540" s="86"/>
      <c r="K540" s="87"/>
      <c r="L540" s="86"/>
      <c r="M540" s="87"/>
      <c r="N540" s="77"/>
      <c r="O540" s="79"/>
      <c r="P540" s="92"/>
      <c r="Q540" s="93"/>
      <c r="S540" s="99"/>
      <c r="T540" s="99"/>
      <c r="U540" s="99"/>
      <c r="V540" s="99"/>
      <c r="W540" s="99"/>
      <c r="X540" s="99"/>
      <c r="Y540" s="99"/>
      <c r="Z540" s="99"/>
      <c r="AA540" s="99"/>
      <c r="AB540" s="99"/>
      <c r="AC540" s="98"/>
      <c r="AD540" s="98"/>
      <c r="AE540" s="98"/>
      <c r="AF540" s="98"/>
      <c r="AG540" s="98"/>
      <c r="AH540" s="98"/>
    </row>
    <row r="541" spans="2:34" x14ac:dyDescent="0.25">
      <c r="B541" s="73"/>
      <c r="C541" s="74"/>
      <c r="D541" s="80"/>
      <c r="E541" s="81"/>
      <c r="F541" s="81"/>
      <c r="G541" s="81"/>
      <c r="H541" s="81"/>
      <c r="I541" s="82"/>
      <c r="J541" s="88"/>
      <c r="K541" s="89"/>
      <c r="L541" s="88"/>
      <c r="M541" s="89"/>
      <c r="N541" s="80"/>
      <c r="O541" s="82"/>
      <c r="P541" s="94"/>
      <c r="Q541" s="95"/>
      <c r="S541" s="99"/>
      <c r="T541" s="99"/>
      <c r="U541" s="99"/>
      <c r="V541" s="99"/>
      <c r="W541" s="99"/>
      <c r="X541" s="99"/>
      <c r="Y541" s="99"/>
      <c r="Z541" s="99"/>
      <c r="AA541" s="99"/>
      <c r="AB541" s="99"/>
      <c r="AC541" s="98"/>
      <c r="AD541" s="98"/>
      <c r="AE541" s="98"/>
      <c r="AF541" s="98"/>
      <c r="AG541" s="98"/>
      <c r="AH541" s="98"/>
    </row>
    <row r="542" spans="2:34" x14ac:dyDescent="0.25">
      <c r="B542" s="75"/>
      <c r="C542" s="76"/>
      <c r="D542" s="83"/>
      <c r="E542" s="84"/>
      <c r="F542" s="84"/>
      <c r="G542" s="84"/>
      <c r="H542" s="84"/>
      <c r="I542" s="85"/>
      <c r="J542" s="90"/>
      <c r="K542" s="91"/>
      <c r="L542" s="90"/>
      <c r="M542" s="91"/>
      <c r="N542" s="83"/>
      <c r="O542" s="85"/>
      <c r="P542" s="96"/>
      <c r="Q542" s="97"/>
      <c r="S542" s="99"/>
      <c r="T542" s="99"/>
      <c r="U542" s="99"/>
      <c r="V542" s="99"/>
      <c r="W542" s="99"/>
      <c r="X542" s="99"/>
      <c r="Y542" s="99"/>
      <c r="Z542" s="99"/>
      <c r="AA542" s="99"/>
      <c r="AB542" s="99"/>
      <c r="AC542" s="98"/>
      <c r="AD542" s="98"/>
      <c r="AE542" s="98"/>
      <c r="AF542" s="98"/>
      <c r="AG542" s="98"/>
      <c r="AH542" s="98"/>
    </row>
    <row r="543" spans="2:34" x14ac:dyDescent="0.25">
      <c r="B543" s="71"/>
      <c r="C543" s="72"/>
      <c r="D543" s="77"/>
      <c r="E543" s="78"/>
      <c r="F543" s="78"/>
      <c r="G543" s="78"/>
      <c r="H543" s="78"/>
      <c r="I543" s="79"/>
      <c r="J543" s="86"/>
      <c r="K543" s="87"/>
      <c r="L543" s="86"/>
      <c r="M543" s="87"/>
      <c r="N543" s="77"/>
      <c r="O543" s="79"/>
      <c r="P543" s="92"/>
      <c r="Q543" s="93"/>
      <c r="S543" s="99"/>
      <c r="T543" s="99"/>
      <c r="U543" s="99"/>
      <c r="V543" s="99"/>
      <c r="W543" s="99"/>
      <c r="X543" s="99"/>
      <c r="Y543" s="99"/>
      <c r="Z543" s="99"/>
      <c r="AA543" s="99"/>
      <c r="AB543" s="99"/>
      <c r="AC543" s="98"/>
      <c r="AD543" s="98"/>
      <c r="AE543" s="98"/>
      <c r="AF543" s="98"/>
      <c r="AG543" s="98"/>
      <c r="AH543" s="98"/>
    </row>
    <row r="544" spans="2:34" x14ac:dyDescent="0.25">
      <c r="B544" s="73"/>
      <c r="C544" s="74"/>
      <c r="D544" s="80"/>
      <c r="E544" s="81"/>
      <c r="F544" s="81"/>
      <c r="G544" s="81"/>
      <c r="H544" s="81"/>
      <c r="I544" s="82"/>
      <c r="J544" s="88"/>
      <c r="K544" s="89"/>
      <c r="L544" s="88"/>
      <c r="M544" s="89"/>
      <c r="N544" s="80"/>
      <c r="O544" s="82"/>
      <c r="P544" s="94"/>
      <c r="Q544" s="95"/>
      <c r="S544" s="99"/>
      <c r="T544" s="99"/>
      <c r="U544" s="99"/>
      <c r="V544" s="99"/>
      <c r="W544" s="99"/>
      <c r="X544" s="99"/>
      <c r="Y544" s="99"/>
      <c r="Z544" s="99"/>
      <c r="AA544" s="99"/>
      <c r="AB544" s="99"/>
      <c r="AC544" s="98"/>
      <c r="AD544" s="98"/>
      <c r="AE544" s="98"/>
      <c r="AF544" s="98"/>
      <c r="AG544" s="98"/>
      <c r="AH544" s="98"/>
    </row>
    <row r="545" spans="2:34" x14ac:dyDescent="0.25">
      <c r="B545" s="75"/>
      <c r="C545" s="76"/>
      <c r="D545" s="83"/>
      <c r="E545" s="84"/>
      <c r="F545" s="84"/>
      <c r="G545" s="84"/>
      <c r="H545" s="84"/>
      <c r="I545" s="85"/>
      <c r="J545" s="90"/>
      <c r="K545" s="91"/>
      <c r="L545" s="90"/>
      <c r="M545" s="91"/>
      <c r="N545" s="83"/>
      <c r="O545" s="85"/>
      <c r="P545" s="96"/>
      <c r="Q545" s="97"/>
      <c r="S545" s="99"/>
      <c r="T545" s="99"/>
      <c r="U545" s="99"/>
      <c r="V545" s="99"/>
      <c r="W545" s="99"/>
      <c r="X545" s="99"/>
      <c r="Y545" s="99"/>
      <c r="Z545" s="99"/>
      <c r="AA545" s="99"/>
      <c r="AB545" s="99"/>
      <c r="AC545" s="98"/>
      <c r="AD545" s="98"/>
      <c r="AE545" s="98"/>
      <c r="AF545" s="98"/>
      <c r="AG545" s="98"/>
      <c r="AH545" s="98"/>
    </row>
    <row r="546" spans="2:34" x14ac:dyDescent="0.25">
      <c r="B546" s="71"/>
      <c r="C546" s="72"/>
      <c r="D546" s="77"/>
      <c r="E546" s="78"/>
      <c r="F546" s="78"/>
      <c r="G546" s="78"/>
      <c r="H546" s="78"/>
      <c r="I546" s="79"/>
      <c r="J546" s="86"/>
      <c r="K546" s="87"/>
      <c r="L546" s="86"/>
      <c r="M546" s="87"/>
      <c r="N546" s="77"/>
      <c r="O546" s="79"/>
      <c r="P546" s="92"/>
      <c r="Q546" s="93"/>
      <c r="S546" s="99"/>
      <c r="T546" s="99"/>
      <c r="U546" s="99"/>
      <c r="V546" s="99"/>
      <c r="W546" s="99"/>
      <c r="X546" s="99"/>
      <c r="Y546" s="99"/>
      <c r="Z546" s="99"/>
      <c r="AA546" s="99"/>
      <c r="AB546" s="99"/>
      <c r="AC546" s="98"/>
      <c r="AD546" s="98"/>
      <c r="AE546" s="98"/>
      <c r="AF546" s="98"/>
      <c r="AG546" s="98"/>
      <c r="AH546" s="98"/>
    </row>
    <row r="547" spans="2:34" x14ac:dyDescent="0.25">
      <c r="B547" s="73"/>
      <c r="C547" s="74"/>
      <c r="D547" s="80"/>
      <c r="E547" s="81"/>
      <c r="F547" s="81"/>
      <c r="G547" s="81"/>
      <c r="H547" s="81"/>
      <c r="I547" s="82"/>
      <c r="J547" s="88"/>
      <c r="K547" s="89"/>
      <c r="L547" s="88"/>
      <c r="M547" s="89"/>
      <c r="N547" s="80"/>
      <c r="O547" s="82"/>
      <c r="P547" s="94"/>
      <c r="Q547" s="95"/>
      <c r="S547" s="99"/>
      <c r="T547" s="99"/>
      <c r="U547" s="99"/>
      <c r="V547" s="99"/>
      <c r="W547" s="99"/>
      <c r="X547" s="99"/>
      <c r="Y547" s="99"/>
      <c r="Z547" s="99"/>
      <c r="AA547" s="99"/>
      <c r="AB547" s="99"/>
      <c r="AC547" s="98"/>
      <c r="AD547" s="98"/>
      <c r="AE547" s="98"/>
      <c r="AF547" s="98"/>
      <c r="AG547" s="98"/>
      <c r="AH547" s="98"/>
    </row>
    <row r="548" spans="2:34" x14ac:dyDescent="0.25">
      <c r="B548" s="75"/>
      <c r="C548" s="76"/>
      <c r="D548" s="83"/>
      <c r="E548" s="84"/>
      <c r="F548" s="84"/>
      <c r="G548" s="84"/>
      <c r="H548" s="84"/>
      <c r="I548" s="85"/>
      <c r="J548" s="90"/>
      <c r="K548" s="91"/>
      <c r="L548" s="90"/>
      <c r="M548" s="91"/>
      <c r="N548" s="83"/>
      <c r="O548" s="85"/>
      <c r="P548" s="96"/>
      <c r="Q548" s="97"/>
      <c r="S548" s="99"/>
      <c r="T548" s="99"/>
      <c r="U548" s="99"/>
      <c r="V548" s="99"/>
      <c r="W548" s="99"/>
      <c r="X548" s="99"/>
      <c r="Y548" s="99"/>
      <c r="Z548" s="99"/>
      <c r="AA548" s="99"/>
      <c r="AB548" s="99"/>
      <c r="AC548" s="98"/>
      <c r="AD548" s="98"/>
      <c r="AE548" s="98"/>
      <c r="AF548" s="98"/>
      <c r="AG548" s="98"/>
      <c r="AH548" s="98"/>
    </row>
    <row r="549" spans="2:34" x14ac:dyDescent="0.25">
      <c r="B549" s="71"/>
      <c r="C549" s="72"/>
      <c r="D549" s="77"/>
      <c r="E549" s="78"/>
      <c r="F549" s="78"/>
      <c r="G549" s="78"/>
      <c r="H549" s="78"/>
      <c r="I549" s="79"/>
      <c r="J549" s="86"/>
      <c r="K549" s="87"/>
      <c r="L549" s="86"/>
      <c r="M549" s="87"/>
      <c r="N549" s="77"/>
      <c r="O549" s="79"/>
      <c r="P549" s="92"/>
      <c r="Q549" s="93"/>
      <c r="S549" s="99"/>
      <c r="T549" s="99"/>
      <c r="U549" s="99"/>
      <c r="V549" s="99"/>
      <c r="W549" s="99"/>
      <c r="X549" s="99"/>
      <c r="Y549" s="99"/>
      <c r="Z549" s="99"/>
      <c r="AA549" s="99"/>
      <c r="AB549" s="99"/>
      <c r="AC549" s="98"/>
      <c r="AD549" s="98"/>
      <c r="AE549" s="98"/>
      <c r="AF549" s="98"/>
      <c r="AG549" s="98"/>
      <c r="AH549" s="98"/>
    </row>
    <row r="550" spans="2:34" x14ac:dyDescent="0.25">
      <c r="B550" s="73"/>
      <c r="C550" s="74"/>
      <c r="D550" s="80"/>
      <c r="E550" s="81"/>
      <c r="F550" s="81"/>
      <c r="G550" s="81"/>
      <c r="H550" s="81"/>
      <c r="I550" s="82"/>
      <c r="J550" s="88"/>
      <c r="K550" s="89"/>
      <c r="L550" s="88"/>
      <c r="M550" s="89"/>
      <c r="N550" s="80"/>
      <c r="O550" s="82"/>
      <c r="P550" s="94"/>
      <c r="Q550" s="95"/>
      <c r="S550" s="99"/>
      <c r="T550" s="99"/>
      <c r="U550" s="99"/>
      <c r="V550" s="99"/>
      <c r="W550" s="99"/>
      <c r="X550" s="99"/>
      <c r="Y550" s="99"/>
      <c r="Z550" s="99"/>
      <c r="AA550" s="99"/>
      <c r="AB550" s="99"/>
      <c r="AC550" s="98"/>
      <c r="AD550" s="98"/>
      <c r="AE550" s="98"/>
      <c r="AF550" s="98"/>
      <c r="AG550" s="98"/>
      <c r="AH550" s="98"/>
    </row>
    <row r="551" spans="2:34" x14ac:dyDescent="0.25">
      <c r="B551" s="75"/>
      <c r="C551" s="76"/>
      <c r="D551" s="83"/>
      <c r="E551" s="84"/>
      <c r="F551" s="84"/>
      <c r="G551" s="84"/>
      <c r="H551" s="84"/>
      <c r="I551" s="85"/>
      <c r="J551" s="90"/>
      <c r="K551" s="91"/>
      <c r="L551" s="90"/>
      <c r="M551" s="91"/>
      <c r="N551" s="83"/>
      <c r="O551" s="85"/>
      <c r="P551" s="96"/>
      <c r="Q551" s="97"/>
      <c r="S551" s="99"/>
      <c r="T551" s="99"/>
      <c r="U551" s="99"/>
      <c r="V551" s="99"/>
      <c r="W551" s="99"/>
      <c r="X551" s="99"/>
      <c r="Y551" s="99"/>
      <c r="Z551" s="99"/>
      <c r="AA551" s="99"/>
      <c r="AB551" s="99"/>
      <c r="AC551" s="98"/>
      <c r="AD551" s="98"/>
      <c r="AE551" s="98"/>
      <c r="AF551" s="98"/>
      <c r="AG551" s="98"/>
      <c r="AH551" s="98"/>
    </row>
    <row r="552" spans="2:34" x14ac:dyDescent="0.25">
      <c r="B552" s="71"/>
      <c r="C552" s="72"/>
      <c r="D552" s="77"/>
      <c r="E552" s="78"/>
      <c r="F552" s="78"/>
      <c r="G552" s="78"/>
      <c r="H552" s="78"/>
      <c r="I552" s="79"/>
      <c r="J552" s="86"/>
      <c r="K552" s="87"/>
      <c r="L552" s="86"/>
      <c r="M552" s="87"/>
      <c r="N552" s="77"/>
      <c r="O552" s="79"/>
      <c r="P552" s="92"/>
      <c r="Q552" s="93"/>
      <c r="S552" s="99"/>
      <c r="T552" s="99"/>
      <c r="U552" s="99"/>
      <c r="V552" s="99"/>
      <c r="W552" s="99"/>
      <c r="X552" s="99"/>
      <c r="Y552" s="99"/>
      <c r="Z552" s="99"/>
      <c r="AA552" s="99"/>
      <c r="AB552" s="99"/>
      <c r="AC552" s="98"/>
      <c r="AD552" s="98"/>
      <c r="AE552" s="98"/>
      <c r="AF552" s="98"/>
      <c r="AG552" s="98"/>
      <c r="AH552" s="98"/>
    </row>
    <row r="553" spans="2:34" x14ac:dyDescent="0.25">
      <c r="B553" s="73"/>
      <c r="C553" s="74"/>
      <c r="D553" s="80"/>
      <c r="E553" s="81"/>
      <c r="F553" s="81"/>
      <c r="G553" s="81"/>
      <c r="H553" s="81"/>
      <c r="I553" s="82"/>
      <c r="J553" s="88"/>
      <c r="K553" s="89"/>
      <c r="L553" s="88"/>
      <c r="M553" s="89"/>
      <c r="N553" s="80"/>
      <c r="O553" s="82"/>
      <c r="P553" s="94"/>
      <c r="Q553" s="95"/>
      <c r="S553" s="99"/>
      <c r="T553" s="99"/>
      <c r="U553" s="99"/>
      <c r="V553" s="99"/>
      <c r="W553" s="99"/>
      <c r="X553" s="99"/>
      <c r="Y553" s="99"/>
      <c r="Z553" s="99"/>
      <c r="AA553" s="99"/>
      <c r="AB553" s="99"/>
      <c r="AC553" s="98"/>
      <c r="AD553" s="98"/>
      <c r="AE553" s="98"/>
      <c r="AF553" s="98"/>
      <c r="AG553" s="98"/>
      <c r="AH553" s="98"/>
    </row>
    <row r="554" spans="2:34" x14ac:dyDescent="0.25">
      <c r="B554" s="75"/>
      <c r="C554" s="76"/>
      <c r="D554" s="83"/>
      <c r="E554" s="84"/>
      <c r="F554" s="84"/>
      <c r="G554" s="84"/>
      <c r="H554" s="84"/>
      <c r="I554" s="85"/>
      <c r="J554" s="90"/>
      <c r="K554" s="91"/>
      <c r="L554" s="90"/>
      <c r="M554" s="91"/>
      <c r="N554" s="83"/>
      <c r="O554" s="85"/>
      <c r="P554" s="96"/>
      <c r="Q554" s="97"/>
      <c r="S554" s="99"/>
      <c r="T554" s="99"/>
      <c r="U554" s="99"/>
      <c r="V554" s="99"/>
      <c r="W554" s="99"/>
      <c r="X554" s="99"/>
      <c r="Y554" s="99"/>
      <c r="Z554" s="99"/>
      <c r="AA554" s="99"/>
      <c r="AB554" s="99"/>
      <c r="AC554" s="98"/>
      <c r="AD554" s="98"/>
      <c r="AE554" s="98"/>
      <c r="AF554" s="98"/>
      <c r="AG554" s="98"/>
      <c r="AH554" s="98"/>
    </row>
    <row r="555" spans="2:34" x14ac:dyDescent="0.25">
      <c r="B555" s="71"/>
      <c r="C555" s="72"/>
      <c r="D555" s="77"/>
      <c r="E555" s="78"/>
      <c r="F555" s="78"/>
      <c r="G555" s="78"/>
      <c r="H555" s="78"/>
      <c r="I555" s="79"/>
      <c r="J555" s="86"/>
      <c r="K555" s="87"/>
      <c r="L555" s="86"/>
      <c r="M555" s="87"/>
      <c r="N555" s="77"/>
      <c r="O555" s="79"/>
      <c r="P555" s="92"/>
      <c r="Q555" s="93"/>
      <c r="S555" s="99"/>
      <c r="T555" s="99"/>
      <c r="U555" s="99"/>
      <c r="V555" s="99"/>
      <c r="W555" s="99"/>
      <c r="X555" s="99"/>
      <c r="Y555" s="99"/>
      <c r="Z555" s="99"/>
      <c r="AA555" s="99"/>
      <c r="AB555" s="99"/>
      <c r="AC555" s="98"/>
      <c r="AD555" s="98"/>
      <c r="AE555" s="98"/>
      <c r="AF555" s="98"/>
      <c r="AG555" s="98"/>
      <c r="AH555" s="98"/>
    </row>
    <row r="556" spans="2:34" x14ac:dyDescent="0.25">
      <c r="B556" s="73"/>
      <c r="C556" s="74"/>
      <c r="D556" s="80"/>
      <c r="E556" s="81"/>
      <c r="F556" s="81"/>
      <c r="G556" s="81"/>
      <c r="H556" s="81"/>
      <c r="I556" s="82"/>
      <c r="J556" s="88"/>
      <c r="K556" s="89"/>
      <c r="L556" s="88"/>
      <c r="M556" s="89"/>
      <c r="N556" s="80"/>
      <c r="O556" s="82"/>
      <c r="P556" s="94"/>
      <c r="Q556" s="95"/>
      <c r="S556" s="99"/>
      <c r="T556" s="99"/>
      <c r="U556" s="99"/>
      <c r="V556" s="99"/>
      <c r="W556" s="99"/>
      <c r="X556" s="99"/>
      <c r="Y556" s="99"/>
      <c r="Z556" s="99"/>
      <c r="AA556" s="99"/>
      <c r="AB556" s="99"/>
      <c r="AC556" s="98"/>
      <c r="AD556" s="98"/>
      <c r="AE556" s="98"/>
      <c r="AF556" s="98"/>
      <c r="AG556" s="98"/>
      <c r="AH556" s="98"/>
    </row>
    <row r="557" spans="2:34" x14ac:dyDescent="0.25">
      <c r="B557" s="75"/>
      <c r="C557" s="76"/>
      <c r="D557" s="83"/>
      <c r="E557" s="84"/>
      <c r="F557" s="84"/>
      <c r="G557" s="84"/>
      <c r="H557" s="84"/>
      <c r="I557" s="85"/>
      <c r="J557" s="90"/>
      <c r="K557" s="91"/>
      <c r="L557" s="90"/>
      <c r="M557" s="91"/>
      <c r="N557" s="83"/>
      <c r="O557" s="85"/>
      <c r="P557" s="96"/>
      <c r="Q557" s="97"/>
      <c r="S557" s="99"/>
      <c r="T557" s="99"/>
      <c r="U557" s="99"/>
      <c r="V557" s="99"/>
      <c r="W557" s="99"/>
      <c r="X557" s="99"/>
      <c r="Y557" s="99"/>
      <c r="Z557" s="99"/>
      <c r="AA557" s="99"/>
      <c r="AB557" s="99"/>
      <c r="AC557" s="98"/>
      <c r="AD557" s="98"/>
      <c r="AE557" s="98"/>
      <c r="AF557" s="98"/>
      <c r="AG557" s="98"/>
      <c r="AH557" s="98"/>
    </row>
    <row r="558" spans="2:34" x14ac:dyDescent="0.25">
      <c r="B558" s="71"/>
      <c r="C558" s="72"/>
      <c r="D558" s="77"/>
      <c r="E558" s="78"/>
      <c r="F558" s="78"/>
      <c r="G558" s="78"/>
      <c r="H558" s="78"/>
      <c r="I558" s="79"/>
      <c r="J558" s="86"/>
      <c r="K558" s="87"/>
      <c r="L558" s="86"/>
      <c r="M558" s="87"/>
      <c r="N558" s="77"/>
      <c r="O558" s="79"/>
      <c r="P558" s="92"/>
      <c r="Q558" s="93"/>
      <c r="S558" s="99"/>
      <c r="T558" s="99"/>
      <c r="U558" s="99"/>
      <c r="V558" s="99"/>
      <c r="W558" s="99"/>
      <c r="X558" s="99"/>
      <c r="Y558" s="99"/>
      <c r="Z558" s="99"/>
      <c r="AA558" s="99"/>
      <c r="AB558" s="99"/>
      <c r="AC558" s="98"/>
      <c r="AD558" s="98"/>
      <c r="AE558" s="98"/>
      <c r="AF558" s="98"/>
      <c r="AG558" s="98"/>
      <c r="AH558" s="98"/>
    </row>
    <row r="559" spans="2:34" x14ac:dyDescent="0.25">
      <c r="B559" s="73"/>
      <c r="C559" s="74"/>
      <c r="D559" s="80"/>
      <c r="E559" s="81"/>
      <c r="F559" s="81"/>
      <c r="G559" s="81"/>
      <c r="H559" s="81"/>
      <c r="I559" s="82"/>
      <c r="J559" s="88"/>
      <c r="K559" s="89"/>
      <c r="L559" s="88"/>
      <c r="M559" s="89"/>
      <c r="N559" s="80"/>
      <c r="O559" s="82"/>
      <c r="P559" s="94"/>
      <c r="Q559" s="95"/>
      <c r="S559" s="99"/>
      <c r="T559" s="99"/>
      <c r="U559" s="99"/>
      <c r="V559" s="99"/>
      <c r="W559" s="99"/>
      <c r="X559" s="99"/>
      <c r="Y559" s="99"/>
      <c r="Z559" s="99"/>
      <c r="AA559" s="99"/>
      <c r="AB559" s="99"/>
      <c r="AC559" s="98"/>
      <c r="AD559" s="98"/>
      <c r="AE559" s="98"/>
      <c r="AF559" s="98"/>
      <c r="AG559" s="98"/>
      <c r="AH559" s="98"/>
    </row>
    <row r="560" spans="2:34" x14ac:dyDescent="0.25">
      <c r="B560" s="75"/>
      <c r="C560" s="76"/>
      <c r="D560" s="83"/>
      <c r="E560" s="84"/>
      <c r="F560" s="84"/>
      <c r="G560" s="84"/>
      <c r="H560" s="84"/>
      <c r="I560" s="85"/>
      <c r="J560" s="90"/>
      <c r="K560" s="91"/>
      <c r="L560" s="90"/>
      <c r="M560" s="91"/>
      <c r="N560" s="83"/>
      <c r="O560" s="85"/>
      <c r="P560" s="96"/>
      <c r="Q560" s="97"/>
      <c r="S560" s="99"/>
      <c r="T560" s="99"/>
      <c r="U560" s="99"/>
      <c r="V560" s="99"/>
      <c r="W560" s="99"/>
      <c r="X560" s="99"/>
      <c r="Y560" s="99"/>
      <c r="Z560" s="99"/>
      <c r="AA560" s="99"/>
      <c r="AB560" s="99"/>
      <c r="AC560" s="98"/>
      <c r="AD560" s="98"/>
      <c r="AE560" s="98"/>
      <c r="AF560" s="98"/>
      <c r="AG560" s="98"/>
      <c r="AH560" s="98"/>
    </row>
    <row r="561" spans="2:34" x14ac:dyDescent="0.25">
      <c r="B561" s="71"/>
      <c r="C561" s="72"/>
      <c r="D561" s="77"/>
      <c r="E561" s="78"/>
      <c r="F561" s="78"/>
      <c r="G561" s="78"/>
      <c r="H561" s="78"/>
      <c r="I561" s="79"/>
      <c r="J561" s="86"/>
      <c r="K561" s="87"/>
      <c r="L561" s="86"/>
      <c r="M561" s="87"/>
      <c r="N561" s="77"/>
      <c r="O561" s="79"/>
      <c r="P561" s="92"/>
      <c r="Q561" s="93"/>
      <c r="S561" s="99"/>
      <c r="T561" s="99"/>
      <c r="U561" s="99"/>
      <c r="V561" s="99"/>
      <c r="W561" s="99"/>
      <c r="X561" s="99"/>
      <c r="Y561" s="99"/>
      <c r="Z561" s="99"/>
      <c r="AA561" s="99"/>
      <c r="AB561" s="99"/>
      <c r="AC561" s="98"/>
      <c r="AD561" s="98"/>
      <c r="AE561" s="98"/>
      <c r="AF561" s="98"/>
      <c r="AG561" s="98"/>
      <c r="AH561" s="98"/>
    </row>
    <row r="562" spans="2:34" x14ac:dyDescent="0.25">
      <c r="B562" s="73"/>
      <c r="C562" s="74"/>
      <c r="D562" s="80"/>
      <c r="E562" s="81"/>
      <c r="F562" s="81"/>
      <c r="G562" s="81"/>
      <c r="H562" s="81"/>
      <c r="I562" s="82"/>
      <c r="J562" s="88"/>
      <c r="K562" s="89"/>
      <c r="L562" s="88"/>
      <c r="M562" s="89"/>
      <c r="N562" s="80"/>
      <c r="O562" s="82"/>
      <c r="P562" s="94"/>
      <c r="Q562" s="95"/>
      <c r="S562" s="99"/>
      <c r="T562" s="99"/>
      <c r="U562" s="99"/>
      <c r="V562" s="99"/>
      <c r="W562" s="99"/>
      <c r="X562" s="99"/>
      <c r="Y562" s="99"/>
      <c r="Z562" s="99"/>
      <c r="AA562" s="99"/>
      <c r="AB562" s="99"/>
      <c r="AC562" s="98"/>
      <c r="AD562" s="98"/>
      <c r="AE562" s="98"/>
      <c r="AF562" s="98"/>
      <c r="AG562" s="98"/>
      <c r="AH562" s="98"/>
    </row>
    <row r="563" spans="2:34" x14ac:dyDescent="0.25">
      <c r="B563" s="75"/>
      <c r="C563" s="76"/>
      <c r="D563" s="83"/>
      <c r="E563" s="84"/>
      <c r="F563" s="84"/>
      <c r="G563" s="84"/>
      <c r="H563" s="84"/>
      <c r="I563" s="85"/>
      <c r="J563" s="90"/>
      <c r="K563" s="91"/>
      <c r="L563" s="90"/>
      <c r="M563" s="91"/>
      <c r="N563" s="83"/>
      <c r="O563" s="85"/>
      <c r="P563" s="96"/>
      <c r="Q563" s="97"/>
      <c r="S563" s="99"/>
      <c r="T563" s="99"/>
      <c r="U563" s="99"/>
      <c r="V563" s="99"/>
      <c r="W563" s="99"/>
      <c r="X563" s="99"/>
      <c r="Y563" s="99"/>
      <c r="Z563" s="99"/>
      <c r="AA563" s="99"/>
      <c r="AB563" s="99"/>
      <c r="AC563" s="98"/>
      <c r="AD563" s="98"/>
      <c r="AE563" s="98"/>
      <c r="AF563" s="98"/>
      <c r="AG563" s="98"/>
      <c r="AH563" s="98"/>
    </row>
    <row r="564" spans="2:34" x14ac:dyDescent="0.25">
      <c r="B564" s="71"/>
      <c r="C564" s="72"/>
      <c r="D564" s="77"/>
      <c r="E564" s="78"/>
      <c r="F564" s="78"/>
      <c r="G564" s="78"/>
      <c r="H564" s="78"/>
      <c r="I564" s="79"/>
      <c r="J564" s="86"/>
      <c r="K564" s="87"/>
      <c r="L564" s="86"/>
      <c r="M564" s="87"/>
      <c r="N564" s="77"/>
      <c r="O564" s="79"/>
      <c r="P564" s="92"/>
      <c r="Q564" s="93"/>
      <c r="S564" s="99"/>
      <c r="T564" s="99"/>
      <c r="U564" s="99"/>
      <c r="V564" s="99"/>
      <c r="W564" s="99"/>
      <c r="X564" s="99"/>
      <c r="Y564" s="99"/>
      <c r="Z564" s="99"/>
      <c r="AA564" s="99"/>
      <c r="AB564" s="99"/>
      <c r="AC564" s="98"/>
      <c r="AD564" s="98"/>
      <c r="AE564" s="98"/>
      <c r="AF564" s="98"/>
      <c r="AG564" s="98"/>
      <c r="AH564" s="98"/>
    </row>
    <row r="565" spans="2:34" x14ac:dyDescent="0.25">
      <c r="B565" s="73"/>
      <c r="C565" s="74"/>
      <c r="D565" s="80"/>
      <c r="E565" s="81"/>
      <c r="F565" s="81"/>
      <c r="G565" s="81"/>
      <c r="H565" s="81"/>
      <c r="I565" s="82"/>
      <c r="J565" s="88"/>
      <c r="K565" s="89"/>
      <c r="L565" s="88"/>
      <c r="M565" s="89"/>
      <c r="N565" s="80"/>
      <c r="O565" s="82"/>
      <c r="P565" s="94"/>
      <c r="Q565" s="95"/>
      <c r="S565" s="99"/>
      <c r="T565" s="99"/>
      <c r="U565" s="99"/>
      <c r="V565" s="99"/>
      <c r="W565" s="99"/>
      <c r="X565" s="99"/>
      <c r="Y565" s="99"/>
      <c r="Z565" s="99"/>
      <c r="AA565" s="99"/>
      <c r="AB565" s="99"/>
      <c r="AC565" s="98"/>
      <c r="AD565" s="98"/>
      <c r="AE565" s="98"/>
      <c r="AF565" s="98"/>
      <c r="AG565" s="98"/>
      <c r="AH565" s="98"/>
    </row>
    <row r="566" spans="2:34" x14ac:dyDescent="0.25">
      <c r="B566" s="75"/>
      <c r="C566" s="76"/>
      <c r="D566" s="83"/>
      <c r="E566" s="84"/>
      <c r="F566" s="84"/>
      <c r="G566" s="84"/>
      <c r="H566" s="84"/>
      <c r="I566" s="85"/>
      <c r="J566" s="90"/>
      <c r="K566" s="91"/>
      <c r="L566" s="90"/>
      <c r="M566" s="91"/>
      <c r="N566" s="83"/>
      <c r="O566" s="85"/>
      <c r="P566" s="96"/>
      <c r="Q566" s="97"/>
      <c r="S566" s="99"/>
      <c r="T566" s="99"/>
      <c r="U566" s="99"/>
      <c r="V566" s="99"/>
      <c r="W566" s="99"/>
      <c r="X566" s="99"/>
      <c r="Y566" s="99"/>
      <c r="Z566" s="99"/>
      <c r="AA566" s="99"/>
      <c r="AB566" s="99"/>
      <c r="AC566" s="98"/>
      <c r="AD566" s="98"/>
      <c r="AE566" s="98"/>
      <c r="AF566" s="98"/>
      <c r="AG566" s="98"/>
      <c r="AH566" s="98"/>
    </row>
    <row r="567" spans="2:34" x14ac:dyDescent="0.25">
      <c r="B567" s="71"/>
      <c r="C567" s="72"/>
      <c r="D567" s="77"/>
      <c r="E567" s="78"/>
      <c r="F567" s="78"/>
      <c r="G567" s="78"/>
      <c r="H567" s="78"/>
      <c r="I567" s="79"/>
      <c r="J567" s="86"/>
      <c r="K567" s="87"/>
      <c r="L567" s="86"/>
      <c r="M567" s="87"/>
      <c r="N567" s="77"/>
      <c r="O567" s="79"/>
      <c r="P567" s="92"/>
      <c r="Q567" s="93"/>
      <c r="S567" s="99"/>
      <c r="T567" s="99"/>
      <c r="U567" s="99"/>
      <c r="V567" s="99"/>
      <c r="W567" s="99"/>
      <c r="X567" s="99"/>
      <c r="Y567" s="99"/>
      <c r="Z567" s="99"/>
      <c r="AA567" s="99"/>
      <c r="AB567" s="99"/>
      <c r="AC567" s="98"/>
      <c r="AD567" s="98"/>
      <c r="AE567" s="98"/>
      <c r="AF567" s="98"/>
      <c r="AG567" s="98"/>
      <c r="AH567" s="98"/>
    </row>
    <row r="568" spans="2:34" x14ac:dyDescent="0.25">
      <c r="B568" s="73"/>
      <c r="C568" s="74"/>
      <c r="D568" s="80"/>
      <c r="E568" s="81"/>
      <c r="F568" s="81"/>
      <c r="G568" s="81"/>
      <c r="H568" s="81"/>
      <c r="I568" s="82"/>
      <c r="J568" s="88"/>
      <c r="K568" s="89"/>
      <c r="L568" s="88"/>
      <c r="M568" s="89"/>
      <c r="N568" s="80"/>
      <c r="O568" s="82"/>
      <c r="P568" s="94"/>
      <c r="Q568" s="95"/>
      <c r="S568" s="99"/>
      <c r="T568" s="99"/>
      <c r="U568" s="99"/>
      <c r="V568" s="99"/>
      <c r="W568" s="99"/>
      <c r="X568" s="99"/>
      <c r="Y568" s="99"/>
      <c r="Z568" s="99"/>
      <c r="AA568" s="99"/>
      <c r="AB568" s="99"/>
      <c r="AC568" s="98"/>
      <c r="AD568" s="98"/>
      <c r="AE568" s="98"/>
      <c r="AF568" s="98"/>
      <c r="AG568" s="98"/>
      <c r="AH568" s="98"/>
    </row>
    <row r="569" spans="2:34" x14ac:dyDescent="0.25">
      <c r="B569" s="75"/>
      <c r="C569" s="76"/>
      <c r="D569" s="83"/>
      <c r="E569" s="84"/>
      <c r="F569" s="84"/>
      <c r="G569" s="84"/>
      <c r="H569" s="84"/>
      <c r="I569" s="85"/>
      <c r="J569" s="90"/>
      <c r="K569" s="91"/>
      <c r="L569" s="90"/>
      <c r="M569" s="91"/>
      <c r="N569" s="83"/>
      <c r="O569" s="85"/>
      <c r="P569" s="96"/>
      <c r="Q569" s="97"/>
      <c r="S569" s="99"/>
      <c r="T569" s="99"/>
      <c r="U569" s="99"/>
      <c r="V569" s="99"/>
      <c r="W569" s="99"/>
      <c r="X569" s="99"/>
      <c r="Y569" s="99"/>
      <c r="Z569" s="99"/>
      <c r="AA569" s="99"/>
      <c r="AB569" s="99"/>
      <c r="AC569" s="98"/>
      <c r="AD569" s="98"/>
      <c r="AE569" s="98"/>
      <c r="AF569" s="98"/>
      <c r="AG569" s="98"/>
      <c r="AH569" s="98"/>
    </row>
    <row r="570" spans="2:34" x14ac:dyDescent="0.25">
      <c r="B570" s="71"/>
      <c r="C570" s="72"/>
      <c r="D570" s="77"/>
      <c r="E570" s="78"/>
      <c r="F570" s="78"/>
      <c r="G570" s="78"/>
      <c r="H570" s="78"/>
      <c r="I570" s="79"/>
      <c r="J570" s="86"/>
      <c r="K570" s="87"/>
      <c r="L570" s="86"/>
      <c r="M570" s="87"/>
      <c r="N570" s="77"/>
      <c r="O570" s="79"/>
      <c r="P570" s="92"/>
      <c r="Q570" s="93"/>
      <c r="S570" s="99"/>
      <c r="T570" s="99"/>
      <c r="U570" s="99"/>
      <c r="V570" s="99"/>
      <c r="W570" s="99"/>
      <c r="X570" s="99"/>
      <c r="Y570" s="99"/>
      <c r="Z570" s="99"/>
      <c r="AA570" s="99"/>
      <c r="AB570" s="99"/>
      <c r="AC570" s="98"/>
      <c r="AD570" s="98"/>
      <c r="AE570" s="98"/>
      <c r="AF570" s="98"/>
      <c r="AG570" s="98"/>
      <c r="AH570" s="98"/>
    </row>
    <row r="571" spans="2:34" x14ac:dyDescent="0.25">
      <c r="B571" s="73"/>
      <c r="C571" s="74"/>
      <c r="D571" s="80"/>
      <c r="E571" s="81"/>
      <c r="F571" s="81"/>
      <c r="G571" s="81"/>
      <c r="H571" s="81"/>
      <c r="I571" s="82"/>
      <c r="J571" s="88"/>
      <c r="K571" s="89"/>
      <c r="L571" s="88"/>
      <c r="M571" s="89"/>
      <c r="N571" s="80"/>
      <c r="O571" s="82"/>
      <c r="P571" s="94"/>
      <c r="Q571" s="95"/>
      <c r="S571" s="99"/>
      <c r="T571" s="99"/>
      <c r="U571" s="99"/>
      <c r="V571" s="99"/>
      <c r="W571" s="99"/>
      <c r="X571" s="99"/>
      <c r="Y571" s="99"/>
      <c r="Z571" s="99"/>
      <c r="AA571" s="99"/>
      <c r="AB571" s="99"/>
      <c r="AC571" s="98"/>
      <c r="AD571" s="98"/>
      <c r="AE571" s="98"/>
      <c r="AF571" s="98"/>
      <c r="AG571" s="98"/>
      <c r="AH571" s="98"/>
    </row>
    <row r="572" spans="2:34" x14ac:dyDescent="0.25">
      <c r="B572" s="75"/>
      <c r="C572" s="76"/>
      <c r="D572" s="83"/>
      <c r="E572" s="84"/>
      <c r="F572" s="84"/>
      <c r="G572" s="84"/>
      <c r="H572" s="84"/>
      <c r="I572" s="85"/>
      <c r="J572" s="90"/>
      <c r="K572" s="91"/>
      <c r="L572" s="90"/>
      <c r="M572" s="91"/>
      <c r="N572" s="83"/>
      <c r="O572" s="85"/>
      <c r="P572" s="96"/>
      <c r="Q572" s="97"/>
      <c r="S572" s="99"/>
      <c r="T572" s="99"/>
      <c r="U572" s="99"/>
      <c r="V572" s="99"/>
      <c r="W572" s="99"/>
      <c r="X572" s="99"/>
      <c r="Y572" s="99"/>
      <c r="Z572" s="99"/>
      <c r="AA572" s="99"/>
      <c r="AB572" s="99"/>
      <c r="AC572" s="98"/>
      <c r="AD572" s="98"/>
      <c r="AE572" s="98"/>
      <c r="AF572" s="98"/>
      <c r="AG572" s="98"/>
      <c r="AH572" s="98"/>
    </row>
    <row r="573" spans="2:34" x14ac:dyDescent="0.25">
      <c r="B573" s="71"/>
      <c r="C573" s="72"/>
      <c r="D573" s="77"/>
      <c r="E573" s="78"/>
      <c r="F573" s="78"/>
      <c r="G573" s="78"/>
      <c r="H573" s="78"/>
      <c r="I573" s="79"/>
      <c r="J573" s="86"/>
      <c r="K573" s="87"/>
      <c r="L573" s="86"/>
      <c r="M573" s="87"/>
      <c r="N573" s="77"/>
      <c r="O573" s="79"/>
      <c r="P573" s="92"/>
      <c r="Q573" s="93"/>
      <c r="S573" s="99"/>
      <c r="T573" s="99"/>
      <c r="U573" s="99"/>
      <c r="V573" s="99"/>
      <c r="W573" s="99"/>
      <c r="X573" s="99"/>
      <c r="Y573" s="99"/>
      <c r="Z573" s="99"/>
      <c r="AA573" s="99"/>
      <c r="AB573" s="99"/>
      <c r="AC573" s="98"/>
      <c r="AD573" s="98"/>
      <c r="AE573" s="98"/>
      <c r="AF573" s="98"/>
      <c r="AG573" s="98"/>
      <c r="AH573" s="98"/>
    </row>
    <row r="574" spans="2:34" x14ac:dyDescent="0.25">
      <c r="B574" s="73"/>
      <c r="C574" s="74"/>
      <c r="D574" s="80"/>
      <c r="E574" s="81"/>
      <c r="F574" s="81"/>
      <c r="G574" s="81"/>
      <c r="H574" s="81"/>
      <c r="I574" s="82"/>
      <c r="J574" s="88"/>
      <c r="K574" s="89"/>
      <c r="L574" s="88"/>
      <c r="M574" s="89"/>
      <c r="N574" s="80"/>
      <c r="O574" s="82"/>
      <c r="P574" s="94"/>
      <c r="Q574" s="95"/>
      <c r="S574" s="99"/>
      <c r="T574" s="99"/>
      <c r="U574" s="99"/>
      <c r="V574" s="99"/>
      <c r="W574" s="99"/>
      <c r="X574" s="99"/>
      <c r="Y574" s="99"/>
      <c r="Z574" s="99"/>
      <c r="AA574" s="99"/>
      <c r="AB574" s="99"/>
      <c r="AC574" s="98"/>
      <c r="AD574" s="98"/>
      <c r="AE574" s="98"/>
      <c r="AF574" s="98"/>
      <c r="AG574" s="98"/>
      <c r="AH574" s="98"/>
    </row>
    <row r="575" spans="2:34" x14ac:dyDescent="0.25">
      <c r="B575" s="75"/>
      <c r="C575" s="76"/>
      <c r="D575" s="83"/>
      <c r="E575" s="84"/>
      <c r="F575" s="84"/>
      <c r="G575" s="84"/>
      <c r="H575" s="84"/>
      <c r="I575" s="85"/>
      <c r="J575" s="90"/>
      <c r="K575" s="91"/>
      <c r="L575" s="90"/>
      <c r="M575" s="91"/>
      <c r="N575" s="83"/>
      <c r="O575" s="85"/>
      <c r="P575" s="96"/>
      <c r="Q575" s="97"/>
      <c r="S575" s="99"/>
      <c r="T575" s="99"/>
      <c r="U575" s="99"/>
      <c r="V575" s="99"/>
      <c r="W575" s="99"/>
      <c r="X575" s="99"/>
      <c r="Y575" s="99"/>
      <c r="Z575" s="99"/>
      <c r="AA575" s="99"/>
      <c r="AB575" s="99"/>
      <c r="AC575" s="98"/>
      <c r="AD575" s="98"/>
      <c r="AE575" s="98"/>
      <c r="AF575" s="98"/>
      <c r="AG575" s="98"/>
      <c r="AH575" s="98"/>
    </row>
    <row r="576" spans="2:34" x14ac:dyDescent="0.25">
      <c r="B576" s="71"/>
      <c r="C576" s="72"/>
      <c r="D576" s="77"/>
      <c r="E576" s="78"/>
      <c r="F576" s="78"/>
      <c r="G576" s="78"/>
      <c r="H576" s="78"/>
      <c r="I576" s="79"/>
      <c r="J576" s="86"/>
      <c r="K576" s="87"/>
      <c r="L576" s="86"/>
      <c r="M576" s="87"/>
      <c r="N576" s="77"/>
      <c r="O576" s="79"/>
      <c r="P576" s="92"/>
      <c r="Q576" s="93"/>
      <c r="S576" s="99"/>
      <c r="T576" s="99"/>
      <c r="U576" s="99"/>
      <c r="V576" s="99"/>
      <c r="W576" s="99"/>
      <c r="X576" s="99"/>
      <c r="Y576" s="99"/>
      <c r="Z576" s="99"/>
      <c r="AA576" s="99"/>
      <c r="AB576" s="99"/>
      <c r="AC576" s="98"/>
      <c r="AD576" s="98"/>
      <c r="AE576" s="98"/>
      <c r="AF576" s="98"/>
      <c r="AG576" s="98"/>
      <c r="AH576" s="98"/>
    </row>
    <row r="577" spans="2:34" x14ac:dyDescent="0.25">
      <c r="B577" s="73"/>
      <c r="C577" s="74"/>
      <c r="D577" s="80"/>
      <c r="E577" s="81"/>
      <c r="F577" s="81"/>
      <c r="G577" s="81"/>
      <c r="H577" s="81"/>
      <c r="I577" s="82"/>
      <c r="J577" s="88"/>
      <c r="K577" s="89"/>
      <c r="L577" s="88"/>
      <c r="M577" s="89"/>
      <c r="N577" s="80"/>
      <c r="O577" s="82"/>
      <c r="P577" s="94"/>
      <c r="Q577" s="95"/>
      <c r="S577" s="99"/>
      <c r="T577" s="99"/>
      <c r="U577" s="99"/>
      <c r="V577" s="99"/>
      <c r="W577" s="99"/>
      <c r="X577" s="99"/>
      <c r="Y577" s="99"/>
      <c r="Z577" s="99"/>
      <c r="AA577" s="99"/>
      <c r="AB577" s="99"/>
      <c r="AC577" s="98"/>
      <c r="AD577" s="98"/>
      <c r="AE577" s="98"/>
      <c r="AF577" s="98"/>
      <c r="AG577" s="98"/>
      <c r="AH577" s="98"/>
    </row>
    <row r="578" spans="2:34" x14ac:dyDescent="0.25">
      <c r="B578" s="75"/>
      <c r="C578" s="76"/>
      <c r="D578" s="83"/>
      <c r="E578" s="84"/>
      <c r="F578" s="84"/>
      <c r="G578" s="84"/>
      <c r="H578" s="84"/>
      <c r="I578" s="85"/>
      <c r="J578" s="90"/>
      <c r="K578" s="91"/>
      <c r="L578" s="90"/>
      <c r="M578" s="91"/>
      <c r="N578" s="83"/>
      <c r="O578" s="85"/>
      <c r="P578" s="96"/>
      <c r="Q578" s="97"/>
      <c r="S578" s="99"/>
      <c r="T578" s="99"/>
      <c r="U578" s="99"/>
      <c r="V578" s="99"/>
      <c r="W578" s="99"/>
      <c r="X578" s="99"/>
      <c r="Y578" s="99"/>
      <c r="Z578" s="99"/>
      <c r="AA578" s="99"/>
      <c r="AB578" s="99"/>
      <c r="AC578" s="98"/>
      <c r="AD578" s="98"/>
      <c r="AE578" s="98"/>
      <c r="AF578" s="98"/>
      <c r="AG578" s="98"/>
      <c r="AH578" s="98"/>
    </row>
    <row r="579" spans="2:34" x14ac:dyDescent="0.25">
      <c r="B579" s="71"/>
      <c r="C579" s="72"/>
      <c r="D579" s="77"/>
      <c r="E579" s="78"/>
      <c r="F579" s="78"/>
      <c r="G579" s="78"/>
      <c r="H579" s="78"/>
      <c r="I579" s="79"/>
      <c r="J579" s="86"/>
      <c r="K579" s="87"/>
      <c r="L579" s="86"/>
      <c r="M579" s="87"/>
      <c r="N579" s="77"/>
      <c r="O579" s="79"/>
      <c r="P579" s="92"/>
      <c r="Q579" s="93"/>
      <c r="S579" s="99"/>
      <c r="T579" s="99"/>
      <c r="U579" s="99"/>
      <c r="V579" s="99"/>
      <c r="W579" s="99"/>
      <c r="X579" s="99"/>
      <c r="Y579" s="99"/>
      <c r="Z579" s="99"/>
      <c r="AA579" s="99"/>
      <c r="AB579" s="99"/>
      <c r="AC579" s="98"/>
      <c r="AD579" s="98"/>
      <c r="AE579" s="98"/>
      <c r="AF579" s="98"/>
      <c r="AG579" s="98"/>
      <c r="AH579" s="98"/>
    </row>
    <row r="580" spans="2:34" x14ac:dyDescent="0.25">
      <c r="B580" s="73"/>
      <c r="C580" s="74"/>
      <c r="D580" s="80"/>
      <c r="E580" s="81"/>
      <c r="F580" s="81"/>
      <c r="G580" s="81"/>
      <c r="H580" s="81"/>
      <c r="I580" s="82"/>
      <c r="J580" s="88"/>
      <c r="K580" s="89"/>
      <c r="L580" s="88"/>
      <c r="M580" s="89"/>
      <c r="N580" s="80"/>
      <c r="O580" s="82"/>
      <c r="P580" s="94"/>
      <c r="Q580" s="95"/>
      <c r="S580" s="99"/>
      <c r="T580" s="99"/>
      <c r="U580" s="99"/>
      <c r="V580" s="99"/>
      <c r="W580" s="99"/>
      <c r="X580" s="99"/>
      <c r="Y580" s="99"/>
      <c r="Z580" s="99"/>
      <c r="AA580" s="99"/>
      <c r="AB580" s="99"/>
      <c r="AC580" s="98"/>
      <c r="AD580" s="98"/>
      <c r="AE580" s="98"/>
      <c r="AF580" s="98"/>
      <c r="AG580" s="98"/>
      <c r="AH580" s="98"/>
    </row>
    <row r="581" spans="2:34" x14ac:dyDescent="0.25">
      <c r="B581" s="75"/>
      <c r="C581" s="76"/>
      <c r="D581" s="83"/>
      <c r="E581" s="84"/>
      <c r="F581" s="84"/>
      <c r="G581" s="84"/>
      <c r="H581" s="84"/>
      <c r="I581" s="85"/>
      <c r="J581" s="90"/>
      <c r="K581" s="91"/>
      <c r="L581" s="90"/>
      <c r="M581" s="91"/>
      <c r="N581" s="83"/>
      <c r="O581" s="85"/>
      <c r="P581" s="96"/>
      <c r="Q581" s="97"/>
      <c r="S581" s="99"/>
      <c r="T581" s="99"/>
      <c r="U581" s="99"/>
      <c r="V581" s="99"/>
      <c r="W581" s="99"/>
      <c r="X581" s="99"/>
      <c r="Y581" s="99"/>
      <c r="Z581" s="99"/>
      <c r="AA581" s="99"/>
      <c r="AB581" s="99"/>
      <c r="AC581" s="98"/>
      <c r="AD581" s="98"/>
      <c r="AE581" s="98"/>
      <c r="AF581" s="98"/>
      <c r="AG581" s="98"/>
      <c r="AH581" s="98"/>
    </row>
    <row r="582" spans="2:34" x14ac:dyDescent="0.25">
      <c r="B582" s="71"/>
      <c r="C582" s="72"/>
      <c r="D582" s="77"/>
      <c r="E582" s="78"/>
      <c r="F582" s="78"/>
      <c r="G582" s="78"/>
      <c r="H582" s="78"/>
      <c r="I582" s="79"/>
      <c r="J582" s="86"/>
      <c r="K582" s="87"/>
      <c r="L582" s="86"/>
      <c r="M582" s="87"/>
      <c r="N582" s="77"/>
      <c r="O582" s="79"/>
      <c r="P582" s="92"/>
      <c r="Q582" s="93"/>
      <c r="S582" s="99"/>
      <c r="T582" s="99"/>
      <c r="U582" s="99"/>
      <c r="V582" s="99"/>
      <c r="W582" s="99"/>
      <c r="X582" s="99"/>
      <c r="Y582" s="99"/>
      <c r="Z582" s="99"/>
      <c r="AA582" s="99"/>
      <c r="AB582" s="99"/>
      <c r="AC582" s="98"/>
      <c r="AD582" s="98"/>
      <c r="AE582" s="98"/>
      <c r="AF582" s="98"/>
      <c r="AG582" s="98"/>
      <c r="AH582" s="98"/>
    </row>
    <row r="583" spans="2:34" x14ac:dyDescent="0.25">
      <c r="B583" s="73"/>
      <c r="C583" s="74"/>
      <c r="D583" s="80"/>
      <c r="E583" s="81"/>
      <c r="F583" s="81"/>
      <c r="G583" s="81"/>
      <c r="H583" s="81"/>
      <c r="I583" s="82"/>
      <c r="J583" s="88"/>
      <c r="K583" s="89"/>
      <c r="L583" s="88"/>
      <c r="M583" s="89"/>
      <c r="N583" s="80"/>
      <c r="O583" s="82"/>
      <c r="P583" s="94"/>
      <c r="Q583" s="95"/>
      <c r="S583" s="99"/>
      <c r="T583" s="99"/>
      <c r="U583" s="99"/>
      <c r="V583" s="99"/>
      <c r="W583" s="99"/>
      <c r="X583" s="99"/>
      <c r="Y583" s="99"/>
      <c r="Z583" s="99"/>
      <c r="AA583" s="99"/>
      <c r="AB583" s="99"/>
      <c r="AC583" s="98"/>
      <c r="AD583" s="98"/>
      <c r="AE583" s="98"/>
      <c r="AF583" s="98"/>
      <c r="AG583" s="98"/>
      <c r="AH583" s="98"/>
    </row>
    <row r="584" spans="2:34" x14ac:dyDescent="0.25">
      <c r="B584" s="75"/>
      <c r="C584" s="76"/>
      <c r="D584" s="83"/>
      <c r="E584" s="84"/>
      <c r="F584" s="84"/>
      <c r="G584" s="84"/>
      <c r="H584" s="84"/>
      <c r="I584" s="85"/>
      <c r="J584" s="90"/>
      <c r="K584" s="91"/>
      <c r="L584" s="90"/>
      <c r="M584" s="91"/>
      <c r="N584" s="83"/>
      <c r="O584" s="85"/>
      <c r="P584" s="96"/>
      <c r="Q584" s="97"/>
      <c r="S584" s="99"/>
      <c r="T584" s="99"/>
      <c r="U584" s="99"/>
      <c r="V584" s="99"/>
      <c r="W584" s="99"/>
      <c r="X584" s="99"/>
      <c r="Y584" s="99"/>
      <c r="Z584" s="99"/>
      <c r="AA584" s="99"/>
      <c r="AB584" s="99"/>
      <c r="AC584" s="98"/>
      <c r="AD584" s="98"/>
      <c r="AE584" s="98"/>
      <c r="AF584" s="98"/>
      <c r="AG584" s="98"/>
      <c r="AH584" s="98"/>
    </row>
    <row r="585" spans="2:34" x14ac:dyDescent="0.25">
      <c r="B585" s="71"/>
      <c r="C585" s="72"/>
      <c r="D585" s="77"/>
      <c r="E585" s="78"/>
      <c r="F585" s="78"/>
      <c r="G585" s="78"/>
      <c r="H585" s="78"/>
      <c r="I585" s="79"/>
      <c r="J585" s="86"/>
      <c r="K585" s="87"/>
      <c r="L585" s="86"/>
      <c r="M585" s="87"/>
      <c r="N585" s="77"/>
      <c r="O585" s="79"/>
      <c r="P585" s="92"/>
      <c r="Q585" s="93"/>
      <c r="S585" s="99"/>
      <c r="T585" s="99"/>
      <c r="U585" s="99"/>
      <c r="V585" s="99"/>
      <c r="W585" s="99"/>
      <c r="X585" s="99"/>
      <c r="Y585" s="99"/>
      <c r="Z585" s="99"/>
      <c r="AA585" s="99"/>
      <c r="AB585" s="99"/>
      <c r="AC585" s="98"/>
      <c r="AD585" s="98"/>
      <c r="AE585" s="98"/>
      <c r="AF585" s="98"/>
      <c r="AG585" s="98"/>
      <c r="AH585" s="98"/>
    </row>
    <row r="586" spans="2:34" x14ac:dyDescent="0.25">
      <c r="B586" s="73"/>
      <c r="C586" s="74"/>
      <c r="D586" s="80"/>
      <c r="E586" s="81"/>
      <c r="F586" s="81"/>
      <c r="G586" s="81"/>
      <c r="H586" s="81"/>
      <c r="I586" s="82"/>
      <c r="J586" s="88"/>
      <c r="K586" s="89"/>
      <c r="L586" s="88"/>
      <c r="M586" s="89"/>
      <c r="N586" s="80"/>
      <c r="O586" s="82"/>
      <c r="P586" s="94"/>
      <c r="Q586" s="95"/>
      <c r="S586" s="99"/>
      <c r="T586" s="99"/>
      <c r="U586" s="99"/>
      <c r="V586" s="99"/>
      <c r="W586" s="99"/>
      <c r="X586" s="99"/>
      <c r="Y586" s="99"/>
      <c r="Z586" s="99"/>
      <c r="AA586" s="99"/>
      <c r="AB586" s="99"/>
      <c r="AC586" s="98"/>
      <c r="AD586" s="98"/>
      <c r="AE586" s="98"/>
      <c r="AF586" s="98"/>
      <c r="AG586" s="98"/>
      <c r="AH586" s="98"/>
    </row>
    <row r="587" spans="2:34" x14ac:dyDescent="0.25">
      <c r="B587" s="75"/>
      <c r="C587" s="76"/>
      <c r="D587" s="83"/>
      <c r="E587" s="84"/>
      <c r="F587" s="84"/>
      <c r="G587" s="84"/>
      <c r="H587" s="84"/>
      <c r="I587" s="85"/>
      <c r="J587" s="90"/>
      <c r="K587" s="91"/>
      <c r="L587" s="90"/>
      <c r="M587" s="91"/>
      <c r="N587" s="83"/>
      <c r="O587" s="85"/>
      <c r="P587" s="96"/>
      <c r="Q587" s="97"/>
      <c r="S587" s="99"/>
      <c r="T587" s="99"/>
      <c r="U587" s="99"/>
      <c r="V587" s="99"/>
      <c r="W587" s="99"/>
      <c r="X587" s="99"/>
      <c r="Y587" s="99"/>
      <c r="Z587" s="99"/>
      <c r="AA587" s="99"/>
      <c r="AB587" s="99"/>
      <c r="AC587" s="98"/>
      <c r="AD587" s="98"/>
      <c r="AE587" s="98"/>
      <c r="AF587" s="98"/>
      <c r="AG587" s="98"/>
      <c r="AH587" s="98"/>
    </row>
    <row r="588" spans="2:34" x14ac:dyDescent="0.25">
      <c r="B588" s="71"/>
      <c r="C588" s="72"/>
      <c r="D588" s="77"/>
      <c r="E588" s="78"/>
      <c r="F588" s="78"/>
      <c r="G588" s="78"/>
      <c r="H588" s="78"/>
      <c r="I588" s="79"/>
      <c r="J588" s="86"/>
      <c r="K588" s="87"/>
      <c r="L588" s="86"/>
      <c r="M588" s="87"/>
      <c r="N588" s="77"/>
      <c r="O588" s="79"/>
      <c r="P588" s="92"/>
      <c r="Q588" s="93"/>
      <c r="S588" s="99"/>
      <c r="T588" s="99"/>
      <c r="U588" s="99"/>
      <c r="V588" s="99"/>
      <c r="W588" s="99"/>
      <c r="X588" s="99"/>
      <c r="Y588" s="99"/>
      <c r="Z588" s="99"/>
      <c r="AA588" s="99"/>
      <c r="AB588" s="99"/>
      <c r="AC588" s="98"/>
      <c r="AD588" s="98"/>
      <c r="AE588" s="98"/>
      <c r="AF588" s="98"/>
      <c r="AG588" s="98"/>
      <c r="AH588" s="98"/>
    </row>
    <row r="589" spans="2:34" x14ac:dyDescent="0.25">
      <c r="B589" s="73"/>
      <c r="C589" s="74"/>
      <c r="D589" s="80"/>
      <c r="E589" s="81"/>
      <c r="F589" s="81"/>
      <c r="G589" s="81"/>
      <c r="H589" s="81"/>
      <c r="I589" s="82"/>
      <c r="J589" s="88"/>
      <c r="K589" s="89"/>
      <c r="L589" s="88"/>
      <c r="M589" s="89"/>
      <c r="N589" s="80"/>
      <c r="O589" s="82"/>
      <c r="P589" s="94"/>
      <c r="Q589" s="95"/>
      <c r="S589" s="99"/>
      <c r="T589" s="99"/>
      <c r="U589" s="99"/>
      <c r="V589" s="99"/>
      <c r="W589" s="99"/>
      <c r="X589" s="99"/>
      <c r="Y589" s="99"/>
      <c r="Z589" s="99"/>
      <c r="AA589" s="99"/>
      <c r="AB589" s="99"/>
      <c r="AC589" s="98"/>
      <c r="AD589" s="98"/>
      <c r="AE589" s="98"/>
      <c r="AF589" s="98"/>
      <c r="AG589" s="98"/>
      <c r="AH589" s="98"/>
    </row>
    <row r="590" spans="2:34" x14ac:dyDescent="0.25">
      <c r="B590" s="75"/>
      <c r="C590" s="76"/>
      <c r="D590" s="83"/>
      <c r="E590" s="84"/>
      <c r="F590" s="84"/>
      <c r="G590" s="84"/>
      <c r="H590" s="84"/>
      <c r="I590" s="85"/>
      <c r="J590" s="90"/>
      <c r="K590" s="91"/>
      <c r="L590" s="90"/>
      <c r="M590" s="91"/>
      <c r="N590" s="83"/>
      <c r="O590" s="85"/>
      <c r="P590" s="96"/>
      <c r="Q590" s="97"/>
      <c r="S590" s="99"/>
      <c r="T590" s="99"/>
      <c r="U590" s="99"/>
      <c r="V590" s="99"/>
      <c r="W590" s="99"/>
      <c r="X590" s="99"/>
      <c r="Y590" s="99"/>
      <c r="Z590" s="99"/>
      <c r="AA590" s="99"/>
      <c r="AB590" s="99"/>
      <c r="AC590" s="98"/>
      <c r="AD590" s="98"/>
      <c r="AE590" s="98"/>
      <c r="AF590" s="98"/>
      <c r="AG590" s="98"/>
      <c r="AH590" s="98"/>
    </row>
    <row r="591" spans="2:34" x14ac:dyDescent="0.25">
      <c r="B591" s="71"/>
      <c r="C591" s="72"/>
      <c r="D591" s="77"/>
      <c r="E591" s="78"/>
      <c r="F591" s="78"/>
      <c r="G591" s="78"/>
      <c r="H591" s="78"/>
      <c r="I591" s="79"/>
      <c r="J591" s="86"/>
      <c r="K591" s="87"/>
      <c r="L591" s="86"/>
      <c r="M591" s="87"/>
      <c r="N591" s="77"/>
      <c r="O591" s="79"/>
      <c r="P591" s="92"/>
      <c r="Q591" s="93"/>
      <c r="S591" s="99"/>
      <c r="T591" s="99"/>
      <c r="U591" s="99"/>
      <c r="V591" s="99"/>
      <c r="W591" s="99"/>
      <c r="X591" s="99"/>
      <c r="Y591" s="99"/>
      <c r="Z591" s="99"/>
      <c r="AA591" s="99"/>
      <c r="AB591" s="99"/>
      <c r="AC591" s="98"/>
      <c r="AD591" s="98"/>
      <c r="AE591" s="98"/>
      <c r="AF591" s="98"/>
      <c r="AG591" s="98"/>
      <c r="AH591" s="98"/>
    </row>
    <row r="592" spans="2:34" x14ac:dyDescent="0.25">
      <c r="B592" s="73"/>
      <c r="C592" s="74"/>
      <c r="D592" s="80"/>
      <c r="E592" s="81"/>
      <c r="F592" s="81"/>
      <c r="G592" s="81"/>
      <c r="H592" s="81"/>
      <c r="I592" s="82"/>
      <c r="J592" s="88"/>
      <c r="K592" s="89"/>
      <c r="L592" s="88"/>
      <c r="M592" s="89"/>
      <c r="N592" s="80"/>
      <c r="O592" s="82"/>
      <c r="P592" s="94"/>
      <c r="Q592" s="95"/>
      <c r="S592" s="99"/>
      <c r="T592" s="99"/>
      <c r="U592" s="99"/>
      <c r="V592" s="99"/>
      <c r="W592" s="99"/>
      <c r="X592" s="99"/>
      <c r="Y592" s="99"/>
      <c r="Z592" s="99"/>
      <c r="AA592" s="99"/>
      <c r="AB592" s="99"/>
      <c r="AC592" s="98"/>
      <c r="AD592" s="98"/>
      <c r="AE592" s="98"/>
      <c r="AF592" s="98"/>
      <c r="AG592" s="98"/>
      <c r="AH592" s="98"/>
    </row>
    <row r="593" spans="2:34" x14ac:dyDescent="0.25">
      <c r="B593" s="75"/>
      <c r="C593" s="76"/>
      <c r="D593" s="83"/>
      <c r="E593" s="84"/>
      <c r="F593" s="84"/>
      <c r="G593" s="84"/>
      <c r="H593" s="84"/>
      <c r="I593" s="85"/>
      <c r="J593" s="90"/>
      <c r="K593" s="91"/>
      <c r="L593" s="90"/>
      <c r="M593" s="91"/>
      <c r="N593" s="83"/>
      <c r="O593" s="85"/>
      <c r="P593" s="96"/>
      <c r="Q593" s="97"/>
      <c r="S593" s="99"/>
      <c r="T593" s="99"/>
      <c r="U593" s="99"/>
      <c r="V593" s="99"/>
      <c r="W593" s="99"/>
      <c r="X593" s="99"/>
      <c r="Y593" s="99"/>
      <c r="Z593" s="99"/>
      <c r="AA593" s="99"/>
      <c r="AB593" s="99"/>
      <c r="AC593" s="98"/>
      <c r="AD593" s="98"/>
      <c r="AE593" s="98"/>
      <c r="AF593" s="98"/>
      <c r="AG593" s="98"/>
      <c r="AH593" s="98"/>
    </row>
    <row r="594" spans="2:34" x14ac:dyDescent="0.25">
      <c r="B594" s="71"/>
      <c r="C594" s="72"/>
      <c r="D594" s="77"/>
      <c r="E594" s="78"/>
      <c r="F594" s="78"/>
      <c r="G594" s="78"/>
      <c r="H594" s="78"/>
      <c r="I594" s="79"/>
      <c r="J594" s="86"/>
      <c r="K594" s="87"/>
      <c r="L594" s="86"/>
      <c r="M594" s="87"/>
      <c r="N594" s="77"/>
      <c r="O594" s="79"/>
      <c r="P594" s="92"/>
      <c r="Q594" s="93"/>
      <c r="S594" s="99"/>
      <c r="T594" s="99"/>
      <c r="U594" s="99"/>
      <c r="V594" s="99"/>
      <c r="W594" s="99"/>
      <c r="X594" s="99"/>
      <c r="Y594" s="99"/>
      <c r="Z594" s="99"/>
      <c r="AA594" s="99"/>
      <c r="AB594" s="99"/>
      <c r="AC594" s="98"/>
      <c r="AD594" s="98"/>
      <c r="AE594" s="98"/>
      <c r="AF594" s="98"/>
      <c r="AG594" s="98"/>
      <c r="AH594" s="98"/>
    </row>
    <row r="595" spans="2:34" x14ac:dyDescent="0.25">
      <c r="B595" s="73"/>
      <c r="C595" s="74"/>
      <c r="D595" s="80"/>
      <c r="E595" s="81"/>
      <c r="F595" s="81"/>
      <c r="G595" s="81"/>
      <c r="H595" s="81"/>
      <c r="I595" s="82"/>
      <c r="J595" s="88"/>
      <c r="K595" s="89"/>
      <c r="L595" s="88"/>
      <c r="M595" s="89"/>
      <c r="N595" s="80"/>
      <c r="O595" s="82"/>
      <c r="P595" s="94"/>
      <c r="Q595" s="95"/>
      <c r="S595" s="99"/>
      <c r="T595" s="99"/>
      <c r="U595" s="99"/>
      <c r="V595" s="99"/>
      <c r="W595" s="99"/>
      <c r="X595" s="99"/>
      <c r="Y595" s="99"/>
      <c r="Z595" s="99"/>
      <c r="AA595" s="99"/>
      <c r="AB595" s="99"/>
      <c r="AC595" s="98"/>
      <c r="AD595" s="98"/>
      <c r="AE595" s="98"/>
      <c r="AF595" s="98"/>
      <c r="AG595" s="98"/>
      <c r="AH595" s="98"/>
    </row>
    <row r="596" spans="2:34" x14ac:dyDescent="0.25">
      <c r="B596" s="75"/>
      <c r="C596" s="76"/>
      <c r="D596" s="83"/>
      <c r="E596" s="84"/>
      <c r="F596" s="84"/>
      <c r="G596" s="84"/>
      <c r="H596" s="84"/>
      <c r="I596" s="85"/>
      <c r="J596" s="90"/>
      <c r="K596" s="91"/>
      <c r="L596" s="90"/>
      <c r="M596" s="91"/>
      <c r="N596" s="83"/>
      <c r="O596" s="85"/>
      <c r="P596" s="96"/>
      <c r="Q596" s="97"/>
      <c r="S596" s="99"/>
      <c r="T596" s="99"/>
      <c r="U596" s="99"/>
      <c r="V596" s="99"/>
      <c r="W596" s="99"/>
      <c r="X596" s="99"/>
      <c r="Y596" s="99"/>
      <c r="Z596" s="99"/>
      <c r="AA596" s="99"/>
      <c r="AB596" s="99"/>
      <c r="AC596" s="98"/>
      <c r="AD596" s="98"/>
      <c r="AE596" s="98"/>
      <c r="AF596" s="98"/>
      <c r="AG596" s="98"/>
      <c r="AH596" s="98"/>
    </row>
    <row r="597" spans="2:34" x14ac:dyDescent="0.25">
      <c r="B597" s="71"/>
      <c r="C597" s="72"/>
      <c r="D597" s="77"/>
      <c r="E597" s="78"/>
      <c r="F597" s="78"/>
      <c r="G597" s="78"/>
      <c r="H597" s="78"/>
      <c r="I597" s="79"/>
      <c r="J597" s="86"/>
      <c r="K597" s="87"/>
      <c r="L597" s="86"/>
      <c r="M597" s="87"/>
      <c r="N597" s="77"/>
      <c r="O597" s="79"/>
      <c r="P597" s="92"/>
      <c r="Q597" s="93"/>
      <c r="S597" s="99"/>
      <c r="T597" s="99"/>
      <c r="U597" s="99"/>
      <c r="V597" s="99"/>
      <c r="W597" s="99"/>
      <c r="X597" s="99"/>
      <c r="Y597" s="99"/>
      <c r="Z597" s="99"/>
      <c r="AA597" s="99"/>
      <c r="AB597" s="99"/>
      <c r="AC597" s="98"/>
      <c r="AD597" s="98"/>
      <c r="AE597" s="98"/>
      <c r="AF597" s="98"/>
      <c r="AG597" s="98"/>
      <c r="AH597" s="98"/>
    </row>
    <row r="598" spans="2:34" x14ac:dyDescent="0.25">
      <c r="B598" s="73"/>
      <c r="C598" s="74"/>
      <c r="D598" s="80"/>
      <c r="E598" s="81"/>
      <c r="F598" s="81"/>
      <c r="G598" s="81"/>
      <c r="H598" s="81"/>
      <c r="I598" s="82"/>
      <c r="J598" s="88"/>
      <c r="K598" s="89"/>
      <c r="L598" s="88"/>
      <c r="M598" s="89"/>
      <c r="N598" s="80"/>
      <c r="O598" s="82"/>
      <c r="P598" s="94"/>
      <c r="Q598" s="95"/>
      <c r="S598" s="99"/>
      <c r="T598" s="99"/>
      <c r="U598" s="99"/>
      <c r="V598" s="99"/>
      <c r="W598" s="99"/>
      <c r="X598" s="99"/>
      <c r="Y598" s="99"/>
      <c r="Z598" s="99"/>
      <c r="AA598" s="99"/>
      <c r="AB598" s="99"/>
      <c r="AC598" s="98"/>
      <c r="AD598" s="98"/>
      <c r="AE598" s="98"/>
      <c r="AF598" s="98"/>
      <c r="AG598" s="98"/>
      <c r="AH598" s="98"/>
    </row>
    <row r="599" spans="2:34" x14ac:dyDescent="0.25">
      <c r="B599" s="75"/>
      <c r="C599" s="76"/>
      <c r="D599" s="83"/>
      <c r="E599" s="84"/>
      <c r="F599" s="84"/>
      <c r="G599" s="84"/>
      <c r="H599" s="84"/>
      <c r="I599" s="85"/>
      <c r="J599" s="90"/>
      <c r="K599" s="91"/>
      <c r="L599" s="90"/>
      <c r="M599" s="91"/>
      <c r="N599" s="83"/>
      <c r="O599" s="85"/>
      <c r="P599" s="96"/>
      <c r="Q599" s="97"/>
      <c r="S599" s="99"/>
      <c r="T599" s="99"/>
      <c r="U599" s="99"/>
      <c r="V599" s="99"/>
      <c r="W599" s="99"/>
      <c r="X599" s="99"/>
      <c r="Y599" s="99"/>
      <c r="Z599" s="99"/>
      <c r="AA599" s="99"/>
      <c r="AB599" s="99"/>
      <c r="AC599" s="98"/>
      <c r="AD599" s="98"/>
      <c r="AE599" s="98"/>
      <c r="AF599" s="98"/>
      <c r="AG599" s="98"/>
      <c r="AH599" s="98"/>
    </row>
    <row r="600" spans="2:34" x14ac:dyDescent="0.25">
      <c r="B600" s="71"/>
      <c r="C600" s="72"/>
      <c r="D600" s="77"/>
      <c r="E600" s="78"/>
      <c r="F600" s="78"/>
      <c r="G600" s="78"/>
      <c r="H600" s="78"/>
      <c r="I600" s="79"/>
      <c r="J600" s="86"/>
      <c r="K600" s="87"/>
      <c r="L600" s="86"/>
      <c r="M600" s="87"/>
      <c r="N600" s="77"/>
      <c r="O600" s="79"/>
      <c r="P600" s="92"/>
      <c r="Q600" s="93"/>
      <c r="S600" s="99"/>
      <c r="T600" s="99"/>
      <c r="U600" s="99"/>
      <c r="V600" s="99"/>
      <c r="W600" s="99"/>
      <c r="X600" s="99"/>
      <c r="Y600" s="99"/>
      <c r="Z600" s="99"/>
      <c r="AA600" s="99"/>
      <c r="AB600" s="99"/>
      <c r="AC600" s="98"/>
      <c r="AD600" s="98"/>
      <c r="AE600" s="98"/>
      <c r="AF600" s="98"/>
      <c r="AG600" s="98"/>
      <c r="AH600" s="98"/>
    </row>
    <row r="601" spans="2:34" x14ac:dyDescent="0.25">
      <c r="B601" s="73"/>
      <c r="C601" s="74"/>
      <c r="D601" s="80"/>
      <c r="E601" s="81"/>
      <c r="F601" s="81"/>
      <c r="G601" s="81"/>
      <c r="H601" s="81"/>
      <c r="I601" s="82"/>
      <c r="J601" s="88"/>
      <c r="K601" s="89"/>
      <c r="L601" s="88"/>
      <c r="M601" s="89"/>
      <c r="N601" s="80"/>
      <c r="O601" s="82"/>
      <c r="P601" s="94"/>
      <c r="Q601" s="95"/>
      <c r="S601" s="99"/>
      <c r="T601" s="99"/>
      <c r="U601" s="99"/>
      <c r="V601" s="99"/>
      <c r="W601" s="99"/>
      <c r="X601" s="99"/>
      <c r="Y601" s="99"/>
      <c r="Z601" s="99"/>
      <c r="AA601" s="99"/>
      <c r="AB601" s="99"/>
      <c r="AC601" s="98"/>
      <c r="AD601" s="98"/>
      <c r="AE601" s="98"/>
      <c r="AF601" s="98"/>
      <c r="AG601" s="98"/>
      <c r="AH601" s="98"/>
    </row>
    <row r="602" spans="2:34" x14ac:dyDescent="0.25">
      <c r="B602" s="75"/>
      <c r="C602" s="76"/>
      <c r="D602" s="83"/>
      <c r="E602" s="84"/>
      <c r="F602" s="84"/>
      <c r="G602" s="84"/>
      <c r="H602" s="84"/>
      <c r="I602" s="85"/>
      <c r="J602" s="90"/>
      <c r="K602" s="91"/>
      <c r="L602" s="90"/>
      <c r="M602" s="91"/>
      <c r="N602" s="83"/>
      <c r="O602" s="85"/>
      <c r="P602" s="96"/>
      <c r="Q602" s="97"/>
      <c r="S602" s="99"/>
      <c r="T602" s="99"/>
      <c r="U602" s="99"/>
      <c r="V602" s="99"/>
      <c r="W602" s="99"/>
      <c r="X602" s="99"/>
      <c r="Y602" s="99"/>
      <c r="Z602" s="99"/>
      <c r="AA602" s="99"/>
      <c r="AB602" s="99"/>
      <c r="AC602" s="98"/>
      <c r="AD602" s="98"/>
      <c r="AE602" s="98"/>
      <c r="AF602" s="98"/>
      <c r="AG602" s="98"/>
      <c r="AH602" s="98"/>
    </row>
    <row r="603" spans="2:34" x14ac:dyDescent="0.25">
      <c r="B603" s="71"/>
      <c r="C603" s="72"/>
      <c r="D603" s="77"/>
      <c r="E603" s="78"/>
      <c r="F603" s="78"/>
      <c r="G603" s="78"/>
      <c r="H603" s="78"/>
      <c r="I603" s="79"/>
      <c r="J603" s="86"/>
      <c r="K603" s="87"/>
      <c r="L603" s="86"/>
      <c r="M603" s="87"/>
      <c r="N603" s="77"/>
      <c r="O603" s="79"/>
      <c r="P603" s="92"/>
      <c r="Q603" s="93"/>
      <c r="S603" s="99"/>
      <c r="T603" s="99"/>
      <c r="U603" s="99"/>
      <c r="V603" s="99"/>
      <c r="W603" s="99"/>
      <c r="X603" s="99"/>
      <c r="Y603" s="99"/>
      <c r="Z603" s="99"/>
      <c r="AA603" s="99"/>
      <c r="AB603" s="99"/>
      <c r="AC603" s="98"/>
      <c r="AD603" s="98"/>
      <c r="AE603" s="98"/>
      <c r="AF603" s="98"/>
      <c r="AG603" s="98"/>
      <c r="AH603" s="98"/>
    </row>
    <row r="604" spans="2:34" x14ac:dyDescent="0.25">
      <c r="B604" s="73"/>
      <c r="C604" s="74"/>
      <c r="D604" s="80"/>
      <c r="E604" s="81"/>
      <c r="F604" s="81"/>
      <c r="G604" s="81"/>
      <c r="H604" s="81"/>
      <c r="I604" s="82"/>
      <c r="J604" s="88"/>
      <c r="K604" s="89"/>
      <c r="L604" s="88"/>
      <c r="M604" s="89"/>
      <c r="N604" s="80"/>
      <c r="O604" s="82"/>
      <c r="P604" s="94"/>
      <c r="Q604" s="95"/>
      <c r="S604" s="99"/>
      <c r="T604" s="99"/>
      <c r="U604" s="99"/>
      <c r="V604" s="99"/>
      <c r="W604" s="99"/>
      <c r="X604" s="99"/>
      <c r="Y604" s="99"/>
      <c r="Z604" s="99"/>
      <c r="AA604" s="99"/>
      <c r="AB604" s="99"/>
      <c r="AC604" s="98"/>
      <c r="AD604" s="98"/>
      <c r="AE604" s="98"/>
      <c r="AF604" s="98"/>
      <c r="AG604" s="98"/>
      <c r="AH604" s="98"/>
    </row>
    <row r="605" spans="2:34" x14ac:dyDescent="0.25">
      <c r="B605" s="75"/>
      <c r="C605" s="76"/>
      <c r="D605" s="83"/>
      <c r="E605" s="84"/>
      <c r="F605" s="84"/>
      <c r="G605" s="84"/>
      <c r="H605" s="84"/>
      <c r="I605" s="85"/>
      <c r="J605" s="90"/>
      <c r="K605" s="91"/>
      <c r="L605" s="90"/>
      <c r="M605" s="91"/>
      <c r="N605" s="83"/>
      <c r="O605" s="85"/>
      <c r="P605" s="96"/>
      <c r="Q605" s="97"/>
      <c r="S605" s="99"/>
      <c r="T605" s="99"/>
      <c r="U605" s="99"/>
      <c r="V605" s="99"/>
      <c r="W605" s="99"/>
      <c r="X605" s="99"/>
      <c r="Y605" s="99"/>
      <c r="Z605" s="99"/>
      <c r="AA605" s="99"/>
      <c r="AB605" s="99"/>
      <c r="AC605" s="98"/>
      <c r="AD605" s="98"/>
      <c r="AE605" s="98"/>
      <c r="AF605" s="98"/>
      <c r="AG605" s="98"/>
      <c r="AH605" s="98"/>
    </row>
    <row r="606" spans="2:34" x14ac:dyDescent="0.25">
      <c r="B606" s="71"/>
      <c r="C606" s="72"/>
      <c r="D606" s="77"/>
      <c r="E606" s="78"/>
      <c r="F606" s="78"/>
      <c r="G606" s="78"/>
      <c r="H606" s="78"/>
      <c r="I606" s="79"/>
      <c r="J606" s="86"/>
      <c r="K606" s="87"/>
      <c r="L606" s="86"/>
      <c r="M606" s="87"/>
      <c r="N606" s="77"/>
      <c r="O606" s="79"/>
      <c r="P606" s="92"/>
      <c r="Q606" s="93"/>
      <c r="S606" s="99"/>
      <c r="T606" s="99"/>
      <c r="U606" s="99"/>
      <c r="V606" s="99"/>
      <c r="W606" s="99"/>
      <c r="X606" s="99"/>
      <c r="Y606" s="99"/>
      <c r="Z606" s="99"/>
      <c r="AA606" s="99"/>
      <c r="AB606" s="99"/>
      <c r="AC606" s="98"/>
      <c r="AD606" s="98"/>
      <c r="AE606" s="98"/>
      <c r="AF606" s="98"/>
      <c r="AG606" s="98"/>
      <c r="AH606" s="98"/>
    </row>
    <row r="607" spans="2:34" x14ac:dyDescent="0.25">
      <c r="B607" s="73"/>
      <c r="C607" s="74"/>
      <c r="D607" s="80"/>
      <c r="E607" s="81"/>
      <c r="F607" s="81"/>
      <c r="G607" s="81"/>
      <c r="H607" s="81"/>
      <c r="I607" s="82"/>
      <c r="J607" s="88"/>
      <c r="K607" s="89"/>
      <c r="L607" s="88"/>
      <c r="M607" s="89"/>
      <c r="N607" s="80"/>
      <c r="O607" s="82"/>
      <c r="P607" s="94"/>
      <c r="Q607" s="95"/>
      <c r="S607" s="99"/>
      <c r="T607" s="99"/>
      <c r="U607" s="99"/>
      <c r="V607" s="99"/>
      <c r="W607" s="99"/>
      <c r="X607" s="99"/>
      <c r="Y607" s="99"/>
      <c r="Z607" s="99"/>
      <c r="AA607" s="99"/>
      <c r="AB607" s="99"/>
      <c r="AC607" s="98"/>
      <c r="AD607" s="98"/>
      <c r="AE607" s="98"/>
      <c r="AF607" s="98"/>
      <c r="AG607" s="98"/>
      <c r="AH607" s="98"/>
    </row>
    <row r="608" spans="2:34" x14ac:dyDescent="0.25">
      <c r="B608" s="75"/>
      <c r="C608" s="76"/>
      <c r="D608" s="83"/>
      <c r="E608" s="84"/>
      <c r="F608" s="84"/>
      <c r="G608" s="84"/>
      <c r="H608" s="84"/>
      <c r="I608" s="85"/>
      <c r="J608" s="90"/>
      <c r="K608" s="91"/>
      <c r="L608" s="90"/>
      <c r="M608" s="91"/>
      <c r="N608" s="83"/>
      <c r="O608" s="85"/>
      <c r="P608" s="96"/>
      <c r="Q608" s="97"/>
      <c r="S608" s="99"/>
      <c r="T608" s="99"/>
      <c r="U608" s="99"/>
      <c r="V608" s="99"/>
      <c r="W608" s="99"/>
      <c r="X608" s="99"/>
      <c r="Y608" s="99"/>
      <c r="Z608" s="99"/>
      <c r="AA608" s="99"/>
      <c r="AB608" s="99"/>
      <c r="AC608" s="98"/>
      <c r="AD608" s="98"/>
      <c r="AE608" s="98"/>
      <c r="AF608" s="98"/>
      <c r="AG608" s="98"/>
      <c r="AH608" s="98"/>
    </row>
    <row r="609" spans="2:34" x14ac:dyDescent="0.25">
      <c r="B609" s="71"/>
      <c r="C609" s="72"/>
      <c r="D609" s="77"/>
      <c r="E609" s="78"/>
      <c r="F609" s="78"/>
      <c r="G609" s="78"/>
      <c r="H609" s="78"/>
      <c r="I609" s="79"/>
      <c r="J609" s="86"/>
      <c r="K609" s="87"/>
      <c r="L609" s="86"/>
      <c r="M609" s="87"/>
      <c r="N609" s="77"/>
      <c r="O609" s="79"/>
      <c r="P609" s="92"/>
      <c r="Q609" s="93"/>
      <c r="S609" s="99"/>
      <c r="T609" s="99"/>
      <c r="U609" s="99"/>
      <c r="V609" s="99"/>
      <c r="W609" s="99"/>
      <c r="X609" s="99"/>
      <c r="Y609" s="99"/>
      <c r="Z609" s="99"/>
      <c r="AA609" s="99"/>
      <c r="AB609" s="99"/>
      <c r="AC609" s="98"/>
      <c r="AD609" s="98"/>
      <c r="AE609" s="98"/>
      <c r="AF609" s="98"/>
      <c r="AG609" s="98"/>
      <c r="AH609" s="98"/>
    </row>
    <row r="610" spans="2:34" x14ac:dyDescent="0.25">
      <c r="B610" s="73"/>
      <c r="C610" s="74"/>
      <c r="D610" s="80"/>
      <c r="E610" s="81"/>
      <c r="F610" s="81"/>
      <c r="G610" s="81"/>
      <c r="H610" s="81"/>
      <c r="I610" s="82"/>
      <c r="J610" s="88"/>
      <c r="K610" s="89"/>
      <c r="L610" s="88"/>
      <c r="M610" s="89"/>
      <c r="N610" s="80"/>
      <c r="O610" s="82"/>
      <c r="P610" s="94"/>
      <c r="Q610" s="95"/>
      <c r="S610" s="99"/>
      <c r="T610" s="99"/>
      <c r="U610" s="99"/>
      <c r="V610" s="99"/>
      <c r="W610" s="99"/>
      <c r="X610" s="99"/>
      <c r="Y610" s="99"/>
      <c r="Z610" s="99"/>
      <c r="AA610" s="99"/>
      <c r="AB610" s="99"/>
      <c r="AC610" s="98"/>
      <c r="AD610" s="98"/>
      <c r="AE610" s="98"/>
      <c r="AF610" s="98"/>
      <c r="AG610" s="98"/>
      <c r="AH610" s="98"/>
    </row>
    <row r="611" spans="2:34" x14ac:dyDescent="0.25">
      <c r="B611" s="75"/>
      <c r="C611" s="76"/>
      <c r="D611" s="83"/>
      <c r="E611" s="84"/>
      <c r="F611" s="84"/>
      <c r="G611" s="84"/>
      <c r="H611" s="84"/>
      <c r="I611" s="85"/>
      <c r="J611" s="90"/>
      <c r="K611" s="91"/>
      <c r="L611" s="90"/>
      <c r="M611" s="91"/>
      <c r="N611" s="83"/>
      <c r="O611" s="85"/>
      <c r="P611" s="96"/>
      <c r="Q611" s="97"/>
      <c r="S611" s="99"/>
      <c r="T611" s="99"/>
      <c r="U611" s="99"/>
      <c r="V611" s="99"/>
      <c r="W611" s="99"/>
      <c r="X611" s="99"/>
      <c r="Y611" s="99"/>
      <c r="Z611" s="99"/>
      <c r="AA611" s="99"/>
      <c r="AB611" s="99"/>
      <c r="AC611" s="98"/>
      <c r="AD611" s="98"/>
      <c r="AE611" s="98"/>
      <c r="AF611" s="98"/>
      <c r="AG611" s="98"/>
      <c r="AH611" s="98"/>
    </row>
    <row r="612" spans="2:34" x14ac:dyDescent="0.25">
      <c r="B612" s="71"/>
      <c r="C612" s="72"/>
      <c r="D612" s="77"/>
      <c r="E612" s="78"/>
      <c r="F612" s="78"/>
      <c r="G612" s="78"/>
      <c r="H612" s="78"/>
      <c r="I612" s="79"/>
      <c r="J612" s="86"/>
      <c r="K612" s="87"/>
      <c r="L612" s="86"/>
      <c r="M612" s="87"/>
      <c r="N612" s="77"/>
      <c r="O612" s="79"/>
      <c r="P612" s="92"/>
      <c r="Q612" s="93"/>
      <c r="S612" s="99"/>
      <c r="T612" s="99"/>
      <c r="U612" s="99"/>
      <c r="V612" s="99"/>
      <c r="W612" s="99"/>
      <c r="X612" s="99"/>
      <c r="Y612" s="99"/>
      <c r="Z612" s="99"/>
      <c r="AA612" s="99"/>
      <c r="AB612" s="99"/>
      <c r="AC612" s="98"/>
      <c r="AD612" s="98"/>
      <c r="AE612" s="98"/>
      <c r="AF612" s="98"/>
      <c r="AG612" s="98"/>
      <c r="AH612" s="98"/>
    </row>
    <row r="613" spans="2:34" x14ac:dyDescent="0.25">
      <c r="B613" s="73"/>
      <c r="C613" s="74"/>
      <c r="D613" s="80"/>
      <c r="E613" s="81"/>
      <c r="F613" s="81"/>
      <c r="G613" s="81"/>
      <c r="H613" s="81"/>
      <c r="I613" s="82"/>
      <c r="J613" s="88"/>
      <c r="K613" s="89"/>
      <c r="L613" s="88"/>
      <c r="M613" s="89"/>
      <c r="N613" s="80"/>
      <c r="O613" s="82"/>
      <c r="P613" s="94"/>
      <c r="Q613" s="95"/>
      <c r="S613" s="99"/>
      <c r="T613" s="99"/>
      <c r="U613" s="99"/>
      <c r="V613" s="99"/>
      <c r="W613" s="99"/>
      <c r="X613" s="99"/>
      <c r="Y613" s="99"/>
      <c r="Z613" s="99"/>
      <c r="AA613" s="99"/>
      <c r="AB613" s="99"/>
      <c r="AC613" s="98"/>
      <c r="AD613" s="98"/>
      <c r="AE613" s="98"/>
      <c r="AF613" s="98"/>
      <c r="AG613" s="98"/>
      <c r="AH613" s="98"/>
    </row>
    <row r="614" spans="2:34" x14ac:dyDescent="0.25">
      <c r="B614" s="75"/>
      <c r="C614" s="76"/>
      <c r="D614" s="83"/>
      <c r="E614" s="84"/>
      <c r="F614" s="84"/>
      <c r="G614" s="84"/>
      <c r="H614" s="84"/>
      <c r="I614" s="85"/>
      <c r="J614" s="90"/>
      <c r="K614" s="91"/>
      <c r="L614" s="90"/>
      <c r="M614" s="91"/>
      <c r="N614" s="83"/>
      <c r="O614" s="85"/>
      <c r="P614" s="96"/>
      <c r="Q614" s="97"/>
      <c r="S614" s="99"/>
      <c r="T614" s="99"/>
      <c r="U614" s="99"/>
      <c r="V614" s="99"/>
      <c r="W614" s="99"/>
      <c r="X614" s="99"/>
      <c r="Y614" s="99"/>
      <c r="Z614" s="99"/>
      <c r="AA614" s="99"/>
      <c r="AB614" s="99"/>
      <c r="AC614" s="98"/>
      <c r="AD614" s="98"/>
      <c r="AE614" s="98"/>
      <c r="AF614" s="98"/>
      <c r="AG614" s="98"/>
      <c r="AH614" s="98"/>
    </row>
    <row r="615" spans="2:34" x14ac:dyDescent="0.25">
      <c r="B615" s="71"/>
      <c r="C615" s="72"/>
      <c r="D615" s="77"/>
      <c r="E615" s="78"/>
      <c r="F615" s="78"/>
      <c r="G615" s="78"/>
      <c r="H615" s="78"/>
      <c r="I615" s="79"/>
      <c r="J615" s="86"/>
      <c r="K615" s="87"/>
      <c r="L615" s="86"/>
      <c r="M615" s="87"/>
      <c r="N615" s="77"/>
      <c r="O615" s="79"/>
      <c r="P615" s="92"/>
      <c r="Q615" s="93"/>
      <c r="S615" s="99"/>
      <c r="T615" s="99"/>
      <c r="U615" s="99"/>
      <c r="V615" s="99"/>
      <c r="W615" s="99"/>
      <c r="X615" s="99"/>
      <c r="Y615" s="99"/>
      <c r="Z615" s="99"/>
      <c r="AA615" s="99"/>
      <c r="AB615" s="99"/>
      <c r="AC615" s="98"/>
      <c r="AD615" s="98"/>
      <c r="AE615" s="98"/>
      <c r="AF615" s="98"/>
      <c r="AG615" s="98"/>
      <c r="AH615" s="98"/>
    </row>
    <row r="616" spans="2:34" x14ac:dyDescent="0.25">
      <c r="B616" s="73"/>
      <c r="C616" s="74"/>
      <c r="D616" s="80"/>
      <c r="E616" s="81"/>
      <c r="F616" s="81"/>
      <c r="G616" s="81"/>
      <c r="H616" s="81"/>
      <c r="I616" s="82"/>
      <c r="J616" s="88"/>
      <c r="K616" s="89"/>
      <c r="L616" s="88"/>
      <c r="M616" s="89"/>
      <c r="N616" s="80"/>
      <c r="O616" s="82"/>
      <c r="P616" s="94"/>
      <c r="Q616" s="95"/>
      <c r="S616" s="99"/>
      <c r="T616" s="99"/>
      <c r="U616" s="99"/>
      <c r="V616" s="99"/>
      <c r="W616" s="99"/>
      <c r="X616" s="99"/>
      <c r="Y616" s="99"/>
      <c r="Z616" s="99"/>
      <c r="AA616" s="99"/>
      <c r="AB616" s="99"/>
      <c r="AC616" s="98"/>
      <c r="AD616" s="98"/>
      <c r="AE616" s="98"/>
      <c r="AF616" s="98"/>
      <c r="AG616" s="98"/>
      <c r="AH616" s="98"/>
    </row>
    <row r="617" spans="2:34" x14ac:dyDescent="0.25">
      <c r="B617" s="75"/>
      <c r="C617" s="76"/>
      <c r="D617" s="83"/>
      <c r="E617" s="84"/>
      <c r="F617" s="84"/>
      <c r="G617" s="84"/>
      <c r="H617" s="84"/>
      <c r="I617" s="85"/>
      <c r="J617" s="90"/>
      <c r="K617" s="91"/>
      <c r="L617" s="90"/>
      <c r="M617" s="91"/>
      <c r="N617" s="83"/>
      <c r="O617" s="85"/>
      <c r="P617" s="96"/>
      <c r="Q617" s="97"/>
      <c r="S617" s="99"/>
      <c r="T617" s="99"/>
      <c r="U617" s="99"/>
      <c r="V617" s="99"/>
      <c r="W617" s="99"/>
      <c r="X617" s="99"/>
      <c r="Y617" s="99"/>
      <c r="Z617" s="99"/>
      <c r="AA617" s="99"/>
      <c r="AB617" s="99"/>
      <c r="AC617" s="98"/>
      <c r="AD617" s="98"/>
      <c r="AE617" s="98"/>
      <c r="AF617" s="98"/>
      <c r="AG617" s="98"/>
      <c r="AH617" s="98"/>
    </row>
    <row r="618" spans="2:34" x14ac:dyDescent="0.25">
      <c r="B618" s="71"/>
      <c r="C618" s="72"/>
      <c r="D618" s="77"/>
      <c r="E618" s="78"/>
      <c r="F618" s="78"/>
      <c r="G618" s="78"/>
      <c r="H618" s="78"/>
      <c r="I618" s="79"/>
      <c r="J618" s="86"/>
      <c r="K618" s="87"/>
      <c r="L618" s="86"/>
      <c r="M618" s="87"/>
      <c r="N618" s="77"/>
      <c r="O618" s="79"/>
      <c r="P618" s="92"/>
      <c r="Q618" s="93"/>
      <c r="S618" s="99"/>
      <c r="T618" s="99"/>
      <c r="U618" s="99"/>
      <c r="V618" s="99"/>
      <c r="W618" s="99"/>
      <c r="X618" s="99"/>
      <c r="Y618" s="99"/>
      <c r="Z618" s="99"/>
      <c r="AA618" s="99"/>
      <c r="AB618" s="99"/>
      <c r="AC618" s="98"/>
      <c r="AD618" s="98"/>
      <c r="AE618" s="98"/>
      <c r="AF618" s="98"/>
      <c r="AG618" s="98"/>
      <c r="AH618" s="98"/>
    </row>
    <row r="619" spans="2:34" x14ac:dyDescent="0.25">
      <c r="B619" s="73"/>
      <c r="C619" s="74"/>
      <c r="D619" s="80"/>
      <c r="E619" s="81"/>
      <c r="F619" s="81"/>
      <c r="G619" s="81"/>
      <c r="H619" s="81"/>
      <c r="I619" s="82"/>
      <c r="J619" s="88"/>
      <c r="K619" s="89"/>
      <c r="L619" s="88"/>
      <c r="M619" s="89"/>
      <c r="N619" s="80"/>
      <c r="O619" s="82"/>
      <c r="P619" s="94"/>
      <c r="Q619" s="95"/>
      <c r="S619" s="99"/>
      <c r="T619" s="99"/>
      <c r="U619" s="99"/>
      <c r="V619" s="99"/>
      <c r="W619" s="99"/>
      <c r="X619" s="99"/>
      <c r="Y619" s="99"/>
      <c r="Z619" s="99"/>
      <c r="AA619" s="99"/>
      <c r="AB619" s="99"/>
      <c r="AC619" s="98"/>
      <c r="AD619" s="98"/>
      <c r="AE619" s="98"/>
      <c r="AF619" s="98"/>
      <c r="AG619" s="98"/>
      <c r="AH619" s="98"/>
    </row>
    <row r="620" spans="2:34" x14ac:dyDescent="0.25">
      <c r="B620" s="75"/>
      <c r="C620" s="76"/>
      <c r="D620" s="83"/>
      <c r="E620" s="84"/>
      <c r="F620" s="84"/>
      <c r="G620" s="84"/>
      <c r="H620" s="84"/>
      <c r="I620" s="85"/>
      <c r="J620" s="90"/>
      <c r="K620" s="91"/>
      <c r="L620" s="90"/>
      <c r="M620" s="91"/>
      <c r="N620" s="83"/>
      <c r="O620" s="85"/>
      <c r="P620" s="96"/>
      <c r="Q620" s="97"/>
      <c r="S620" s="99"/>
      <c r="T620" s="99"/>
      <c r="U620" s="99"/>
      <c r="V620" s="99"/>
      <c r="W620" s="99"/>
      <c r="X620" s="99"/>
      <c r="Y620" s="99"/>
      <c r="Z620" s="99"/>
      <c r="AA620" s="99"/>
      <c r="AB620" s="99"/>
      <c r="AC620" s="98"/>
      <c r="AD620" s="98"/>
      <c r="AE620" s="98"/>
      <c r="AF620" s="98"/>
      <c r="AG620" s="98"/>
      <c r="AH620" s="98"/>
    </row>
    <row r="621" spans="2:34" x14ac:dyDescent="0.25">
      <c r="B621" s="71"/>
      <c r="C621" s="72"/>
      <c r="D621" s="77"/>
      <c r="E621" s="78"/>
      <c r="F621" s="78"/>
      <c r="G621" s="78"/>
      <c r="H621" s="78"/>
      <c r="I621" s="79"/>
      <c r="J621" s="86"/>
      <c r="K621" s="87"/>
      <c r="L621" s="86"/>
      <c r="M621" s="87"/>
      <c r="N621" s="77"/>
      <c r="O621" s="79"/>
      <c r="P621" s="92"/>
      <c r="Q621" s="93"/>
      <c r="S621" s="99"/>
      <c r="T621" s="99"/>
      <c r="U621" s="99"/>
      <c r="V621" s="99"/>
      <c r="W621" s="99"/>
      <c r="X621" s="99"/>
      <c r="Y621" s="99"/>
      <c r="Z621" s="99"/>
      <c r="AA621" s="99"/>
      <c r="AB621" s="99"/>
      <c r="AC621" s="98"/>
      <c r="AD621" s="98"/>
      <c r="AE621" s="98"/>
      <c r="AF621" s="98"/>
      <c r="AG621" s="98"/>
      <c r="AH621" s="98"/>
    </row>
    <row r="622" spans="2:34" x14ac:dyDescent="0.25">
      <c r="B622" s="73"/>
      <c r="C622" s="74"/>
      <c r="D622" s="80"/>
      <c r="E622" s="81"/>
      <c r="F622" s="81"/>
      <c r="G622" s="81"/>
      <c r="H622" s="81"/>
      <c r="I622" s="82"/>
      <c r="J622" s="88"/>
      <c r="K622" s="89"/>
      <c r="L622" s="88"/>
      <c r="M622" s="89"/>
      <c r="N622" s="80"/>
      <c r="O622" s="82"/>
      <c r="P622" s="94"/>
      <c r="Q622" s="95"/>
      <c r="S622" s="99"/>
      <c r="T622" s="99"/>
      <c r="U622" s="99"/>
      <c r="V622" s="99"/>
      <c r="W622" s="99"/>
      <c r="X622" s="99"/>
      <c r="Y622" s="99"/>
      <c r="Z622" s="99"/>
      <c r="AA622" s="99"/>
      <c r="AB622" s="99"/>
      <c r="AC622" s="98"/>
      <c r="AD622" s="98"/>
      <c r="AE622" s="98"/>
      <c r="AF622" s="98"/>
      <c r="AG622" s="98"/>
      <c r="AH622" s="98"/>
    </row>
    <row r="623" spans="2:34" x14ac:dyDescent="0.25">
      <c r="B623" s="75"/>
      <c r="C623" s="76"/>
      <c r="D623" s="83"/>
      <c r="E623" s="84"/>
      <c r="F623" s="84"/>
      <c r="G623" s="84"/>
      <c r="H623" s="84"/>
      <c r="I623" s="85"/>
      <c r="J623" s="90"/>
      <c r="K623" s="91"/>
      <c r="L623" s="90"/>
      <c r="M623" s="91"/>
      <c r="N623" s="83"/>
      <c r="O623" s="85"/>
      <c r="P623" s="96"/>
      <c r="Q623" s="97"/>
      <c r="S623" s="99"/>
      <c r="T623" s="99"/>
      <c r="U623" s="99"/>
      <c r="V623" s="99"/>
      <c r="W623" s="99"/>
      <c r="X623" s="99"/>
      <c r="Y623" s="99"/>
      <c r="Z623" s="99"/>
      <c r="AA623" s="99"/>
      <c r="AB623" s="99"/>
      <c r="AC623" s="98"/>
      <c r="AD623" s="98"/>
      <c r="AE623" s="98"/>
      <c r="AF623" s="98"/>
      <c r="AG623" s="98"/>
      <c r="AH623" s="98"/>
    </row>
    <row r="624" spans="2:34" x14ac:dyDescent="0.25">
      <c r="B624" s="71"/>
      <c r="C624" s="72"/>
      <c r="D624" s="77"/>
      <c r="E624" s="78"/>
      <c r="F624" s="78"/>
      <c r="G624" s="78"/>
      <c r="H624" s="78"/>
      <c r="I624" s="79"/>
      <c r="J624" s="86"/>
      <c r="K624" s="87"/>
      <c r="L624" s="86"/>
      <c r="M624" s="87"/>
      <c r="N624" s="77"/>
      <c r="O624" s="79"/>
      <c r="P624" s="92"/>
      <c r="Q624" s="93"/>
      <c r="S624" s="99"/>
      <c r="T624" s="99"/>
      <c r="U624" s="99"/>
      <c r="V624" s="99"/>
      <c r="W624" s="99"/>
      <c r="X624" s="99"/>
      <c r="Y624" s="99"/>
      <c r="Z624" s="99"/>
      <c r="AA624" s="99"/>
      <c r="AB624" s="99"/>
      <c r="AC624" s="98"/>
      <c r="AD624" s="98"/>
      <c r="AE624" s="98"/>
      <c r="AF624" s="98"/>
      <c r="AG624" s="98"/>
      <c r="AH624" s="98"/>
    </row>
    <row r="625" spans="2:34" x14ac:dyDescent="0.25">
      <c r="B625" s="73"/>
      <c r="C625" s="74"/>
      <c r="D625" s="80"/>
      <c r="E625" s="81"/>
      <c r="F625" s="81"/>
      <c r="G625" s="81"/>
      <c r="H625" s="81"/>
      <c r="I625" s="82"/>
      <c r="J625" s="88"/>
      <c r="K625" s="89"/>
      <c r="L625" s="88"/>
      <c r="M625" s="89"/>
      <c r="N625" s="80"/>
      <c r="O625" s="82"/>
      <c r="P625" s="94"/>
      <c r="Q625" s="95"/>
      <c r="S625" s="99"/>
      <c r="T625" s="99"/>
      <c r="U625" s="99"/>
      <c r="V625" s="99"/>
      <c r="W625" s="99"/>
      <c r="X625" s="99"/>
      <c r="Y625" s="99"/>
      <c r="Z625" s="99"/>
      <c r="AA625" s="99"/>
      <c r="AB625" s="99"/>
      <c r="AC625" s="98"/>
      <c r="AD625" s="98"/>
      <c r="AE625" s="98"/>
      <c r="AF625" s="98"/>
      <c r="AG625" s="98"/>
      <c r="AH625" s="98"/>
    </row>
    <row r="626" spans="2:34" x14ac:dyDescent="0.25">
      <c r="B626" s="75"/>
      <c r="C626" s="76"/>
      <c r="D626" s="83"/>
      <c r="E626" s="84"/>
      <c r="F626" s="84"/>
      <c r="G626" s="84"/>
      <c r="H626" s="84"/>
      <c r="I626" s="85"/>
      <c r="J626" s="90"/>
      <c r="K626" s="91"/>
      <c r="L626" s="90"/>
      <c r="M626" s="91"/>
      <c r="N626" s="83"/>
      <c r="O626" s="85"/>
      <c r="P626" s="96"/>
      <c r="Q626" s="97"/>
      <c r="S626" s="99"/>
      <c r="T626" s="99"/>
      <c r="U626" s="99"/>
      <c r="V626" s="99"/>
      <c r="W626" s="99"/>
      <c r="X626" s="99"/>
      <c r="Y626" s="99"/>
      <c r="Z626" s="99"/>
      <c r="AA626" s="99"/>
      <c r="AB626" s="99"/>
      <c r="AC626" s="98"/>
      <c r="AD626" s="98"/>
      <c r="AE626" s="98"/>
      <c r="AF626" s="98"/>
      <c r="AG626" s="98"/>
      <c r="AH626" s="98"/>
    </row>
    <row r="627" spans="2:34" x14ac:dyDescent="0.25">
      <c r="B627" s="71"/>
      <c r="C627" s="72"/>
      <c r="D627" s="77"/>
      <c r="E627" s="78"/>
      <c r="F627" s="78"/>
      <c r="G627" s="78"/>
      <c r="H627" s="78"/>
      <c r="I627" s="79"/>
      <c r="J627" s="86"/>
      <c r="K627" s="87"/>
      <c r="L627" s="86"/>
      <c r="M627" s="87"/>
      <c r="N627" s="77"/>
      <c r="O627" s="79"/>
      <c r="P627" s="92"/>
      <c r="Q627" s="93"/>
      <c r="S627" s="99"/>
      <c r="T627" s="99"/>
      <c r="U627" s="99"/>
      <c r="V627" s="99"/>
      <c r="W627" s="99"/>
      <c r="X627" s="99"/>
      <c r="Y627" s="99"/>
      <c r="Z627" s="99"/>
      <c r="AA627" s="99"/>
      <c r="AB627" s="99"/>
      <c r="AC627" s="98"/>
      <c r="AD627" s="98"/>
      <c r="AE627" s="98"/>
      <c r="AF627" s="98"/>
      <c r="AG627" s="98"/>
      <c r="AH627" s="98"/>
    </row>
    <row r="628" spans="2:34" x14ac:dyDescent="0.25">
      <c r="B628" s="73"/>
      <c r="C628" s="74"/>
      <c r="D628" s="80"/>
      <c r="E628" s="81"/>
      <c r="F628" s="81"/>
      <c r="G628" s="81"/>
      <c r="H628" s="81"/>
      <c r="I628" s="82"/>
      <c r="J628" s="88"/>
      <c r="K628" s="89"/>
      <c r="L628" s="88"/>
      <c r="M628" s="89"/>
      <c r="N628" s="80"/>
      <c r="O628" s="82"/>
      <c r="P628" s="94"/>
      <c r="Q628" s="95"/>
      <c r="S628" s="99"/>
      <c r="T628" s="99"/>
      <c r="U628" s="99"/>
      <c r="V628" s="99"/>
      <c r="W628" s="99"/>
      <c r="X628" s="99"/>
      <c r="Y628" s="99"/>
      <c r="Z628" s="99"/>
      <c r="AA628" s="99"/>
      <c r="AB628" s="99"/>
      <c r="AC628" s="98"/>
      <c r="AD628" s="98"/>
      <c r="AE628" s="98"/>
      <c r="AF628" s="98"/>
      <c r="AG628" s="98"/>
      <c r="AH628" s="98"/>
    </row>
    <row r="629" spans="2:34" x14ac:dyDescent="0.25">
      <c r="B629" s="75"/>
      <c r="C629" s="76"/>
      <c r="D629" s="83"/>
      <c r="E629" s="84"/>
      <c r="F629" s="84"/>
      <c r="G629" s="84"/>
      <c r="H629" s="84"/>
      <c r="I629" s="85"/>
      <c r="J629" s="90"/>
      <c r="K629" s="91"/>
      <c r="L629" s="90"/>
      <c r="M629" s="91"/>
      <c r="N629" s="83"/>
      <c r="O629" s="85"/>
      <c r="P629" s="96"/>
      <c r="Q629" s="97"/>
      <c r="S629" s="99"/>
      <c r="T629" s="99"/>
      <c r="U629" s="99"/>
      <c r="V629" s="99"/>
      <c r="W629" s="99"/>
      <c r="X629" s="99"/>
      <c r="Y629" s="99"/>
      <c r="Z629" s="99"/>
      <c r="AA629" s="99"/>
      <c r="AB629" s="99"/>
      <c r="AC629" s="98"/>
      <c r="AD629" s="98"/>
      <c r="AE629" s="98"/>
      <c r="AF629" s="98"/>
      <c r="AG629" s="98"/>
      <c r="AH629" s="98"/>
    </row>
    <row r="630" spans="2:34" x14ac:dyDescent="0.25">
      <c r="B630" s="71"/>
      <c r="C630" s="72"/>
      <c r="D630" s="77"/>
      <c r="E630" s="78"/>
      <c r="F630" s="78"/>
      <c r="G630" s="78"/>
      <c r="H630" s="78"/>
      <c r="I630" s="79"/>
      <c r="J630" s="86"/>
      <c r="K630" s="87"/>
      <c r="L630" s="86"/>
      <c r="M630" s="87"/>
      <c r="N630" s="77"/>
      <c r="O630" s="79"/>
      <c r="P630" s="92"/>
      <c r="Q630" s="93"/>
      <c r="S630" s="99"/>
      <c r="T630" s="99"/>
      <c r="U630" s="99"/>
      <c r="V630" s="99"/>
      <c r="W630" s="99"/>
      <c r="X630" s="99"/>
      <c r="Y630" s="99"/>
      <c r="Z630" s="99"/>
      <c r="AA630" s="99"/>
      <c r="AB630" s="99"/>
      <c r="AC630" s="98"/>
      <c r="AD630" s="98"/>
      <c r="AE630" s="98"/>
      <c r="AF630" s="98"/>
      <c r="AG630" s="98"/>
      <c r="AH630" s="98"/>
    </row>
    <row r="631" spans="2:34" x14ac:dyDescent="0.25">
      <c r="B631" s="73"/>
      <c r="C631" s="74"/>
      <c r="D631" s="80"/>
      <c r="E631" s="81"/>
      <c r="F631" s="81"/>
      <c r="G631" s="81"/>
      <c r="H631" s="81"/>
      <c r="I631" s="82"/>
      <c r="J631" s="88"/>
      <c r="K631" s="89"/>
      <c r="L631" s="88"/>
      <c r="M631" s="89"/>
      <c r="N631" s="80"/>
      <c r="O631" s="82"/>
      <c r="P631" s="94"/>
      <c r="Q631" s="95"/>
      <c r="S631" s="99"/>
      <c r="T631" s="99"/>
      <c r="U631" s="99"/>
      <c r="V631" s="99"/>
      <c r="W631" s="99"/>
      <c r="X631" s="99"/>
      <c r="Y631" s="99"/>
      <c r="Z631" s="99"/>
      <c r="AA631" s="99"/>
      <c r="AB631" s="99"/>
      <c r="AC631" s="98"/>
      <c r="AD631" s="98"/>
      <c r="AE631" s="98"/>
      <c r="AF631" s="98"/>
      <c r="AG631" s="98"/>
      <c r="AH631" s="98"/>
    </row>
    <row r="632" spans="2:34" x14ac:dyDescent="0.25">
      <c r="B632" s="75"/>
      <c r="C632" s="76"/>
      <c r="D632" s="83"/>
      <c r="E632" s="84"/>
      <c r="F632" s="84"/>
      <c r="G632" s="84"/>
      <c r="H632" s="84"/>
      <c r="I632" s="85"/>
      <c r="J632" s="90"/>
      <c r="K632" s="91"/>
      <c r="L632" s="90"/>
      <c r="M632" s="91"/>
      <c r="N632" s="83"/>
      <c r="O632" s="85"/>
      <c r="P632" s="96"/>
      <c r="Q632" s="97"/>
      <c r="S632" s="99"/>
      <c r="T632" s="99"/>
      <c r="U632" s="99"/>
      <c r="V632" s="99"/>
      <c r="W632" s="99"/>
      <c r="X632" s="99"/>
      <c r="Y632" s="99"/>
      <c r="Z632" s="99"/>
      <c r="AA632" s="99"/>
      <c r="AB632" s="99"/>
      <c r="AC632" s="98"/>
      <c r="AD632" s="98"/>
      <c r="AE632" s="98"/>
      <c r="AF632" s="98"/>
      <c r="AG632" s="98"/>
      <c r="AH632" s="98"/>
    </row>
    <row r="633" spans="2:34" x14ac:dyDescent="0.25">
      <c r="B633" s="71"/>
      <c r="C633" s="72"/>
      <c r="D633" s="77"/>
      <c r="E633" s="78"/>
      <c r="F633" s="78"/>
      <c r="G633" s="78"/>
      <c r="H633" s="78"/>
      <c r="I633" s="79"/>
      <c r="J633" s="86"/>
      <c r="K633" s="87"/>
      <c r="L633" s="86"/>
      <c r="M633" s="87"/>
      <c r="N633" s="77"/>
      <c r="O633" s="79"/>
      <c r="P633" s="92"/>
      <c r="Q633" s="93"/>
      <c r="S633" s="99"/>
      <c r="T633" s="99"/>
      <c r="U633" s="99"/>
      <c r="V633" s="99"/>
      <c r="W633" s="99"/>
      <c r="X633" s="99"/>
      <c r="Y633" s="99"/>
      <c r="Z633" s="99"/>
      <c r="AA633" s="99"/>
      <c r="AB633" s="99"/>
      <c r="AC633" s="98"/>
      <c r="AD633" s="98"/>
      <c r="AE633" s="98"/>
      <c r="AF633" s="98"/>
      <c r="AG633" s="98"/>
      <c r="AH633" s="98"/>
    </row>
    <row r="634" spans="2:34" x14ac:dyDescent="0.25">
      <c r="B634" s="73"/>
      <c r="C634" s="74"/>
      <c r="D634" s="80"/>
      <c r="E634" s="81"/>
      <c r="F634" s="81"/>
      <c r="G634" s="81"/>
      <c r="H634" s="81"/>
      <c r="I634" s="82"/>
      <c r="J634" s="88"/>
      <c r="K634" s="89"/>
      <c r="L634" s="88"/>
      <c r="M634" s="89"/>
      <c r="N634" s="80"/>
      <c r="O634" s="82"/>
      <c r="P634" s="94"/>
      <c r="Q634" s="95"/>
      <c r="S634" s="99"/>
      <c r="T634" s="99"/>
      <c r="U634" s="99"/>
      <c r="V634" s="99"/>
      <c r="W634" s="99"/>
      <c r="X634" s="99"/>
      <c r="Y634" s="99"/>
      <c r="Z634" s="99"/>
      <c r="AA634" s="99"/>
      <c r="AB634" s="99"/>
      <c r="AC634" s="98"/>
      <c r="AD634" s="98"/>
      <c r="AE634" s="98"/>
      <c r="AF634" s="98"/>
      <c r="AG634" s="98"/>
      <c r="AH634" s="98"/>
    </row>
    <row r="635" spans="2:34" x14ac:dyDescent="0.25">
      <c r="B635" s="75"/>
      <c r="C635" s="76"/>
      <c r="D635" s="83"/>
      <c r="E635" s="84"/>
      <c r="F635" s="84"/>
      <c r="G635" s="84"/>
      <c r="H635" s="84"/>
      <c r="I635" s="85"/>
      <c r="J635" s="90"/>
      <c r="K635" s="91"/>
      <c r="L635" s="90"/>
      <c r="M635" s="91"/>
      <c r="N635" s="83"/>
      <c r="O635" s="85"/>
      <c r="P635" s="96"/>
      <c r="Q635" s="97"/>
      <c r="S635" s="99"/>
      <c r="T635" s="99"/>
      <c r="U635" s="99"/>
      <c r="V635" s="99"/>
      <c r="W635" s="99"/>
      <c r="X635" s="99"/>
      <c r="Y635" s="99"/>
      <c r="Z635" s="99"/>
      <c r="AA635" s="99"/>
      <c r="AB635" s="99"/>
      <c r="AC635" s="98"/>
      <c r="AD635" s="98"/>
      <c r="AE635" s="98"/>
      <c r="AF635" s="98"/>
      <c r="AG635" s="98"/>
      <c r="AH635" s="98"/>
    </row>
    <row r="636" spans="2:34" x14ac:dyDescent="0.25">
      <c r="B636" s="71"/>
      <c r="C636" s="72"/>
      <c r="D636" s="77"/>
      <c r="E636" s="78"/>
      <c r="F636" s="78"/>
      <c r="G636" s="78"/>
      <c r="H636" s="78"/>
      <c r="I636" s="79"/>
      <c r="J636" s="86"/>
      <c r="K636" s="87"/>
      <c r="L636" s="86"/>
      <c r="M636" s="87"/>
      <c r="N636" s="77"/>
      <c r="O636" s="79"/>
      <c r="P636" s="92"/>
      <c r="Q636" s="93"/>
      <c r="S636" s="99"/>
      <c r="T636" s="99"/>
      <c r="U636" s="99"/>
      <c r="V636" s="99"/>
      <c r="W636" s="99"/>
      <c r="X636" s="99"/>
      <c r="Y636" s="99"/>
      <c r="Z636" s="99"/>
      <c r="AA636" s="99"/>
      <c r="AB636" s="99"/>
      <c r="AC636" s="98"/>
      <c r="AD636" s="98"/>
      <c r="AE636" s="98"/>
      <c r="AF636" s="98"/>
      <c r="AG636" s="98"/>
      <c r="AH636" s="98"/>
    </row>
    <row r="637" spans="2:34" x14ac:dyDescent="0.25">
      <c r="B637" s="73"/>
      <c r="C637" s="74"/>
      <c r="D637" s="80"/>
      <c r="E637" s="81"/>
      <c r="F637" s="81"/>
      <c r="G637" s="81"/>
      <c r="H637" s="81"/>
      <c r="I637" s="82"/>
      <c r="J637" s="88"/>
      <c r="K637" s="89"/>
      <c r="L637" s="88"/>
      <c r="M637" s="89"/>
      <c r="N637" s="80"/>
      <c r="O637" s="82"/>
      <c r="P637" s="94"/>
      <c r="Q637" s="95"/>
      <c r="S637" s="99"/>
      <c r="T637" s="99"/>
      <c r="U637" s="99"/>
      <c r="V637" s="99"/>
      <c r="W637" s="99"/>
      <c r="X637" s="99"/>
      <c r="Y637" s="99"/>
      <c r="Z637" s="99"/>
      <c r="AA637" s="99"/>
      <c r="AB637" s="99"/>
      <c r="AC637" s="98"/>
      <c r="AD637" s="98"/>
      <c r="AE637" s="98"/>
      <c r="AF637" s="98"/>
      <c r="AG637" s="98"/>
      <c r="AH637" s="98"/>
    </row>
    <row r="638" spans="2:34" x14ac:dyDescent="0.25">
      <c r="B638" s="75"/>
      <c r="C638" s="76"/>
      <c r="D638" s="83"/>
      <c r="E638" s="84"/>
      <c r="F638" s="84"/>
      <c r="G638" s="84"/>
      <c r="H638" s="84"/>
      <c r="I638" s="85"/>
      <c r="J638" s="90"/>
      <c r="K638" s="91"/>
      <c r="L638" s="90"/>
      <c r="M638" s="91"/>
      <c r="N638" s="83"/>
      <c r="O638" s="85"/>
      <c r="P638" s="96"/>
      <c r="Q638" s="97"/>
      <c r="S638" s="99"/>
      <c r="T638" s="99"/>
      <c r="U638" s="99"/>
      <c r="V638" s="99"/>
      <c r="W638" s="99"/>
      <c r="X638" s="99"/>
      <c r="Y638" s="99"/>
      <c r="Z638" s="99"/>
      <c r="AA638" s="99"/>
      <c r="AB638" s="99"/>
      <c r="AC638" s="98"/>
      <c r="AD638" s="98"/>
      <c r="AE638" s="98"/>
      <c r="AF638" s="98"/>
      <c r="AG638" s="98"/>
      <c r="AH638" s="98"/>
    </row>
    <row r="639" spans="2:34" x14ac:dyDescent="0.25">
      <c r="B639" s="71"/>
      <c r="C639" s="72"/>
      <c r="D639" s="77"/>
      <c r="E639" s="78"/>
      <c r="F639" s="78"/>
      <c r="G639" s="78"/>
      <c r="H639" s="78"/>
      <c r="I639" s="79"/>
      <c r="J639" s="86"/>
      <c r="K639" s="87"/>
      <c r="L639" s="86"/>
      <c r="M639" s="87"/>
      <c r="N639" s="77"/>
      <c r="O639" s="79"/>
      <c r="P639" s="92"/>
      <c r="Q639" s="93"/>
      <c r="S639" s="99"/>
      <c r="T639" s="99"/>
      <c r="U639" s="99"/>
      <c r="V639" s="99"/>
      <c r="W639" s="99"/>
      <c r="X639" s="99"/>
      <c r="Y639" s="99"/>
      <c r="Z639" s="99"/>
      <c r="AA639" s="99"/>
      <c r="AB639" s="99"/>
      <c r="AC639" s="98"/>
      <c r="AD639" s="98"/>
      <c r="AE639" s="98"/>
      <c r="AF639" s="98"/>
      <c r="AG639" s="98"/>
      <c r="AH639" s="98"/>
    </row>
    <row r="640" spans="2:34" x14ac:dyDescent="0.25">
      <c r="B640" s="73"/>
      <c r="C640" s="74"/>
      <c r="D640" s="80"/>
      <c r="E640" s="81"/>
      <c r="F640" s="81"/>
      <c r="G640" s="81"/>
      <c r="H640" s="81"/>
      <c r="I640" s="82"/>
      <c r="J640" s="88"/>
      <c r="K640" s="89"/>
      <c r="L640" s="88"/>
      <c r="M640" s="89"/>
      <c r="N640" s="80"/>
      <c r="O640" s="82"/>
      <c r="P640" s="94"/>
      <c r="Q640" s="95"/>
      <c r="S640" s="99"/>
      <c r="T640" s="99"/>
      <c r="U640" s="99"/>
      <c r="V640" s="99"/>
      <c r="W640" s="99"/>
      <c r="X640" s="99"/>
      <c r="Y640" s="99"/>
      <c r="Z640" s="99"/>
      <c r="AA640" s="99"/>
      <c r="AB640" s="99"/>
      <c r="AC640" s="98"/>
      <c r="AD640" s="98"/>
      <c r="AE640" s="98"/>
      <c r="AF640" s="98"/>
      <c r="AG640" s="98"/>
      <c r="AH640" s="98"/>
    </row>
    <row r="641" spans="2:34" x14ac:dyDescent="0.25">
      <c r="B641" s="75"/>
      <c r="C641" s="76"/>
      <c r="D641" s="83"/>
      <c r="E641" s="84"/>
      <c r="F641" s="84"/>
      <c r="G641" s="84"/>
      <c r="H641" s="84"/>
      <c r="I641" s="85"/>
      <c r="J641" s="90"/>
      <c r="K641" s="91"/>
      <c r="L641" s="90"/>
      <c r="M641" s="91"/>
      <c r="N641" s="83"/>
      <c r="O641" s="85"/>
      <c r="P641" s="96"/>
      <c r="Q641" s="97"/>
      <c r="S641" s="99"/>
      <c r="T641" s="99"/>
      <c r="U641" s="99"/>
      <c r="V641" s="99"/>
      <c r="W641" s="99"/>
      <c r="X641" s="99"/>
      <c r="Y641" s="99"/>
      <c r="Z641" s="99"/>
      <c r="AA641" s="99"/>
      <c r="AB641" s="99"/>
      <c r="AC641" s="98"/>
      <c r="AD641" s="98"/>
      <c r="AE641" s="98"/>
      <c r="AF641" s="98"/>
      <c r="AG641" s="98"/>
      <c r="AH641" s="98"/>
    </row>
    <row r="642" spans="2:34" x14ac:dyDescent="0.25">
      <c r="B642" s="71"/>
      <c r="C642" s="72"/>
      <c r="D642" s="77"/>
      <c r="E642" s="78"/>
      <c r="F642" s="78"/>
      <c r="G642" s="78"/>
      <c r="H642" s="78"/>
      <c r="I642" s="79"/>
      <c r="J642" s="86"/>
      <c r="K642" s="87"/>
      <c r="L642" s="86"/>
      <c r="M642" s="87"/>
      <c r="N642" s="77"/>
      <c r="O642" s="79"/>
      <c r="P642" s="92"/>
      <c r="Q642" s="93"/>
      <c r="S642" s="99"/>
      <c r="T642" s="99"/>
      <c r="U642" s="99"/>
      <c r="V642" s="99"/>
      <c r="W642" s="99"/>
      <c r="X642" s="99"/>
      <c r="Y642" s="99"/>
      <c r="Z642" s="99"/>
      <c r="AA642" s="99"/>
      <c r="AB642" s="99"/>
      <c r="AC642" s="98"/>
      <c r="AD642" s="98"/>
      <c r="AE642" s="98"/>
      <c r="AF642" s="98"/>
      <c r="AG642" s="98"/>
      <c r="AH642" s="98"/>
    </row>
    <row r="643" spans="2:34" x14ac:dyDescent="0.25">
      <c r="B643" s="73"/>
      <c r="C643" s="74"/>
      <c r="D643" s="80"/>
      <c r="E643" s="81"/>
      <c r="F643" s="81"/>
      <c r="G643" s="81"/>
      <c r="H643" s="81"/>
      <c r="I643" s="82"/>
      <c r="J643" s="88"/>
      <c r="K643" s="89"/>
      <c r="L643" s="88"/>
      <c r="M643" s="89"/>
      <c r="N643" s="80"/>
      <c r="O643" s="82"/>
      <c r="P643" s="94"/>
      <c r="Q643" s="95"/>
      <c r="S643" s="99"/>
      <c r="T643" s="99"/>
      <c r="U643" s="99"/>
      <c r="V643" s="99"/>
      <c r="W643" s="99"/>
      <c r="X643" s="99"/>
      <c r="Y643" s="99"/>
      <c r="Z643" s="99"/>
      <c r="AA643" s="99"/>
      <c r="AB643" s="99"/>
      <c r="AC643" s="98"/>
      <c r="AD643" s="98"/>
      <c r="AE643" s="98"/>
      <c r="AF643" s="98"/>
      <c r="AG643" s="98"/>
      <c r="AH643" s="98"/>
    </row>
    <row r="644" spans="2:34" x14ac:dyDescent="0.25">
      <c r="B644" s="75"/>
      <c r="C644" s="76"/>
      <c r="D644" s="83"/>
      <c r="E644" s="84"/>
      <c r="F644" s="84"/>
      <c r="G644" s="84"/>
      <c r="H644" s="84"/>
      <c r="I644" s="85"/>
      <c r="J644" s="90"/>
      <c r="K644" s="91"/>
      <c r="L644" s="90"/>
      <c r="M644" s="91"/>
      <c r="N644" s="83"/>
      <c r="O644" s="85"/>
      <c r="P644" s="96"/>
      <c r="Q644" s="97"/>
      <c r="S644" s="99"/>
      <c r="T644" s="99"/>
      <c r="U644" s="99"/>
      <c r="V644" s="99"/>
      <c r="W644" s="99"/>
      <c r="X644" s="99"/>
      <c r="Y644" s="99"/>
      <c r="Z644" s="99"/>
      <c r="AA644" s="99"/>
      <c r="AB644" s="99"/>
      <c r="AC644" s="98"/>
      <c r="AD644" s="98"/>
      <c r="AE644" s="98"/>
      <c r="AF644" s="98"/>
      <c r="AG644" s="98"/>
      <c r="AH644" s="98"/>
    </row>
    <row r="645" spans="2:34" x14ac:dyDescent="0.25">
      <c r="B645" s="71"/>
      <c r="C645" s="72"/>
      <c r="D645" s="77"/>
      <c r="E645" s="78"/>
      <c r="F645" s="78"/>
      <c r="G645" s="78"/>
      <c r="H645" s="78"/>
      <c r="I645" s="79"/>
      <c r="J645" s="86"/>
      <c r="K645" s="87"/>
      <c r="L645" s="86"/>
      <c r="M645" s="87"/>
      <c r="N645" s="77"/>
      <c r="O645" s="79"/>
      <c r="P645" s="92"/>
      <c r="Q645" s="93"/>
      <c r="S645" s="99"/>
      <c r="T645" s="99"/>
      <c r="U645" s="99"/>
      <c r="V645" s="99"/>
      <c r="W645" s="99"/>
      <c r="X645" s="99"/>
      <c r="Y645" s="99"/>
      <c r="Z645" s="99"/>
      <c r="AA645" s="99"/>
      <c r="AB645" s="99"/>
      <c r="AC645" s="98"/>
      <c r="AD645" s="98"/>
      <c r="AE645" s="98"/>
      <c r="AF645" s="98"/>
      <c r="AG645" s="98"/>
      <c r="AH645" s="98"/>
    </row>
    <row r="646" spans="2:34" x14ac:dyDescent="0.25">
      <c r="B646" s="73"/>
      <c r="C646" s="74"/>
      <c r="D646" s="80"/>
      <c r="E646" s="81"/>
      <c r="F646" s="81"/>
      <c r="G646" s="81"/>
      <c r="H646" s="81"/>
      <c r="I646" s="82"/>
      <c r="J646" s="88"/>
      <c r="K646" s="89"/>
      <c r="L646" s="88"/>
      <c r="M646" s="89"/>
      <c r="N646" s="80"/>
      <c r="O646" s="82"/>
      <c r="P646" s="94"/>
      <c r="Q646" s="95"/>
      <c r="S646" s="99"/>
      <c r="T646" s="99"/>
      <c r="U646" s="99"/>
      <c r="V646" s="99"/>
      <c r="W646" s="99"/>
      <c r="X646" s="99"/>
      <c r="Y646" s="99"/>
      <c r="Z646" s="99"/>
      <c r="AA646" s="99"/>
      <c r="AB646" s="99"/>
      <c r="AC646" s="98"/>
      <c r="AD646" s="98"/>
      <c r="AE646" s="98"/>
      <c r="AF646" s="98"/>
      <c r="AG646" s="98"/>
      <c r="AH646" s="98"/>
    </row>
    <row r="647" spans="2:34" x14ac:dyDescent="0.25">
      <c r="B647" s="75"/>
      <c r="C647" s="76"/>
      <c r="D647" s="83"/>
      <c r="E647" s="84"/>
      <c r="F647" s="84"/>
      <c r="G647" s="84"/>
      <c r="H647" s="84"/>
      <c r="I647" s="85"/>
      <c r="J647" s="90"/>
      <c r="K647" s="91"/>
      <c r="L647" s="90"/>
      <c r="M647" s="91"/>
      <c r="N647" s="83"/>
      <c r="O647" s="85"/>
      <c r="P647" s="96"/>
      <c r="Q647" s="97"/>
      <c r="S647" s="99"/>
      <c r="T647" s="99"/>
      <c r="U647" s="99"/>
      <c r="V647" s="99"/>
      <c r="W647" s="99"/>
      <c r="X647" s="99"/>
      <c r="Y647" s="99"/>
      <c r="Z647" s="99"/>
      <c r="AA647" s="99"/>
      <c r="AB647" s="99"/>
      <c r="AC647" s="98"/>
      <c r="AD647" s="98"/>
      <c r="AE647" s="98"/>
      <c r="AF647" s="98"/>
      <c r="AG647" s="98"/>
      <c r="AH647" s="98"/>
    </row>
    <row r="648" spans="2:34" x14ac:dyDescent="0.25">
      <c r="B648" s="71"/>
      <c r="C648" s="72"/>
      <c r="D648" s="77"/>
      <c r="E648" s="78"/>
      <c r="F648" s="78"/>
      <c r="G648" s="78"/>
      <c r="H648" s="78"/>
      <c r="I648" s="79"/>
      <c r="J648" s="86"/>
      <c r="K648" s="87"/>
      <c r="L648" s="86"/>
      <c r="M648" s="87"/>
      <c r="N648" s="77"/>
      <c r="O648" s="79"/>
      <c r="P648" s="92"/>
      <c r="Q648" s="93"/>
      <c r="S648" s="99"/>
      <c r="T648" s="99"/>
      <c r="U648" s="99"/>
      <c r="V648" s="99"/>
      <c r="W648" s="99"/>
      <c r="X648" s="99"/>
      <c r="Y648" s="99"/>
      <c r="Z648" s="99"/>
      <c r="AA648" s="99"/>
      <c r="AB648" s="99"/>
      <c r="AC648" s="98"/>
      <c r="AD648" s="98"/>
      <c r="AE648" s="98"/>
      <c r="AF648" s="98"/>
      <c r="AG648" s="98"/>
      <c r="AH648" s="98"/>
    </row>
    <row r="649" spans="2:34" x14ac:dyDescent="0.25">
      <c r="B649" s="73"/>
      <c r="C649" s="74"/>
      <c r="D649" s="80"/>
      <c r="E649" s="81"/>
      <c r="F649" s="81"/>
      <c r="G649" s="81"/>
      <c r="H649" s="81"/>
      <c r="I649" s="82"/>
      <c r="J649" s="88"/>
      <c r="K649" s="89"/>
      <c r="L649" s="88"/>
      <c r="M649" s="89"/>
      <c r="N649" s="80"/>
      <c r="O649" s="82"/>
      <c r="P649" s="94"/>
      <c r="Q649" s="95"/>
      <c r="S649" s="99"/>
      <c r="T649" s="99"/>
      <c r="U649" s="99"/>
      <c r="V649" s="99"/>
      <c r="W649" s="99"/>
      <c r="X649" s="99"/>
      <c r="Y649" s="99"/>
      <c r="Z649" s="99"/>
      <c r="AA649" s="99"/>
      <c r="AB649" s="99"/>
      <c r="AC649" s="98"/>
      <c r="AD649" s="98"/>
      <c r="AE649" s="98"/>
      <c r="AF649" s="98"/>
      <c r="AG649" s="98"/>
      <c r="AH649" s="98"/>
    </row>
    <row r="650" spans="2:34" x14ac:dyDescent="0.25">
      <c r="B650" s="75"/>
      <c r="C650" s="76"/>
      <c r="D650" s="83"/>
      <c r="E650" s="84"/>
      <c r="F650" s="84"/>
      <c r="G650" s="84"/>
      <c r="H650" s="84"/>
      <c r="I650" s="85"/>
      <c r="J650" s="90"/>
      <c r="K650" s="91"/>
      <c r="L650" s="90"/>
      <c r="M650" s="91"/>
      <c r="N650" s="83"/>
      <c r="O650" s="85"/>
      <c r="P650" s="96"/>
      <c r="Q650" s="97"/>
      <c r="S650" s="99"/>
      <c r="T650" s="99"/>
      <c r="U650" s="99"/>
      <c r="V650" s="99"/>
      <c r="W650" s="99"/>
      <c r="X650" s="99"/>
      <c r="Y650" s="99"/>
      <c r="Z650" s="99"/>
      <c r="AA650" s="99"/>
      <c r="AB650" s="99"/>
      <c r="AC650" s="98"/>
      <c r="AD650" s="98"/>
      <c r="AE650" s="98"/>
      <c r="AF650" s="98"/>
      <c r="AG650" s="98"/>
      <c r="AH650" s="98"/>
    </row>
    <row r="651" spans="2:34" x14ac:dyDescent="0.25">
      <c r="B651" s="71"/>
      <c r="C651" s="72"/>
      <c r="D651" s="77"/>
      <c r="E651" s="78"/>
      <c r="F651" s="78"/>
      <c r="G651" s="78"/>
      <c r="H651" s="78"/>
      <c r="I651" s="79"/>
      <c r="J651" s="86"/>
      <c r="K651" s="87"/>
      <c r="L651" s="86"/>
      <c r="M651" s="87"/>
      <c r="N651" s="77"/>
      <c r="O651" s="79"/>
      <c r="P651" s="92"/>
      <c r="Q651" s="93"/>
      <c r="S651" s="99"/>
      <c r="T651" s="99"/>
      <c r="U651" s="99"/>
      <c r="V651" s="99"/>
      <c r="W651" s="99"/>
      <c r="X651" s="99"/>
      <c r="Y651" s="99"/>
      <c r="Z651" s="99"/>
      <c r="AA651" s="99"/>
      <c r="AB651" s="99"/>
      <c r="AC651" s="98"/>
      <c r="AD651" s="98"/>
      <c r="AE651" s="98"/>
      <c r="AF651" s="98"/>
      <c r="AG651" s="98"/>
      <c r="AH651" s="98"/>
    </row>
    <row r="652" spans="2:34" x14ac:dyDescent="0.25">
      <c r="B652" s="73"/>
      <c r="C652" s="74"/>
      <c r="D652" s="80"/>
      <c r="E652" s="81"/>
      <c r="F652" s="81"/>
      <c r="G652" s="81"/>
      <c r="H652" s="81"/>
      <c r="I652" s="82"/>
      <c r="J652" s="88"/>
      <c r="K652" s="89"/>
      <c r="L652" s="88"/>
      <c r="M652" s="89"/>
      <c r="N652" s="80"/>
      <c r="O652" s="82"/>
      <c r="P652" s="94"/>
      <c r="Q652" s="95"/>
      <c r="S652" s="99"/>
      <c r="T652" s="99"/>
      <c r="U652" s="99"/>
      <c r="V652" s="99"/>
      <c r="W652" s="99"/>
      <c r="X652" s="99"/>
      <c r="Y652" s="99"/>
      <c r="Z652" s="99"/>
      <c r="AA652" s="99"/>
      <c r="AB652" s="99"/>
      <c r="AC652" s="98"/>
      <c r="AD652" s="98"/>
      <c r="AE652" s="98"/>
      <c r="AF652" s="98"/>
      <c r="AG652" s="98"/>
      <c r="AH652" s="98"/>
    </row>
    <row r="653" spans="2:34" x14ac:dyDescent="0.25">
      <c r="B653" s="75"/>
      <c r="C653" s="76"/>
      <c r="D653" s="83"/>
      <c r="E653" s="84"/>
      <c r="F653" s="84"/>
      <c r="G653" s="84"/>
      <c r="H653" s="84"/>
      <c r="I653" s="85"/>
      <c r="J653" s="90"/>
      <c r="K653" s="91"/>
      <c r="L653" s="90"/>
      <c r="M653" s="91"/>
      <c r="N653" s="83"/>
      <c r="O653" s="85"/>
      <c r="P653" s="96"/>
      <c r="Q653" s="97"/>
      <c r="S653" s="99"/>
      <c r="T653" s="99"/>
      <c r="U653" s="99"/>
      <c r="V653" s="99"/>
      <c r="W653" s="99"/>
      <c r="X653" s="99"/>
      <c r="Y653" s="99"/>
      <c r="Z653" s="99"/>
      <c r="AA653" s="99"/>
      <c r="AB653" s="99"/>
      <c r="AC653" s="98"/>
      <c r="AD653" s="98"/>
      <c r="AE653" s="98"/>
      <c r="AF653" s="98"/>
      <c r="AG653" s="98"/>
      <c r="AH653" s="98"/>
    </row>
    <row r="654" spans="2:34" x14ac:dyDescent="0.25">
      <c r="B654" s="71"/>
      <c r="C654" s="72"/>
      <c r="D654" s="77"/>
      <c r="E654" s="78"/>
      <c r="F654" s="78"/>
      <c r="G654" s="78"/>
      <c r="H654" s="78"/>
      <c r="I654" s="79"/>
      <c r="J654" s="86"/>
      <c r="K654" s="87"/>
      <c r="L654" s="86"/>
      <c r="M654" s="87"/>
      <c r="N654" s="77"/>
      <c r="O654" s="79"/>
      <c r="P654" s="92"/>
      <c r="Q654" s="93"/>
      <c r="S654" s="99"/>
      <c r="T654" s="99"/>
      <c r="U654" s="99"/>
      <c r="V654" s="99"/>
      <c r="W654" s="99"/>
      <c r="X654" s="99"/>
      <c r="Y654" s="99"/>
      <c r="Z654" s="99"/>
      <c r="AA654" s="99"/>
      <c r="AB654" s="99"/>
      <c r="AC654" s="98"/>
      <c r="AD654" s="98"/>
      <c r="AE654" s="98"/>
      <c r="AF654" s="98"/>
      <c r="AG654" s="98"/>
      <c r="AH654" s="98"/>
    </row>
    <row r="655" spans="2:34" x14ac:dyDescent="0.25">
      <c r="B655" s="73"/>
      <c r="C655" s="74"/>
      <c r="D655" s="80"/>
      <c r="E655" s="81"/>
      <c r="F655" s="81"/>
      <c r="G655" s="81"/>
      <c r="H655" s="81"/>
      <c r="I655" s="82"/>
      <c r="J655" s="88"/>
      <c r="K655" s="89"/>
      <c r="L655" s="88"/>
      <c r="M655" s="89"/>
      <c r="N655" s="80"/>
      <c r="O655" s="82"/>
      <c r="P655" s="94"/>
      <c r="Q655" s="95"/>
      <c r="S655" s="99"/>
      <c r="T655" s="99"/>
      <c r="U655" s="99"/>
      <c r="V655" s="99"/>
      <c r="W655" s="99"/>
      <c r="X655" s="99"/>
      <c r="Y655" s="99"/>
      <c r="Z655" s="99"/>
      <c r="AA655" s="99"/>
      <c r="AB655" s="99"/>
      <c r="AC655" s="98"/>
      <c r="AD655" s="98"/>
      <c r="AE655" s="98"/>
      <c r="AF655" s="98"/>
      <c r="AG655" s="98"/>
      <c r="AH655" s="98"/>
    </row>
    <row r="656" spans="2:34" x14ac:dyDescent="0.25">
      <c r="B656" s="75"/>
      <c r="C656" s="76"/>
      <c r="D656" s="83"/>
      <c r="E656" s="84"/>
      <c r="F656" s="84"/>
      <c r="G656" s="84"/>
      <c r="H656" s="84"/>
      <c r="I656" s="85"/>
      <c r="J656" s="90"/>
      <c r="K656" s="91"/>
      <c r="L656" s="90"/>
      <c r="M656" s="91"/>
      <c r="N656" s="83"/>
      <c r="O656" s="85"/>
      <c r="P656" s="96"/>
      <c r="Q656" s="97"/>
      <c r="S656" s="99"/>
      <c r="T656" s="99"/>
      <c r="U656" s="99"/>
      <c r="V656" s="99"/>
      <c r="W656" s="99"/>
      <c r="X656" s="99"/>
      <c r="Y656" s="99"/>
      <c r="Z656" s="99"/>
      <c r="AA656" s="99"/>
      <c r="AB656" s="99"/>
      <c r="AC656" s="98"/>
      <c r="AD656" s="98"/>
      <c r="AE656" s="98"/>
      <c r="AF656" s="98"/>
      <c r="AG656" s="98"/>
      <c r="AH656" s="98"/>
    </row>
    <row r="657" spans="2:34" x14ac:dyDescent="0.25">
      <c r="B657" s="71"/>
      <c r="C657" s="72"/>
      <c r="D657" s="77"/>
      <c r="E657" s="78"/>
      <c r="F657" s="78"/>
      <c r="G657" s="78"/>
      <c r="H657" s="78"/>
      <c r="I657" s="79"/>
      <c r="J657" s="86"/>
      <c r="K657" s="87"/>
      <c r="L657" s="86"/>
      <c r="M657" s="87"/>
      <c r="N657" s="77"/>
      <c r="O657" s="79"/>
      <c r="P657" s="92"/>
      <c r="Q657" s="93"/>
      <c r="S657" s="99"/>
      <c r="T657" s="99"/>
      <c r="U657" s="99"/>
      <c r="V657" s="99"/>
      <c r="W657" s="99"/>
      <c r="X657" s="99"/>
      <c r="Y657" s="99"/>
      <c r="Z657" s="99"/>
      <c r="AA657" s="99"/>
      <c r="AB657" s="99"/>
      <c r="AC657" s="98"/>
      <c r="AD657" s="98"/>
      <c r="AE657" s="98"/>
      <c r="AF657" s="98"/>
      <c r="AG657" s="98"/>
      <c r="AH657" s="98"/>
    </row>
    <row r="658" spans="2:34" x14ac:dyDescent="0.25">
      <c r="B658" s="73"/>
      <c r="C658" s="74"/>
      <c r="D658" s="80"/>
      <c r="E658" s="81"/>
      <c r="F658" s="81"/>
      <c r="G658" s="81"/>
      <c r="H658" s="81"/>
      <c r="I658" s="82"/>
      <c r="J658" s="88"/>
      <c r="K658" s="89"/>
      <c r="L658" s="88"/>
      <c r="M658" s="89"/>
      <c r="N658" s="80"/>
      <c r="O658" s="82"/>
      <c r="P658" s="94"/>
      <c r="Q658" s="95"/>
      <c r="S658" s="99"/>
      <c r="T658" s="99"/>
      <c r="U658" s="99"/>
      <c r="V658" s="99"/>
      <c r="W658" s="99"/>
      <c r="X658" s="99"/>
      <c r="Y658" s="99"/>
      <c r="Z658" s="99"/>
      <c r="AA658" s="99"/>
      <c r="AB658" s="99"/>
      <c r="AC658" s="98"/>
      <c r="AD658" s="98"/>
      <c r="AE658" s="98"/>
      <c r="AF658" s="98"/>
      <c r="AG658" s="98"/>
      <c r="AH658" s="98"/>
    </row>
    <row r="659" spans="2:34" x14ac:dyDescent="0.25">
      <c r="B659" s="75"/>
      <c r="C659" s="76"/>
      <c r="D659" s="83"/>
      <c r="E659" s="84"/>
      <c r="F659" s="84"/>
      <c r="G659" s="84"/>
      <c r="H659" s="84"/>
      <c r="I659" s="85"/>
      <c r="J659" s="90"/>
      <c r="K659" s="91"/>
      <c r="L659" s="90"/>
      <c r="M659" s="91"/>
      <c r="N659" s="83"/>
      <c r="O659" s="85"/>
      <c r="P659" s="96"/>
      <c r="Q659" s="97"/>
      <c r="S659" s="99"/>
      <c r="T659" s="99"/>
      <c r="U659" s="99"/>
      <c r="V659" s="99"/>
      <c r="W659" s="99"/>
      <c r="X659" s="99"/>
      <c r="Y659" s="99"/>
      <c r="Z659" s="99"/>
      <c r="AA659" s="99"/>
      <c r="AB659" s="99"/>
      <c r="AC659" s="98"/>
      <c r="AD659" s="98"/>
      <c r="AE659" s="98"/>
      <c r="AF659" s="98"/>
      <c r="AG659" s="98"/>
      <c r="AH659" s="98"/>
    </row>
    <row r="660" spans="2:34" x14ac:dyDescent="0.25">
      <c r="B660" s="71"/>
      <c r="C660" s="72"/>
      <c r="D660" s="77"/>
      <c r="E660" s="78"/>
      <c r="F660" s="78"/>
      <c r="G660" s="78"/>
      <c r="H660" s="78"/>
      <c r="I660" s="79"/>
      <c r="J660" s="86"/>
      <c r="K660" s="87"/>
      <c r="L660" s="86"/>
      <c r="M660" s="87"/>
      <c r="N660" s="77"/>
      <c r="O660" s="79"/>
      <c r="P660" s="92"/>
      <c r="Q660" s="93"/>
      <c r="S660" s="99"/>
      <c r="T660" s="99"/>
      <c r="U660" s="99"/>
      <c r="V660" s="99"/>
      <c r="W660" s="99"/>
      <c r="X660" s="99"/>
      <c r="Y660" s="99"/>
      <c r="Z660" s="99"/>
      <c r="AA660" s="99"/>
      <c r="AB660" s="99"/>
      <c r="AC660" s="98"/>
      <c r="AD660" s="98"/>
      <c r="AE660" s="98"/>
      <c r="AF660" s="98"/>
      <c r="AG660" s="98"/>
      <c r="AH660" s="98"/>
    </row>
    <row r="661" spans="2:34" x14ac:dyDescent="0.25">
      <c r="B661" s="73"/>
      <c r="C661" s="74"/>
      <c r="D661" s="80"/>
      <c r="E661" s="81"/>
      <c r="F661" s="81"/>
      <c r="G661" s="81"/>
      <c r="H661" s="81"/>
      <c r="I661" s="82"/>
      <c r="J661" s="88"/>
      <c r="K661" s="89"/>
      <c r="L661" s="88"/>
      <c r="M661" s="89"/>
      <c r="N661" s="80"/>
      <c r="O661" s="82"/>
      <c r="P661" s="94"/>
      <c r="Q661" s="95"/>
      <c r="S661" s="99"/>
      <c r="T661" s="99"/>
      <c r="U661" s="99"/>
      <c r="V661" s="99"/>
      <c r="W661" s="99"/>
      <c r="X661" s="99"/>
      <c r="Y661" s="99"/>
      <c r="Z661" s="99"/>
      <c r="AA661" s="99"/>
      <c r="AB661" s="99"/>
      <c r="AC661" s="98"/>
      <c r="AD661" s="98"/>
      <c r="AE661" s="98"/>
      <c r="AF661" s="98"/>
      <c r="AG661" s="98"/>
      <c r="AH661" s="98"/>
    </row>
    <row r="662" spans="2:34" x14ac:dyDescent="0.25">
      <c r="B662" s="75"/>
      <c r="C662" s="76"/>
      <c r="D662" s="83"/>
      <c r="E662" s="84"/>
      <c r="F662" s="84"/>
      <c r="G662" s="84"/>
      <c r="H662" s="84"/>
      <c r="I662" s="85"/>
      <c r="J662" s="90"/>
      <c r="K662" s="91"/>
      <c r="L662" s="90"/>
      <c r="M662" s="91"/>
      <c r="N662" s="83"/>
      <c r="O662" s="85"/>
      <c r="P662" s="96"/>
      <c r="Q662" s="97"/>
      <c r="S662" s="99"/>
      <c r="T662" s="99"/>
      <c r="U662" s="99"/>
      <c r="V662" s="99"/>
      <c r="W662" s="99"/>
      <c r="X662" s="99"/>
      <c r="Y662" s="99"/>
      <c r="Z662" s="99"/>
      <c r="AA662" s="99"/>
      <c r="AB662" s="99"/>
      <c r="AC662" s="98"/>
      <c r="AD662" s="98"/>
      <c r="AE662" s="98"/>
      <c r="AF662" s="98"/>
      <c r="AG662" s="98"/>
      <c r="AH662" s="98"/>
    </row>
    <row r="663" spans="2:34" x14ac:dyDescent="0.25">
      <c r="B663" s="71"/>
      <c r="C663" s="72"/>
      <c r="D663" s="77"/>
      <c r="E663" s="78"/>
      <c r="F663" s="78"/>
      <c r="G663" s="78"/>
      <c r="H663" s="78"/>
      <c r="I663" s="79"/>
      <c r="J663" s="86"/>
      <c r="K663" s="87"/>
      <c r="L663" s="86"/>
      <c r="M663" s="87"/>
      <c r="N663" s="77"/>
      <c r="O663" s="79"/>
      <c r="P663" s="92"/>
      <c r="Q663" s="93"/>
      <c r="S663" s="99"/>
      <c r="T663" s="99"/>
      <c r="U663" s="99"/>
      <c r="V663" s="99"/>
      <c r="W663" s="99"/>
      <c r="X663" s="99"/>
      <c r="Y663" s="99"/>
      <c r="Z663" s="99"/>
      <c r="AA663" s="99"/>
      <c r="AB663" s="99"/>
      <c r="AC663" s="98"/>
      <c r="AD663" s="98"/>
      <c r="AE663" s="98"/>
      <c r="AF663" s="98"/>
      <c r="AG663" s="98"/>
      <c r="AH663" s="98"/>
    </row>
    <row r="664" spans="2:34" x14ac:dyDescent="0.25">
      <c r="B664" s="73"/>
      <c r="C664" s="74"/>
      <c r="D664" s="80"/>
      <c r="E664" s="81"/>
      <c r="F664" s="81"/>
      <c r="G664" s="81"/>
      <c r="H664" s="81"/>
      <c r="I664" s="82"/>
      <c r="J664" s="88"/>
      <c r="K664" s="89"/>
      <c r="L664" s="88"/>
      <c r="M664" s="89"/>
      <c r="N664" s="80"/>
      <c r="O664" s="82"/>
      <c r="P664" s="94"/>
      <c r="Q664" s="95"/>
      <c r="S664" s="99"/>
      <c r="T664" s="99"/>
      <c r="U664" s="99"/>
      <c r="V664" s="99"/>
      <c r="W664" s="99"/>
      <c r="X664" s="99"/>
      <c r="Y664" s="99"/>
      <c r="Z664" s="99"/>
      <c r="AA664" s="99"/>
      <c r="AB664" s="99"/>
      <c r="AC664" s="98"/>
      <c r="AD664" s="98"/>
      <c r="AE664" s="98"/>
      <c r="AF664" s="98"/>
      <c r="AG664" s="98"/>
      <c r="AH664" s="98"/>
    </row>
    <row r="665" spans="2:34" x14ac:dyDescent="0.25">
      <c r="B665" s="75"/>
      <c r="C665" s="76"/>
      <c r="D665" s="83"/>
      <c r="E665" s="84"/>
      <c r="F665" s="84"/>
      <c r="G665" s="84"/>
      <c r="H665" s="84"/>
      <c r="I665" s="85"/>
      <c r="J665" s="90"/>
      <c r="K665" s="91"/>
      <c r="L665" s="90"/>
      <c r="M665" s="91"/>
      <c r="N665" s="83"/>
      <c r="O665" s="85"/>
      <c r="P665" s="96"/>
      <c r="Q665" s="97"/>
      <c r="S665" s="99"/>
      <c r="T665" s="99"/>
      <c r="U665" s="99"/>
      <c r="V665" s="99"/>
      <c r="W665" s="99"/>
      <c r="X665" s="99"/>
      <c r="Y665" s="99"/>
      <c r="Z665" s="99"/>
      <c r="AA665" s="99"/>
      <c r="AB665" s="99"/>
      <c r="AC665" s="98"/>
      <c r="AD665" s="98"/>
      <c r="AE665" s="98"/>
      <c r="AF665" s="98"/>
      <c r="AG665" s="98"/>
      <c r="AH665" s="98"/>
    </row>
    <row r="666" spans="2:34" x14ac:dyDescent="0.25">
      <c r="B666" s="71"/>
      <c r="C666" s="72"/>
      <c r="D666" s="77"/>
      <c r="E666" s="78"/>
      <c r="F666" s="78"/>
      <c r="G666" s="78"/>
      <c r="H666" s="78"/>
      <c r="I666" s="79"/>
      <c r="J666" s="86"/>
      <c r="K666" s="87"/>
      <c r="L666" s="86"/>
      <c r="M666" s="87"/>
      <c r="N666" s="77"/>
      <c r="O666" s="79"/>
      <c r="P666" s="92"/>
      <c r="Q666" s="93"/>
      <c r="S666" s="99"/>
      <c r="T666" s="99"/>
      <c r="U666" s="99"/>
      <c r="V666" s="99"/>
      <c r="W666" s="99"/>
      <c r="X666" s="99"/>
      <c r="Y666" s="99"/>
      <c r="Z666" s="99"/>
      <c r="AA666" s="99"/>
      <c r="AB666" s="99"/>
      <c r="AC666" s="98"/>
      <c r="AD666" s="98"/>
      <c r="AE666" s="98"/>
      <c r="AF666" s="98"/>
      <c r="AG666" s="98"/>
      <c r="AH666" s="98"/>
    </row>
    <row r="667" spans="2:34" x14ac:dyDescent="0.25">
      <c r="B667" s="73"/>
      <c r="C667" s="74"/>
      <c r="D667" s="80"/>
      <c r="E667" s="81"/>
      <c r="F667" s="81"/>
      <c r="G667" s="81"/>
      <c r="H667" s="81"/>
      <c r="I667" s="82"/>
      <c r="J667" s="88"/>
      <c r="K667" s="89"/>
      <c r="L667" s="88"/>
      <c r="M667" s="89"/>
      <c r="N667" s="80"/>
      <c r="O667" s="82"/>
      <c r="P667" s="94"/>
      <c r="Q667" s="95"/>
      <c r="S667" s="99"/>
      <c r="T667" s="99"/>
      <c r="U667" s="99"/>
      <c r="V667" s="99"/>
      <c r="W667" s="99"/>
      <c r="X667" s="99"/>
      <c r="Y667" s="99"/>
      <c r="Z667" s="99"/>
      <c r="AA667" s="99"/>
      <c r="AB667" s="99"/>
      <c r="AC667" s="98"/>
      <c r="AD667" s="98"/>
      <c r="AE667" s="98"/>
      <c r="AF667" s="98"/>
      <c r="AG667" s="98"/>
      <c r="AH667" s="98"/>
    </row>
    <row r="668" spans="2:34" x14ac:dyDescent="0.25">
      <c r="B668" s="75"/>
      <c r="C668" s="76"/>
      <c r="D668" s="83"/>
      <c r="E668" s="84"/>
      <c r="F668" s="84"/>
      <c r="G668" s="84"/>
      <c r="H668" s="84"/>
      <c r="I668" s="85"/>
      <c r="J668" s="90"/>
      <c r="K668" s="91"/>
      <c r="L668" s="90"/>
      <c r="M668" s="91"/>
      <c r="N668" s="83"/>
      <c r="O668" s="85"/>
      <c r="P668" s="96"/>
      <c r="Q668" s="97"/>
      <c r="S668" s="99"/>
      <c r="T668" s="99"/>
      <c r="U668" s="99"/>
      <c r="V668" s="99"/>
      <c r="W668" s="99"/>
      <c r="X668" s="99"/>
      <c r="Y668" s="99"/>
      <c r="Z668" s="99"/>
      <c r="AA668" s="99"/>
      <c r="AB668" s="99"/>
      <c r="AC668" s="98"/>
      <c r="AD668" s="98"/>
      <c r="AE668" s="98"/>
      <c r="AF668" s="98"/>
      <c r="AG668" s="98"/>
      <c r="AH668" s="98"/>
    </row>
    <row r="669" spans="2:34" x14ac:dyDescent="0.25">
      <c r="B669" s="71"/>
      <c r="C669" s="72"/>
      <c r="D669" s="77"/>
      <c r="E669" s="78"/>
      <c r="F669" s="78"/>
      <c r="G669" s="78"/>
      <c r="H669" s="78"/>
      <c r="I669" s="79"/>
      <c r="J669" s="86"/>
      <c r="K669" s="87"/>
      <c r="L669" s="86"/>
      <c r="M669" s="87"/>
      <c r="N669" s="77"/>
      <c r="O669" s="79"/>
      <c r="P669" s="92"/>
      <c r="Q669" s="93"/>
      <c r="S669" s="99"/>
      <c r="T669" s="99"/>
      <c r="U669" s="99"/>
      <c r="V669" s="99"/>
      <c r="W669" s="99"/>
      <c r="X669" s="99"/>
      <c r="Y669" s="99"/>
      <c r="Z669" s="99"/>
      <c r="AA669" s="99"/>
      <c r="AB669" s="99"/>
      <c r="AC669" s="98"/>
      <c r="AD669" s="98"/>
      <c r="AE669" s="98"/>
      <c r="AF669" s="98"/>
      <c r="AG669" s="98"/>
      <c r="AH669" s="98"/>
    </row>
    <row r="670" spans="2:34" x14ac:dyDescent="0.25">
      <c r="B670" s="73"/>
      <c r="C670" s="74"/>
      <c r="D670" s="80"/>
      <c r="E670" s="81"/>
      <c r="F670" s="81"/>
      <c r="G670" s="81"/>
      <c r="H670" s="81"/>
      <c r="I670" s="82"/>
      <c r="J670" s="88"/>
      <c r="K670" s="89"/>
      <c r="L670" s="88"/>
      <c r="M670" s="89"/>
      <c r="N670" s="80"/>
      <c r="O670" s="82"/>
      <c r="P670" s="94"/>
      <c r="Q670" s="95"/>
      <c r="S670" s="99"/>
      <c r="T670" s="99"/>
      <c r="U670" s="99"/>
      <c r="V670" s="99"/>
      <c r="W670" s="99"/>
      <c r="X670" s="99"/>
      <c r="Y670" s="99"/>
      <c r="Z670" s="99"/>
      <c r="AA670" s="99"/>
      <c r="AB670" s="99"/>
      <c r="AC670" s="98"/>
      <c r="AD670" s="98"/>
      <c r="AE670" s="98"/>
      <c r="AF670" s="98"/>
      <c r="AG670" s="98"/>
      <c r="AH670" s="98"/>
    </row>
    <row r="671" spans="2:34" x14ac:dyDescent="0.25">
      <c r="B671" s="75"/>
      <c r="C671" s="76"/>
      <c r="D671" s="83"/>
      <c r="E671" s="84"/>
      <c r="F671" s="84"/>
      <c r="G671" s="84"/>
      <c r="H671" s="84"/>
      <c r="I671" s="85"/>
      <c r="J671" s="90"/>
      <c r="K671" s="91"/>
      <c r="L671" s="90"/>
      <c r="M671" s="91"/>
      <c r="N671" s="83"/>
      <c r="O671" s="85"/>
      <c r="P671" s="96"/>
      <c r="Q671" s="97"/>
      <c r="S671" s="99"/>
      <c r="T671" s="99"/>
      <c r="U671" s="99"/>
      <c r="V671" s="99"/>
      <c r="W671" s="99"/>
      <c r="X671" s="99"/>
      <c r="Y671" s="99"/>
      <c r="Z671" s="99"/>
      <c r="AA671" s="99"/>
      <c r="AB671" s="99"/>
      <c r="AC671" s="98"/>
      <c r="AD671" s="98"/>
      <c r="AE671" s="98"/>
      <c r="AF671" s="98"/>
      <c r="AG671" s="98"/>
      <c r="AH671" s="98"/>
    </row>
    <row r="672" spans="2:34" x14ac:dyDescent="0.25">
      <c r="B672" s="71"/>
      <c r="C672" s="72"/>
      <c r="D672" s="77"/>
      <c r="E672" s="78"/>
      <c r="F672" s="78"/>
      <c r="G672" s="78"/>
      <c r="H672" s="78"/>
      <c r="I672" s="79"/>
      <c r="J672" s="86"/>
      <c r="K672" s="87"/>
      <c r="L672" s="86"/>
      <c r="M672" s="87"/>
      <c r="N672" s="77"/>
      <c r="O672" s="79"/>
      <c r="P672" s="92"/>
      <c r="Q672" s="93"/>
      <c r="S672" s="99"/>
      <c r="T672" s="99"/>
      <c r="U672" s="99"/>
      <c r="V672" s="99"/>
      <c r="W672" s="99"/>
      <c r="X672" s="99"/>
      <c r="Y672" s="99"/>
      <c r="Z672" s="99"/>
      <c r="AA672" s="99"/>
      <c r="AB672" s="99"/>
      <c r="AC672" s="98"/>
      <c r="AD672" s="98"/>
      <c r="AE672" s="98"/>
      <c r="AF672" s="98"/>
      <c r="AG672" s="98"/>
      <c r="AH672" s="98"/>
    </row>
    <row r="673" spans="2:34" x14ac:dyDescent="0.25">
      <c r="B673" s="73"/>
      <c r="C673" s="74"/>
      <c r="D673" s="80"/>
      <c r="E673" s="81"/>
      <c r="F673" s="81"/>
      <c r="G673" s="81"/>
      <c r="H673" s="81"/>
      <c r="I673" s="82"/>
      <c r="J673" s="88"/>
      <c r="K673" s="89"/>
      <c r="L673" s="88"/>
      <c r="M673" s="89"/>
      <c r="N673" s="80"/>
      <c r="O673" s="82"/>
      <c r="P673" s="94"/>
      <c r="Q673" s="95"/>
      <c r="S673" s="99"/>
      <c r="T673" s="99"/>
      <c r="U673" s="99"/>
      <c r="V673" s="99"/>
      <c r="W673" s="99"/>
      <c r="X673" s="99"/>
      <c r="Y673" s="99"/>
      <c r="Z673" s="99"/>
      <c r="AA673" s="99"/>
      <c r="AB673" s="99"/>
      <c r="AC673" s="98"/>
      <c r="AD673" s="98"/>
      <c r="AE673" s="98"/>
      <c r="AF673" s="98"/>
      <c r="AG673" s="98"/>
      <c r="AH673" s="98"/>
    </row>
    <row r="674" spans="2:34" x14ac:dyDescent="0.25">
      <c r="B674" s="75"/>
      <c r="C674" s="76"/>
      <c r="D674" s="83"/>
      <c r="E674" s="84"/>
      <c r="F674" s="84"/>
      <c r="G674" s="84"/>
      <c r="H674" s="84"/>
      <c r="I674" s="85"/>
      <c r="J674" s="90"/>
      <c r="K674" s="91"/>
      <c r="L674" s="90"/>
      <c r="M674" s="91"/>
      <c r="N674" s="83"/>
      <c r="O674" s="85"/>
      <c r="P674" s="96"/>
      <c r="Q674" s="97"/>
      <c r="S674" s="99"/>
      <c r="T674" s="99"/>
      <c r="U674" s="99"/>
      <c r="V674" s="99"/>
      <c r="W674" s="99"/>
      <c r="X674" s="99"/>
      <c r="Y674" s="99"/>
      <c r="Z674" s="99"/>
      <c r="AA674" s="99"/>
      <c r="AB674" s="99"/>
      <c r="AC674" s="98"/>
      <c r="AD674" s="98"/>
      <c r="AE674" s="98"/>
      <c r="AF674" s="98"/>
      <c r="AG674" s="98"/>
      <c r="AH674" s="98"/>
    </row>
    <row r="675" spans="2:34" x14ac:dyDescent="0.25">
      <c r="B675" s="71"/>
      <c r="C675" s="72"/>
      <c r="D675" s="77"/>
      <c r="E675" s="78"/>
      <c r="F675" s="78"/>
      <c r="G675" s="78"/>
      <c r="H675" s="78"/>
      <c r="I675" s="79"/>
      <c r="J675" s="86"/>
      <c r="K675" s="87"/>
      <c r="L675" s="86"/>
      <c r="M675" s="87"/>
      <c r="N675" s="77"/>
      <c r="O675" s="79"/>
      <c r="P675" s="92"/>
      <c r="Q675" s="93"/>
      <c r="S675" s="99"/>
      <c r="T675" s="99"/>
      <c r="U675" s="99"/>
      <c r="V675" s="99"/>
      <c r="W675" s="99"/>
      <c r="X675" s="99"/>
      <c r="Y675" s="99"/>
      <c r="Z675" s="99"/>
      <c r="AA675" s="99"/>
      <c r="AB675" s="99"/>
      <c r="AC675" s="98"/>
      <c r="AD675" s="98"/>
      <c r="AE675" s="98"/>
      <c r="AF675" s="98"/>
      <c r="AG675" s="98"/>
      <c r="AH675" s="98"/>
    </row>
    <row r="676" spans="2:34" x14ac:dyDescent="0.25">
      <c r="B676" s="73"/>
      <c r="C676" s="74"/>
      <c r="D676" s="80"/>
      <c r="E676" s="81"/>
      <c r="F676" s="81"/>
      <c r="G676" s="81"/>
      <c r="H676" s="81"/>
      <c r="I676" s="82"/>
      <c r="J676" s="88"/>
      <c r="K676" s="89"/>
      <c r="L676" s="88"/>
      <c r="M676" s="89"/>
      <c r="N676" s="80"/>
      <c r="O676" s="82"/>
      <c r="P676" s="94"/>
      <c r="Q676" s="95"/>
      <c r="S676" s="99"/>
      <c r="T676" s="99"/>
      <c r="U676" s="99"/>
      <c r="V676" s="99"/>
      <c r="W676" s="99"/>
      <c r="X676" s="99"/>
      <c r="Y676" s="99"/>
      <c r="Z676" s="99"/>
      <c r="AA676" s="99"/>
      <c r="AB676" s="99"/>
      <c r="AC676" s="98"/>
      <c r="AD676" s="98"/>
      <c r="AE676" s="98"/>
      <c r="AF676" s="98"/>
      <c r="AG676" s="98"/>
      <c r="AH676" s="98"/>
    </row>
    <row r="677" spans="2:34" x14ac:dyDescent="0.25">
      <c r="B677" s="75"/>
      <c r="C677" s="76"/>
      <c r="D677" s="83"/>
      <c r="E677" s="84"/>
      <c r="F677" s="84"/>
      <c r="G677" s="84"/>
      <c r="H677" s="84"/>
      <c r="I677" s="85"/>
      <c r="J677" s="90"/>
      <c r="K677" s="91"/>
      <c r="L677" s="90"/>
      <c r="M677" s="91"/>
      <c r="N677" s="83"/>
      <c r="O677" s="85"/>
      <c r="P677" s="96"/>
      <c r="Q677" s="97"/>
      <c r="S677" s="99"/>
      <c r="T677" s="99"/>
      <c r="U677" s="99"/>
      <c r="V677" s="99"/>
      <c r="W677" s="99"/>
      <c r="X677" s="99"/>
      <c r="Y677" s="99"/>
      <c r="Z677" s="99"/>
      <c r="AA677" s="99"/>
      <c r="AB677" s="99"/>
      <c r="AC677" s="98"/>
      <c r="AD677" s="98"/>
      <c r="AE677" s="98"/>
      <c r="AF677" s="98"/>
      <c r="AG677" s="98"/>
      <c r="AH677" s="98"/>
    </row>
    <row r="678" spans="2:34" x14ac:dyDescent="0.25">
      <c r="B678" s="71"/>
      <c r="C678" s="72"/>
      <c r="D678" s="77"/>
      <c r="E678" s="78"/>
      <c r="F678" s="78"/>
      <c r="G678" s="78"/>
      <c r="H678" s="78"/>
      <c r="I678" s="79"/>
      <c r="J678" s="86"/>
      <c r="K678" s="87"/>
      <c r="L678" s="86"/>
      <c r="M678" s="87"/>
      <c r="N678" s="77"/>
      <c r="O678" s="79"/>
      <c r="P678" s="92"/>
      <c r="Q678" s="93"/>
      <c r="S678" s="99"/>
      <c r="T678" s="99"/>
      <c r="U678" s="99"/>
      <c r="V678" s="99"/>
      <c r="W678" s="99"/>
      <c r="X678" s="99"/>
      <c r="Y678" s="99"/>
      <c r="Z678" s="99"/>
      <c r="AA678" s="99"/>
      <c r="AB678" s="99"/>
      <c r="AC678" s="98"/>
      <c r="AD678" s="98"/>
      <c r="AE678" s="98"/>
      <c r="AF678" s="98"/>
      <c r="AG678" s="98"/>
      <c r="AH678" s="98"/>
    </row>
    <row r="679" spans="2:34" x14ac:dyDescent="0.25">
      <c r="B679" s="73"/>
      <c r="C679" s="74"/>
      <c r="D679" s="80"/>
      <c r="E679" s="81"/>
      <c r="F679" s="81"/>
      <c r="G679" s="81"/>
      <c r="H679" s="81"/>
      <c r="I679" s="82"/>
      <c r="J679" s="88"/>
      <c r="K679" s="89"/>
      <c r="L679" s="88"/>
      <c r="M679" s="89"/>
      <c r="N679" s="80"/>
      <c r="O679" s="82"/>
      <c r="P679" s="94"/>
      <c r="Q679" s="95"/>
      <c r="S679" s="99"/>
      <c r="T679" s="99"/>
      <c r="U679" s="99"/>
      <c r="V679" s="99"/>
      <c r="W679" s="99"/>
      <c r="X679" s="99"/>
      <c r="Y679" s="99"/>
      <c r="Z679" s="99"/>
      <c r="AA679" s="99"/>
      <c r="AB679" s="99"/>
      <c r="AC679" s="98"/>
      <c r="AD679" s="98"/>
      <c r="AE679" s="98"/>
      <c r="AF679" s="98"/>
      <c r="AG679" s="98"/>
      <c r="AH679" s="98"/>
    </row>
    <row r="680" spans="2:34" x14ac:dyDescent="0.25">
      <c r="B680" s="75"/>
      <c r="C680" s="76"/>
      <c r="D680" s="83"/>
      <c r="E680" s="84"/>
      <c r="F680" s="84"/>
      <c r="G680" s="84"/>
      <c r="H680" s="84"/>
      <c r="I680" s="85"/>
      <c r="J680" s="90"/>
      <c r="K680" s="91"/>
      <c r="L680" s="90"/>
      <c r="M680" s="91"/>
      <c r="N680" s="83"/>
      <c r="O680" s="85"/>
      <c r="P680" s="96"/>
      <c r="Q680" s="97"/>
      <c r="S680" s="99"/>
      <c r="T680" s="99"/>
      <c r="U680" s="99"/>
      <c r="V680" s="99"/>
      <c r="W680" s="99"/>
      <c r="X680" s="99"/>
      <c r="Y680" s="99"/>
      <c r="Z680" s="99"/>
      <c r="AA680" s="99"/>
      <c r="AB680" s="99"/>
      <c r="AC680" s="98"/>
      <c r="AD680" s="98"/>
      <c r="AE680" s="98"/>
      <c r="AF680" s="98"/>
      <c r="AG680" s="98"/>
      <c r="AH680" s="98"/>
    </row>
    <row r="681" spans="2:34" x14ac:dyDescent="0.25">
      <c r="B681" s="71"/>
      <c r="C681" s="72"/>
      <c r="D681" s="77"/>
      <c r="E681" s="78"/>
      <c r="F681" s="78"/>
      <c r="G681" s="78"/>
      <c r="H681" s="78"/>
      <c r="I681" s="79"/>
      <c r="J681" s="86"/>
      <c r="K681" s="87"/>
      <c r="L681" s="86"/>
      <c r="M681" s="87"/>
      <c r="N681" s="77"/>
      <c r="O681" s="79"/>
      <c r="P681" s="92"/>
      <c r="Q681" s="93"/>
      <c r="S681" s="99"/>
      <c r="T681" s="99"/>
      <c r="U681" s="99"/>
      <c r="V681" s="99"/>
      <c r="W681" s="99"/>
      <c r="X681" s="99"/>
      <c r="Y681" s="99"/>
      <c r="Z681" s="99"/>
      <c r="AA681" s="99"/>
      <c r="AB681" s="99"/>
      <c r="AC681" s="98"/>
      <c r="AD681" s="98"/>
      <c r="AE681" s="98"/>
      <c r="AF681" s="98"/>
      <c r="AG681" s="98"/>
      <c r="AH681" s="98"/>
    </row>
    <row r="682" spans="2:34" x14ac:dyDescent="0.25">
      <c r="B682" s="73"/>
      <c r="C682" s="74"/>
      <c r="D682" s="80"/>
      <c r="E682" s="81"/>
      <c r="F682" s="81"/>
      <c r="G682" s="81"/>
      <c r="H682" s="81"/>
      <c r="I682" s="82"/>
      <c r="J682" s="88"/>
      <c r="K682" s="89"/>
      <c r="L682" s="88"/>
      <c r="M682" s="89"/>
      <c r="N682" s="80"/>
      <c r="O682" s="82"/>
      <c r="P682" s="94"/>
      <c r="Q682" s="95"/>
      <c r="S682" s="99"/>
      <c r="T682" s="99"/>
      <c r="U682" s="99"/>
      <c r="V682" s="99"/>
      <c r="W682" s="99"/>
      <c r="X682" s="99"/>
      <c r="Y682" s="99"/>
      <c r="Z682" s="99"/>
      <c r="AA682" s="99"/>
      <c r="AB682" s="99"/>
      <c r="AC682" s="98"/>
      <c r="AD682" s="98"/>
      <c r="AE682" s="98"/>
      <c r="AF682" s="98"/>
      <c r="AG682" s="98"/>
      <c r="AH682" s="98"/>
    </row>
    <row r="683" spans="2:34" x14ac:dyDescent="0.25">
      <c r="B683" s="75"/>
      <c r="C683" s="76"/>
      <c r="D683" s="83"/>
      <c r="E683" s="84"/>
      <c r="F683" s="84"/>
      <c r="G683" s="84"/>
      <c r="H683" s="84"/>
      <c r="I683" s="85"/>
      <c r="J683" s="90"/>
      <c r="K683" s="91"/>
      <c r="L683" s="90"/>
      <c r="M683" s="91"/>
      <c r="N683" s="83"/>
      <c r="O683" s="85"/>
      <c r="P683" s="96"/>
      <c r="Q683" s="97"/>
      <c r="S683" s="99"/>
      <c r="T683" s="99"/>
      <c r="U683" s="99"/>
      <c r="V683" s="99"/>
      <c r="W683" s="99"/>
      <c r="X683" s="99"/>
      <c r="Y683" s="99"/>
      <c r="Z683" s="99"/>
      <c r="AA683" s="99"/>
      <c r="AB683" s="99"/>
      <c r="AC683" s="98"/>
      <c r="AD683" s="98"/>
      <c r="AE683" s="98"/>
      <c r="AF683" s="98"/>
      <c r="AG683" s="98"/>
      <c r="AH683" s="98"/>
    </row>
    <row r="684" spans="2:34" x14ac:dyDescent="0.25">
      <c r="B684" s="71"/>
      <c r="C684" s="72"/>
      <c r="D684" s="77"/>
      <c r="E684" s="78"/>
      <c r="F684" s="78"/>
      <c r="G684" s="78"/>
      <c r="H684" s="78"/>
      <c r="I684" s="79"/>
      <c r="J684" s="86"/>
      <c r="K684" s="87"/>
      <c r="L684" s="86"/>
      <c r="M684" s="87"/>
      <c r="N684" s="77"/>
      <c r="O684" s="79"/>
      <c r="P684" s="92"/>
      <c r="Q684" s="93"/>
      <c r="S684" s="99"/>
      <c r="T684" s="99"/>
      <c r="U684" s="99"/>
      <c r="V684" s="99"/>
      <c r="W684" s="99"/>
      <c r="X684" s="99"/>
      <c r="Y684" s="99"/>
      <c r="Z684" s="99"/>
      <c r="AA684" s="99"/>
      <c r="AB684" s="99"/>
      <c r="AC684" s="98"/>
      <c r="AD684" s="98"/>
      <c r="AE684" s="98"/>
      <c r="AF684" s="98"/>
      <c r="AG684" s="98"/>
      <c r="AH684" s="98"/>
    </row>
    <row r="685" spans="2:34" x14ac:dyDescent="0.25">
      <c r="B685" s="73"/>
      <c r="C685" s="74"/>
      <c r="D685" s="80"/>
      <c r="E685" s="81"/>
      <c r="F685" s="81"/>
      <c r="G685" s="81"/>
      <c r="H685" s="81"/>
      <c r="I685" s="82"/>
      <c r="J685" s="88"/>
      <c r="K685" s="89"/>
      <c r="L685" s="88"/>
      <c r="M685" s="89"/>
      <c r="N685" s="80"/>
      <c r="O685" s="82"/>
      <c r="P685" s="94"/>
      <c r="Q685" s="95"/>
      <c r="S685" s="99"/>
      <c r="T685" s="99"/>
      <c r="U685" s="99"/>
      <c r="V685" s="99"/>
      <c r="W685" s="99"/>
      <c r="X685" s="99"/>
      <c r="Y685" s="99"/>
      <c r="Z685" s="99"/>
      <c r="AA685" s="99"/>
      <c r="AB685" s="99"/>
      <c r="AC685" s="98"/>
      <c r="AD685" s="98"/>
      <c r="AE685" s="98"/>
      <c r="AF685" s="98"/>
      <c r="AG685" s="98"/>
      <c r="AH685" s="98"/>
    </row>
    <row r="686" spans="2:34" x14ac:dyDescent="0.25">
      <c r="B686" s="75"/>
      <c r="C686" s="76"/>
      <c r="D686" s="83"/>
      <c r="E686" s="84"/>
      <c r="F686" s="84"/>
      <c r="G686" s="84"/>
      <c r="H686" s="84"/>
      <c r="I686" s="85"/>
      <c r="J686" s="90"/>
      <c r="K686" s="91"/>
      <c r="L686" s="90"/>
      <c r="M686" s="91"/>
      <c r="N686" s="83"/>
      <c r="O686" s="85"/>
      <c r="P686" s="96"/>
      <c r="Q686" s="97"/>
      <c r="S686" s="99"/>
      <c r="T686" s="99"/>
      <c r="U686" s="99"/>
      <c r="V686" s="99"/>
      <c r="W686" s="99"/>
      <c r="X686" s="99"/>
      <c r="Y686" s="99"/>
      <c r="Z686" s="99"/>
      <c r="AA686" s="99"/>
      <c r="AB686" s="99"/>
      <c r="AC686" s="98"/>
      <c r="AD686" s="98"/>
      <c r="AE686" s="98"/>
      <c r="AF686" s="98"/>
      <c r="AG686" s="98"/>
      <c r="AH686" s="98"/>
    </row>
    <row r="687" spans="2:34" x14ac:dyDescent="0.25">
      <c r="B687" s="71"/>
      <c r="C687" s="72"/>
      <c r="D687" s="77"/>
      <c r="E687" s="78"/>
      <c r="F687" s="78"/>
      <c r="G687" s="78"/>
      <c r="H687" s="78"/>
      <c r="I687" s="79"/>
      <c r="J687" s="86"/>
      <c r="K687" s="87"/>
      <c r="L687" s="86"/>
      <c r="M687" s="87"/>
      <c r="N687" s="77"/>
      <c r="O687" s="79"/>
      <c r="P687" s="92"/>
      <c r="Q687" s="93"/>
      <c r="S687" s="99"/>
      <c r="T687" s="99"/>
      <c r="U687" s="99"/>
      <c r="V687" s="99"/>
      <c r="W687" s="99"/>
      <c r="X687" s="99"/>
      <c r="Y687" s="99"/>
      <c r="Z687" s="99"/>
      <c r="AA687" s="99"/>
      <c r="AB687" s="99"/>
      <c r="AC687" s="98"/>
      <c r="AD687" s="98"/>
      <c r="AE687" s="98"/>
      <c r="AF687" s="98"/>
      <c r="AG687" s="98"/>
      <c r="AH687" s="98"/>
    </row>
    <row r="688" spans="2:34" x14ac:dyDescent="0.25">
      <c r="B688" s="73"/>
      <c r="C688" s="74"/>
      <c r="D688" s="80"/>
      <c r="E688" s="81"/>
      <c r="F688" s="81"/>
      <c r="G688" s="81"/>
      <c r="H688" s="81"/>
      <c r="I688" s="82"/>
      <c r="J688" s="88"/>
      <c r="K688" s="89"/>
      <c r="L688" s="88"/>
      <c r="M688" s="89"/>
      <c r="N688" s="80"/>
      <c r="O688" s="82"/>
      <c r="P688" s="94"/>
      <c r="Q688" s="95"/>
      <c r="S688" s="99"/>
      <c r="T688" s="99"/>
      <c r="U688" s="99"/>
      <c r="V688" s="99"/>
      <c r="W688" s="99"/>
      <c r="X688" s="99"/>
      <c r="Y688" s="99"/>
      <c r="Z688" s="99"/>
      <c r="AA688" s="99"/>
      <c r="AB688" s="99"/>
      <c r="AC688" s="98"/>
      <c r="AD688" s="98"/>
      <c r="AE688" s="98"/>
      <c r="AF688" s="98"/>
      <c r="AG688" s="98"/>
      <c r="AH688" s="98"/>
    </row>
    <row r="689" spans="2:34" x14ac:dyDescent="0.25">
      <c r="B689" s="75"/>
      <c r="C689" s="76"/>
      <c r="D689" s="83"/>
      <c r="E689" s="84"/>
      <c r="F689" s="84"/>
      <c r="G689" s="84"/>
      <c r="H689" s="84"/>
      <c r="I689" s="85"/>
      <c r="J689" s="90"/>
      <c r="K689" s="91"/>
      <c r="L689" s="90"/>
      <c r="M689" s="91"/>
      <c r="N689" s="83"/>
      <c r="O689" s="85"/>
      <c r="P689" s="96"/>
      <c r="Q689" s="97"/>
      <c r="S689" s="99"/>
      <c r="T689" s="99"/>
      <c r="U689" s="99"/>
      <c r="V689" s="99"/>
      <c r="W689" s="99"/>
      <c r="X689" s="99"/>
      <c r="Y689" s="99"/>
      <c r="Z689" s="99"/>
      <c r="AA689" s="99"/>
      <c r="AB689" s="99"/>
      <c r="AC689" s="98"/>
      <c r="AD689" s="98"/>
      <c r="AE689" s="98"/>
      <c r="AF689" s="98"/>
      <c r="AG689" s="98"/>
      <c r="AH689" s="98"/>
    </row>
    <row r="690" spans="2:34" x14ac:dyDescent="0.25">
      <c r="B690" s="71"/>
      <c r="C690" s="72"/>
      <c r="D690" s="77"/>
      <c r="E690" s="78"/>
      <c r="F690" s="78"/>
      <c r="G690" s="78"/>
      <c r="H690" s="78"/>
      <c r="I690" s="79"/>
      <c r="J690" s="86"/>
      <c r="K690" s="87"/>
      <c r="L690" s="86"/>
      <c r="M690" s="87"/>
      <c r="N690" s="77"/>
      <c r="O690" s="79"/>
      <c r="P690" s="92"/>
      <c r="Q690" s="93"/>
      <c r="S690" s="99"/>
      <c r="T690" s="99"/>
      <c r="U690" s="99"/>
      <c r="V690" s="99"/>
      <c r="W690" s="99"/>
      <c r="X690" s="99"/>
      <c r="Y690" s="99"/>
      <c r="Z690" s="99"/>
      <c r="AA690" s="99"/>
      <c r="AB690" s="99"/>
      <c r="AC690" s="98"/>
      <c r="AD690" s="98"/>
      <c r="AE690" s="98"/>
      <c r="AF690" s="98"/>
      <c r="AG690" s="98"/>
      <c r="AH690" s="98"/>
    </row>
    <row r="691" spans="2:34" x14ac:dyDescent="0.25">
      <c r="B691" s="73"/>
      <c r="C691" s="74"/>
      <c r="D691" s="80"/>
      <c r="E691" s="81"/>
      <c r="F691" s="81"/>
      <c r="G691" s="81"/>
      <c r="H691" s="81"/>
      <c r="I691" s="82"/>
      <c r="J691" s="88"/>
      <c r="K691" s="89"/>
      <c r="L691" s="88"/>
      <c r="M691" s="89"/>
      <c r="N691" s="80"/>
      <c r="O691" s="82"/>
      <c r="P691" s="94"/>
      <c r="Q691" s="95"/>
      <c r="S691" s="99"/>
      <c r="T691" s="99"/>
      <c r="U691" s="99"/>
      <c r="V691" s="99"/>
      <c r="W691" s="99"/>
      <c r="X691" s="99"/>
      <c r="Y691" s="99"/>
      <c r="Z691" s="99"/>
      <c r="AA691" s="99"/>
      <c r="AB691" s="99"/>
      <c r="AC691" s="98"/>
      <c r="AD691" s="98"/>
      <c r="AE691" s="98"/>
      <c r="AF691" s="98"/>
      <c r="AG691" s="98"/>
      <c r="AH691" s="98"/>
    </row>
    <row r="692" spans="2:34" x14ac:dyDescent="0.25">
      <c r="B692" s="75"/>
      <c r="C692" s="76"/>
      <c r="D692" s="83"/>
      <c r="E692" s="84"/>
      <c r="F692" s="84"/>
      <c r="G692" s="84"/>
      <c r="H692" s="84"/>
      <c r="I692" s="85"/>
      <c r="J692" s="90"/>
      <c r="K692" s="91"/>
      <c r="L692" s="90"/>
      <c r="M692" s="91"/>
      <c r="N692" s="83"/>
      <c r="O692" s="85"/>
      <c r="P692" s="96"/>
      <c r="Q692" s="97"/>
      <c r="S692" s="99"/>
      <c r="T692" s="99"/>
      <c r="U692" s="99"/>
      <c r="V692" s="99"/>
      <c r="W692" s="99"/>
      <c r="X692" s="99"/>
      <c r="Y692" s="99"/>
      <c r="Z692" s="99"/>
      <c r="AA692" s="99"/>
      <c r="AB692" s="99"/>
      <c r="AC692" s="98"/>
      <c r="AD692" s="98"/>
      <c r="AE692" s="98"/>
      <c r="AF692" s="98"/>
      <c r="AG692" s="98"/>
      <c r="AH692" s="98"/>
    </row>
    <row r="693" spans="2:34" x14ac:dyDescent="0.25">
      <c r="B693" s="71"/>
      <c r="C693" s="72"/>
      <c r="D693" s="77"/>
      <c r="E693" s="78"/>
      <c r="F693" s="78"/>
      <c r="G693" s="78"/>
      <c r="H693" s="78"/>
      <c r="I693" s="79"/>
      <c r="J693" s="86"/>
      <c r="K693" s="87"/>
      <c r="L693" s="86"/>
      <c r="M693" s="87"/>
      <c r="N693" s="77"/>
      <c r="O693" s="79"/>
      <c r="P693" s="92"/>
      <c r="Q693" s="93"/>
      <c r="S693" s="99"/>
      <c r="T693" s="99"/>
      <c r="U693" s="99"/>
      <c r="V693" s="99"/>
      <c r="W693" s="99"/>
      <c r="X693" s="99"/>
      <c r="Y693" s="99"/>
      <c r="Z693" s="99"/>
      <c r="AA693" s="99"/>
      <c r="AB693" s="99"/>
      <c r="AC693" s="98"/>
      <c r="AD693" s="98"/>
      <c r="AE693" s="98"/>
      <c r="AF693" s="98"/>
      <c r="AG693" s="98"/>
      <c r="AH693" s="98"/>
    </row>
    <row r="694" spans="2:34" x14ac:dyDescent="0.25">
      <c r="B694" s="73"/>
      <c r="C694" s="74"/>
      <c r="D694" s="80"/>
      <c r="E694" s="81"/>
      <c r="F694" s="81"/>
      <c r="G694" s="81"/>
      <c r="H694" s="81"/>
      <c r="I694" s="82"/>
      <c r="J694" s="88"/>
      <c r="K694" s="89"/>
      <c r="L694" s="88"/>
      <c r="M694" s="89"/>
      <c r="N694" s="80"/>
      <c r="O694" s="82"/>
      <c r="P694" s="94"/>
      <c r="Q694" s="95"/>
      <c r="S694" s="99"/>
      <c r="T694" s="99"/>
      <c r="U694" s="99"/>
      <c r="V694" s="99"/>
      <c r="W694" s="99"/>
      <c r="X694" s="99"/>
      <c r="Y694" s="99"/>
      <c r="Z694" s="99"/>
      <c r="AA694" s="99"/>
      <c r="AB694" s="99"/>
      <c r="AC694" s="98"/>
      <c r="AD694" s="98"/>
      <c r="AE694" s="98"/>
      <c r="AF694" s="98"/>
      <c r="AG694" s="98"/>
      <c r="AH694" s="98"/>
    </row>
    <row r="695" spans="2:34" x14ac:dyDescent="0.25">
      <c r="B695" s="75"/>
      <c r="C695" s="76"/>
      <c r="D695" s="83"/>
      <c r="E695" s="84"/>
      <c r="F695" s="84"/>
      <c r="G695" s="84"/>
      <c r="H695" s="84"/>
      <c r="I695" s="85"/>
      <c r="J695" s="90"/>
      <c r="K695" s="91"/>
      <c r="L695" s="90"/>
      <c r="M695" s="91"/>
      <c r="N695" s="83"/>
      <c r="O695" s="85"/>
      <c r="P695" s="96"/>
      <c r="Q695" s="97"/>
      <c r="S695" s="99"/>
      <c r="T695" s="99"/>
      <c r="U695" s="99"/>
      <c r="V695" s="99"/>
      <c r="W695" s="99"/>
      <c r="X695" s="99"/>
      <c r="Y695" s="99"/>
      <c r="Z695" s="99"/>
      <c r="AA695" s="99"/>
      <c r="AB695" s="99"/>
      <c r="AC695" s="98"/>
      <c r="AD695" s="98"/>
      <c r="AE695" s="98"/>
      <c r="AF695" s="98"/>
      <c r="AG695" s="98"/>
      <c r="AH695" s="98"/>
    </row>
    <row r="696" spans="2:34" x14ac:dyDescent="0.25">
      <c r="B696" s="71"/>
      <c r="C696" s="72"/>
      <c r="D696" s="77"/>
      <c r="E696" s="78"/>
      <c r="F696" s="78"/>
      <c r="G696" s="78"/>
      <c r="H696" s="78"/>
      <c r="I696" s="79"/>
      <c r="J696" s="86"/>
      <c r="K696" s="87"/>
      <c r="L696" s="86"/>
      <c r="M696" s="87"/>
      <c r="N696" s="77"/>
      <c r="O696" s="79"/>
      <c r="P696" s="92"/>
      <c r="Q696" s="93"/>
      <c r="S696" s="99"/>
      <c r="T696" s="99"/>
      <c r="U696" s="99"/>
      <c r="V696" s="99"/>
      <c r="W696" s="99"/>
      <c r="X696" s="99"/>
      <c r="Y696" s="99"/>
      <c r="Z696" s="99"/>
      <c r="AA696" s="99"/>
      <c r="AB696" s="99"/>
      <c r="AC696" s="98"/>
      <c r="AD696" s="98"/>
      <c r="AE696" s="98"/>
      <c r="AF696" s="98"/>
      <c r="AG696" s="98"/>
      <c r="AH696" s="98"/>
    </row>
    <row r="697" spans="2:34" x14ac:dyDescent="0.25">
      <c r="B697" s="73"/>
      <c r="C697" s="74"/>
      <c r="D697" s="80"/>
      <c r="E697" s="81"/>
      <c r="F697" s="81"/>
      <c r="G697" s="81"/>
      <c r="H697" s="81"/>
      <c r="I697" s="82"/>
      <c r="J697" s="88"/>
      <c r="K697" s="89"/>
      <c r="L697" s="88"/>
      <c r="M697" s="89"/>
      <c r="N697" s="80"/>
      <c r="O697" s="82"/>
      <c r="P697" s="94"/>
      <c r="Q697" s="95"/>
      <c r="S697" s="99"/>
      <c r="T697" s="99"/>
      <c r="U697" s="99"/>
      <c r="V697" s="99"/>
      <c r="W697" s="99"/>
      <c r="X697" s="99"/>
      <c r="Y697" s="99"/>
      <c r="Z697" s="99"/>
      <c r="AA697" s="99"/>
      <c r="AB697" s="99"/>
      <c r="AC697" s="98"/>
      <c r="AD697" s="98"/>
      <c r="AE697" s="98"/>
      <c r="AF697" s="98"/>
      <c r="AG697" s="98"/>
      <c r="AH697" s="98"/>
    </row>
    <row r="698" spans="2:34" x14ac:dyDescent="0.25">
      <c r="B698" s="75"/>
      <c r="C698" s="76"/>
      <c r="D698" s="83"/>
      <c r="E698" s="84"/>
      <c r="F698" s="84"/>
      <c r="G698" s="84"/>
      <c r="H698" s="84"/>
      <c r="I698" s="85"/>
      <c r="J698" s="90"/>
      <c r="K698" s="91"/>
      <c r="L698" s="90"/>
      <c r="M698" s="91"/>
      <c r="N698" s="83"/>
      <c r="O698" s="85"/>
      <c r="P698" s="96"/>
      <c r="Q698" s="97"/>
      <c r="S698" s="99"/>
      <c r="T698" s="99"/>
      <c r="U698" s="99"/>
      <c r="V698" s="99"/>
      <c r="W698" s="99"/>
      <c r="X698" s="99"/>
      <c r="Y698" s="99"/>
      <c r="Z698" s="99"/>
      <c r="AA698" s="99"/>
      <c r="AB698" s="99"/>
      <c r="AC698" s="98"/>
      <c r="AD698" s="98"/>
      <c r="AE698" s="98"/>
      <c r="AF698" s="98"/>
      <c r="AG698" s="98"/>
      <c r="AH698" s="98"/>
    </row>
    <row r="699" spans="2:34" x14ac:dyDescent="0.25">
      <c r="B699" s="71"/>
      <c r="C699" s="72"/>
      <c r="D699" s="77"/>
      <c r="E699" s="78"/>
      <c r="F699" s="78"/>
      <c r="G699" s="78"/>
      <c r="H699" s="78"/>
      <c r="I699" s="79"/>
      <c r="J699" s="86"/>
      <c r="K699" s="87"/>
      <c r="L699" s="86"/>
      <c r="M699" s="87"/>
      <c r="N699" s="77"/>
      <c r="O699" s="79"/>
      <c r="P699" s="92"/>
      <c r="Q699" s="93"/>
      <c r="S699" s="99"/>
      <c r="T699" s="99"/>
      <c r="U699" s="99"/>
      <c r="V699" s="99"/>
      <c r="W699" s="99"/>
      <c r="X699" s="99"/>
      <c r="Y699" s="99"/>
      <c r="Z699" s="99"/>
      <c r="AA699" s="99"/>
      <c r="AB699" s="99"/>
      <c r="AC699" s="98"/>
      <c r="AD699" s="98"/>
      <c r="AE699" s="98"/>
      <c r="AF699" s="98"/>
      <c r="AG699" s="98"/>
      <c r="AH699" s="98"/>
    </row>
    <row r="700" spans="2:34" x14ac:dyDescent="0.25">
      <c r="B700" s="73"/>
      <c r="C700" s="74"/>
      <c r="D700" s="80"/>
      <c r="E700" s="81"/>
      <c r="F700" s="81"/>
      <c r="G700" s="81"/>
      <c r="H700" s="81"/>
      <c r="I700" s="82"/>
      <c r="J700" s="88"/>
      <c r="K700" s="89"/>
      <c r="L700" s="88"/>
      <c r="M700" s="89"/>
      <c r="N700" s="80"/>
      <c r="O700" s="82"/>
      <c r="P700" s="94"/>
      <c r="Q700" s="95"/>
      <c r="S700" s="99"/>
      <c r="T700" s="99"/>
      <c r="U700" s="99"/>
      <c r="V700" s="99"/>
      <c r="W700" s="99"/>
      <c r="X700" s="99"/>
      <c r="Y700" s="99"/>
      <c r="Z700" s="99"/>
      <c r="AA700" s="99"/>
      <c r="AB700" s="99"/>
      <c r="AC700" s="98"/>
      <c r="AD700" s="98"/>
      <c r="AE700" s="98"/>
      <c r="AF700" s="98"/>
      <c r="AG700" s="98"/>
      <c r="AH700" s="98"/>
    </row>
    <row r="701" spans="2:34" x14ac:dyDescent="0.25">
      <c r="B701" s="75"/>
      <c r="C701" s="76"/>
      <c r="D701" s="83"/>
      <c r="E701" s="84"/>
      <c r="F701" s="84"/>
      <c r="G701" s="84"/>
      <c r="H701" s="84"/>
      <c r="I701" s="85"/>
      <c r="J701" s="90"/>
      <c r="K701" s="91"/>
      <c r="L701" s="90"/>
      <c r="M701" s="91"/>
      <c r="N701" s="83"/>
      <c r="O701" s="85"/>
      <c r="P701" s="96"/>
      <c r="Q701" s="97"/>
      <c r="S701" s="99"/>
      <c r="T701" s="99"/>
      <c r="U701" s="99"/>
      <c r="V701" s="99"/>
      <c r="W701" s="99"/>
      <c r="X701" s="99"/>
      <c r="Y701" s="99"/>
      <c r="Z701" s="99"/>
      <c r="AA701" s="99"/>
      <c r="AB701" s="99"/>
      <c r="AC701" s="98"/>
      <c r="AD701" s="98"/>
      <c r="AE701" s="98"/>
      <c r="AF701" s="98"/>
      <c r="AG701" s="98"/>
      <c r="AH701" s="98"/>
    </row>
    <row r="702" spans="2:34" x14ac:dyDescent="0.25">
      <c r="B702" s="71"/>
      <c r="C702" s="72"/>
      <c r="D702" s="77"/>
      <c r="E702" s="78"/>
      <c r="F702" s="78"/>
      <c r="G702" s="78"/>
      <c r="H702" s="78"/>
      <c r="I702" s="79"/>
      <c r="J702" s="86"/>
      <c r="K702" s="87"/>
      <c r="L702" s="86"/>
      <c r="M702" s="87"/>
      <c r="N702" s="77"/>
      <c r="O702" s="79"/>
      <c r="P702" s="92"/>
      <c r="Q702" s="93"/>
      <c r="S702" s="99"/>
      <c r="T702" s="99"/>
      <c r="U702" s="99"/>
      <c r="V702" s="99"/>
      <c r="W702" s="99"/>
      <c r="X702" s="99"/>
      <c r="Y702" s="99"/>
      <c r="Z702" s="99"/>
      <c r="AA702" s="99"/>
      <c r="AB702" s="99"/>
      <c r="AC702" s="98"/>
      <c r="AD702" s="98"/>
      <c r="AE702" s="98"/>
      <c r="AF702" s="98"/>
      <c r="AG702" s="98"/>
      <c r="AH702" s="98"/>
    </row>
    <row r="703" spans="2:34" x14ac:dyDescent="0.25">
      <c r="B703" s="73"/>
      <c r="C703" s="74"/>
      <c r="D703" s="80"/>
      <c r="E703" s="81"/>
      <c r="F703" s="81"/>
      <c r="G703" s="81"/>
      <c r="H703" s="81"/>
      <c r="I703" s="82"/>
      <c r="J703" s="88"/>
      <c r="K703" s="89"/>
      <c r="L703" s="88"/>
      <c r="M703" s="89"/>
      <c r="N703" s="80"/>
      <c r="O703" s="82"/>
      <c r="P703" s="94"/>
      <c r="Q703" s="95"/>
      <c r="S703" s="99"/>
      <c r="T703" s="99"/>
      <c r="U703" s="99"/>
      <c r="V703" s="99"/>
      <c r="W703" s="99"/>
      <c r="X703" s="99"/>
      <c r="Y703" s="99"/>
      <c r="Z703" s="99"/>
      <c r="AA703" s="99"/>
      <c r="AB703" s="99"/>
      <c r="AC703" s="98"/>
      <c r="AD703" s="98"/>
      <c r="AE703" s="98"/>
      <c r="AF703" s="98"/>
      <c r="AG703" s="98"/>
      <c r="AH703" s="98"/>
    </row>
    <row r="704" spans="2:34" x14ac:dyDescent="0.25">
      <c r="B704" s="75"/>
      <c r="C704" s="76"/>
      <c r="D704" s="83"/>
      <c r="E704" s="84"/>
      <c r="F704" s="84"/>
      <c r="G704" s="84"/>
      <c r="H704" s="84"/>
      <c r="I704" s="85"/>
      <c r="J704" s="90"/>
      <c r="K704" s="91"/>
      <c r="L704" s="90"/>
      <c r="M704" s="91"/>
      <c r="N704" s="83"/>
      <c r="O704" s="85"/>
      <c r="P704" s="96"/>
      <c r="Q704" s="97"/>
      <c r="S704" s="99"/>
      <c r="T704" s="99"/>
      <c r="U704" s="99"/>
      <c r="V704" s="99"/>
      <c r="W704" s="99"/>
      <c r="X704" s="99"/>
      <c r="Y704" s="99"/>
      <c r="Z704" s="99"/>
      <c r="AA704" s="99"/>
      <c r="AB704" s="99"/>
      <c r="AC704" s="98"/>
      <c r="AD704" s="98"/>
      <c r="AE704" s="98"/>
      <c r="AF704" s="98"/>
      <c r="AG704" s="98"/>
      <c r="AH704" s="98"/>
    </row>
    <row r="705" spans="2:34" x14ac:dyDescent="0.25">
      <c r="B705" s="71"/>
      <c r="C705" s="72"/>
      <c r="D705" s="77"/>
      <c r="E705" s="78"/>
      <c r="F705" s="78"/>
      <c r="G705" s="78"/>
      <c r="H705" s="78"/>
      <c r="I705" s="79"/>
      <c r="J705" s="86"/>
      <c r="K705" s="87"/>
      <c r="L705" s="86"/>
      <c r="M705" s="87"/>
      <c r="N705" s="77"/>
      <c r="O705" s="79"/>
      <c r="P705" s="92"/>
      <c r="Q705" s="93"/>
      <c r="S705" s="99"/>
      <c r="T705" s="99"/>
      <c r="U705" s="99"/>
      <c r="V705" s="99"/>
      <c r="W705" s="99"/>
      <c r="X705" s="99"/>
      <c r="Y705" s="99"/>
      <c r="Z705" s="99"/>
      <c r="AA705" s="99"/>
      <c r="AB705" s="99"/>
      <c r="AC705" s="98"/>
      <c r="AD705" s="98"/>
      <c r="AE705" s="98"/>
      <c r="AF705" s="98"/>
      <c r="AG705" s="98"/>
      <c r="AH705" s="98"/>
    </row>
    <row r="706" spans="2:34" x14ac:dyDescent="0.25">
      <c r="B706" s="73"/>
      <c r="C706" s="74"/>
      <c r="D706" s="80"/>
      <c r="E706" s="81"/>
      <c r="F706" s="81"/>
      <c r="G706" s="81"/>
      <c r="H706" s="81"/>
      <c r="I706" s="82"/>
      <c r="J706" s="88"/>
      <c r="K706" s="89"/>
      <c r="L706" s="88"/>
      <c r="M706" s="89"/>
      <c r="N706" s="80"/>
      <c r="O706" s="82"/>
      <c r="P706" s="94"/>
      <c r="Q706" s="95"/>
      <c r="S706" s="99"/>
      <c r="T706" s="99"/>
      <c r="U706" s="99"/>
      <c r="V706" s="99"/>
      <c r="W706" s="99"/>
      <c r="X706" s="99"/>
      <c r="Y706" s="99"/>
      <c r="Z706" s="99"/>
      <c r="AA706" s="99"/>
      <c r="AB706" s="99"/>
      <c r="AC706" s="98"/>
      <c r="AD706" s="98"/>
      <c r="AE706" s="98"/>
      <c r="AF706" s="98"/>
      <c r="AG706" s="98"/>
      <c r="AH706" s="98"/>
    </row>
    <row r="707" spans="2:34" x14ac:dyDescent="0.25">
      <c r="B707" s="75"/>
      <c r="C707" s="76"/>
      <c r="D707" s="83"/>
      <c r="E707" s="84"/>
      <c r="F707" s="84"/>
      <c r="G707" s="84"/>
      <c r="H707" s="84"/>
      <c r="I707" s="85"/>
      <c r="J707" s="90"/>
      <c r="K707" s="91"/>
      <c r="L707" s="90"/>
      <c r="M707" s="91"/>
      <c r="N707" s="83"/>
      <c r="O707" s="85"/>
      <c r="P707" s="96"/>
      <c r="Q707" s="97"/>
      <c r="S707" s="99"/>
      <c r="T707" s="99"/>
      <c r="U707" s="99"/>
      <c r="V707" s="99"/>
      <c r="W707" s="99"/>
      <c r="X707" s="99"/>
      <c r="Y707" s="99"/>
      <c r="Z707" s="99"/>
      <c r="AA707" s="99"/>
      <c r="AB707" s="99"/>
      <c r="AC707" s="98"/>
      <c r="AD707" s="98"/>
      <c r="AE707" s="98"/>
      <c r="AF707" s="98"/>
      <c r="AG707" s="98"/>
      <c r="AH707" s="98"/>
    </row>
    <row r="708" spans="2:34" x14ac:dyDescent="0.25">
      <c r="B708" s="71"/>
      <c r="C708" s="72"/>
      <c r="D708" s="77"/>
      <c r="E708" s="78"/>
      <c r="F708" s="78"/>
      <c r="G708" s="78"/>
      <c r="H708" s="78"/>
      <c r="I708" s="79"/>
      <c r="J708" s="86"/>
      <c r="K708" s="87"/>
      <c r="L708" s="86"/>
      <c r="M708" s="87"/>
      <c r="N708" s="77"/>
      <c r="O708" s="79"/>
      <c r="P708" s="92"/>
      <c r="Q708" s="93"/>
      <c r="S708" s="99"/>
      <c r="T708" s="99"/>
      <c r="U708" s="99"/>
      <c r="V708" s="99"/>
      <c r="W708" s="99"/>
      <c r="X708" s="99"/>
      <c r="Y708" s="99"/>
      <c r="Z708" s="99"/>
      <c r="AA708" s="99"/>
      <c r="AB708" s="99"/>
      <c r="AC708" s="98"/>
      <c r="AD708" s="98"/>
      <c r="AE708" s="98"/>
      <c r="AF708" s="98"/>
      <c r="AG708" s="98"/>
      <c r="AH708" s="98"/>
    </row>
    <row r="709" spans="2:34" x14ac:dyDescent="0.25">
      <c r="B709" s="73"/>
      <c r="C709" s="74"/>
      <c r="D709" s="80"/>
      <c r="E709" s="81"/>
      <c r="F709" s="81"/>
      <c r="G709" s="81"/>
      <c r="H709" s="81"/>
      <c r="I709" s="82"/>
      <c r="J709" s="88"/>
      <c r="K709" s="89"/>
      <c r="L709" s="88"/>
      <c r="M709" s="89"/>
      <c r="N709" s="80"/>
      <c r="O709" s="82"/>
      <c r="P709" s="94"/>
      <c r="Q709" s="95"/>
      <c r="S709" s="99"/>
      <c r="T709" s="99"/>
      <c r="U709" s="99"/>
      <c r="V709" s="99"/>
      <c r="W709" s="99"/>
      <c r="X709" s="99"/>
      <c r="Y709" s="99"/>
      <c r="Z709" s="99"/>
      <c r="AA709" s="99"/>
      <c r="AB709" s="99"/>
      <c r="AC709" s="98"/>
      <c r="AD709" s="98"/>
      <c r="AE709" s="98"/>
      <c r="AF709" s="98"/>
      <c r="AG709" s="98"/>
      <c r="AH709" s="98"/>
    </row>
    <row r="710" spans="2:34" x14ac:dyDescent="0.25">
      <c r="B710" s="75"/>
      <c r="C710" s="76"/>
      <c r="D710" s="83"/>
      <c r="E710" s="84"/>
      <c r="F710" s="84"/>
      <c r="G710" s="84"/>
      <c r="H710" s="84"/>
      <c r="I710" s="85"/>
      <c r="J710" s="90"/>
      <c r="K710" s="91"/>
      <c r="L710" s="90"/>
      <c r="M710" s="91"/>
      <c r="N710" s="83"/>
      <c r="O710" s="85"/>
      <c r="P710" s="96"/>
      <c r="Q710" s="97"/>
      <c r="S710" s="99"/>
      <c r="T710" s="99"/>
      <c r="U710" s="99"/>
      <c r="V710" s="99"/>
      <c r="W710" s="99"/>
      <c r="X710" s="99"/>
      <c r="Y710" s="99"/>
      <c r="Z710" s="99"/>
      <c r="AA710" s="99"/>
      <c r="AB710" s="99"/>
      <c r="AC710" s="98"/>
      <c r="AD710" s="98"/>
      <c r="AE710" s="98"/>
      <c r="AF710" s="98"/>
      <c r="AG710" s="98"/>
      <c r="AH710" s="98"/>
    </row>
    <row r="711" spans="2:34" x14ac:dyDescent="0.25">
      <c r="B711" s="71"/>
      <c r="C711" s="72"/>
      <c r="D711" s="77"/>
      <c r="E711" s="78"/>
      <c r="F711" s="78"/>
      <c r="G711" s="78"/>
      <c r="H711" s="78"/>
      <c r="I711" s="79"/>
      <c r="J711" s="86"/>
      <c r="K711" s="87"/>
      <c r="L711" s="86"/>
      <c r="M711" s="87"/>
      <c r="N711" s="77"/>
      <c r="O711" s="79"/>
      <c r="P711" s="92"/>
      <c r="Q711" s="93"/>
      <c r="S711" s="99"/>
      <c r="T711" s="99"/>
      <c r="U711" s="99"/>
      <c r="V711" s="99"/>
      <c r="W711" s="99"/>
      <c r="X711" s="99"/>
      <c r="Y711" s="99"/>
      <c r="Z711" s="99"/>
      <c r="AA711" s="99"/>
      <c r="AB711" s="99"/>
      <c r="AC711" s="98"/>
      <c r="AD711" s="98"/>
      <c r="AE711" s="98"/>
      <c r="AF711" s="98"/>
      <c r="AG711" s="98"/>
      <c r="AH711" s="98"/>
    </row>
    <row r="712" spans="2:34" x14ac:dyDescent="0.25">
      <c r="B712" s="73"/>
      <c r="C712" s="74"/>
      <c r="D712" s="80"/>
      <c r="E712" s="81"/>
      <c r="F712" s="81"/>
      <c r="G712" s="81"/>
      <c r="H712" s="81"/>
      <c r="I712" s="82"/>
      <c r="J712" s="88"/>
      <c r="K712" s="89"/>
      <c r="L712" s="88"/>
      <c r="M712" s="89"/>
      <c r="N712" s="80"/>
      <c r="O712" s="82"/>
      <c r="P712" s="94"/>
      <c r="Q712" s="95"/>
      <c r="S712" s="99"/>
      <c r="T712" s="99"/>
      <c r="U712" s="99"/>
      <c r="V712" s="99"/>
      <c r="W712" s="99"/>
      <c r="X712" s="99"/>
      <c r="Y712" s="99"/>
      <c r="Z712" s="99"/>
      <c r="AA712" s="99"/>
      <c r="AB712" s="99"/>
      <c r="AC712" s="98"/>
      <c r="AD712" s="98"/>
      <c r="AE712" s="98"/>
      <c r="AF712" s="98"/>
      <c r="AG712" s="98"/>
      <c r="AH712" s="98"/>
    </row>
    <row r="713" spans="2:34" x14ac:dyDescent="0.25">
      <c r="B713" s="75"/>
      <c r="C713" s="76"/>
      <c r="D713" s="83"/>
      <c r="E713" s="84"/>
      <c r="F713" s="84"/>
      <c r="G713" s="84"/>
      <c r="H713" s="84"/>
      <c r="I713" s="85"/>
      <c r="J713" s="90"/>
      <c r="K713" s="91"/>
      <c r="L713" s="90"/>
      <c r="M713" s="91"/>
      <c r="N713" s="83"/>
      <c r="O713" s="85"/>
      <c r="P713" s="96"/>
      <c r="Q713" s="97"/>
      <c r="S713" s="99"/>
      <c r="T713" s="99"/>
      <c r="U713" s="99"/>
      <c r="V713" s="99"/>
      <c r="W713" s="99"/>
      <c r="X713" s="99"/>
      <c r="Y713" s="99"/>
      <c r="Z713" s="99"/>
      <c r="AA713" s="99"/>
      <c r="AB713" s="99"/>
      <c r="AC713" s="98"/>
      <c r="AD713" s="98"/>
      <c r="AE713" s="98"/>
      <c r="AF713" s="98"/>
      <c r="AG713" s="98"/>
      <c r="AH713" s="98"/>
    </row>
    <row r="714" spans="2:34" x14ac:dyDescent="0.25">
      <c r="B714" s="71"/>
      <c r="C714" s="72"/>
      <c r="D714" s="77"/>
      <c r="E714" s="78"/>
      <c r="F714" s="78"/>
      <c r="G714" s="78"/>
      <c r="H714" s="78"/>
      <c r="I714" s="79"/>
      <c r="J714" s="86"/>
      <c r="K714" s="87"/>
      <c r="L714" s="86"/>
      <c r="M714" s="87"/>
      <c r="N714" s="77"/>
      <c r="O714" s="79"/>
      <c r="P714" s="92"/>
      <c r="Q714" s="93"/>
      <c r="S714" s="99"/>
      <c r="T714" s="99"/>
      <c r="U714" s="99"/>
      <c r="V714" s="99"/>
      <c r="W714" s="99"/>
      <c r="X714" s="99"/>
      <c r="Y714" s="99"/>
      <c r="Z714" s="99"/>
      <c r="AA714" s="99"/>
      <c r="AB714" s="99"/>
      <c r="AC714" s="98"/>
      <c r="AD714" s="98"/>
      <c r="AE714" s="98"/>
      <c r="AF714" s="98"/>
      <c r="AG714" s="98"/>
      <c r="AH714" s="98"/>
    </row>
    <row r="715" spans="2:34" x14ac:dyDescent="0.25">
      <c r="B715" s="73"/>
      <c r="C715" s="74"/>
      <c r="D715" s="80"/>
      <c r="E715" s="81"/>
      <c r="F715" s="81"/>
      <c r="G715" s="81"/>
      <c r="H715" s="81"/>
      <c r="I715" s="82"/>
      <c r="J715" s="88"/>
      <c r="K715" s="89"/>
      <c r="L715" s="88"/>
      <c r="M715" s="89"/>
      <c r="N715" s="80"/>
      <c r="O715" s="82"/>
      <c r="P715" s="94"/>
      <c r="Q715" s="95"/>
      <c r="S715" s="99"/>
      <c r="T715" s="99"/>
      <c r="U715" s="99"/>
      <c r="V715" s="99"/>
      <c r="W715" s="99"/>
      <c r="X715" s="99"/>
      <c r="Y715" s="99"/>
      <c r="Z715" s="99"/>
      <c r="AA715" s="99"/>
      <c r="AB715" s="99"/>
      <c r="AC715" s="98"/>
      <c r="AD715" s="98"/>
      <c r="AE715" s="98"/>
      <c r="AF715" s="98"/>
      <c r="AG715" s="98"/>
      <c r="AH715" s="98"/>
    </row>
    <row r="716" spans="2:34" x14ac:dyDescent="0.25">
      <c r="B716" s="75"/>
      <c r="C716" s="76"/>
      <c r="D716" s="83"/>
      <c r="E716" s="84"/>
      <c r="F716" s="84"/>
      <c r="G716" s="84"/>
      <c r="H716" s="84"/>
      <c r="I716" s="85"/>
      <c r="J716" s="90"/>
      <c r="K716" s="91"/>
      <c r="L716" s="90"/>
      <c r="M716" s="91"/>
      <c r="N716" s="83"/>
      <c r="O716" s="85"/>
      <c r="P716" s="96"/>
      <c r="Q716" s="97"/>
      <c r="S716" s="99"/>
      <c r="T716" s="99"/>
      <c r="U716" s="99"/>
      <c r="V716" s="99"/>
      <c r="W716" s="99"/>
      <c r="X716" s="99"/>
      <c r="Y716" s="99"/>
      <c r="Z716" s="99"/>
      <c r="AA716" s="99"/>
      <c r="AB716" s="99"/>
      <c r="AC716" s="98"/>
      <c r="AD716" s="98"/>
      <c r="AE716" s="98"/>
      <c r="AF716" s="98"/>
      <c r="AG716" s="98"/>
      <c r="AH716" s="98"/>
    </row>
    <row r="717" spans="2:34" x14ac:dyDescent="0.25">
      <c r="B717" s="71"/>
      <c r="C717" s="72"/>
      <c r="D717" s="77"/>
      <c r="E717" s="78"/>
      <c r="F717" s="78"/>
      <c r="G717" s="78"/>
      <c r="H717" s="78"/>
      <c r="I717" s="79"/>
      <c r="J717" s="86"/>
      <c r="K717" s="87"/>
      <c r="L717" s="86"/>
      <c r="M717" s="87"/>
      <c r="N717" s="77"/>
      <c r="O717" s="79"/>
      <c r="P717" s="92"/>
      <c r="Q717" s="93"/>
      <c r="S717" s="99"/>
      <c r="T717" s="99"/>
      <c r="U717" s="99"/>
      <c r="V717" s="99"/>
      <c r="W717" s="99"/>
      <c r="X717" s="99"/>
      <c r="Y717" s="99"/>
      <c r="Z717" s="99"/>
      <c r="AA717" s="99"/>
      <c r="AB717" s="99"/>
      <c r="AC717" s="98"/>
      <c r="AD717" s="98"/>
      <c r="AE717" s="98"/>
      <c r="AF717" s="98"/>
      <c r="AG717" s="98"/>
      <c r="AH717" s="98"/>
    </row>
    <row r="718" spans="2:34" x14ac:dyDescent="0.25">
      <c r="B718" s="73"/>
      <c r="C718" s="74"/>
      <c r="D718" s="80"/>
      <c r="E718" s="81"/>
      <c r="F718" s="81"/>
      <c r="G718" s="81"/>
      <c r="H718" s="81"/>
      <c r="I718" s="82"/>
      <c r="J718" s="88"/>
      <c r="K718" s="89"/>
      <c r="L718" s="88"/>
      <c r="M718" s="89"/>
      <c r="N718" s="80"/>
      <c r="O718" s="82"/>
      <c r="P718" s="94"/>
      <c r="Q718" s="95"/>
      <c r="S718" s="99"/>
      <c r="T718" s="99"/>
      <c r="U718" s="99"/>
      <c r="V718" s="99"/>
      <c r="W718" s="99"/>
      <c r="X718" s="99"/>
      <c r="Y718" s="99"/>
      <c r="Z718" s="99"/>
      <c r="AA718" s="99"/>
      <c r="AB718" s="99"/>
      <c r="AC718" s="98"/>
      <c r="AD718" s="98"/>
      <c r="AE718" s="98"/>
      <c r="AF718" s="98"/>
      <c r="AG718" s="98"/>
      <c r="AH718" s="98"/>
    </row>
    <row r="719" spans="2:34" x14ac:dyDescent="0.25">
      <c r="B719" s="75"/>
      <c r="C719" s="76"/>
      <c r="D719" s="83"/>
      <c r="E719" s="84"/>
      <c r="F719" s="84"/>
      <c r="G719" s="84"/>
      <c r="H719" s="84"/>
      <c r="I719" s="85"/>
      <c r="J719" s="90"/>
      <c r="K719" s="91"/>
      <c r="L719" s="90"/>
      <c r="M719" s="91"/>
      <c r="N719" s="83"/>
      <c r="O719" s="85"/>
      <c r="P719" s="96"/>
      <c r="Q719" s="97"/>
      <c r="S719" s="99"/>
      <c r="T719" s="99"/>
      <c r="U719" s="99"/>
      <c r="V719" s="99"/>
      <c r="W719" s="99"/>
      <c r="X719" s="99"/>
      <c r="Y719" s="99"/>
      <c r="Z719" s="99"/>
      <c r="AA719" s="99"/>
      <c r="AB719" s="99"/>
      <c r="AC719" s="98"/>
      <c r="AD719" s="98"/>
      <c r="AE719" s="98"/>
      <c r="AF719" s="98"/>
      <c r="AG719" s="98"/>
      <c r="AH719" s="98"/>
    </row>
    <row r="720" spans="2:34" x14ac:dyDescent="0.25">
      <c r="B720" s="71"/>
      <c r="C720" s="72"/>
      <c r="D720" s="77"/>
      <c r="E720" s="78"/>
      <c r="F720" s="78"/>
      <c r="G720" s="78"/>
      <c r="H720" s="78"/>
      <c r="I720" s="79"/>
      <c r="J720" s="86"/>
      <c r="K720" s="87"/>
      <c r="L720" s="86"/>
      <c r="M720" s="87"/>
      <c r="N720" s="77"/>
      <c r="O720" s="79"/>
      <c r="P720" s="92"/>
      <c r="Q720" s="93"/>
      <c r="S720" s="99"/>
      <c r="T720" s="99"/>
      <c r="U720" s="99"/>
      <c r="V720" s="99"/>
      <c r="W720" s="99"/>
      <c r="X720" s="99"/>
      <c r="Y720" s="99"/>
      <c r="Z720" s="99"/>
      <c r="AA720" s="99"/>
      <c r="AB720" s="99"/>
      <c r="AC720" s="98"/>
      <c r="AD720" s="98"/>
      <c r="AE720" s="98"/>
      <c r="AF720" s="98"/>
      <c r="AG720" s="98"/>
      <c r="AH720" s="98"/>
    </row>
    <row r="721" spans="2:34" x14ac:dyDescent="0.25">
      <c r="B721" s="73"/>
      <c r="C721" s="74"/>
      <c r="D721" s="80"/>
      <c r="E721" s="81"/>
      <c r="F721" s="81"/>
      <c r="G721" s="81"/>
      <c r="H721" s="81"/>
      <c r="I721" s="82"/>
      <c r="J721" s="88"/>
      <c r="K721" s="89"/>
      <c r="L721" s="88"/>
      <c r="M721" s="89"/>
      <c r="N721" s="80"/>
      <c r="O721" s="82"/>
      <c r="P721" s="94"/>
      <c r="Q721" s="95"/>
      <c r="S721" s="99"/>
      <c r="T721" s="99"/>
      <c r="U721" s="99"/>
      <c r="V721" s="99"/>
      <c r="W721" s="99"/>
      <c r="X721" s="99"/>
      <c r="Y721" s="99"/>
      <c r="Z721" s="99"/>
      <c r="AA721" s="99"/>
      <c r="AB721" s="99"/>
      <c r="AC721" s="98"/>
      <c r="AD721" s="98"/>
      <c r="AE721" s="98"/>
      <c r="AF721" s="98"/>
      <c r="AG721" s="98"/>
      <c r="AH721" s="98"/>
    </row>
    <row r="722" spans="2:34" x14ac:dyDescent="0.25">
      <c r="B722" s="75"/>
      <c r="C722" s="76"/>
      <c r="D722" s="83"/>
      <c r="E722" s="84"/>
      <c r="F722" s="84"/>
      <c r="G722" s="84"/>
      <c r="H722" s="84"/>
      <c r="I722" s="85"/>
      <c r="J722" s="90"/>
      <c r="K722" s="91"/>
      <c r="L722" s="90"/>
      <c r="M722" s="91"/>
      <c r="N722" s="83"/>
      <c r="O722" s="85"/>
      <c r="P722" s="96"/>
      <c r="Q722" s="97"/>
      <c r="S722" s="99"/>
      <c r="T722" s="99"/>
      <c r="U722" s="99"/>
      <c r="V722" s="99"/>
      <c r="W722" s="99"/>
      <c r="X722" s="99"/>
      <c r="Y722" s="99"/>
      <c r="Z722" s="99"/>
      <c r="AA722" s="99"/>
      <c r="AB722" s="99"/>
      <c r="AC722" s="98"/>
      <c r="AD722" s="98"/>
      <c r="AE722" s="98"/>
      <c r="AF722" s="98"/>
      <c r="AG722" s="98"/>
      <c r="AH722" s="98"/>
    </row>
    <row r="723" spans="2:34" x14ac:dyDescent="0.25">
      <c r="B723" s="71"/>
      <c r="C723" s="72"/>
      <c r="D723" s="77"/>
      <c r="E723" s="78"/>
      <c r="F723" s="78"/>
      <c r="G723" s="78"/>
      <c r="H723" s="78"/>
      <c r="I723" s="79"/>
      <c r="J723" s="86"/>
      <c r="K723" s="87"/>
      <c r="L723" s="86"/>
      <c r="M723" s="87"/>
      <c r="N723" s="77"/>
      <c r="O723" s="79"/>
      <c r="P723" s="92"/>
      <c r="Q723" s="93"/>
      <c r="S723" s="99"/>
      <c r="T723" s="99"/>
      <c r="U723" s="99"/>
      <c r="V723" s="99"/>
      <c r="W723" s="99"/>
      <c r="X723" s="99"/>
      <c r="Y723" s="99"/>
      <c r="Z723" s="99"/>
      <c r="AA723" s="99"/>
      <c r="AB723" s="99"/>
      <c r="AC723" s="98"/>
      <c r="AD723" s="98"/>
      <c r="AE723" s="98"/>
      <c r="AF723" s="98"/>
      <c r="AG723" s="98"/>
      <c r="AH723" s="98"/>
    </row>
    <row r="724" spans="2:34" x14ac:dyDescent="0.25">
      <c r="B724" s="73"/>
      <c r="C724" s="74"/>
      <c r="D724" s="80"/>
      <c r="E724" s="81"/>
      <c r="F724" s="81"/>
      <c r="G724" s="81"/>
      <c r="H724" s="81"/>
      <c r="I724" s="82"/>
      <c r="J724" s="88"/>
      <c r="K724" s="89"/>
      <c r="L724" s="88"/>
      <c r="M724" s="89"/>
      <c r="N724" s="80"/>
      <c r="O724" s="82"/>
      <c r="P724" s="94"/>
      <c r="Q724" s="95"/>
      <c r="S724" s="99"/>
      <c r="T724" s="99"/>
      <c r="U724" s="99"/>
      <c r="V724" s="99"/>
      <c r="W724" s="99"/>
      <c r="X724" s="99"/>
      <c r="Y724" s="99"/>
      <c r="Z724" s="99"/>
      <c r="AA724" s="99"/>
      <c r="AB724" s="99"/>
      <c r="AC724" s="98"/>
      <c r="AD724" s="98"/>
      <c r="AE724" s="98"/>
      <c r="AF724" s="98"/>
      <c r="AG724" s="98"/>
      <c r="AH724" s="98"/>
    </row>
    <row r="725" spans="2:34" x14ac:dyDescent="0.25">
      <c r="B725" s="75"/>
      <c r="C725" s="76"/>
      <c r="D725" s="83"/>
      <c r="E725" s="84"/>
      <c r="F725" s="84"/>
      <c r="G725" s="84"/>
      <c r="H725" s="84"/>
      <c r="I725" s="85"/>
      <c r="J725" s="90"/>
      <c r="K725" s="91"/>
      <c r="L725" s="90"/>
      <c r="M725" s="91"/>
      <c r="N725" s="83"/>
      <c r="O725" s="85"/>
      <c r="P725" s="96"/>
      <c r="Q725" s="97"/>
      <c r="S725" s="99"/>
      <c r="T725" s="99"/>
      <c r="U725" s="99"/>
      <c r="V725" s="99"/>
      <c r="W725" s="99"/>
      <c r="X725" s="99"/>
      <c r="Y725" s="99"/>
      <c r="Z725" s="99"/>
      <c r="AA725" s="99"/>
      <c r="AB725" s="99"/>
      <c r="AC725" s="98"/>
      <c r="AD725" s="98"/>
      <c r="AE725" s="98"/>
      <c r="AF725" s="98"/>
      <c r="AG725" s="98"/>
      <c r="AH725" s="98"/>
    </row>
    <row r="726" spans="2:34" x14ac:dyDescent="0.25">
      <c r="B726" s="71"/>
      <c r="C726" s="72"/>
      <c r="D726" s="77"/>
      <c r="E726" s="78"/>
      <c r="F726" s="78"/>
      <c r="G726" s="78"/>
      <c r="H726" s="78"/>
      <c r="I726" s="79"/>
      <c r="J726" s="86"/>
      <c r="K726" s="87"/>
      <c r="L726" s="86"/>
      <c r="M726" s="87"/>
      <c r="N726" s="77"/>
      <c r="O726" s="79"/>
      <c r="P726" s="92"/>
      <c r="Q726" s="93"/>
      <c r="S726" s="99"/>
      <c r="T726" s="99"/>
      <c r="U726" s="99"/>
      <c r="V726" s="99"/>
      <c r="W726" s="99"/>
      <c r="X726" s="99"/>
      <c r="Y726" s="99"/>
      <c r="Z726" s="99"/>
      <c r="AA726" s="99"/>
      <c r="AB726" s="99"/>
      <c r="AC726" s="98"/>
      <c r="AD726" s="98"/>
      <c r="AE726" s="98"/>
      <c r="AF726" s="98"/>
      <c r="AG726" s="98"/>
      <c r="AH726" s="98"/>
    </row>
    <row r="727" spans="2:34" x14ac:dyDescent="0.25">
      <c r="B727" s="73"/>
      <c r="C727" s="74"/>
      <c r="D727" s="80"/>
      <c r="E727" s="81"/>
      <c r="F727" s="81"/>
      <c r="G727" s="81"/>
      <c r="H727" s="81"/>
      <c r="I727" s="82"/>
      <c r="J727" s="88"/>
      <c r="K727" s="89"/>
      <c r="L727" s="88"/>
      <c r="M727" s="89"/>
      <c r="N727" s="80"/>
      <c r="O727" s="82"/>
      <c r="P727" s="94"/>
      <c r="Q727" s="95"/>
      <c r="S727" s="99"/>
      <c r="T727" s="99"/>
      <c r="U727" s="99"/>
      <c r="V727" s="99"/>
      <c r="W727" s="99"/>
      <c r="X727" s="99"/>
      <c r="Y727" s="99"/>
      <c r="Z727" s="99"/>
      <c r="AA727" s="99"/>
      <c r="AB727" s="99"/>
      <c r="AC727" s="98"/>
      <c r="AD727" s="98"/>
      <c r="AE727" s="98"/>
      <c r="AF727" s="98"/>
      <c r="AG727" s="98"/>
      <c r="AH727" s="98"/>
    </row>
    <row r="728" spans="2:34" x14ac:dyDescent="0.25">
      <c r="B728" s="75"/>
      <c r="C728" s="76"/>
      <c r="D728" s="83"/>
      <c r="E728" s="84"/>
      <c r="F728" s="84"/>
      <c r="G728" s="84"/>
      <c r="H728" s="84"/>
      <c r="I728" s="85"/>
      <c r="J728" s="90"/>
      <c r="K728" s="91"/>
      <c r="L728" s="90"/>
      <c r="M728" s="91"/>
      <c r="N728" s="83"/>
      <c r="O728" s="85"/>
      <c r="P728" s="96"/>
      <c r="Q728" s="97"/>
      <c r="S728" s="99"/>
      <c r="T728" s="99"/>
      <c r="U728" s="99"/>
      <c r="V728" s="99"/>
      <c r="W728" s="99"/>
      <c r="X728" s="99"/>
      <c r="Y728" s="99"/>
      <c r="Z728" s="99"/>
      <c r="AA728" s="99"/>
      <c r="AB728" s="99"/>
      <c r="AC728" s="98"/>
      <c r="AD728" s="98"/>
      <c r="AE728" s="98"/>
      <c r="AF728" s="98"/>
      <c r="AG728" s="98"/>
      <c r="AH728" s="98"/>
    </row>
    <row r="729" spans="2:34" x14ac:dyDescent="0.25">
      <c r="B729" s="71"/>
      <c r="C729" s="72"/>
      <c r="D729" s="77"/>
      <c r="E729" s="78"/>
      <c r="F729" s="78"/>
      <c r="G729" s="78"/>
      <c r="H729" s="78"/>
      <c r="I729" s="79"/>
      <c r="J729" s="86"/>
      <c r="K729" s="87"/>
      <c r="L729" s="86"/>
      <c r="M729" s="87"/>
      <c r="N729" s="77"/>
      <c r="O729" s="79"/>
      <c r="P729" s="92"/>
      <c r="Q729" s="93"/>
      <c r="S729" s="99"/>
      <c r="T729" s="99"/>
      <c r="U729" s="99"/>
      <c r="V729" s="99"/>
      <c r="W729" s="99"/>
      <c r="X729" s="99"/>
      <c r="Y729" s="99"/>
      <c r="Z729" s="99"/>
      <c r="AA729" s="99"/>
      <c r="AB729" s="99"/>
      <c r="AC729" s="98"/>
      <c r="AD729" s="98"/>
      <c r="AE729" s="98"/>
      <c r="AF729" s="98"/>
      <c r="AG729" s="98"/>
      <c r="AH729" s="98"/>
    </row>
    <row r="730" spans="2:34" x14ac:dyDescent="0.25">
      <c r="B730" s="73"/>
      <c r="C730" s="74"/>
      <c r="D730" s="80"/>
      <c r="E730" s="81"/>
      <c r="F730" s="81"/>
      <c r="G730" s="81"/>
      <c r="H730" s="81"/>
      <c r="I730" s="82"/>
      <c r="J730" s="88"/>
      <c r="K730" s="89"/>
      <c r="L730" s="88"/>
      <c r="M730" s="89"/>
      <c r="N730" s="80"/>
      <c r="O730" s="82"/>
      <c r="P730" s="94"/>
      <c r="Q730" s="95"/>
      <c r="S730" s="99"/>
      <c r="T730" s="99"/>
      <c r="U730" s="99"/>
      <c r="V730" s="99"/>
      <c r="W730" s="99"/>
      <c r="X730" s="99"/>
      <c r="Y730" s="99"/>
      <c r="Z730" s="99"/>
      <c r="AA730" s="99"/>
      <c r="AB730" s="99"/>
      <c r="AC730" s="98"/>
      <c r="AD730" s="98"/>
      <c r="AE730" s="98"/>
      <c r="AF730" s="98"/>
      <c r="AG730" s="98"/>
      <c r="AH730" s="98"/>
    </row>
    <row r="731" spans="2:34" x14ac:dyDescent="0.25">
      <c r="B731" s="75"/>
      <c r="C731" s="76"/>
      <c r="D731" s="83"/>
      <c r="E731" s="84"/>
      <c r="F731" s="84"/>
      <c r="G731" s="84"/>
      <c r="H731" s="84"/>
      <c r="I731" s="85"/>
      <c r="J731" s="90"/>
      <c r="K731" s="91"/>
      <c r="L731" s="90"/>
      <c r="M731" s="91"/>
      <c r="N731" s="83"/>
      <c r="O731" s="85"/>
      <c r="P731" s="96"/>
      <c r="Q731" s="97"/>
      <c r="S731" s="99"/>
      <c r="T731" s="99"/>
      <c r="U731" s="99"/>
      <c r="V731" s="99"/>
      <c r="W731" s="99"/>
      <c r="X731" s="99"/>
      <c r="Y731" s="99"/>
      <c r="Z731" s="99"/>
      <c r="AA731" s="99"/>
      <c r="AB731" s="99"/>
      <c r="AC731" s="98"/>
      <c r="AD731" s="98"/>
      <c r="AE731" s="98"/>
      <c r="AF731" s="98"/>
      <c r="AG731" s="98"/>
      <c r="AH731" s="98"/>
    </row>
    <row r="732" spans="2:34" x14ac:dyDescent="0.25">
      <c r="B732" s="71"/>
      <c r="C732" s="72"/>
      <c r="D732" s="77"/>
      <c r="E732" s="78"/>
      <c r="F732" s="78"/>
      <c r="G732" s="78"/>
      <c r="H732" s="78"/>
      <c r="I732" s="79"/>
      <c r="J732" s="86"/>
      <c r="K732" s="87"/>
      <c r="L732" s="86"/>
      <c r="M732" s="87"/>
      <c r="N732" s="77"/>
      <c r="O732" s="79"/>
      <c r="P732" s="92"/>
      <c r="Q732" s="93"/>
      <c r="S732" s="99"/>
      <c r="T732" s="99"/>
      <c r="U732" s="99"/>
      <c r="V732" s="99"/>
      <c r="W732" s="99"/>
      <c r="X732" s="99"/>
      <c r="Y732" s="99"/>
      <c r="Z732" s="99"/>
      <c r="AA732" s="99"/>
      <c r="AB732" s="99"/>
      <c r="AC732" s="98"/>
      <c r="AD732" s="98"/>
      <c r="AE732" s="98"/>
      <c r="AF732" s="98"/>
      <c r="AG732" s="98"/>
      <c r="AH732" s="98"/>
    </row>
    <row r="733" spans="2:34" x14ac:dyDescent="0.25">
      <c r="B733" s="73"/>
      <c r="C733" s="74"/>
      <c r="D733" s="80"/>
      <c r="E733" s="81"/>
      <c r="F733" s="81"/>
      <c r="G733" s="81"/>
      <c r="H733" s="81"/>
      <c r="I733" s="82"/>
      <c r="J733" s="88"/>
      <c r="K733" s="89"/>
      <c r="L733" s="88"/>
      <c r="M733" s="89"/>
      <c r="N733" s="80"/>
      <c r="O733" s="82"/>
      <c r="P733" s="94"/>
      <c r="Q733" s="95"/>
      <c r="S733" s="99"/>
      <c r="T733" s="99"/>
      <c r="U733" s="99"/>
      <c r="V733" s="99"/>
      <c r="W733" s="99"/>
      <c r="X733" s="99"/>
      <c r="Y733" s="99"/>
      <c r="Z733" s="99"/>
      <c r="AA733" s="99"/>
      <c r="AB733" s="99"/>
      <c r="AC733" s="98"/>
      <c r="AD733" s="98"/>
      <c r="AE733" s="98"/>
      <c r="AF733" s="98"/>
      <c r="AG733" s="98"/>
      <c r="AH733" s="98"/>
    </row>
    <row r="734" spans="2:34" x14ac:dyDescent="0.25">
      <c r="B734" s="75"/>
      <c r="C734" s="76"/>
      <c r="D734" s="83"/>
      <c r="E734" s="84"/>
      <c r="F734" s="84"/>
      <c r="G734" s="84"/>
      <c r="H734" s="84"/>
      <c r="I734" s="85"/>
      <c r="J734" s="90"/>
      <c r="K734" s="91"/>
      <c r="L734" s="90"/>
      <c r="M734" s="91"/>
      <c r="N734" s="83"/>
      <c r="O734" s="85"/>
      <c r="P734" s="96"/>
      <c r="Q734" s="97"/>
      <c r="S734" s="99"/>
      <c r="T734" s="99"/>
      <c r="U734" s="99"/>
      <c r="V734" s="99"/>
      <c r="W734" s="99"/>
      <c r="X734" s="99"/>
      <c r="Y734" s="99"/>
      <c r="Z734" s="99"/>
      <c r="AA734" s="99"/>
      <c r="AB734" s="99"/>
      <c r="AC734" s="98"/>
      <c r="AD734" s="98"/>
      <c r="AE734" s="98"/>
      <c r="AF734" s="98"/>
      <c r="AG734" s="98"/>
      <c r="AH734" s="98"/>
    </row>
    <row r="735" spans="2:34" x14ac:dyDescent="0.25">
      <c r="B735" s="71"/>
      <c r="C735" s="72"/>
      <c r="D735" s="77"/>
      <c r="E735" s="78"/>
      <c r="F735" s="78"/>
      <c r="G735" s="78"/>
      <c r="H735" s="78"/>
      <c r="I735" s="79"/>
      <c r="J735" s="86"/>
      <c r="K735" s="87"/>
      <c r="L735" s="86"/>
      <c r="M735" s="87"/>
      <c r="N735" s="77"/>
      <c r="O735" s="79"/>
      <c r="P735" s="92"/>
      <c r="Q735" s="93"/>
      <c r="S735" s="99"/>
      <c r="T735" s="99"/>
      <c r="U735" s="99"/>
      <c r="V735" s="99"/>
      <c r="W735" s="99"/>
      <c r="X735" s="99"/>
      <c r="Y735" s="99"/>
      <c r="Z735" s="99"/>
      <c r="AA735" s="99"/>
      <c r="AB735" s="99"/>
      <c r="AC735" s="98"/>
      <c r="AD735" s="98"/>
      <c r="AE735" s="98"/>
      <c r="AF735" s="98"/>
      <c r="AG735" s="98"/>
      <c r="AH735" s="98"/>
    </row>
    <row r="736" spans="2:34" x14ac:dyDescent="0.25">
      <c r="B736" s="73"/>
      <c r="C736" s="74"/>
      <c r="D736" s="80"/>
      <c r="E736" s="81"/>
      <c r="F736" s="81"/>
      <c r="G736" s="81"/>
      <c r="H736" s="81"/>
      <c r="I736" s="82"/>
      <c r="J736" s="88"/>
      <c r="K736" s="89"/>
      <c r="L736" s="88"/>
      <c r="M736" s="89"/>
      <c r="N736" s="80"/>
      <c r="O736" s="82"/>
      <c r="P736" s="94"/>
      <c r="Q736" s="95"/>
      <c r="S736" s="99"/>
      <c r="T736" s="99"/>
      <c r="U736" s="99"/>
      <c r="V736" s="99"/>
      <c r="W736" s="99"/>
      <c r="X736" s="99"/>
      <c r="Y736" s="99"/>
      <c r="Z736" s="99"/>
      <c r="AA736" s="99"/>
      <c r="AB736" s="99"/>
      <c r="AC736" s="98"/>
      <c r="AD736" s="98"/>
      <c r="AE736" s="98"/>
      <c r="AF736" s="98"/>
      <c r="AG736" s="98"/>
      <c r="AH736" s="98"/>
    </row>
    <row r="737" spans="2:34" x14ac:dyDescent="0.25">
      <c r="B737" s="75"/>
      <c r="C737" s="76"/>
      <c r="D737" s="83"/>
      <c r="E737" s="84"/>
      <c r="F737" s="84"/>
      <c r="G737" s="84"/>
      <c r="H737" s="84"/>
      <c r="I737" s="85"/>
      <c r="J737" s="90"/>
      <c r="K737" s="91"/>
      <c r="L737" s="90"/>
      <c r="M737" s="91"/>
      <c r="N737" s="83"/>
      <c r="O737" s="85"/>
      <c r="P737" s="96"/>
      <c r="Q737" s="97"/>
      <c r="S737" s="99"/>
      <c r="T737" s="99"/>
      <c r="U737" s="99"/>
      <c r="V737" s="99"/>
      <c r="W737" s="99"/>
      <c r="X737" s="99"/>
      <c r="Y737" s="99"/>
      <c r="Z737" s="99"/>
      <c r="AA737" s="99"/>
      <c r="AB737" s="99"/>
      <c r="AC737" s="98"/>
      <c r="AD737" s="98"/>
      <c r="AE737" s="98"/>
      <c r="AF737" s="98"/>
      <c r="AG737" s="98"/>
      <c r="AH737" s="98"/>
    </row>
    <row r="738" spans="2:34" x14ac:dyDescent="0.25">
      <c r="B738" s="71"/>
      <c r="C738" s="72"/>
      <c r="D738" s="77"/>
      <c r="E738" s="78"/>
      <c r="F738" s="78"/>
      <c r="G738" s="78"/>
      <c r="H738" s="78"/>
      <c r="I738" s="79"/>
      <c r="J738" s="86"/>
      <c r="K738" s="87"/>
      <c r="L738" s="86"/>
      <c r="M738" s="87"/>
      <c r="N738" s="77"/>
      <c r="O738" s="79"/>
      <c r="P738" s="92"/>
      <c r="Q738" s="93"/>
      <c r="S738" s="99"/>
      <c r="T738" s="99"/>
      <c r="U738" s="99"/>
      <c r="V738" s="99"/>
      <c r="W738" s="99"/>
      <c r="X738" s="99"/>
      <c r="Y738" s="99"/>
      <c r="Z738" s="99"/>
      <c r="AA738" s="99"/>
      <c r="AB738" s="99"/>
      <c r="AC738" s="98"/>
      <c r="AD738" s="98"/>
      <c r="AE738" s="98"/>
      <c r="AF738" s="98"/>
      <c r="AG738" s="98"/>
      <c r="AH738" s="98"/>
    </row>
    <row r="739" spans="2:34" x14ac:dyDescent="0.25">
      <c r="B739" s="73"/>
      <c r="C739" s="74"/>
      <c r="D739" s="80"/>
      <c r="E739" s="81"/>
      <c r="F739" s="81"/>
      <c r="G739" s="81"/>
      <c r="H739" s="81"/>
      <c r="I739" s="82"/>
      <c r="J739" s="88"/>
      <c r="K739" s="89"/>
      <c r="L739" s="88"/>
      <c r="M739" s="89"/>
      <c r="N739" s="80"/>
      <c r="O739" s="82"/>
      <c r="P739" s="94"/>
      <c r="Q739" s="95"/>
      <c r="S739" s="99"/>
      <c r="T739" s="99"/>
      <c r="U739" s="99"/>
      <c r="V739" s="99"/>
      <c r="W739" s="99"/>
      <c r="X739" s="99"/>
      <c r="Y739" s="99"/>
      <c r="Z739" s="99"/>
      <c r="AA739" s="99"/>
      <c r="AB739" s="99"/>
      <c r="AC739" s="98"/>
      <c r="AD739" s="98"/>
      <c r="AE739" s="98"/>
      <c r="AF739" s="98"/>
      <c r="AG739" s="98"/>
      <c r="AH739" s="98"/>
    </row>
    <row r="740" spans="2:34" x14ac:dyDescent="0.25">
      <c r="B740" s="75"/>
      <c r="C740" s="76"/>
      <c r="D740" s="83"/>
      <c r="E740" s="84"/>
      <c r="F740" s="84"/>
      <c r="G740" s="84"/>
      <c r="H740" s="84"/>
      <c r="I740" s="85"/>
      <c r="J740" s="90"/>
      <c r="K740" s="91"/>
      <c r="L740" s="90"/>
      <c r="M740" s="91"/>
      <c r="N740" s="83"/>
      <c r="O740" s="85"/>
      <c r="P740" s="96"/>
      <c r="Q740" s="97"/>
      <c r="S740" s="99"/>
      <c r="T740" s="99"/>
      <c r="U740" s="99"/>
      <c r="V740" s="99"/>
      <c r="W740" s="99"/>
      <c r="X740" s="99"/>
      <c r="Y740" s="99"/>
      <c r="Z740" s="99"/>
      <c r="AA740" s="99"/>
      <c r="AB740" s="99"/>
      <c r="AC740" s="98"/>
      <c r="AD740" s="98"/>
      <c r="AE740" s="98"/>
      <c r="AF740" s="98"/>
      <c r="AG740" s="98"/>
      <c r="AH740" s="98"/>
    </row>
    <row r="741" spans="2:34" x14ac:dyDescent="0.25">
      <c r="B741" s="71"/>
      <c r="C741" s="72"/>
      <c r="D741" s="77"/>
      <c r="E741" s="78"/>
      <c r="F741" s="78"/>
      <c r="G741" s="78"/>
      <c r="H741" s="78"/>
      <c r="I741" s="79"/>
      <c r="J741" s="86"/>
      <c r="K741" s="87"/>
      <c r="L741" s="86"/>
      <c r="M741" s="87"/>
      <c r="N741" s="77"/>
      <c r="O741" s="79"/>
      <c r="P741" s="92"/>
      <c r="Q741" s="93"/>
      <c r="S741" s="99"/>
      <c r="T741" s="99"/>
      <c r="U741" s="99"/>
      <c r="V741" s="99"/>
      <c r="W741" s="99"/>
      <c r="X741" s="99"/>
      <c r="Y741" s="99"/>
      <c r="Z741" s="99"/>
      <c r="AA741" s="99"/>
      <c r="AB741" s="99"/>
      <c r="AC741" s="98"/>
      <c r="AD741" s="98"/>
      <c r="AE741" s="98"/>
      <c r="AF741" s="98"/>
      <c r="AG741" s="98"/>
      <c r="AH741" s="98"/>
    </row>
    <row r="742" spans="2:34" x14ac:dyDescent="0.25">
      <c r="B742" s="73"/>
      <c r="C742" s="74"/>
      <c r="D742" s="80"/>
      <c r="E742" s="81"/>
      <c r="F742" s="81"/>
      <c r="G742" s="81"/>
      <c r="H742" s="81"/>
      <c r="I742" s="82"/>
      <c r="J742" s="88"/>
      <c r="K742" s="89"/>
      <c r="L742" s="88"/>
      <c r="M742" s="89"/>
      <c r="N742" s="80"/>
      <c r="O742" s="82"/>
      <c r="P742" s="94"/>
      <c r="Q742" s="95"/>
      <c r="S742" s="99"/>
      <c r="T742" s="99"/>
      <c r="U742" s="99"/>
      <c r="V742" s="99"/>
      <c r="W742" s="99"/>
      <c r="X742" s="99"/>
      <c r="Y742" s="99"/>
      <c r="Z742" s="99"/>
      <c r="AA742" s="99"/>
      <c r="AB742" s="99"/>
      <c r="AC742" s="98"/>
      <c r="AD742" s="98"/>
      <c r="AE742" s="98"/>
      <c r="AF742" s="98"/>
      <c r="AG742" s="98"/>
      <c r="AH742" s="98"/>
    </row>
    <row r="743" spans="2:34" x14ac:dyDescent="0.25">
      <c r="B743" s="75"/>
      <c r="C743" s="76"/>
      <c r="D743" s="83"/>
      <c r="E743" s="84"/>
      <c r="F743" s="84"/>
      <c r="G743" s="84"/>
      <c r="H743" s="84"/>
      <c r="I743" s="85"/>
      <c r="J743" s="90"/>
      <c r="K743" s="91"/>
      <c r="L743" s="90"/>
      <c r="M743" s="91"/>
      <c r="N743" s="83"/>
      <c r="O743" s="85"/>
      <c r="P743" s="96"/>
      <c r="Q743" s="97"/>
      <c r="S743" s="99"/>
      <c r="T743" s="99"/>
      <c r="U743" s="99"/>
      <c r="V743" s="99"/>
      <c r="W743" s="99"/>
      <c r="X743" s="99"/>
      <c r="Y743" s="99"/>
      <c r="Z743" s="99"/>
      <c r="AA743" s="99"/>
      <c r="AB743" s="99"/>
      <c r="AC743" s="98"/>
      <c r="AD743" s="98"/>
      <c r="AE743" s="98"/>
      <c r="AF743" s="98"/>
      <c r="AG743" s="98"/>
      <c r="AH743" s="98"/>
    </row>
    <row r="744" spans="2:34" x14ac:dyDescent="0.25">
      <c r="B744" s="71"/>
      <c r="C744" s="72"/>
      <c r="D744" s="77"/>
      <c r="E744" s="78"/>
      <c r="F744" s="78"/>
      <c r="G744" s="78"/>
      <c r="H744" s="78"/>
      <c r="I744" s="79"/>
      <c r="J744" s="86"/>
      <c r="K744" s="87"/>
      <c r="L744" s="86"/>
      <c r="M744" s="87"/>
      <c r="N744" s="77"/>
      <c r="O744" s="79"/>
      <c r="P744" s="92"/>
      <c r="Q744" s="93"/>
      <c r="S744" s="99"/>
      <c r="T744" s="99"/>
      <c r="U744" s="99"/>
      <c r="V744" s="99"/>
      <c r="W744" s="99"/>
      <c r="X744" s="99"/>
      <c r="Y744" s="99"/>
      <c r="Z744" s="99"/>
      <c r="AA744" s="99"/>
      <c r="AB744" s="99"/>
      <c r="AC744" s="98"/>
      <c r="AD744" s="98"/>
      <c r="AE744" s="98"/>
      <c r="AF744" s="98"/>
      <c r="AG744" s="98"/>
      <c r="AH744" s="98"/>
    </row>
    <row r="745" spans="2:34" x14ac:dyDescent="0.25">
      <c r="B745" s="73"/>
      <c r="C745" s="74"/>
      <c r="D745" s="80"/>
      <c r="E745" s="81"/>
      <c r="F745" s="81"/>
      <c r="G745" s="81"/>
      <c r="H745" s="81"/>
      <c r="I745" s="82"/>
      <c r="J745" s="88"/>
      <c r="K745" s="89"/>
      <c r="L745" s="88"/>
      <c r="M745" s="89"/>
      <c r="N745" s="80"/>
      <c r="O745" s="82"/>
      <c r="P745" s="94"/>
      <c r="Q745" s="95"/>
      <c r="S745" s="99"/>
      <c r="T745" s="99"/>
      <c r="U745" s="99"/>
      <c r="V745" s="99"/>
      <c r="W745" s="99"/>
      <c r="X745" s="99"/>
      <c r="Y745" s="99"/>
      <c r="Z745" s="99"/>
      <c r="AA745" s="99"/>
      <c r="AB745" s="99"/>
      <c r="AC745" s="98"/>
      <c r="AD745" s="98"/>
      <c r="AE745" s="98"/>
      <c r="AF745" s="98"/>
      <c r="AG745" s="98"/>
      <c r="AH745" s="98"/>
    </row>
    <row r="746" spans="2:34" x14ac:dyDescent="0.25">
      <c r="B746" s="75"/>
      <c r="C746" s="76"/>
      <c r="D746" s="83"/>
      <c r="E746" s="84"/>
      <c r="F746" s="84"/>
      <c r="G746" s="84"/>
      <c r="H746" s="84"/>
      <c r="I746" s="85"/>
      <c r="J746" s="90"/>
      <c r="K746" s="91"/>
      <c r="L746" s="90"/>
      <c r="M746" s="91"/>
      <c r="N746" s="83"/>
      <c r="O746" s="85"/>
      <c r="P746" s="96"/>
      <c r="Q746" s="97"/>
      <c r="S746" s="99"/>
      <c r="T746" s="99"/>
      <c r="U746" s="99"/>
      <c r="V746" s="99"/>
      <c r="W746" s="99"/>
      <c r="X746" s="99"/>
      <c r="Y746" s="99"/>
      <c r="Z746" s="99"/>
      <c r="AA746" s="99"/>
      <c r="AB746" s="99"/>
      <c r="AC746" s="98"/>
      <c r="AD746" s="98"/>
      <c r="AE746" s="98"/>
      <c r="AF746" s="98"/>
      <c r="AG746" s="98"/>
      <c r="AH746" s="98"/>
    </row>
    <row r="747" spans="2:34" x14ac:dyDescent="0.25">
      <c r="B747" s="71"/>
      <c r="C747" s="72"/>
      <c r="D747" s="77"/>
      <c r="E747" s="78"/>
      <c r="F747" s="78"/>
      <c r="G747" s="78"/>
      <c r="H747" s="78"/>
      <c r="I747" s="79"/>
      <c r="J747" s="86"/>
      <c r="K747" s="87"/>
      <c r="L747" s="86"/>
      <c r="M747" s="87"/>
      <c r="N747" s="77"/>
      <c r="O747" s="79"/>
      <c r="P747" s="92"/>
      <c r="Q747" s="93"/>
      <c r="S747" s="99"/>
      <c r="T747" s="99"/>
      <c r="U747" s="99"/>
      <c r="V747" s="99"/>
      <c r="W747" s="99"/>
      <c r="X747" s="99"/>
      <c r="Y747" s="99"/>
      <c r="Z747" s="99"/>
      <c r="AA747" s="99"/>
      <c r="AB747" s="99"/>
      <c r="AC747" s="98"/>
      <c r="AD747" s="98"/>
      <c r="AE747" s="98"/>
      <c r="AF747" s="98"/>
      <c r="AG747" s="98"/>
      <c r="AH747" s="98"/>
    </row>
    <row r="748" spans="2:34" x14ac:dyDescent="0.25">
      <c r="B748" s="73"/>
      <c r="C748" s="74"/>
      <c r="D748" s="80"/>
      <c r="E748" s="81"/>
      <c r="F748" s="81"/>
      <c r="G748" s="81"/>
      <c r="H748" s="81"/>
      <c r="I748" s="82"/>
      <c r="J748" s="88"/>
      <c r="K748" s="89"/>
      <c r="L748" s="88"/>
      <c r="M748" s="89"/>
      <c r="N748" s="80"/>
      <c r="O748" s="82"/>
      <c r="P748" s="94"/>
      <c r="Q748" s="95"/>
      <c r="S748" s="99"/>
      <c r="T748" s="99"/>
      <c r="U748" s="99"/>
      <c r="V748" s="99"/>
      <c r="W748" s="99"/>
      <c r="X748" s="99"/>
      <c r="Y748" s="99"/>
      <c r="Z748" s="99"/>
      <c r="AA748" s="99"/>
      <c r="AB748" s="99"/>
      <c r="AC748" s="98"/>
      <c r="AD748" s="98"/>
      <c r="AE748" s="98"/>
      <c r="AF748" s="98"/>
      <c r="AG748" s="98"/>
      <c r="AH748" s="98"/>
    </row>
    <row r="749" spans="2:34" x14ac:dyDescent="0.25">
      <c r="B749" s="75"/>
      <c r="C749" s="76"/>
      <c r="D749" s="83"/>
      <c r="E749" s="84"/>
      <c r="F749" s="84"/>
      <c r="G749" s="84"/>
      <c r="H749" s="84"/>
      <c r="I749" s="85"/>
      <c r="J749" s="90"/>
      <c r="K749" s="91"/>
      <c r="L749" s="90"/>
      <c r="M749" s="91"/>
      <c r="N749" s="83"/>
      <c r="O749" s="85"/>
      <c r="P749" s="96"/>
      <c r="Q749" s="97"/>
      <c r="S749" s="99"/>
      <c r="T749" s="99"/>
      <c r="U749" s="99"/>
      <c r="V749" s="99"/>
      <c r="W749" s="99"/>
      <c r="X749" s="99"/>
      <c r="Y749" s="99"/>
      <c r="Z749" s="99"/>
      <c r="AA749" s="99"/>
      <c r="AB749" s="99"/>
      <c r="AC749" s="98"/>
      <c r="AD749" s="98"/>
      <c r="AE749" s="98"/>
      <c r="AF749" s="98"/>
      <c r="AG749" s="98"/>
      <c r="AH749" s="98"/>
    </row>
    <row r="750" spans="2:34" x14ac:dyDescent="0.25">
      <c r="B750" s="71"/>
      <c r="C750" s="72"/>
      <c r="D750" s="77"/>
      <c r="E750" s="78"/>
      <c r="F750" s="78"/>
      <c r="G750" s="78"/>
      <c r="H750" s="78"/>
      <c r="I750" s="79"/>
      <c r="J750" s="86"/>
      <c r="K750" s="87"/>
      <c r="L750" s="86"/>
      <c r="M750" s="87"/>
      <c r="N750" s="77"/>
      <c r="O750" s="79"/>
      <c r="P750" s="92"/>
      <c r="Q750" s="93"/>
      <c r="S750" s="99"/>
      <c r="T750" s="99"/>
      <c r="U750" s="99"/>
      <c r="V750" s="99"/>
      <c r="W750" s="99"/>
      <c r="X750" s="99"/>
      <c r="Y750" s="99"/>
      <c r="Z750" s="99"/>
      <c r="AA750" s="99"/>
      <c r="AB750" s="99"/>
      <c r="AC750" s="98"/>
      <c r="AD750" s="98"/>
      <c r="AE750" s="98"/>
      <c r="AF750" s="98"/>
      <c r="AG750" s="98"/>
      <c r="AH750" s="98"/>
    </row>
    <row r="751" spans="2:34" x14ac:dyDescent="0.25">
      <c r="B751" s="73"/>
      <c r="C751" s="74"/>
      <c r="D751" s="80"/>
      <c r="E751" s="81"/>
      <c r="F751" s="81"/>
      <c r="G751" s="81"/>
      <c r="H751" s="81"/>
      <c r="I751" s="82"/>
      <c r="J751" s="88"/>
      <c r="K751" s="89"/>
      <c r="L751" s="88"/>
      <c r="M751" s="89"/>
      <c r="N751" s="80"/>
      <c r="O751" s="82"/>
      <c r="P751" s="94"/>
      <c r="Q751" s="95"/>
      <c r="S751" s="99"/>
      <c r="T751" s="99"/>
      <c r="U751" s="99"/>
      <c r="V751" s="99"/>
      <c r="W751" s="99"/>
      <c r="X751" s="99"/>
      <c r="Y751" s="99"/>
      <c r="Z751" s="99"/>
      <c r="AA751" s="99"/>
      <c r="AB751" s="99"/>
      <c r="AC751" s="98"/>
      <c r="AD751" s="98"/>
      <c r="AE751" s="98"/>
      <c r="AF751" s="98"/>
      <c r="AG751" s="98"/>
      <c r="AH751" s="98"/>
    </row>
    <row r="752" spans="2:34" x14ac:dyDescent="0.25">
      <c r="B752" s="75"/>
      <c r="C752" s="76"/>
      <c r="D752" s="83"/>
      <c r="E752" s="84"/>
      <c r="F752" s="84"/>
      <c r="G752" s="84"/>
      <c r="H752" s="84"/>
      <c r="I752" s="85"/>
      <c r="J752" s="90"/>
      <c r="K752" s="91"/>
      <c r="L752" s="90"/>
      <c r="M752" s="91"/>
      <c r="N752" s="83"/>
      <c r="O752" s="85"/>
      <c r="P752" s="96"/>
      <c r="Q752" s="97"/>
      <c r="S752" s="99"/>
      <c r="T752" s="99"/>
      <c r="U752" s="99"/>
      <c r="V752" s="99"/>
      <c r="W752" s="99"/>
      <c r="X752" s="99"/>
      <c r="Y752" s="99"/>
      <c r="Z752" s="99"/>
      <c r="AA752" s="99"/>
      <c r="AB752" s="99"/>
      <c r="AC752" s="98"/>
      <c r="AD752" s="98"/>
      <c r="AE752" s="98"/>
      <c r="AF752" s="98"/>
      <c r="AG752" s="98"/>
      <c r="AH752" s="98"/>
    </row>
    <row r="753" spans="2:34" x14ac:dyDescent="0.25">
      <c r="B753" s="71"/>
      <c r="C753" s="72"/>
      <c r="D753" s="77"/>
      <c r="E753" s="78"/>
      <c r="F753" s="78"/>
      <c r="G753" s="78"/>
      <c r="H753" s="78"/>
      <c r="I753" s="79"/>
      <c r="J753" s="86"/>
      <c r="K753" s="87"/>
      <c r="L753" s="86"/>
      <c r="M753" s="87"/>
      <c r="N753" s="77"/>
      <c r="O753" s="79"/>
      <c r="P753" s="92"/>
      <c r="Q753" s="93"/>
      <c r="S753" s="99"/>
      <c r="T753" s="99"/>
      <c r="U753" s="99"/>
      <c r="V753" s="99"/>
      <c r="W753" s="99"/>
      <c r="X753" s="99"/>
      <c r="Y753" s="99"/>
      <c r="Z753" s="99"/>
      <c r="AA753" s="99"/>
      <c r="AB753" s="99"/>
      <c r="AC753" s="98"/>
      <c r="AD753" s="98"/>
      <c r="AE753" s="98"/>
      <c r="AF753" s="98"/>
      <c r="AG753" s="98"/>
      <c r="AH753" s="98"/>
    </row>
    <row r="754" spans="2:34" x14ac:dyDescent="0.25">
      <c r="B754" s="73"/>
      <c r="C754" s="74"/>
      <c r="D754" s="80"/>
      <c r="E754" s="81"/>
      <c r="F754" s="81"/>
      <c r="G754" s="81"/>
      <c r="H754" s="81"/>
      <c r="I754" s="82"/>
      <c r="J754" s="88"/>
      <c r="K754" s="89"/>
      <c r="L754" s="88"/>
      <c r="M754" s="89"/>
      <c r="N754" s="80"/>
      <c r="O754" s="82"/>
      <c r="P754" s="94"/>
      <c r="Q754" s="95"/>
      <c r="S754" s="99"/>
      <c r="T754" s="99"/>
      <c r="U754" s="99"/>
      <c r="V754" s="99"/>
      <c r="W754" s="99"/>
      <c r="X754" s="99"/>
      <c r="Y754" s="99"/>
      <c r="Z754" s="99"/>
      <c r="AA754" s="99"/>
      <c r="AB754" s="99"/>
      <c r="AC754" s="98"/>
      <c r="AD754" s="98"/>
      <c r="AE754" s="98"/>
      <c r="AF754" s="98"/>
      <c r="AG754" s="98"/>
      <c r="AH754" s="98"/>
    </row>
    <row r="755" spans="2:34" x14ac:dyDescent="0.25">
      <c r="B755" s="75"/>
      <c r="C755" s="76"/>
      <c r="D755" s="83"/>
      <c r="E755" s="84"/>
      <c r="F755" s="84"/>
      <c r="G755" s="84"/>
      <c r="H755" s="84"/>
      <c r="I755" s="85"/>
      <c r="J755" s="90"/>
      <c r="K755" s="91"/>
      <c r="L755" s="90"/>
      <c r="M755" s="91"/>
      <c r="N755" s="83"/>
      <c r="O755" s="85"/>
      <c r="P755" s="96"/>
      <c r="Q755" s="97"/>
      <c r="S755" s="99"/>
      <c r="T755" s="99"/>
      <c r="U755" s="99"/>
      <c r="V755" s="99"/>
      <c r="W755" s="99"/>
      <c r="X755" s="99"/>
      <c r="Y755" s="99"/>
      <c r="Z755" s="99"/>
      <c r="AA755" s="99"/>
      <c r="AB755" s="99"/>
      <c r="AC755" s="98"/>
      <c r="AD755" s="98"/>
      <c r="AE755" s="98"/>
      <c r="AF755" s="98"/>
      <c r="AG755" s="98"/>
      <c r="AH755" s="98"/>
    </row>
    <row r="756" spans="2:34" x14ac:dyDescent="0.25">
      <c r="B756" s="71"/>
      <c r="C756" s="72"/>
      <c r="D756" s="77"/>
      <c r="E756" s="78"/>
      <c r="F756" s="78"/>
      <c r="G756" s="78"/>
      <c r="H756" s="78"/>
      <c r="I756" s="79"/>
      <c r="J756" s="86"/>
      <c r="K756" s="87"/>
      <c r="L756" s="86"/>
      <c r="M756" s="87"/>
      <c r="N756" s="77"/>
      <c r="O756" s="79"/>
      <c r="P756" s="92"/>
      <c r="Q756" s="93"/>
      <c r="S756" s="99"/>
      <c r="T756" s="99"/>
      <c r="U756" s="99"/>
      <c r="V756" s="99"/>
      <c r="W756" s="99"/>
      <c r="X756" s="99"/>
      <c r="Y756" s="99"/>
      <c r="Z756" s="99"/>
      <c r="AA756" s="99"/>
      <c r="AB756" s="99"/>
      <c r="AC756" s="98"/>
      <c r="AD756" s="98"/>
      <c r="AE756" s="98"/>
      <c r="AF756" s="98"/>
      <c r="AG756" s="98"/>
      <c r="AH756" s="98"/>
    </row>
    <row r="757" spans="2:34" x14ac:dyDescent="0.25">
      <c r="B757" s="73"/>
      <c r="C757" s="74"/>
      <c r="D757" s="80"/>
      <c r="E757" s="81"/>
      <c r="F757" s="81"/>
      <c r="G757" s="81"/>
      <c r="H757" s="81"/>
      <c r="I757" s="82"/>
      <c r="J757" s="88"/>
      <c r="K757" s="89"/>
      <c r="L757" s="88"/>
      <c r="M757" s="89"/>
      <c r="N757" s="80"/>
      <c r="O757" s="82"/>
      <c r="P757" s="94"/>
      <c r="Q757" s="95"/>
      <c r="S757" s="99"/>
      <c r="T757" s="99"/>
      <c r="U757" s="99"/>
      <c r="V757" s="99"/>
      <c r="W757" s="99"/>
      <c r="X757" s="99"/>
      <c r="Y757" s="99"/>
      <c r="Z757" s="99"/>
      <c r="AA757" s="99"/>
      <c r="AB757" s="99"/>
      <c r="AC757" s="98"/>
      <c r="AD757" s="98"/>
      <c r="AE757" s="98"/>
      <c r="AF757" s="98"/>
      <c r="AG757" s="98"/>
      <c r="AH757" s="98"/>
    </row>
    <row r="758" spans="2:34" x14ac:dyDescent="0.25">
      <c r="B758" s="75"/>
      <c r="C758" s="76"/>
      <c r="D758" s="83"/>
      <c r="E758" s="84"/>
      <c r="F758" s="84"/>
      <c r="G758" s="84"/>
      <c r="H758" s="84"/>
      <c r="I758" s="85"/>
      <c r="J758" s="90"/>
      <c r="K758" s="91"/>
      <c r="L758" s="90"/>
      <c r="M758" s="91"/>
      <c r="N758" s="83"/>
      <c r="O758" s="85"/>
      <c r="P758" s="96"/>
      <c r="Q758" s="97"/>
      <c r="S758" s="99"/>
      <c r="T758" s="99"/>
      <c r="U758" s="99"/>
      <c r="V758" s="99"/>
      <c r="W758" s="99"/>
      <c r="X758" s="99"/>
      <c r="Y758" s="99"/>
      <c r="Z758" s="99"/>
      <c r="AA758" s="99"/>
      <c r="AB758" s="99"/>
      <c r="AC758" s="98"/>
      <c r="AD758" s="98"/>
      <c r="AE758" s="98"/>
      <c r="AF758" s="98"/>
      <c r="AG758" s="98"/>
      <c r="AH758" s="98"/>
    </row>
    <row r="759" spans="2:34" x14ac:dyDescent="0.25">
      <c r="B759" s="71"/>
      <c r="C759" s="72"/>
      <c r="D759" s="77"/>
      <c r="E759" s="78"/>
      <c r="F759" s="78"/>
      <c r="G759" s="78"/>
      <c r="H759" s="78"/>
      <c r="I759" s="79"/>
      <c r="J759" s="86"/>
      <c r="K759" s="87"/>
      <c r="L759" s="86"/>
      <c r="M759" s="87"/>
      <c r="N759" s="77"/>
      <c r="O759" s="79"/>
      <c r="P759" s="92"/>
      <c r="Q759" s="93"/>
      <c r="S759" s="99"/>
      <c r="T759" s="99"/>
      <c r="U759" s="99"/>
      <c r="V759" s="99"/>
      <c r="W759" s="99"/>
      <c r="X759" s="99"/>
      <c r="Y759" s="99"/>
      <c r="Z759" s="99"/>
      <c r="AA759" s="99"/>
      <c r="AB759" s="99"/>
      <c r="AC759" s="98"/>
      <c r="AD759" s="98"/>
      <c r="AE759" s="98"/>
      <c r="AF759" s="98"/>
      <c r="AG759" s="98"/>
      <c r="AH759" s="98"/>
    </row>
    <row r="760" spans="2:34" x14ac:dyDescent="0.25">
      <c r="B760" s="73"/>
      <c r="C760" s="74"/>
      <c r="D760" s="80"/>
      <c r="E760" s="81"/>
      <c r="F760" s="81"/>
      <c r="G760" s="81"/>
      <c r="H760" s="81"/>
      <c r="I760" s="82"/>
      <c r="J760" s="88"/>
      <c r="K760" s="89"/>
      <c r="L760" s="88"/>
      <c r="M760" s="89"/>
      <c r="N760" s="80"/>
      <c r="O760" s="82"/>
      <c r="P760" s="94"/>
      <c r="Q760" s="95"/>
      <c r="S760" s="99"/>
      <c r="T760" s="99"/>
      <c r="U760" s="99"/>
      <c r="V760" s="99"/>
      <c r="W760" s="99"/>
      <c r="X760" s="99"/>
      <c r="Y760" s="99"/>
      <c r="Z760" s="99"/>
      <c r="AA760" s="99"/>
      <c r="AB760" s="99"/>
      <c r="AC760" s="98"/>
      <c r="AD760" s="98"/>
      <c r="AE760" s="98"/>
      <c r="AF760" s="98"/>
      <c r="AG760" s="98"/>
      <c r="AH760" s="98"/>
    </row>
    <row r="761" spans="2:34" x14ac:dyDescent="0.25">
      <c r="B761" s="75"/>
      <c r="C761" s="76"/>
      <c r="D761" s="83"/>
      <c r="E761" s="84"/>
      <c r="F761" s="84"/>
      <c r="G761" s="84"/>
      <c r="H761" s="84"/>
      <c r="I761" s="85"/>
      <c r="J761" s="90"/>
      <c r="K761" s="91"/>
      <c r="L761" s="90"/>
      <c r="M761" s="91"/>
      <c r="N761" s="83"/>
      <c r="O761" s="85"/>
      <c r="P761" s="96"/>
      <c r="Q761" s="97"/>
      <c r="S761" s="99"/>
      <c r="T761" s="99"/>
      <c r="U761" s="99"/>
      <c r="V761" s="99"/>
      <c r="W761" s="99"/>
      <c r="X761" s="99"/>
      <c r="Y761" s="99"/>
      <c r="Z761" s="99"/>
      <c r="AA761" s="99"/>
      <c r="AB761" s="99"/>
      <c r="AC761" s="98"/>
      <c r="AD761" s="98"/>
      <c r="AE761" s="98"/>
      <c r="AF761" s="98"/>
      <c r="AG761" s="98"/>
      <c r="AH761" s="98"/>
    </row>
    <row r="762" spans="2:34" x14ac:dyDescent="0.25">
      <c r="B762" s="71"/>
      <c r="C762" s="72"/>
      <c r="D762" s="77"/>
      <c r="E762" s="78"/>
      <c r="F762" s="78"/>
      <c r="G762" s="78"/>
      <c r="H762" s="78"/>
      <c r="I762" s="79"/>
      <c r="J762" s="86"/>
      <c r="K762" s="87"/>
      <c r="L762" s="86"/>
      <c r="M762" s="87"/>
      <c r="N762" s="77"/>
      <c r="O762" s="79"/>
      <c r="P762" s="92"/>
      <c r="Q762" s="93"/>
      <c r="S762" s="99"/>
      <c r="T762" s="99"/>
      <c r="U762" s="99"/>
      <c r="V762" s="99"/>
      <c r="W762" s="99"/>
      <c r="X762" s="99"/>
      <c r="Y762" s="99"/>
      <c r="Z762" s="99"/>
      <c r="AA762" s="99"/>
      <c r="AB762" s="99"/>
      <c r="AC762" s="98"/>
      <c r="AD762" s="98"/>
      <c r="AE762" s="98"/>
      <c r="AF762" s="98"/>
      <c r="AG762" s="98"/>
      <c r="AH762" s="98"/>
    </row>
    <row r="763" spans="2:34" x14ac:dyDescent="0.25">
      <c r="B763" s="73"/>
      <c r="C763" s="74"/>
      <c r="D763" s="80"/>
      <c r="E763" s="81"/>
      <c r="F763" s="81"/>
      <c r="G763" s="81"/>
      <c r="H763" s="81"/>
      <c r="I763" s="82"/>
      <c r="J763" s="88"/>
      <c r="K763" s="89"/>
      <c r="L763" s="88"/>
      <c r="M763" s="89"/>
      <c r="N763" s="80"/>
      <c r="O763" s="82"/>
      <c r="P763" s="94"/>
      <c r="Q763" s="95"/>
      <c r="S763" s="99"/>
      <c r="T763" s="99"/>
      <c r="U763" s="99"/>
      <c r="V763" s="99"/>
      <c r="W763" s="99"/>
      <c r="X763" s="99"/>
      <c r="Y763" s="99"/>
      <c r="Z763" s="99"/>
      <c r="AA763" s="99"/>
      <c r="AB763" s="99"/>
      <c r="AC763" s="98"/>
      <c r="AD763" s="98"/>
      <c r="AE763" s="98"/>
      <c r="AF763" s="98"/>
      <c r="AG763" s="98"/>
      <c r="AH763" s="98"/>
    </row>
    <row r="764" spans="2:34" x14ac:dyDescent="0.25">
      <c r="B764" s="75"/>
      <c r="C764" s="76"/>
      <c r="D764" s="83"/>
      <c r="E764" s="84"/>
      <c r="F764" s="84"/>
      <c r="G764" s="84"/>
      <c r="H764" s="84"/>
      <c r="I764" s="85"/>
      <c r="J764" s="90"/>
      <c r="K764" s="91"/>
      <c r="L764" s="90"/>
      <c r="M764" s="91"/>
      <c r="N764" s="83"/>
      <c r="O764" s="85"/>
      <c r="P764" s="96"/>
      <c r="Q764" s="97"/>
      <c r="S764" s="99"/>
      <c r="T764" s="99"/>
      <c r="U764" s="99"/>
      <c r="V764" s="99"/>
      <c r="W764" s="99"/>
      <c r="X764" s="99"/>
      <c r="Y764" s="99"/>
      <c r="Z764" s="99"/>
      <c r="AA764" s="99"/>
      <c r="AB764" s="99"/>
      <c r="AC764" s="98"/>
      <c r="AD764" s="98"/>
      <c r="AE764" s="98"/>
      <c r="AF764" s="98"/>
      <c r="AG764" s="98"/>
      <c r="AH764" s="98"/>
    </row>
    <row r="765" spans="2:34" x14ac:dyDescent="0.25">
      <c r="B765" s="71"/>
      <c r="C765" s="72"/>
      <c r="D765" s="77"/>
      <c r="E765" s="78"/>
      <c r="F765" s="78"/>
      <c r="G765" s="78"/>
      <c r="H765" s="78"/>
      <c r="I765" s="79"/>
      <c r="J765" s="86"/>
      <c r="K765" s="87"/>
      <c r="L765" s="86"/>
      <c r="M765" s="87"/>
      <c r="N765" s="77"/>
      <c r="O765" s="79"/>
      <c r="P765" s="92"/>
      <c r="Q765" s="93"/>
      <c r="S765" s="99"/>
      <c r="T765" s="99"/>
      <c r="U765" s="99"/>
      <c r="V765" s="99"/>
      <c r="W765" s="99"/>
      <c r="X765" s="99"/>
      <c r="Y765" s="99"/>
      <c r="Z765" s="99"/>
      <c r="AA765" s="99"/>
      <c r="AB765" s="99"/>
      <c r="AC765" s="98"/>
      <c r="AD765" s="98"/>
      <c r="AE765" s="98"/>
      <c r="AF765" s="98"/>
      <c r="AG765" s="98"/>
      <c r="AH765" s="98"/>
    </row>
    <row r="766" spans="2:34" x14ac:dyDescent="0.25">
      <c r="B766" s="73"/>
      <c r="C766" s="74"/>
      <c r="D766" s="80"/>
      <c r="E766" s="81"/>
      <c r="F766" s="81"/>
      <c r="G766" s="81"/>
      <c r="H766" s="81"/>
      <c r="I766" s="82"/>
      <c r="J766" s="88"/>
      <c r="K766" s="89"/>
      <c r="L766" s="88"/>
      <c r="M766" s="89"/>
      <c r="N766" s="80"/>
      <c r="O766" s="82"/>
      <c r="P766" s="94"/>
      <c r="Q766" s="95"/>
      <c r="S766" s="99"/>
      <c r="T766" s="99"/>
      <c r="U766" s="99"/>
      <c r="V766" s="99"/>
      <c r="W766" s="99"/>
      <c r="X766" s="99"/>
      <c r="Y766" s="99"/>
      <c r="Z766" s="99"/>
      <c r="AA766" s="99"/>
      <c r="AB766" s="99"/>
      <c r="AC766" s="98"/>
      <c r="AD766" s="98"/>
      <c r="AE766" s="98"/>
      <c r="AF766" s="98"/>
      <c r="AG766" s="98"/>
      <c r="AH766" s="98"/>
    </row>
    <row r="767" spans="2:34" x14ac:dyDescent="0.25">
      <c r="B767" s="75"/>
      <c r="C767" s="76"/>
      <c r="D767" s="83"/>
      <c r="E767" s="84"/>
      <c r="F767" s="84"/>
      <c r="G767" s="84"/>
      <c r="H767" s="84"/>
      <c r="I767" s="85"/>
      <c r="J767" s="90"/>
      <c r="K767" s="91"/>
      <c r="L767" s="90"/>
      <c r="M767" s="91"/>
      <c r="N767" s="83"/>
      <c r="O767" s="85"/>
      <c r="P767" s="96"/>
      <c r="Q767" s="97"/>
      <c r="S767" s="99"/>
      <c r="T767" s="99"/>
      <c r="U767" s="99"/>
      <c r="V767" s="99"/>
      <c r="W767" s="99"/>
      <c r="X767" s="99"/>
      <c r="Y767" s="99"/>
      <c r="Z767" s="99"/>
      <c r="AA767" s="99"/>
      <c r="AB767" s="99"/>
      <c r="AC767" s="98"/>
      <c r="AD767" s="98"/>
      <c r="AE767" s="98"/>
      <c r="AF767" s="98"/>
      <c r="AG767" s="98"/>
      <c r="AH767" s="98"/>
    </row>
    <row r="768" spans="2:34" x14ac:dyDescent="0.25">
      <c r="B768" s="71"/>
      <c r="C768" s="72"/>
      <c r="D768" s="77"/>
      <c r="E768" s="78"/>
      <c r="F768" s="78"/>
      <c r="G768" s="78"/>
      <c r="H768" s="78"/>
      <c r="I768" s="79"/>
      <c r="J768" s="86"/>
      <c r="K768" s="87"/>
      <c r="L768" s="86"/>
      <c r="M768" s="87"/>
      <c r="N768" s="77"/>
      <c r="O768" s="79"/>
      <c r="P768" s="92"/>
      <c r="Q768" s="93"/>
      <c r="S768" s="99"/>
      <c r="T768" s="99"/>
      <c r="U768" s="99"/>
      <c r="V768" s="99"/>
      <c r="W768" s="99"/>
      <c r="X768" s="99"/>
      <c r="Y768" s="99"/>
      <c r="Z768" s="99"/>
      <c r="AA768" s="99"/>
      <c r="AB768" s="99"/>
      <c r="AC768" s="98"/>
      <c r="AD768" s="98"/>
      <c r="AE768" s="98"/>
      <c r="AF768" s="98"/>
      <c r="AG768" s="98"/>
      <c r="AH768" s="98"/>
    </row>
    <row r="769" spans="2:34" x14ac:dyDescent="0.25">
      <c r="B769" s="73"/>
      <c r="C769" s="74"/>
      <c r="D769" s="80"/>
      <c r="E769" s="81"/>
      <c r="F769" s="81"/>
      <c r="G769" s="81"/>
      <c r="H769" s="81"/>
      <c r="I769" s="82"/>
      <c r="J769" s="88"/>
      <c r="K769" s="89"/>
      <c r="L769" s="88"/>
      <c r="M769" s="89"/>
      <c r="N769" s="80"/>
      <c r="O769" s="82"/>
      <c r="P769" s="94"/>
      <c r="Q769" s="95"/>
      <c r="S769" s="99"/>
      <c r="T769" s="99"/>
      <c r="U769" s="99"/>
      <c r="V769" s="99"/>
      <c r="W769" s="99"/>
      <c r="X769" s="99"/>
      <c r="Y769" s="99"/>
      <c r="Z769" s="99"/>
      <c r="AA769" s="99"/>
      <c r="AB769" s="99"/>
      <c r="AC769" s="98"/>
      <c r="AD769" s="98"/>
      <c r="AE769" s="98"/>
      <c r="AF769" s="98"/>
      <c r="AG769" s="98"/>
      <c r="AH769" s="98"/>
    </row>
    <row r="770" spans="2:34" x14ac:dyDescent="0.25">
      <c r="B770" s="75"/>
      <c r="C770" s="76"/>
      <c r="D770" s="83"/>
      <c r="E770" s="84"/>
      <c r="F770" s="84"/>
      <c r="G770" s="84"/>
      <c r="H770" s="84"/>
      <c r="I770" s="85"/>
      <c r="J770" s="90"/>
      <c r="K770" s="91"/>
      <c r="L770" s="90"/>
      <c r="M770" s="91"/>
      <c r="N770" s="83"/>
      <c r="O770" s="85"/>
      <c r="P770" s="96"/>
      <c r="Q770" s="97"/>
      <c r="S770" s="99"/>
      <c r="T770" s="99"/>
      <c r="U770" s="99"/>
      <c r="V770" s="99"/>
      <c r="W770" s="99"/>
      <c r="X770" s="99"/>
      <c r="Y770" s="99"/>
      <c r="Z770" s="99"/>
      <c r="AA770" s="99"/>
      <c r="AB770" s="99"/>
      <c r="AC770" s="98"/>
      <c r="AD770" s="98"/>
      <c r="AE770" s="98"/>
      <c r="AF770" s="98"/>
      <c r="AG770" s="98"/>
      <c r="AH770" s="98"/>
    </row>
    <row r="771" spans="2:34" x14ac:dyDescent="0.25">
      <c r="B771" s="71"/>
      <c r="C771" s="72"/>
      <c r="D771" s="77"/>
      <c r="E771" s="78"/>
      <c r="F771" s="78"/>
      <c r="G771" s="78"/>
      <c r="H771" s="78"/>
      <c r="I771" s="79"/>
      <c r="J771" s="86"/>
      <c r="K771" s="87"/>
      <c r="L771" s="86"/>
      <c r="M771" s="87"/>
      <c r="N771" s="77"/>
      <c r="O771" s="79"/>
      <c r="P771" s="92"/>
      <c r="Q771" s="93"/>
      <c r="S771" s="99"/>
      <c r="T771" s="99"/>
      <c r="U771" s="99"/>
      <c r="V771" s="99"/>
      <c r="W771" s="99"/>
      <c r="X771" s="99"/>
      <c r="Y771" s="99"/>
      <c r="Z771" s="99"/>
      <c r="AA771" s="99"/>
      <c r="AB771" s="99"/>
      <c r="AC771" s="98"/>
      <c r="AD771" s="98"/>
      <c r="AE771" s="98"/>
      <c r="AF771" s="98"/>
      <c r="AG771" s="98"/>
      <c r="AH771" s="98"/>
    </row>
    <row r="772" spans="2:34" x14ac:dyDescent="0.25">
      <c r="B772" s="73"/>
      <c r="C772" s="74"/>
      <c r="D772" s="80"/>
      <c r="E772" s="81"/>
      <c r="F772" s="81"/>
      <c r="G772" s="81"/>
      <c r="H772" s="81"/>
      <c r="I772" s="82"/>
      <c r="J772" s="88"/>
      <c r="K772" s="89"/>
      <c r="L772" s="88"/>
      <c r="M772" s="89"/>
      <c r="N772" s="80"/>
      <c r="O772" s="82"/>
      <c r="P772" s="94"/>
      <c r="Q772" s="95"/>
      <c r="S772" s="99"/>
      <c r="T772" s="99"/>
      <c r="U772" s="99"/>
      <c r="V772" s="99"/>
      <c r="W772" s="99"/>
      <c r="X772" s="99"/>
      <c r="Y772" s="99"/>
      <c r="Z772" s="99"/>
      <c r="AA772" s="99"/>
      <c r="AB772" s="99"/>
      <c r="AC772" s="98"/>
      <c r="AD772" s="98"/>
      <c r="AE772" s="98"/>
      <c r="AF772" s="98"/>
      <c r="AG772" s="98"/>
      <c r="AH772" s="98"/>
    </row>
    <row r="773" spans="2:34" x14ac:dyDescent="0.25">
      <c r="B773" s="75"/>
      <c r="C773" s="76"/>
      <c r="D773" s="83"/>
      <c r="E773" s="84"/>
      <c r="F773" s="84"/>
      <c r="G773" s="84"/>
      <c r="H773" s="84"/>
      <c r="I773" s="85"/>
      <c r="J773" s="90"/>
      <c r="K773" s="91"/>
      <c r="L773" s="90"/>
      <c r="M773" s="91"/>
      <c r="N773" s="83"/>
      <c r="O773" s="85"/>
      <c r="P773" s="96"/>
      <c r="Q773" s="97"/>
      <c r="S773" s="99"/>
      <c r="T773" s="99"/>
      <c r="U773" s="99"/>
      <c r="V773" s="99"/>
      <c r="W773" s="99"/>
      <c r="X773" s="99"/>
      <c r="Y773" s="99"/>
      <c r="Z773" s="99"/>
      <c r="AA773" s="99"/>
      <c r="AB773" s="99"/>
      <c r="AC773" s="98"/>
      <c r="AD773" s="98"/>
      <c r="AE773" s="98"/>
      <c r="AF773" s="98"/>
      <c r="AG773" s="98"/>
      <c r="AH773" s="98"/>
    </row>
    <row r="774" spans="2:34" x14ac:dyDescent="0.25">
      <c r="B774" s="71"/>
      <c r="C774" s="72"/>
      <c r="D774" s="77"/>
      <c r="E774" s="78"/>
      <c r="F774" s="78"/>
      <c r="G774" s="78"/>
      <c r="H774" s="78"/>
      <c r="I774" s="79"/>
      <c r="J774" s="86"/>
      <c r="K774" s="87"/>
      <c r="L774" s="86"/>
      <c r="M774" s="87"/>
      <c r="N774" s="77"/>
      <c r="O774" s="79"/>
      <c r="P774" s="92"/>
      <c r="Q774" s="93"/>
      <c r="S774" s="99"/>
      <c r="T774" s="99"/>
      <c r="U774" s="99"/>
      <c r="V774" s="99"/>
      <c r="W774" s="99"/>
      <c r="X774" s="99"/>
      <c r="Y774" s="99"/>
      <c r="Z774" s="99"/>
      <c r="AA774" s="99"/>
      <c r="AB774" s="99"/>
      <c r="AC774" s="98"/>
      <c r="AD774" s="98"/>
      <c r="AE774" s="98"/>
      <c r="AF774" s="98"/>
      <c r="AG774" s="98"/>
      <c r="AH774" s="98"/>
    </row>
    <row r="775" spans="2:34" x14ac:dyDescent="0.25">
      <c r="B775" s="73"/>
      <c r="C775" s="74"/>
      <c r="D775" s="80"/>
      <c r="E775" s="81"/>
      <c r="F775" s="81"/>
      <c r="G775" s="81"/>
      <c r="H775" s="81"/>
      <c r="I775" s="82"/>
      <c r="J775" s="88"/>
      <c r="K775" s="89"/>
      <c r="L775" s="88"/>
      <c r="M775" s="89"/>
      <c r="N775" s="80"/>
      <c r="O775" s="82"/>
      <c r="P775" s="94"/>
      <c r="Q775" s="95"/>
      <c r="S775" s="99"/>
      <c r="T775" s="99"/>
      <c r="U775" s="99"/>
      <c r="V775" s="99"/>
      <c r="W775" s="99"/>
      <c r="X775" s="99"/>
      <c r="Y775" s="99"/>
      <c r="Z775" s="99"/>
      <c r="AA775" s="99"/>
      <c r="AB775" s="99"/>
      <c r="AC775" s="98"/>
      <c r="AD775" s="98"/>
      <c r="AE775" s="98"/>
      <c r="AF775" s="98"/>
      <c r="AG775" s="98"/>
      <c r="AH775" s="98"/>
    </row>
    <row r="776" spans="2:34" x14ac:dyDescent="0.25">
      <c r="B776" s="75"/>
      <c r="C776" s="76"/>
      <c r="D776" s="83"/>
      <c r="E776" s="84"/>
      <c r="F776" s="84"/>
      <c r="G776" s="84"/>
      <c r="H776" s="84"/>
      <c r="I776" s="85"/>
      <c r="J776" s="90"/>
      <c r="K776" s="91"/>
      <c r="L776" s="90"/>
      <c r="M776" s="91"/>
      <c r="N776" s="83"/>
      <c r="O776" s="85"/>
      <c r="P776" s="96"/>
      <c r="Q776" s="97"/>
      <c r="S776" s="99"/>
      <c r="T776" s="99"/>
      <c r="U776" s="99"/>
      <c r="V776" s="99"/>
      <c r="W776" s="99"/>
      <c r="X776" s="99"/>
      <c r="Y776" s="99"/>
      <c r="Z776" s="99"/>
      <c r="AA776" s="99"/>
      <c r="AB776" s="99"/>
      <c r="AC776" s="98"/>
      <c r="AD776" s="98"/>
      <c r="AE776" s="98"/>
      <c r="AF776" s="98"/>
      <c r="AG776" s="98"/>
      <c r="AH776" s="98"/>
    </row>
    <row r="777" spans="2:34" x14ac:dyDescent="0.25">
      <c r="B777" s="71"/>
      <c r="C777" s="72"/>
      <c r="D777" s="77"/>
      <c r="E777" s="78"/>
      <c r="F777" s="78"/>
      <c r="G777" s="78"/>
      <c r="H777" s="78"/>
      <c r="I777" s="79"/>
      <c r="J777" s="86"/>
      <c r="K777" s="87"/>
      <c r="L777" s="86"/>
      <c r="M777" s="87"/>
      <c r="N777" s="77"/>
      <c r="O777" s="79"/>
      <c r="P777" s="92"/>
      <c r="Q777" s="93"/>
      <c r="S777" s="99"/>
      <c r="T777" s="99"/>
      <c r="U777" s="99"/>
      <c r="V777" s="99"/>
      <c r="W777" s="99"/>
      <c r="X777" s="99"/>
      <c r="Y777" s="99"/>
      <c r="Z777" s="99"/>
      <c r="AA777" s="99"/>
      <c r="AB777" s="99"/>
      <c r="AC777" s="98"/>
      <c r="AD777" s="98"/>
      <c r="AE777" s="98"/>
      <c r="AF777" s="98"/>
      <c r="AG777" s="98"/>
      <c r="AH777" s="98"/>
    </row>
    <row r="778" spans="2:34" x14ac:dyDescent="0.25">
      <c r="B778" s="73"/>
      <c r="C778" s="74"/>
      <c r="D778" s="80"/>
      <c r="E778" s="81"/>
      <c r="F778" s="81"/>
      <c r="G778" s="81"/>
      <c r="H778" s="81"/>
      <c r="I778" s="82"/>
      <c r="J778" s="88"/>
      <c r="K778" s="89"/>
      <c r="L778" s="88"/>
      <c r="M778" s="89"/>
      <c r="N778" s="80"/>
      <c r="O778" s="82"/>
      <c r="P778" s="94"/>
      <c r="Q778" s="95"/>
      <c r="S778" s="99"/>
      <c r="T778" s="99"/>
      <c r="U778" s="99"/>
      <c r="V778" s="99"/>
      <c r="W778" s="99"/>
      <c r="X778" s="99"/>
      <c r="Y778" s="99"/>
      <c r="Z778" s="99"/>
      <c r="AA778" s="99"/>
      <c r="AB778" s="99"/>
      <c r="AC778" s="98"/>
      <c r="AD778" s="98"/>
      <c r="AE778" s="98"/>
      <c r="AF778" s="98"/>
      <c r="AG778" s="98"/>
      <c r="AH778" s="98"/>
    </row>
    <row r="779" spans="2:34" x14ac:dyDescent="0.25">
      <c r="B779" s="75"/>
      <c r="C779" s="76"/>
      <c r="D779" s="83"/>
      <c r="E779" s="84"/>
      <c r="F779" s="84"/>
      <c r="G779" s="84"/>
      <c r="H779" s="84"/>
      <c r="I779" s="85"/>
      <c r="J779" s="90"/>
      <c r="K779" s="91"/>
      <c r="L779" s="90"/>
      <c r="M779" s="91"/>
      <c r="N779" s="83"/>
      <c r="O779" s="85"/>
      <c r="P779" s="96"/>
      <c r="Q779" s="97"/>
      <c r="S779" s="99"/>
      <c r="T779" s="99"/>
      <c r="U779" s="99"/>
      <c r="V779" s="99"/>
      <c r="W779" s="99"/>
      <c r="X779" s="99"/>
      <c r="Y779" s="99"/>
      <c r="Z779" s="99"/>
      <c r="AA779" s="99"/>
      <c r="AB779" s="99"/>
      <c r="AC779" s="98"/>
      <c r="AD779" s="98"/>
      <c r="AE779" s="98"/>
      <c r="AF779" s="98"/>
      <c r="AG779" s="98"/>
      <c r="AH779" s="98"/>
    </row>
    <row r="780" spans="2:34" x14ac:dyDescent="0.25">
      <c r="B780" s="71"/>
      <c r="C780" s="72"/>
      <c r="D780" s="77"/>
      <c r="E780" s="78"/>
      <c r="F780" s="78"/>
      <c r="G780" s="78"/>
      <c r="H780" s="78"/>
      <c r="I780" s="79"/>
      <c r="J780" s="86"/>
      <c r="K780" s="87"/>
      <c r="L780" s="86"/>
      <c r="M780" s="87"/>
      <c r="N780" s="77"/>
      <c r="O780" s="79"/>
      <c r="P780" s="92"/>
      <c r="Q780" s="93"/>
      <c r="S780" s="99"/>
      <c r="T780" s="99"/>
      <c r="U780" s="99"/>
      <c r="V780" s="99"/>
      <c r="W780" s="99"/>
      <c r="X780" s="99"/>
      <c r="Y780" s="99"/>
      <c r="Z780" s="99"/>
      <c r="AA780" s="99"/>
      <c r="AB780" s="99"/>
      <c r="AC780" s="98"/>
      <c r="AD780" s="98"/>
      <c r="AE780" s="98"/>
      <c r="AF780" s="98"/>
      <c r="AG780" s="98"/>
      <c r="AH780" s="98"/>
    </row>
    <row r="781" spans="2:34" x14ac:dyDescent="0.25">
      <c r="B781" s="73"/>
      <c r="C781" s="74"/>
      <c r="D781" s="80"/>
      <c r="E781" s="81"/>
      <c r="F781" s="81"/>
      <c r="G781" s="81"/>
      <c r="H781" s="81"/>
      <c r="I781" s="82"/>
      <c r="J781" s="88"/>
      <c r="K781" s="89"/>
      <c r="L781" s="88"/>
      <c r="M781" s="89"/>
      <c r="N781" s="80"/>
      <c r="O781" s="82"/>
      <c r="P781" s="94"/>
      <c r="Q781" s="95"/>
      <c r="S781" s="99"/>
      <c r="T781" s="99"/>
      <c r="U781" s="99"/>
      <c r="V781" s="99"/>
      <c r="W781" s="99"/>
      <c r="X781" s="99"/>
      <c r="Y781" s="99"/>
      <c r="Z781" s="99"/>
      <c r="AA781" s="99"/>
      <c r="AB781" s="99"/>
      <c r="AC781" s="98"/>
      <c r="AD781" s="98"/>
      <c r="AE781" s="98"/>
      <c r="AF781" s="98"/>
      <c r="AG781" s="98"/>
      <c r="AH781" s="98"/>
    </row>
    <row r="782" spans="2:34" x14ac:dyDescent="0.25">
      <c r="B782" s="75"/>
      <c r="C782" s="76"/>
      <c r="D782" s="83"/>
      <c r="E782" s="84"/>
      <c r="F782" s="84"/>
      <c r="G782" s="84"/>
      <c r="H782" s="84"/>
      <c r="I782" s="85"/>
      <c r="J782" s="90"/>
      <c r="K782" s="91"/>
      <c r="L782" s="90"/>
      <c r="M782" s="91"/>
      <c r="N782" s="83"/>
      <c r="O782" s="85"/>
      <c r="P782" s="96"/>
      <c r="Q782" s="97"/>
      <c r="S782" s="99"/>
      <c r="T782" s="99"/>
      <c r="U782" s="99"/>
      <c r="V782" s="99"/>
      <c r="W782" s="99"/>
      <c r="X782" s="99"/>
      <c r="Y782" s="99"/>
      <c r="Z782" s="99"/>
      <c r="AA782" s="99"/>
      <c r="AB782" s="99"/>
      <c r="AC782" s="98"/>
      <c r="AD782" s="98"/>
      <c r="AE782" s="98"/>
      <c r="AF782" s="98"/>
      <c r="AG782" s="98"/>
      <c r="AH782" s="98"/>
    </row>
    <row r="783" spans="2:34" x14ac:dyDescent="0.25">
      <c r="B783" s="71"/>
      <c r="C783" s="72"/>
      <c r="D783" s="77"/>
      <c r="E783" s="78"/>
      <c r="F783" s="78"/>
      <c r="G783" s="78"/>
      <c r="H783" s="78"/>
      <c r="I783" s="79"/>
      <c r="J783" s="86"/>
      <c r="K783" s="87"/>
      <c r="L783" s="86"/>
      <c r="M783" s="87"/>
      <c r="N783" s="77"/>
      <c r="O783" s="79"/>
      <c r="P783" s="92"/>
      <c r="Q783" s="93"/>
      <c r="S783" s="99"/>
      <c r="T783" s="99"/>
      <c r="U783" s="99"/>
      <c r="V783" s="99"/>
      <c r="W783" s="99"/>
      <c r="X783" s="99"/>
      <c r="Y783" s="99"/>
      <c r="Z783" s="99"/>
      <c r="AA783" s="99"/>
      <c r="AB783" s="99"/>
      <c r="AC783" s="98"/>
      <c r="AD783" s="98"/>
      <c r="AE783" s="98"/>
      <c r="AF783" s="98"/>
      <c r="AG783" s="98"/>
      <c r="AH783" s="98"/>
    </row>
    <row r="784" spans="2:34" x14ac:dyDescent="0.25">
      <c r="B784" s="73"/>
      <c r="C784" s="74"/>
      <c r="D784" s="80"/>
      <c r="E784" s="81"/>
      <c r="F784" s="81"/>
      <c r="G784" s="81"/>
      <c r="H784" s="81"/>
      <c r="I784" s="82"/>
      <c r="J784" s="88"/>
      <c r="K784" s="89"/>
      <c r="L784" s="88"/>
      <c r="M784" s="89"/>
      <c r="N784" s="80"/>
      <c r="O784" s="82"/>
      <c r="P784" s="94"/>
      <c r="Q784" s="95"/>
      <c r="S784" s="99"/>
      <c r="T784" s="99"/>
      <c r="U784" s="99"/>
      <c r="V784" s="99"/>
      <c r="W784" s="99"/>
      <c r="X784" s="99"/>
      <c r="Y784" s="99"/>
      <c r="Z784" s="99"/>
      <c r="AA784" s="99"/>
      <c r="AB784" s="99"/>
      <c r="AC784" s="98"/>
      <c r="AD784" s="98"/>
      <c r="AE784" s="98"/>
      <c r="AF784" s="98"/>
      <c r="AG784" s="98"/>
      <c r="AH784" s="98"/>
    </row>
    <row r="785" spans="2:34" x14ac:dyDescent="0.25">
      <c r="B785" s="75"/>
      <c r="C785" s="76"/>
      <c r="D785" s="83"/>
      <c r="E785" s="84"/>
      <c r="F785" s="84"/>
      <c r="G785" s="84"/>
      <c r="H785" s="84"/>
      <c r="I785" s="85"/>
      <c r="J785" s="90"/>
      <c r="K785" s="91"/>
      <c r="L785" s="90"/>
      <c r="M785" s="91"/>
      <c r="N785" s="83"/>
      <c r="O785" s="85"/>
      <c r="P785" s="96"/>
      <c r="Q785" s="97"/>
      <c r="S785" s="99"/>
      <c r="T785" s="99"/>
      <c r="U785" s="99"/>
      <c r="V785" s="99"/>
      <c r="W785" s="99"/>
      <c r="X785" s="99"/>
      <c r="Y785" s="99"/>
      <c r="Z785" s="99"/>
      <c r="AA785" s="99"/>
      <c r="AB785" s="99"/>
      <c r="AC785" s="98"/>
      <c r="AD785" s="98"/>
      <c r="AE785" s="98"/>
      <c r="AF785" s="98"/>
      <c r="AG785" s="98"/>
      <c r="AH785" s="98"/>
    </row>
    <row r="786" spans="2:34" x14ac:dyDescent="0.25">
      <c r="B786" s="71"/>
      <c r="C786" s="72"/>
      <c r="D786" s="77"/>
      <c r="E786" s="78"/>
      <c r="F786" s="78"/>
      <c r="G786" s="78"/>
      <c r="H786" s="78"/>
      <c r="I786" s="79"/>
      <c r="J786" s="86"/>
      <c r="K786" s="87"/>
      <c r="L786" s="86"/>
      <c r="M786" s="87"/>
      <c r="N786" s="77"/>
      <c r="O786" s="79"/>
      <c r="P786" s="92"/>
      <c r="Q786" s="93"/>
      <c r="S786" s="99"/>
      <c r="T786" s="99"/>
      <c r="U786" s="99"/>
      <c r="V786" s="99"/>
      <c r="W786" s="99"/>
      <c r="X786" s="99"/>
      <c r="Y786" s="99"/>
      <c r="Z786" s="99"/>
      <c r="AA786" s="99"/>
      <c r="AB786" s="99"/>
      <c r="AC786" s="98"/>
      <c r="AD786" s="98"/>
      <c r="AE786" s="98"/>
      <c r="AF786" s="98"/>
      <c r="AG786" s="98"/>
      <c r="AH786" s="98"/>
    </row>
    <row r="787" spans="2:34" x14ac:dyDescent="0.25">
      <c r="B787" s="73"/>
      <c r="C787" s="74"/>
      <c r="D787" s="80"/>
      <c r="E787" s="81"/>
      <c r="F787" s="81"/>
      <c r="G787" s="81"/>
      <c r="H787" s="81"/>
      <c r="I787" s="82"/>
      <c r="J787" s="88"/>
      <c r="K787" s="89"/>
      <c r="L787" s="88"/>
      <c r="M787" s="89"/>
      <c r="N787" s="80"/>
      <c r="O787" s="82"/>
      <c r="P787" s="94"/>
      <c r="Q787" s="95"/>
      <c r="S787" s="99"/>
      <c r="T787" s="99"/>
      <c r="U787" s="99"/>
      <c r="V787" s="99"/>
      <c r="W787" s="99"/>
      <c r="X787" s="99"/>
      <c r="Y787" s="99"/>
      <c r="Z787" s="99"/>
      <c r="AA787" s="99"/>
      <c r="AB787" s="99"/>
      <c r="AC787" s="98"/>
      <c r="AD787" s="98"/>
      <c r="AE787" s="98"/>
      <c r="AF787" s="98"/>
      <c r="AG787" s="98"/>
      <c r="AH787" s="98"/>
    </row>
    <row r="788" spans="2:34" x14ac:dyDescent="0.25">
      <c r="B788" s="75"/>
      <c r="C788" s="76"/>
      <c r="D788" s="83"/>
      <c r="E788" s="84"/>
      <c r="F788" s="84"/>
      <c r="G788" s="84"/>
      <c r="H788" s="84"/>
      <c r="I788" s="85"/>
      <c r="J788" s="90"/>
      <c r="K788" s="91"/>
      <c r="L788" s="90"/>
      <c r="M788" s="91"/>
      <c r="N788" s="83"/>
      <c r="O788" s="85"/>
      <c r="P788" s="96"/>
      <c r="Q788" s="97"/>
      <c r="S788" s="99"/>
      <c r="T788" s="99"/>
      <c r="U788" s="99"/>
      <c r="V788" s="99"/>
      <c r="W788" s="99"/>
      <c r="X788" s="99"/>
      <c r="Y788" s="99"/>
      <c r="Z788" s="99"/>
      <c r="AA788" s="99"/>
      <c r="AB788" s="99"/>
      <c r="AC788" s="98"/>
      <c r="AD788" s="98"/>
      <c r="AE788" s="98"/>
      <c r="AF788" s="98"/>
      <c r="AG788" s="98"/>
      <c r="AH788" s="98"/>
    </row>
    <row r="789" spans="2:34" x14ac:dyDescent="0.25">
      <c r="B789" s="71"/>
      <c r="C789" s="72"/>
      <c r="D789" s="77"/>
      <c r="E789" s="78"/>
      <c r="F789" s="78"/>
      <c r="G789" s="78"/>
      <c r="H789" s="78"/>
      <c r="I789" s="79"/>
      <c r="J789" s="86"/>
      <c r="K789" s="87"/>
      <c r="L789" s="86"/>
      <c r="M789" s="87"/>
      <c r="N789" s="77"/>
      <c r="O789" s="79"/>
      <c r="P789" s="92"/>
      <c r="Q789" s="93"/>
      <c r="S789" s="99"/>
      <c r="T789" s="99"/>
      <c r="U789" s="99"/>
      <c r="V789" s="99"/>
      <c r="W789" s="99"/>
      <c r="X789" s="99"/>
      <c r="Y789" s="99"/>
      <c r="Z789" s="99"/>
      <c r="AA789" s="99"/>
      <c r="AB789" s="99"/>
      <c r="AC789" s="98"/>
      <c r="AD789" s="98"/>
      <c r="AE789" s="98"/>
      <c r="AF789" s="98"/>
      <c r="AG789" s="98"/>
      <c r="AH789" s="98"/>
    </row>
    <row r="790" spans="2:34" x14ac:dyDescent="0.25">
      <c r="B790" s="73"/>
      <c r="C790" s="74"/>
      <c r="D790" s="80"/>
      <c r="E790" s="81"/>
      <c r="F790" s="81"/>
      <c r="G790" s="81"/>
      <c r="H790" s="81"/>
      <c r="I790" s="82"/>
      <c r="J790" s="88"/>
      <c r="K790" s="89"/>
      <c r="L790" s="88"/>
      <c r="M790" s="89"/>
      <c r="N790" s="80"/>
      <c r="O790" s="82"/>
      <c r="P790" s="94"/>
      <c r="Q790" s="95"/>
      <c r="S790" s="99"/>
      <c r="T790" s="99"/>
      <c r="U790" s="99"/>
      <c r="V790" s="99"/>
      <c r="W790" s="99"/>
      <c r="X790" s="99"/>
      <c r="Y790" s="99"/>
      <c r="Z790" s="99"/>
      <c r="AA790" s="99"/>
      <c r="AB790" s="99"/>
      <c r="AC790" s="98"/>
      <c r="AD790" s="98"/>
      <c r="AE790" s="98"/>
      <c r="AF790" s="98"/>
      <c r="AG790" s="98"/>
      <c r="AH790" s="98"/>
    </row>
    <row r="791" spans="2:34" x14ac:dyDescent="0.25">
      <c r="B791" s="75"/>
      <c r="C791" s="76"/>
      <c r="D791" s="83"/>
      <c r="E791" s="84"/>
      <c r="F791" s="84"/>
      <c r="G791" s="84"/>
      <c r="H791" s="84"/>
      <c r="I791" s="85"/>
      <c r="J791" s="90"/>
      <c r="K791" s="91"/>
      <c r="L791" s="90"/>
      <c r="M791" s="91"/>
      <c r="N791" s="83"/>
      <c r="O791" s="85"/>
      <c r="P791" s="96"/>
      <c r="Q791" s="97"/>
      <c r="S791" s="99"/>
      <c r="T791" s="99"/>
      <c r="U791" s="99"/>
      <c r="V791" s="99"/>
      <c r="W791" s="99"/>
      <c r="X791" s="99"/>
      <c r="Y791" s="99"/>
      <c r="Z791" s="99"/>
      <c r="AA791" s="99"/>
      <c r="AB791" s="99"/>
      <c r="AC791" s="98"/>
      <c r="AD791" s="98"/>
      <c r="AE791" s="98"/>
      <c r="AF791" s="98"/>
      <c r="AG791" s="98"/>
      <c r="AH791" s="98"/>
    </row>
    <row r="792" spans="2:34" x14ac:dyDescent="0.25">
      <c r="B792" s="71"/>
      <c r="C792" s="72"/>
      <c r="D792" s="77"/>
      <c r="E792" s="78"/>
      <c r="F792" s="78"/>
      <c r="G792" s="78"/>
      <c r="H792" s="78"/>
      <c r="I792" s="79"/>
      <c r="J792" s="86"/>
      <c r="K792" s="87"/>
      <c r="L792" s="86"/>
      <c r="M792" s="87"/>
      <c r="N792" s="77"/>
      <c r="O792" s="79"/>
      <c r="P792" s="92"/>
      <c r="Q792" s="93"/>
      <c r="S792" s="99"/>
      <c r="T792" s="99"/>
      <c r="U792" s="99"/>
      <c r="V792" s="99"/>
      <c r="W792" s="99"/>
      <c r="X792" s="99"/>
      <c r="Y792" s="99"/>
      <c r="Z792" s="99"/>
      <c r="AA792" s="99"/>
      <c r="AB792" s="99"/>
      <c r="AC792" s="98"/>
      <c r="AD792" s="98"/>
      <c r="AE792" s="98"/>
      <c r="AF792" s="98"/>
      <c r="AG792" s="98"/>
      <c r="AH792" s="98"/>
    </row>
    <row r="793" spans="2:34" x14ac:dyDescent="0.25">
      <c r="B793" s="73"/>
      <c r="C793" s="74"/>
      <c r="D793" s="80"/>
      <c r="E793" s="81"/>
      <c r="F793" s="81"/>
      <c r="G793" s="81"/>
      <c r="H793" s="81"/>
      <c r="I793" s="82"/>
      <c r="J793" s="88"/>
      <c r="K793" s="89"/>
      <c r="L793" s="88"/>
      <c r="M793" s="89"/>
      <c r="N793" s="80"/>
      <c r="O793" s="82"/>
      <c r="P793" s="94"/>
      <c r="Q793" s="95"/>
      <c r="S793" s="99"/>
      <c r="T793" s="99"/>
      <c r="U793" s="99"/>
      <c r="V793" s="99"/>
      <c r="W793" s="99"/>
      <c r="X793" s="99"/>
      <c r="Y793" s="99"/>
      <c r="Z793" s="99"/>
      <c r="AA793" s="99"/>
      <c r="AB793" s="99"/>
      <c r="AC793" s="98"/>
      <c r="AD793" s="98"/>
      <c r="AE793" s="98"/>
      <c r="AF793" s="98"/>
      <c r="AG793" s="98"/>
      <c r="AH793" s="98"/>
    </row>
    <row r="794" spans="2:34" x14ac:dyDescent="0.25">
      <c r="B794" s="75"/>
      <c r="C794" s="76"/>
      <c r="D794" s="83"/>
      <c r="E794" s="84"/>
      <c r="F794" s="84"/>
      <c r="G794" s="84"/>
      <c r="H794" s="84"/>
      <c r="I794" s="85"/>
      <c r="J794" s="90"/>
      <c r="K794" s="91"/>
      <c r="L794" s="90"/>
      <c r="M794" s="91"/>
      <c r="N794" s="83"/>
      <c r="O794" s="85"/>
      <c r="P794" s="96"/>
      <c r="Q794" s="97"/>
      <c r="S794" s="99"/>
      <c r="T794" s="99"/>
      <c r="U794" s="99"/>
      <c r="V794" s="99"/>
      <c r="W794" s="99"/>
      <c r="X794" s="99"/>
      <c r="Y794" s="99"/>
      <c r="Z794" s="99"/>
      <c r="AA794" s="99"/>
      <c r="AB794" s="99"/>
      <c r="AC794" s="98"/>
      <c r="AD794" s="98"/>
      <c r="AE794" s="98"/>
      <c r="AF794" s="98"/>
      <c r="AG794" s="98"/>
      <c r="AH794" s="98"/>
    </row>
    <row r="795" spans="2:34" x14ac:dyDescent="0.25">
      <c r="B795" s="71"/>
      <c r="C795" s="72"/>
      <c r="D795" s="77"/>
      <c r="E795" s="78"/>
      <c r="F795" s="78"/>
      <c r="G795" s="78"/>
      <c r="H795" s="78"/>
      <c r="I795" s="79"/>
      <c r="J795" s="86"/>
      <c r="K795" s="87"/>
      <c r="L795" s="86"/>
      <c r="M795" s="87"/>
      <c r="N795" s="77"/>
      <c r="O795" s="79"/>
      <c r="P795" s="92"/>
      <c r="Q795" s="93"/>
      <c r="S795" s="99"/>
      <c r="T795" s="99"/>
      <c r="U795" s="99"/>
      <c r="V795" s="99"/>
      <c r="W795" s="99"/>
      <c r="X795" s="99"/>
      <c r="Y795" s="99"/>
      <c r="Z795" s="99"/>
      <c r="AA795" s="99"/>
      <c r="AB795" s="99"/>
      <c r="AC795" s="98"/>
      <c r="AD795" s="98"/>
      <c r="AE795" s="98"/>
      <c r="AF795" s="98"/>
      <c r="AG795" s="98"/>
      <c r="AH795" s="98"/>
    </row>
    <row r="796" spans="2:34" x14ac:dyDescent="0.25">
      <c r="B796" s="73"/>
      <c r="C796" s="74"/>
      <c r="D796" s="80"/>
      <c r="E796" s="81"/>
      <c r="F796" s="81"/>
      <c r="G796" s="81"/>
      <c r="H796" s="81"/>
      <c r="I796" s="82"/>
      <c r="J796" s="88"/>
      <c r="K796" s="89"/>
      <c r="L796" s="88"/>
      <c r="M796" s="89"/>
      <c r="N796" s="80"/>
      <c r="O796" s="82"/>
      <c r="P796" s="94"/>
      <c r="Q796" s="95"/>
      <c r="S796" s="99"/>
      <c r="T796" s="99"/>
      <c r="U796" s="99"/>
      <c r="V796" s="99"/>
      <c r="W796" s="99"/>
      <c r="X796" s="99"/>
      <c r="Y796" s="99"/>
      <c r="Z796" s="99"/>
      <c r="AA796" s="99"/>
      <c r="AB796" s="99"/>
      <c r="AC796" s="98"/>
      <c r="AD796" s="98"/>
      <c r="AE796" s="98"/>
      <c r="AF796" s="98"/>
      <c r="AG796" s="98"/>
      <c r="AH796" s="98"/>
    </row>
    <row r="797" spans="2:34" x14ac:dyDescent="0.25">
      <c r="B797" s="75"/>
      <c r="C797" s="76"/>
      <c r="D797" s="83"/>
      <c r="E797" s="84"/>
      <c r="F797" s="84"/>
      <c r="G797" s="84"/>
      <c r="H797" s="84"/>
      <c r="I797" s="85"/>
      <c r="J797" s="90"/>
      <c r="K797" s="91"/>
      <c r="L797" s="90"/>
      <c r="M797" s="91"/>
      <c r="N797" s="83"/>
      <c r="O797" s="85"/>
      <c r="P797" s="96"/>
      <c r="Q797" s="97"/>
      <c r="S797" s="99"/>
      <c r="T797" s="99"/>
      <c r="U797" s="99"/>
      <c r="V797" s="99"/>
      <c r="W797" s="99"/>
      <c r="X797" s="99"/>
      <c r="Y797" s="99"/>
      <c r="Z797" s="99"/>
      <c r="AA797" s="99"/>
      <c r="AB797" s="99"/>
      <c r="AC797" s="98"/>
      <c r="AD797" s="98"/>
      <c r="AE797" s="98"/>
      <c r="AF797" s="98"/>
      <c r="AG797" s="98"/>
      <c r="AH797" s="98"/>
    </row>
    <row r="798" spans="2:34" x14ac:dyDescent="0.25">
      <c r="B798" s="71"/>
      <c r="C798" s="72"/>
      <c r="D798" s="77"/>
      <c r="E798" s="78"/>
      <c r="F798" s="78"/>
      <c r="G798" s="78"/>
      <c r="H798" s="78"/>
      <c r="I798" s="79"/>
      <c r="J798" s="86"/>
      <c r="K798" s="87"/>
      <c r="L798" s="86"/>
      <c r="M798" s="87"/>
      <c r="N798" s="77"/>
      <c r="O798" s="79"/>
      <c r="P798" s="92"/>
      <c r="Q798" s="93"/>
      <c r="S798" s="99"/>
      <c r="T798" s="99"/>
      <c r="U798" s="99"/>
      <c r="V798" s="99"/>
      <c r="W798" s="99"/>
      <c r="X798" s="99"/>
      <c r="Y798" s="99"/>
      <c r="Z798" s="99"/>
      <c r="AA798" s="99"/>
      <c r="AB798" s="99"/>
      <c r="AC798" s="98"/>
      <c r="AD798" s="98"/>
      <c r="AE798" s="98"/>
      <c r="AF798" s="98"/>
      <c r="AG798" s="98"/>
      <c r="AH798" s="98"/>
    </row>
    <row r="799" spans="2:34" x14ac:dyDescent="0.25">
      <c r="B799" s="73"/>
      <c r="C799" s="74"/>
      <c r="D799" s="80"/>
      <c r="E799" s="81"/>
      <c r="F799" s="81"/>
      <c r="G799" s="81"/>
      <c r="H799" s="81"/>
      <c r="I799" s="82"/>
      <c r="J799" s="88"/>
      <c r="K799" s="89"/>
      <c r="L799" s="88"/>
      <c r="M799" s="89"/>
      <c r="N799" s="80"/>
      <c r="O799" s="82"/>
      <c r="P799" s="94"/>
      <c r="Q799" s="95"/>
      <c r="S799" s="99"/>
      <c r="T799" s="99"/>
      <c r="U799" s="99"/>
      <c r="V799" s="99"/>
      <c r="W799" s="99"/>
      <c r="X799" s="99"/>
      <c r="Y799" s="99"/>
      <c r="Z799" s="99"/>
      <c r="AA799" s="99"/>
      <c r="AB799" s="99"/>
      <c r="AC799" s="98"/>
      <c r="AD799" s="98"/>
      <c r="AE799" s="98"/>
      <c r="AF799" s="98"/>
      <c r="AG799" s="98"/>
      <c r="AH799" s="98"/>
    </row>
    <row r="800" spans="2:34" x14ac:dyDescent="0.25">
      <c r="B800" s="75"/>
      <c r="C800" s="76"/>
      <c r="D800" s="83"/>
      <c r="E800" s="84"/>
      <c r="F800" s="84"/>
      <c r="G800" s="84"/>
      <c r="H800" s="84"/>
      <c r="I800" s="85"/>
      <c r="J800" s="90"/>
      <c r="K800" s="91"/>
      <c r="L800" s="90"/>
      <c r="M800" s="91"/>
      <c r="N800" s="83"/>
      <c r="O800" s="85"/>
      <c r="P800" s="96"/>
      <c r="Q800" s="97"/>
      <c r="S800" s="99"/>
      <c r="T800" s="99"/>
      <c r="U800" s="99"/>
      <c r="V800" s="99"/>
      <c r="W800" s="99"/>
      <c r="X800" s="99"/>
      <c r="Y800" s="99"/>
      <c r="Z800" s="99"/>
      <c r="AA800" s="99"/>
      <c r="AB800" s="99"/>
      <c r="AC800" s="98"/>
      <c r="AD800" s="98"/>
      <c r="AE800" s="98"/>
      <c r="AF800" s="98"/>
      <c r="AG800" s="98"/>
      <c r="AH800" s="98"/>
    </row>
    <row r="801" spans="2:34" x14ac:dyDescent="0.25">
      <c r="B801" s="71"/>
      <c r="C801" s="72"/>
      <c r="D801" s="77"/>
      <c r="E801" s="78"/>
      <c r="F801" s="78"/>
      <c r="G801" s="78"/>
      <c r="H801" s="78"/>
      <c r="I801" s="79"/>
      <c r="J801" s="86"/>
      <c r="K801" s="87"/>
      <c r="L801" s="86"/>
      <c r="M801" s="87"/>
      <c r="N801" s="77"/>
      <c r="O801" s="79"/>
      <c r="P801" s="92"/>
      <c r="Q801" s="93"/>
      <c r="S801" s="99"/>
      <c r="T801" s="99"/>
      <c r="U801" s="99"/>
      <c r="V801" s="99"/>
      <c r="W801" s="99"/>
      <c r="X801" s="99"/>
      <c r="Y801" s="99"/>
      <c r="Z801" s="99"/>
      <c r="AA801" s="99"/>
      <c r="AB801" s="99"/>
      <c r="AC801" s="98"/>
      <c r="AD801" s="98"/>
      <c r="AE801" s="98"/>
      <c r="AF801" s="98"/>
      <c r="AG801" s="98"/>
      <c r="AH801" s="98"/>
    </row>
    <row r="802" spans="2:34" x14ac:dyDescent="0.25">
      <c r="B802" s="73"/>
      <c r="C802" s="74"/>
      <c r="D802" s="80"/>
      <c r="E802" s="81"/>
      <c r="F802" s="81"/>
      <c r="G802" s="81"/>
      <c r="H802" s="81"/>
      <c r="I802" s="82"/>
      <c r="J802" s="88"/>
      <c r="K802" s="89"/>
      <c r="L802" s="88"/>
      <c r="M802" s="89"/>
      <c r="N802" s="80"/>
      <c r="O802" s="82"/>
      <c r="P802" s="94"/>
      <c r="Q802" s="95"/>
      <c r="S802" s="99"/>
      <c r="T802" s="99"/>
      <c r="U802" s="99"/>
      <c r="V802" s="99"/>
      <c r="W802" s="99"/>
      <c r="X802" s="99"/>
      <c r="Y802" s="99"/>
      <c r="Z802" s="99"/>
      <c r="AA802" s="99"/>
      <c r="AB802" s="99"/>
      <c r="AC802" s="98"/>
      <c r="AD802" s="98"/>
      <c r="AE802" s="98"/>
      <c r="AF802" s="98"/>
      <c r="AG802" s="98"/>
      <c r="AH802" s="98"/>
    </row>
    <row r="803" spans="2:34" x14ac:dyDescent="0.25">
      <c r="B803" s="75"/>
      <c r="C803" s="76"/>
      <c r="D803" s="83"/>
      <c r="E803" s="84"/>
      <c r="F803" s="84"/>
      <c r="G803" s="84"/>
      <c r="H803" s="84"/>
      <c r="I803" s="85"/>
      <c r="J803" s="90"/>
      <c r="K803" s="91"/>
      <c r="L803" s="90"/>
      <c r="M803" s="91"/>
      <c r="N803" s="83"/>
      <c r="O803" s="85"/>
      <c r="P803" s="96"/>
      <c r="Q803" s="97"/>
      <c r="S803" s="99"/>
      <c r="T803" s="99"/>
      <c r="U803" s="99"/>
      <c r="V803" s="99"/>
      <c r="W803" s="99"/>
      <c r="X803" s="99"/>
      <c r="Y803" s="99"/>
      <c r="Z803" s="99"/>
      <c r="AA803" s="99"/>
      <c r="AB803" s="99"/>
      <c r="AC803" s="98"/>
      <c r="AD803" s="98"/>
      <c r="AE803" s="98"/>
      <c r="AF803" s="98"/>
      <c r="AG803" s="98"/>
      <c r="AH803" s="98"/>
    </row>
    <row r="804" spans="2:34" x14ac:dyDescent="0.25">
      <c r="B804" s="71"/>
      <c r="C804" s="72"/>
      <c r="D804" s="77"/>
      <c r="E804" s="78"/>
      <c r="F804" s="78"/>
      <c r="G804" s="78"/>
      <c r="H804" s="78"/>
      <c r="I804" s="79"/>
      <c r="J804" s="86"/>
      <c r="K804" s="87"/>
      <c r="L804" s="86"/>
      <c r="M804" s="87"/>
      <c r="N804" s="77"/>
      <c r="O804" s="79"/>
      <c r="P804" s="92"/>
      <c r="Q804" s="93"/>
      <c r="S804" s="99"/>
      <c r="T804" s="99"/>
      <c r="U804" s="99"/>
      <c r="V804" s="99"/>
      <c r="W804" s="99"/>
      <c r="X804" s="99"/>
      <c r="Y804" s="99"/>
      <c r="Z804" s="99"/>
      <c r="AA804" s="99"/>
      <c r="AB804" s="99"/>
      <c r="AC804" s="98"/>
      <c r="AD804" s="98"/>
      <c r="AE804" s="98"/>
      <c r="AF804" s="98"/>
      <c r="AG804" s="98"/>
      <c r="AH804" s="98"/>
    </row>
    <row r="805" spans="2:34" x14ac:dyDescent="0.25">
      <c r="B805" s="73"/>
      <c r="C805" s="74"/>
      <c r="D805" s="80"/>
      <c r="E805" s="81"/>
      <c r="F805" s="81"/>
      <c r="G805" s="81"/>
      <c r="H805" s="81"/>
      <c r="I805" s="82"/>
      <c r="J805" s="88"/>
      <c r="K805" s="89"/>
      <c r="L805" s="88"/>
      <c r="M805" s="89"/>
      <c r="N805" s="80"/>
      <c r="O805" s="82"/>
      <c r="P805" s="94"/>
      <c r="Q805" s="95"/>
      <c r="S805" s="99"/>
      <c r="T805" s="99"/>
      <c r="U805" s="99"/>
      <c r="V805" s="99"/>
      <c r="W805" s="99"/>
      <c r="X805" s="99"/>
      <c r="Y805" s="99"/>
      <c r="Z805" s="99"/>
      <c r="AA805" s="99"/>
      <c r="AB805" s="99"/>
      <c r="AC805" s="98"/>
      <c r="AD805" s="98"/>
      <c r="AE805" s="98"/>
      <c r="AF805" s="98"/>
      <c r="AG805" s="98"/>
      <c r="AH805" s="98"/>
    </row>
    <row r="806" spans="2:34" x14ac:dyDescent="0.25">
      <c r="B806" s="75"/>
      <c r="C806" s="76"/>
      <c r="D806" s="83"/>
      <c r="E806" s="84"/>
      <c r="F806" s="84"/>
      <c r="G806" s="84"/>
      <c r="H806" s="84"/>
      <c r="I806" s="85"/>
      <c r="J806" s="90"/>
      <c r="K806" s="91"/>
      <c r="L806" s="90"/>
      <c r="M806" s="91"/>
      <c r="N806" s="83"/>
      <c r="O806" s="85"/>
      <c r="P806" s="96"/>
      <c r="Q806" s="97"/>
      <c r="S806" s="99"/>
      <c r="T806" s="99"/>
      <c r="U806" s="99"/>
      <c r="V806" s="99"/>
      <c r="W806" s="99"/>
      <c r="X806" s="99"/>
      <c r="Y806" s="99"/>
      <c r="Z806" s="99"/>
      <c r="AA806" s="99"/>
      <c r="AB806" s="99"/>
      <c r="AC806" s="98"/>
      <c r="AD806" s="98"/>
      <c r="AE806" s="98"/>
      <c r="AF806" s="98"/>
      <c r="AG806" s="98"/>
      <c r="AH806" s="98"/>
    </row>
    <row r="807" spans="2:34" x14ac:dyDescent="0.25">
      <c r="B807" s="71"/>
      <c r="C807" s="72"/>
      <c r="D807" s="77"/>
      <c r="E807" s="78"/>
      <c r="F807" s="78"/>
      <c r="G807" s="78"/>
      <c r="H807" s="78"/>
      <c r="I807" s="79"/>
      <c r="J807" s="86"/>
      <c r="K807" s="87"/>
      <c r="L807" s="86"/>
      <c r="M807" s="87"/>
      <c r="N807" s="77"/>
      <c r="O807" s="79"/>
      <c r="P807" s="92"/>
      <c r="Q807" s="93"/>
      <c r="S807" s="99"/>
      <c r="T807" s="99"/>
      <c r="U807" s="99"/>
      <c r="V807" s="99"/>
      <c r="W807" s="99"/>
      <c r="X807" s="99"/>
      <c r="Y807" s="99"/>
      <c r="Z807" s="99"/>
      <c r="AA807" s="99"/>
      <c r="AB807" s="99"/>
      <c r="AC807" s="98"/>
      <c r="AD807" s="98"/>
      <c r="AE807" s="98"/>
      <c r="AF807" s="98"/>
      <c r="AG807" s="98"/>
      <c r="AH807" s="98"/>
    </row>
    <row r="808" spans="2:34" x14ac:dyDescent="0.25">
      <c r="B808" s="73"/>
      <c r="C808" s="74"/>
      <c r="D808" s="80"/>
      <c r="E808" s="81"/>
      <c r="F808" s="81"/>
      <c r="G808" s="81"/>
      <c r="H808" s="81"/>
      <c r="I808" s="82"/>
      <c r="J808" s="88"/>
      <c r="K808" s="89"/>
      <c r="L808" s="88"/>
      <c r="M808" s="89"/>
      <c r="N808" s="80"/>
      <c r="O808" s="82"/>
      <c r="P808" s="94"/>
      <c r="Q808" s="95"/>
      <c r="S808" s="99"/>
      <c r="T808" s="99"/>
      <c r="U808" s="99"/>
      <c r="V808" s="99"/>
      <c r="W808" s="99"/>
      <c r="X808" s="99"/>
      <c r="Y808" s="99"/>
      <c r="Z808" s="99"/>
      <c r="AA808" s="99"/>
      <c r="AB808" s="99"/>
      <c r="AC808" s="98"/>
      <c r="AD808" s="98"/>
      <c r="AE808" s="98"/>
      <c r="AF808" s="98"/>
      <c r="AG808" s="98"/>
      <c r="AH808" s="98"/>
    </row>
    <row r="809" spans="2:34" x14ac:dyDescent="0.25">
      <c r="B809" s="75"/>
      <c r="C809" s="76"/>
      <c r="D809" s="83"/>
      <c r="E809" s="84"/>
      <c r="F809" s="84"/>
      <c r="G809" s="84"/>
      <c r="H809" s="84"/>
      <c r="I809" s="85"/>
      <c r="J809" s="90"/>
      <c r="K809" s="91"/>
      <c r="L809" s="90"/>
      <c r="M809" s="91"/>
      <c r="N809" s="83"/>
      <c r="O809" s="85"/>
      <c r="P809" s="96"/>
      <c r="Q809" s="97"/>
      <c r="S809" s="99"/>
      <c r="T809" s="99"/>
      <c r="U809" s="99"/>
      <c r="V809" s="99"/>
      <c r="W809" s="99"/>
      <c r="X809" s="99"/>
      <c r="Y809" s="99"/>
      <c r="Z809" s="99"/>
      <c r="AA809" s="99"/>
      <c r="AB809" s="99"/>
      <c r="AC809" s="98"/>
      <c r="AD809" s="98"/>
      <c r="AE809" s="98"/>
      <c r="AF809" s="98"/>
      <c r="AG809" s="98"/>
      <c r="AH809" s="98"/>
    </row>
    <row r="810" spans="2:34" x14ac:dyDescent="0.25">
      <c r="B810" s="71"/>
      <c r="C810" s="72"/>
      <c r="D810" s="77"/>
      <c r="E810" s="78"/>
      <c r="F810" s="78"/>
      <c r="G810" s="78"/>
      <c r="H810" s="78"/>
      <c r="I810" s="79"/>
      <c r="J810" s="86"/>
      <c r="K810" s="87"/>
      <c r="L810" s="86"/>
      <c r="M810" s="87"/>
      <c r="N810" s="77"/>
      <c r="O810" s="79"/>
      <c r="P810" s="92"/>
      <c r="Q810" s="93"/>
      <c r="S810" s="99"/>
      <c r="T810" s="99"/>
      <c r="U810" s="99"/>
      <c r="V810" s="99"/>
      <c r="W810" s="99"/>
      <c r="X810" s="99"/>
      <c r="Y810" s="99"/>
      <c r="Z810" s="99"/>
      <c r="AA810" s="99"/>
      <c r="AB810" s="99"/>
      <c r="AC810" s="98"/>
      <c r="AD810" s="98"/>
      <c r="AE810" s="98"/>
      <c r="AF810" s="98"/>
      <c r="AG810" s="98"/>
      <c r="AH810" s="98"/>
    </row>
    <row r="811" spans="2:34" x14ac:dyDescent="0.25">
      <c r="B811" s="73"/>
      <c r="C811" s="74"/>
      <c r="D811" s="80"/>
      <c r="E811" s="81"/>
      <c r="F811" s="81"/>
      <c r="G811" s="81"/>
      <c r="H811" s="81"/>
      <c r="I811" s="82"/>
      <c r="J811" s="88"/>
      <c r="K811" s="89"/>
      <c r="L811" s="88"/>
      <c r="M811" s="89"/>
      <c r="N811" s="80"/>
      <c r="O811" s="82"/>
      <c r="P811" s="94"/>
      <c r="Q811" s="95"/>
      <c r="S811" s="99"/>
      <c r="T811" s="99"/>
      <c r="U811" s="99"/>
      <c r="V811" s="99"/>
      <c r="W811" s="99"/>
      <c r="X811" s="99"/>
      <c r="Y811" s="99"/>
      <c r="Z811" s="99"/>
      <c r="AA811" s="99"/>
      <c r="AB811" s="99"/>
      <c r="AC811" s="98"/>
      <c r="AD811" s="98"/>
      <c r="AE811" s="98"/>
      <c r="AF811" s="98"/>
      <c r="AG811" s="98"/>
      <c r="AH811" s="98"/>
    </row>
    <row r="812" spans="2:34" x14ac:dyDescent="0.25">
      <c r="B812" s="75"/>
      <c r="C812" s="76"/>
      <c r="D812" s="83"/>
      <c r="E812" s="84"/>
      <c r="F812" s="84"/>
      <c r="G812" s="84"/>
      <c r="H812" s="84"/>
      <c r="I812" s="85"/>
      <c r="J812" s="90"/>
      <c r="K812" s="91"/>
      <c r="L812" s="90"/>
      <c r="M812" s="91"/>
      <c r="N812" s="83"/>
      <c r="O812" s="85"/>
      <c r="P812" s="96"/>
      <c r="Q812" s="97"/>
      <c r="S812" s="99"/>
      <c r="T812" s="99"/>
      <c r="U812" s="99"/>
      <c r="V812" s="99"/>
      <c r="W812" s="99"/>
      <c r="X812" s="99"/>
      <c r="Y812" s="99"/>
      <c r="Z812" s="99"/>
      <c r="AA812" s="99"/>
      <c r="AB812" s="99"/>
      <c r="AC812" s="98"/>
      <c r="AD812" s="98"/>
      <c r="AE812" s="98"/>
      <c r="AF812" s="98"/>
      <c r="AG812" s="98"/>
      <c r="AH812" s="98"/>
    </row>
    <row r="813" spans="2:34" x14ac:dyDescent="0.25">
      <c r="B813" s="71"/>
      <c r="C813" s="72"/>
      <c r="D813" s="77"/>
      <c r="E813" s="78"/>
      <c r="F813" s="78"/>
      <c r="G813" s="78"/>
      <c r="H813" s="78"/>
      <c r="I813" s="79"/>
      <c r="J813" s="86"/>
      <c r="K813" s="87"/>
      <c r="L813" s="86"/>
      <c r="M813" s="87"/>
      <c r="N813" s="77"/>
      <c r="O813" s="79"/>
      <c r="P813" s="92"/>
      <c r="Q813" s="93"/>
      <c r="S813" s="99"/>
      <c r="T813" s="99"/>
      <c r="U813" s="99"/>
      <c r="V813" s="99"/>
      <c r="W813" s="99"/>
      <c r="X813" s="99"/>
      <c r="Y813" s="99"/>
      <c r="Z813" s="99"/>
      <c r="AA813" s="99"/>
      <c r="AB813" s="99"/>
      <c r="AC813" s="98"/>
      <c r="AD813" s="98"/>
      <c r="AE813" s="98"/>
      <c r="AF813" s="98"/>
      <c r="AG813" s="98"/>
      <c r="AH813" s="98"/>
    </row>
    <row r="814" spans="2:34" x14ac:dyDescent="0.25">
      <c r="B814" s="73"/>
      <c r="C814" s="74"/>
      <c r="D814" s="80"/>
      <c r="E814" s="81"/>
      <c r="F814" s="81"/>
      <c r="G814" s="81"/>
      <c r="H814" s="81"/>
      <c r="I814" s="82"/>
      <c r="J814" s="88"/>
      <c r="K814" s="89"/>
      <c r="L814" s="88"/>
      <c r="M814" s="89"/>
      <c r="N814" s="80"/>
      <c r="O814" s="82"/>
      <c r="P814" s="94"/>
      <c r="Q814" s="95"/>
      <c r="S814" s="99"/>
      <c r="T814" s="99"/>
      <c r="U814" s="99"/>
      <c r="V814" s="99"/>
      <c r="W814" s="99"/>
      <c r="X814" s="99"/>
      <c r="Y814" s="99"/>
      <c r="Z814" s="99"/>
      <c r="AA814" s="99"/>
      <c r="AB814" s="99"/>
      <c r="AC814" s="98"/>
      <c r="AD814" s="98"/>
      <c r="AE814" s="98"/>
      <c r="AF814" s="98"/>
      <c r="AG814" s="98"/>
      <c r="AH814" s="98"/>
    </row>
    <row r="815" spans="2:34" x14ac:dyDescent="0.25">
      <c r="B815" s="75"/>
      <c r="C815" s="76"/>
      <c r="D815" s="83"/>
      <c r="E815" s="84"/>
      <c r="F815" s="84"/>
      <c r="G815" s="84"/>
      <c r="H815" s="84"/>
      <c r="I815" s="85"/>
      <c r="J815" s="90"/>
      <c r="K815" s="91"/>
      <c r="L815" s="90"/>
      <c r="M815" s="91"/>
      <c r="N815" s="83"/>
      <c r="O815" s="85"/>
      <c r="P815" s="96"/>
      <c r="Q815" s="97"/>
      <c r="S815" s="99"/>
      <c r="T815" s="99"/>
      <c r="U815" s="99"/>
      <c r="V815" s="99"/>
      <c r="W815" s="99"/>
      <c r="X815" s="99"/>
      <c r="Y815" s="99"/>
      <c r="Z815" s="99"/>
      <c r="AA815" s="99"/>
      <c r="AB815" s="99"/>
      <c r="AC815" s="98"/>
      <c r="AD815" s="98"/>
      <c r="AE815" s="98"/>
      <c r="AF815" s="98"/>
      <c r="AG815" s="98"/>
      <c r="AH815" s="98"/>
    </row>
    <row r="816" spans="2:34" x14ac:dyDescent="0.25">
      <c r="B816" s="71"/>
      <c r="C816" s="72"/>
      <c r="D816" s="77"/>
      <c r="E816" s="78"/>
      <c r="F816" s="78"/>
      <c r="G816" s="78"/>
      <c r="H816" s="78"/>
      <c r="I816" s="79"/>
      <c r="J816" s="86"/>
      <c r="K816" s="87"/>
      <c r="L816" s="86"/>
      <c r="M816" s="87"/>
      <c r="N816" s="77"/>
      <c r="O816" s="79"/>
      <c r="P816" s="92"/>
      <c r="Q816" s="93"/>
      <c r="S816" s="99"/>
      <c r="T816" s="99"/>
      <c r="U816" s="99"/>
      <c r="V816" s="99"/>
      <c r="W816" s="99"/>
      <c r="X816" s="99"/>
      <c r="Y816" s="99"/>
      <c r="Z816" s="99"/>
      <c r="AA816" s="99"/>
      <c r="AB816" s="99"/>
      <c r="AC816" s="98"/>
      <c r="AD816" s="98"/>
      <c r="AE816" s="98"/>
      <c r="AF816" s="98"/>
      <c r="AG816" s="98"/>
      <c r="AH816" s="98"/>
    </row>
    <row r="817" spans="2:34" x14ac:dyDescent="0.25">
      <c r="B817" s="73"/>
      <c r="C817" s="74"/>
      <c r="D817" s="80"/>
      <c r="E817" s="81"/>
      <c r="F817" s="81"/>
      <c r="G817" s="81"/>
      <c r="H817" s="81"/>
      <c r="I817" s="82"/>
      <c r="J817" s="88"/>
      <c r="K817" s="89"/>
      <c r="L817" s="88"/>
      <c r="M817" s="89"/>
      <c r="N817" s="80"/>
      <c r="O817" s="82"/>
      <c r="P817" s="94"/>
      <c r="Q817" s="95"/>
      <c r="S817" s="99"/>
      <c r="T817" s="99"/>
      <c r="U817" s="99"/>
      <c r="V817" s="99"/>
      <c r="W817" s="99"/>
      <c r="X817" s="99"/>
      <c r="Y817" s="99"/>
      <c r="Z817" s="99"/>
      <c r="AA817" s="99"/>
      <c r="AB817" s="99"/>
      <c r="AC817" s="98"/>
      <c r="AD817" s="98"/>
      <c r="AE817" s="98"/>
      <c r="AF817" s="98"/>
      <c r="AG817" s="98"/>
      <c r="AH817" s="98"/>
    </row>
    <row r="818" spans="2:34" x14ac:dyDescent="0.25">
      <c r="B818" s="75"/>
      <c r="C818" s="76"/>
      <c r="D818" s="83"/>
      <c r="E818" s="84"/>
      <c r="F818" s="84"/>
      <c r="G818" s="84"/>
      <c r="H818" s="84"/>
      <c r="I818" s="85"/>
      <c r="J818" s="90"/>
      <c r="K818" s="91"/>
      <c r="L818" s="90"/>
      <c r="M818" s="91"/>
      <c r="N818" s="83"/>
      <c r="O818" s="85"/>
      <c r="P818" s="96"/>
      <c r="Q818" s="97"/>
      <c r="S818" s="99"/>
      <c r="T818" s="99"/>
      <c r="U818" s="99"/>
      <c r="V818" s="99"/>
      <c r="W818" s="99"/>
      <c r="X818" s="99"/>
      <c r="Y818" s="99"/>
      <c r="Z818" s="99"/>
      <c r="AA818" s="99"/>
      <c r="AB818" s="99"/>
      <c r="AC818" s="98"/>
      <c r="AD818" s="98"/>
      <c r="AE818" s="98"/>
      <c r="AF818" s="98"/>
      <c r="AG818" s="98"/>
      <c r="AH818" s="98"/>
    </row>
    <row r="819" spans="2:34" x14ac:dyDescent="0.25">
      <c r="B819" s="71"/>
      <c r="C819" s="72"/>
      <c r="D819" s="77"/>
      <c r="E819" s="78"/>
      <c r="F819" s="78"/>
      <c r="G819" s="78"/>
      <c r="H819" s="78"/>
      <c r="I819" s="79"/>
      <c r="J819" s="86"/>
      <c r="K819" s="87"/>
      <c r="L819" s="86"/>
      <c r="M819" s="87"/>
      <c r="N819" s="77"/>
      <c r="O819" s="79"/>
      <c r="P819" s="92"/>
      <c r="Q819" s="93"/>
      <c r="S819" s="99"/>
      <c r="T819" s="99"/>
      <c r="U819" s="99"/>
      <c r="V819" s="99"/>
      <c r="W819" s="99"/>
      <c r="X819" s="99"/>
      <c r="Y819" s="99"/>
      <c r="Z819" s="99"/>
      <c r="AA819" s="99"/>
      <c r="AB819" s="99"/>
      <c r="AC819" s="98"/>
      <c r="AD819" s="98"/>
      <c r="AE819" s="98"/>
      <c r="AF819" s="98"/>
      <c r="AG819" s="98"/>
      <c r="AH819" s="98"/>
    </row>
    <row r="820" spans="2:34" x14ac:dyDescent="0.25">
      <c r="B820" s="73"/>
      <c r="C820" s="74"/>
      <c r="D820" s="80"/>
      <c r="E820" s="81"/>
      <c r="F820" s="81"/>
      <c r="G820" s="81"/>
      <c r="H820" s="81"/>
      <c r="I820" s="82"/>
      <c r="J820" s="88"/>
      <c r="K820" s="89"/>
      <c r="L820" s="88"/>
      <c r="M820" s="89"/>
      <c r="N820" s="80"/>
      <c r="O820" s="82"/>
      <c r="P820" s="94"/>
      <c r="Q820" s="95"/>
      <c r="S820" s="99"/>
      <c r="T820" s="99"/>
      <c r="U820" s="99"/>
      <c r="V820" s="99"/>
      <c r="W820" s="99"/>
      <c r="X820" s="99"/>
      <c r="Y820" s="99"/>
      <c r="Z820" s="99"/>
      <c r="AA820" s="99"/>
      <c r="AB820" s="99"/>
      <c r="AC820" s="98"/>
      <c r="AD820" s="98"/>
      <c r="AE820" s="98"/>
      <c r="AF820" s="98"/>
      <c r="AG820" s="98"/>
      <c r="AH820" s="98"/>
    </row>
    <row r="821" spans="2:34" x14ac:dyDescent="0.25">
      <c r="B821" s="75"/>
      <c r="C821" s="76"/>
      <c r="D821" s="83"/>
      <c r="E821" s="84"/>
      <c r="F821" s="84"/>
      <c r="G821" s="84"/>
      <c r="H821" s="84"/>
      <c r="I821" s="85"/>
      <c r="J821" s="90"/>
      <c r="K821" s="91"/>
      <c r="L821" s="90"/>
      <c r="M821" s="91"/>
      <c r="N821" s="83"/>
      <c r="O821" s="85"/>
      <c r="P821" s="96"/>
      <c r="Q821" s="97"/>
      <c r="S821" s="99"/>
      <c r="T821" s="99"/>
      <c r="U821" s="99"/>
      <c r="V821" s="99"/>
      <c r="W821" s="99"/>
      <c r="X821" s="99"/>
      <c r="Y821" s="99"/>
      <c r="Z821" s="99"/>
      <c r="AA821" s="99"/>
      <c r="AB821" s="99"/>
      <c r="AC821" s="98"/>
      <c r="AD821" s="98"/>
      <c r="AE821" s="98"/>
      <c r="AF821" s="98"/>
      <c r="AG821" s="98"/>
      <c r="AH821" s="98"/>
    </row>
    <row r="822" spans="2:34" x14ac:dyDescent="0.25">
      <c r="B822" s="71"/>
      <c r="C822" s="72"/>
      <c r="D822" s="77"/>
      <c r="E822" s="78"/>
      <c r="F822" s="78"/>
      <c r="G822" s="78"/>
      <c r="H822" s="78"/>
      <c r="I822" s="79"/>
      <c r="J822" s="86"/>
      <c r="K822" s="87"/>
      <c r="L822" s="86"/>
      <c r="M822" s="87"/>
      <c r="N822" s="77"/>
      <c r="O822" s="79"/>
      <c r="P822" s="92"/>
      <c r="Q822" s="93"/>
      <c r="S822" s="99"/>
      <c r="T822" s="99"/>
      <c r="U822" s="99"/>
      <c r="V822" s="99"/>
      <c r="W822" s="99"/>
      <c r="X822" s="99"/>
      <c r="Y822" s="99"/>
      <c r="Z822" s="99"/>
      <c r="AA822" s="99"/>
      <c r="AB822" s="99"/>
      <c r="AC822" s="98"/>
      <c r="AD822" s="98"/>
      <c r="AE822" s="98"/>
      <c r="AF822" s="98"/>
      <c r="AG822" s="98"/>
      <c r="AH822" s="98"/>
    </row>
    <row r="823" spans="2:34" x14ac:dyDescent="0.25">
      <c r="B823" s="73"/>
      <c r="C823" s="74"/>
      <c r="D823" s="80"/>
      <c r="E823" s="81"/>
      <c r="F823" s="81"/>
      <c r="G823" s="81"/>
      <c r="H823" s="81"/>
      <c r="I823" s="82"/>
      <c r="J823" s="88"/>
      <c r="K823" s="89"/>
      <c r="L823" s="88"/>
      <c r="M823" s="89"/>
      <c r="N823" s="80"/>
      <c r="O823" s="82"/>
      <c r="P823" s="94"/>
      <c r="Q823" s="95"/>
      <c r="S823" s="99"/>
      <c r="T823" s="99"/>
      <c r="U823" s="99"/>
      <c r="V823" s="99"/>
      <c r="W823" s="99"/>
      <c r="X823" s="99"/>
      <c r="Y823" s="99"/>
      <c r="Z823" s="99"/>
      <c r="AA823" s="99"/>
      <c r="AB823" s="99"/>
      <c r="AC823" s="98"/>
      <c r="AD823" s="98"/>
      <c r="AE823" s="98"/>
      <c r="AF823" s="98"/>
      <c r="AG823" s="98"/>
      <c r="AH823" s="98"/>
    </row>
    <row r="824" spans="2:34" x14ac:dyDescent="0.25">
      <c r="B824" s="75"/>
      <c r="C824" s="76"/>
      <c r="D824" s="83"/>
      <c r="E824" s="84"/>
      <c r="F824" s="84"/>
      <c r="G824" s="84"/>
      <c r="H824" s="84"/>
      <c r="I824" s="85"/>
      <c r="J824" s="90"/>
      <c r="K824" s="91"/>
      <c r="L824" s="90"/>
      <c r="M824" s="91"/>
      <c r="N824" s="83"/>
      <c r="O824" s="85"/>
      <c r="P824" s="96"/>
      <c r="Q824" s="97"/>
      <c r="S824" s="99"/>
      <c r="T824" s="99"/>
      <c r="U824" s="99"/>
      <c r="V824" s="99"/>
      <c r="W824" s="99"/>
      <c r="X824" s="99"/>
      <c r="Y824" s="99"/>
      <c r="Z824" s="99"/>
      <c r="AA824" s="99"/>
      <c r="AB824" s="99"/>
      <c r="AC824" s="98"/>
      <c r="AD824" s="98"/>
      <c r="AE824" s="98"/>
      <c r="AF824" s="98"/>
      <c r="AG824" s="98"/>
      <c r="AH824" s="98"/>
    </row>
    <row r="825" spans="2:34" x14ac:dyDescent="0.25">
      <c r="B825" s="71"/>
      <c r="C825" s="72"/>
      <c r="D825" s="77"/>
      <c r="E825" s="78"/>
      <c r="F825" s="78"/>
      <c r="G825" s="78"/>
      <c r="H825" s="78"/>
      <c r="I825" s="79"/>
      <c r="J825" s="86"/>
      <c r="K825" s="87"/>
      <c r="L825" s="86"/>
      <c r="M825" s="87"/>
      <c r="N825" s="77"/>
      <c r="O825" s="79"/>
      <c r="P825" s="92"/>
      <c r="Q825" s="93"/>
      <c r="S825" s="99"/>
      <c r="T825" s="99"/>
      <c r="U825" s="99"/>
      <c r="V825" s="99"/>
      <c r="W825" s="99"/>
      <c r="X825" s="99"/>
      <c r="Y825" s="99"/>
      <c r="Z825" s="99"/>
      <c r="AA825" s="99"/>
      <c r="AB825" s="99"/>
      <c r="AC825" s="98"/>
      <c r="AD825" s="98"/>
      <c r="AE825" s="98"/>
      <c r="AF825" s="98"/>
      <c r="AG825" s="98"/>
      <c r="AH825" s="98"/>
    </row>
    <row r="826" spans="2:34" x14ac:dyDescent="0.25">
      <c r="B826" s="73"/>
      <c r="C826" s="74"/>
      <c r="D826" s="80"/>
      <c r="E826" s="81"/>
      <c r="F826" s="81"/>
      <c r="G826" s="81"/>
      <c r="H826" s="81"/>
      <c r="I826" s="82"/>
      <c r="J826" s="88"/>
      <c r="K826" s="89"/>
      <c r="L826" s="88"/>
      <c r="M826" s="89"/>
      <c r="N826" s="80"/>
      <c r="O826" s="82"/>
      <c r="P826" s="94"/>
      <c r="Q826" s="95"/>
      <c r="S826" s="99"/>
      <c r="T826" s="99"/>
      <c r="U826" s="99"/>
      <c r="V826" s="99"/>
      <c r="W826" s="99"/>
      <c r="X826" s="99"/>
      <c r="Y826" s="99"/>
      <c r="Z826" s="99"/>
      <c r="AA826" s="99"/>
      <c r="AB826" s="99"/>
      <c r="AC826" s="98"/>
      <c r="AD826" s="98"/>
      <c r="AE826" s="98"/>
      <c r="AF826" s="98"/>
      <c r="AG826" s="98"/>
      <c r="AH826" s="98"/>
    </row>
    <row r="827" spans="2:34" x14ac:dyDescent="0.25">
      <c r="B827" s="75"/>
      <c r="C827" s="76"/>
      <c r="D827" s="83"/>
      <c r="E827" s="84"/>
      <c r="F827" s="84"/>
      <c r="G827" s="84"/>
      <c r="H827" s="84"/>
      <c r="I827" s="85"/>
      <c r="J827" s="90"/>
      <c r="K827" s="91"/>
      <c r="L827" s="90"/>
      <c r="M827" s="91"/>
      <c r="N827" s="83"/>
      <c r="O827" s="85"/>
      <c r="P827" s="96"/>
      <c r="Q827" s="97"/>
      <c r="S827" s="99"/>
      <c r="T827" s="99"/>
      <c r="U827" s="99"/>
      <c r="V827" s="99"/>
      <c r="W827" s="99"/>
      <c r="X827" s="99"/>
      <c r="Y827" s="99"/>
      <c r="Z827" s="99"/>
      <c r="AA827" s="99"/>
      <c r="AB827" s="99"/>
      <c r="AC827" s="98"/>
      <c r="AD827" s="98"/>
      <c r="AE827" s="98"/>
      <c r="AF827" s="98"/>
      <c r="AG827" s="98"/>
      <c r="AH827" s="98"/>
    </row>
    <row r="828" spans="2:34" x14ac:dyDescent="0.25">
      <c r="B828" s="71"/>
      <c r="C828" s="72"/>
      <c r="D828" s="77"/>
      <c r="E828" s="78"/>
      <c r="F828" s="78"/>
      <c r="G828" s="78"/>
      <c r="H828" s="78"/>
      <c r="I828" s="79"/>
      <c r="J828" s="86"/>
      <c r="K828" s="87"/>
      <c r="L828" s="86"/>
      <c r="M828" s="87"/>
      <c r="N828" s="77"/>
      <c r="O828" s="79"/>
      <c r="P828" s="92"/>
      <c r="Q828" s="93"/>
      <c r="S828" s="99"/>
      <c r="T828" s="99"/>
      <c r="U828" s="99"/>
      <c r="V828" s="99"/>
      <c r="W828" s="99"/>
      <c r="X828" s="99"/>
      <c r="Y828" s="99"/>
      <c r="Z828" s="99"/>
      <c r="AA828" s="99"/>
      <c r="AB828" s="99"/>
      <c r="AC828" s="98"/>
      <c r="AD828" s="98"/>
      <c r="AE828" s="98"/>
      <c r="AF828" s="98"/>
      <c r="AG828" s="98"/>
      <c r="AH828" s="98"/>
    </row>
    <row r="829" spans="2:34" x14ac:dyDescent="0.25">
      <c r="B829" s="73"/>
      <c r="C829" s="74"/>
      <c r="D829" s="80"/>
      <c r="E829" s="81"/>
      <c r="F829" s="81"/>
      <c r="G829" s="81"/>
      <c r="H829" s="81"/>
      <c r="I829" s="82"/>
      <c r="J829" s="88"/>
      <c r="K829" s="89"/>
      <c r="L829" s="88"/>
      <c r="M829" s="89"/>
      <c r="N829" s="80"/>
      <c r="O829" s="82"/>
      <c r="P829" s="94"/>
      <c r="Q829" s="95"/>
      <c r="S829" s="99"/>
      <c r="T829" s="99"/>
      <c r="U829" s="99"/>
      <c r="V829" s="99"/>
      <c r="W829" s="99"/>
      <c r="X829" s="99"/>
      <c r="Y829" s="99"/>
      <c r="Z829" s="99"/>
      <c r="AA829" s="99"/>
      <c r="AB829" s="99"/>
      <c r="AC829" s="98"/>
      <c r="AD829" s="98"/>
      <c r="AE829" s="98"/>
      <c r="AF829" s="98"/>
      <c r="AG829" s="98"/>
      <c r="AH829" s="98"/>
    </row>
    <row r="830" spans="2:34" x14ac:dyDescent="0.25">
      <c r="B830" s="75"/>
      <c r="C830" s="76"/>
      <c r="D830" s="83"/>
      <c r="E830" s="84"/>
      <c r="F830" s="84"/>
      <c r="G830" s="84"/>
      <c r="H830" s="84"/>
      <c r="I830" s="85"/>
      <c r="J830" s="90"/>
      <c r="K830" s="91"/>
      <c r="L830" s="90"/>
      <c r="M830" s="91"/>
      <c r="N830" s="83"/>
      <c r="O830" s="85"/>
      <c r="P830" s="96"/>
      <c r="Q830" s="97"/>
      <c r="S830" s="99"/>
      <c r="T830" s="99"/>
      <c r="U830" s="99"/>
      <c r="V830" s="99"/>
      <c r="W830" s="99"/>
      <c r="X830" s="99"/>
      <c r="Y830" s="99"/>
      <c r="Z830" s="99"/>
      <c r="AA830" s="99"/>
      <c r="AB830" s="99"/>
      <c r="AC830" s="98"/>
      <c r="AD830" s="98"/>
      <c r="AE830" s="98"/>
      <c r="AF830" s="98"/>
      <c r="AG830" s="98"/>
      <c r="AH830" s="98"/>
    </row>
    <row r="831" spans="2:34" x14ac:dyDescent="0.25">
      <c r="B831" s="71"/>
      <c r="C831" s="72"/>
      <c r="D831" s="77"/>
      <c r="E831" s="78"/>
      <c r="F831" s="78"/>
      <c r="G831" s="78"/>
      <c r="H831" s="78"/>
      <c r="I831" s="79"/>
      <c r="J831" s="86"/>
      <c r="K831" s="87"/>
      <c r="L831" s="86"/>
      <c r="M831" s="87"/>
      <c r="N831" s="77"/>
      <c r="O831" s="79"/>
      <c r="P831" s="92"/>
      <c r="Q831" s="93"/>
      <c r="S831" s="99"/>
      <c r="T831" s="99"/>
      <c r="U831" s="99"/>
      <c r="V831" s="99"/>
      <c r="W831" s="99"/>
      <c r="X831" s="99"/>
      <c r="Y831" s="99"/>
      <c r="Z831" s="99"/>
      <c r="AA831" s="99"/>
      <c r="AB831" s="99"/>
      <c r="AC831" s="98"/>
      <c r="AD831" s="98"/>
      <c r="AE831" s="98"/>
      <c r="AF831" s="98"/>
      <c r="AG831" s="98"/>
      <c r="AH831" s="98"/>
    </row>
    <row r="832" spans="2:34" x14ac:dyDescent="0.25">
      <c r="B832" s="73"/>
      <c r="C832" s="74"/>
      <c r="D832" s="80"/>
      <c r="E832" s="81"/>
      <c r="F832" s="81"/>
      <c r="G832" s="81"/>
      <c r="H832" s="81"/>
      <c r="I832" s="82"/>
      <c r="J832" s="88"/>
      <c r="K832" s="89"/>
      <c r="L832" s="88"/>
      <c r="M832" s="89"/>
      <c r="N832" s="80"/>
      <c r="O832" s="82"/>
      <c r="P832" s="94"/>
      <c r="Q832" s="95"/>
      <c r="S832" s="99"/>
      <c r="T832" s="99"/>
      <c r="U832" s="99"/>
      <c r="V832" s="99"/>
      <c r="W832" s="99"/>
      <c r="X832" s="99"/>
      <c r="Y832" s="99"/>
      <c r="Z832" s="99"/>
      <c r="AA832" s="99"/>
      <c r="AB832" s="99"/>
      <c r="AC832" s="98"/>
      <c r="AD832" s="98"/>
      <c r="AE832" s="98"/>
      <c r="AF832" s="98"/>
      <c r="AG832" s="98"/>
      <c r="AH832" s="98"/>
    </row>
    <row r="833" spans="2:34" x14ac:dyDescent="0.25">
      <c r="B833" s="75"/>
      <c r="C833" s="76"/>
      <c r="D833" s="83"/>
      <c r="E833" s="84"/>
      <c r="F833" s="84"/>
      <c r="G833" s="84"/>
      <c r="H833" s="84"/>
      <c r="I833" s="85"/>
      <c r="J833" s="90"/>
      <c r="K833" s="91"/>
      <c r="L833" s="90"/>
      <c r="M833" s="91"/>
      <c r="N833" s="83"/>
      <c r="O833" s="85"/>
      <c r="P833" s="96"/>
      <c r="Q833" s="97"/>
      <c r="S833" s="99"/>
      <c r="T833" s="99"/>
      <c r="U833" s="99"/>
      <c r="V833" s="99"/>
      <c r="W833" s="99"/>
      <c r="X833" s="99"/>
      <c r="Y833" s="99"/>
      <c r="Z833" s="99"/>
      <c r="AA833" s="99"/>
      <c r="AB833" s="99"/>
      <c r="AC833" s="98"/>
      <c r="AD833" s="98"/>
      <c r="AE833" s="98"/>
      <c r="AF833" s="98"/>
      <c r="AG833" s="98"/>
      <c r="AH833" s="98"/>
    </row>
    <row r="834" spans="2:34" x14ac:dyDescent="0.25">
      <c r="B834" s="71"/>
      <c r="C834" s="72"/>
      <c r="D834" s="77"/>
      <c r="E834" s="78"/>
      <c r="F834" s="78"/>
      <c r="G834" s="78"/>
      <c r="H834" s="78"/>
      <c r="I834" s="79"/>
      <c r="J834" s="86"/>
      <c r="K834" s="87"/>
      <c r="L834" s="86"/>
      <c r="M834" s="87"/>
      <c r="N834" s="77"/>
      <c r="O834" s="79"/>
      <c r="P834" s="92"/>
      <c r="Q834" s="93"/>
      <c r="S834" s="99"/>
      <c r="T834" s="99"/>
      <c r="U834" s="99"/>
      <c r="V834" s="99"/>
      <c r="W834" s="99"/>
      <c r="X834" s="99"/>
      <c r="Y834" s="99"/>
      <c r="Z834" s="99"/>
      <c r="AA834" s="99"/>
      <c r="AB834" s="99"/>
      <c r="AC834" s="98"/>
      <c r="AD834" s="98"/>
      <c r="AE834" s="98"/>
      <c r="AF834" s="98"/>
      <c r="AG834" s="98"/>
      <c r="AH834" s="98"/>
    </row>
    <row r="835" spans="2:34" x14ac:dyDescent="0.25">
      <c r="B835" s="73"/>
      <c r="C835" s="74"/>
      <c r="D835" s="80"/>
      <c r="E835" s="81"/>
      <c r="F835" s="81"/>
      <c r="G835" s="81"/>
      <c r="H835" s="81"/>
      <c r="I835" s="82"/>
      <c r="J835" s="88"/>
      <c r="K835" s="89"/>
      <c r="L835" s="88"/>
      <c r="M835" s="89"/>
      <c r="N835" s="80"/>
      <c r="O835" s="82"/>
      <c r="P835" s="94"/>
      <c r="Q835" s="95"/>
      <c r="S835" s="99"/>
      <c r="T835" s="99"/>
      <c r="U835" s="99"/>
      <c r="V835" s="99"/>
      <c r="W835" s="99"/>
      <c r="X835" s="99"/>
      <c r="Y835" s="99"/>
      <c r="Z835" s="99"/>
      <c r="AA835" s="99"/>
      <c r="AB835" s="99"/>
      <c r="AC835" s="98"/>
      <c r="AD835" s="98"/>
      <c r="AE835" s="98"/>
      <c r="AF835" s="98"/>
      <c r="AG835" s="98"/>
      <c r="AH835" s="98"/>
    </row>
    <row r="836" spans="2:34" x14ac:dyDescent="0.25">
      <c r="B836" s="75"/>
      <c r="C836" s="76"/>
      <c r="D836" s="83"/>
      <c r="E836" s="84"/>
      <c r="F836" s="84"/>
      <c r="G836" s="84"/>
      <c r="H836" s="84"/>
      <c r="I836" s="85"/>
      <c r="J836" s="90"/>
      <c r="K836" s="91"/>
      <c r="L836" s="90"/>
      <c r="M836" s="91"/>
      <c r="N836" s="83"/>
      <c r="O836" s="85"/>
      <c r="P836" s="96"/>
      <c r="Q836" s="97"/>
      <c r="S836" s="99"/>
      <c r="T836" s="99"/>
      <c r="U836" s="99"/>
      <c r="V836" s="99"/>
      <c r="W836" s="99"/>
      <c r="X836" s="99"/>
      <c r="Y836" s="99"/>
      <c r="Z836" s="99"/>
      <c r="AA836" s="99"/>
      <c r="AB836" s="99"/>
      <c r="AC836" s="98"/>
      <c r="AD836" s="98"/>
      <c r="AE836" s="98"/>
      <c r="AF836" s="98"/>
      <c r="AG836" s="98"/>
      <c r="AH836" s="98"/>
    </row>
    <row r="837" spans="2:34" x14ac:dyDescent="0.25">
      <c r="B837" s="71"/>
      <c r="C837" s="72"/>
      <c r="D837" s="77"/>
      <c r="E837" s="78"/>
      <c r="F837" s="78"/>
      <c r="G837" s="78"/>
      <c r="H837" s="78"/>
      <c r="I837" s="79"/>
      <c r="J837" s="86"/>
      <c r="K837" s="87"/>
      <c r="L837" s="86"/>
      <c r="M837" s="87"/>
      <c r="N837" s="77"/>
      <c r="O837" s="79"/>
      <c r="P837" s="92"/>
      <c r="Q837" s="93"/>
      <c r="S837" s="99"/>
      <c r="T837" s="99"/>
      <c r="U837" s="99"/>
      <c r="V837" s="99"/>
      <c r="W837" s="99"/>
      <c r="X837" s="99"/>
      <c r="Y837" s="99"/>
      <c r="Z837" s="99"/>
      <c r="AA837" s="99"/>
      <c r="AB837" s="99"/>
      <c r="AC837" s="98"/>
      <c r="AD837" s="98"/>
      <c r="AE837" s="98"/>
      <c r="AF837" s="98"/>
      <c r="AG837" s="98"/>
      <c r="AH837" s="98"/>
    </row>
    <row r="838" spans="2:34" x14ac:dyDescent="0.25">
      <c r="B838" s="73"/>
      <c r="C838" s="74"/>
      <c r="D838" s="80"/>
      <c r="E838" s="81"/>
      <c r="F838" s="81"/>
      <c r="G838" s="81"/>
      <c r="H838" s="81"/>
      <c r="I838" s="82"/>
      <c r="J838" s="88"/>
      <c r="K838" s="89"/>
      <c r="L838" s="88"/>
      <c r="M838" s="89"/>
      <c r="N838" s="80"/>
      <c r="O838" s="82"/>
      <c r="P838" s="94"/>
      <c r="Q838" s="95"/>
      <c r="S838" s="99"/>
      <c r="T838" s="99"/>
      <c r="U838" s="99"/>
      <c r="V838" s="99"/>
      <c r="W838" s="99"/>
      <c r="X838" s="99"/>
      <c r="Y838" s="99"/>
      <c r="Z838" s="99"/>
      <c r="AA838" s="99"/>
      <c r="AB838" s="99"/>
      <c r="AC838" s="98"/>
      <c r="AD838" s="98"/>
      <c r="AE838" s="98"/>
      <c r="AF838" s="98"/>
      <c r="AG838" s="98"/>
      <c r="AH838" s="98"/>
    </row>
    <row r="839" spans="2:34" x14ac:dyDescent="0.25">
      <c r="B839" s="75"/>
      <c r="C839" s="76"/>
      <c r="D839" s="83"/>
      <c r="E839" s="84"/>
      <c r="F839" s="84"/>
      <c r="G839" s="84"/>
      <c r="H839" s="84"/>
      <c r="I839" s="85"/>
      <c r="J839" s="90"/>
      <c r="K839" s="91"/>
      <c r="L839" s="90"/>
      <c r="M839" s="91"/>
      <c r="N839" s="83"/>
      <c r="O839" s="85"/>
      <c r="P839" s="96"/>
      <c r="Q839" s="97"/>
      <c r="S839" s="99"/>
      <c r="T839" s="99"/>
      <c r="U839" s="99"/>
      <c r="V839" s="99"/>
      <c r="W839" s="99"/>
      <c r="X839" s="99"/>
      <c r="Y839" s="99"/>
      <c r="Z839" s="99"/>
      <c r="AA839" s="99"/>
      <c r="AB839" s="99"/>
      <c r="AC839" s="98"/>
      <c r="AD839" s="98"/>
      <c r="AE839" s="98"/>
      <c r="AF839" s="98"/>
      <c r="AG839" s="98"/>
      <c r="AH839" s="98"/>
    </row>
    <row r="840" spans="2:34" x14ac:dyDescent="0.25">
      <c r="B840" s="71"/>
      <c r="C840" s="72"/>
      <c r="D840" s="77"/>
      <c r="E840" s="78"/>
      <c r="F840" s="78"/>
      <c r="G840" s="78"/>
      <c r="H840" s="78"/>
      <c r="I840" s="79"/>
      <c r="J840" s="86"/>
      <c r="K840" s="87"/>
      <c r="L840" s="86"/>
      <c r="M840" s="87"/>
      <c r="N840" s="77"/>
      <c r="O840" s="79"/>
      <c r="P840" s="92"/>
      <c r="Q840" s="93"/>
      <c r="S840" s="99"/>
      <c r="T840" s="99"/>
      <c r="U840" s="99"/>
      <c r="V840" s="99"/>
      <c r="W840" s="99"/>
      <c r="X840" s="99"/>
      <c r="Y840" s="99"/>
      <c r="Z840" s="99"/>
      <c r="AA840" s="99"/>
      <c r="AB840" s="99"/>
      <c r="AC840" s="98"/>
      <c r="AD840" s="98"/>
      <c r="AE840" s="98"/>
      <c r="AF840" s="98"/>
      <c r="AG840" s="98"/>
      <c r="AH840" s="98"/>
    </row>
    <row r="841" spans="2:34" x14ac:dyDescent="0.25">
      <c r="B841" s="73"/>
      <c r="C841" s="74"/>
      <c r="D841" s="80"/>
      <c r="E841" s="81"/>
      <c r="F841" s="81"/>
      <c r="G841" s="81"/>
      <c r="H841" s="81"/>
      <c r="I841" s="82"/>
      <c r="J841" s="88"/>
      <c r="K841" s="89"/>
      <c r="L841" s="88"/>
      <c r="M841" s="89"/>
      <c r="N841" s="80"/>
      <c r="O841" s="82"/>
      <c r="P841" s="94"/>
      <c r="Q841" s="95"/>
      <c r="S841" s="99"/>
      <c r="T841" s="99"/>
      <c r="U841" s="99"/>
      <c r="V841" s="99"/>
      <c r="W841" s="99"/>
      <c r="X841" s="99"/>
      <c r="Y841" s="99"/>
      <c r="Z841" s="99"/>
      <c r="AA841" s="99"/>
      <c r="AB841" s="99"/>
      <c r="AC841" s="98"/>
      <c r="AD841" s="98"/>
      <c r="AE841" s="98"/>
      <c r="AF841" s="98"/>
      <c r="AG841" s="98"/>
      <c r="AH841" s="98"/>
    </row>
    <row r="842" spans="2:34" x14ac:dyDescent="0.25">
      <c r="B842" s="75"/>
      <c r="C842" s="76"/>
      <c r="D842" s="83"/>
      <c r="E842" s="84"/>
      <c r="F842" s="84"/>
      <c r="G842" s="84"/>
      <c r="H842" s="84"/>
      <c r="I842" s="85"/>
      <c r="J842" s="90"/>
      <c r="K842" s="91"/>
      <c r="L842" s="90"/>
      <c r="M842" s="91"/>
      <c r="N842" s="83"/>
      <c r="O842" s="85"/>
      <c r="P842" s="96"/>
      <c r="Q842" s="97"/>
      <c r="S842" s="99"/>
      <c r="T842" s="99"/>
      <c r="U842" s="99"/>
      <c r="V842" s="99"/>
      <c r="W842" s="99"/>
      <c r="X842" s="99"/>
      <c r="Y842" s="99"/>
      <c r="Z842" s="99"/>
      <c r="AA842" s="99"/>
      <c r="AB842" s="99"/>
      <c r="AC842" s="98"/>
      <c r="AD842" s="98"/>
      <c r="AE842" s="98"/>
      <c r="AF842" s="98"/>
      <c r="AG842" s="98"/>
      <c r="AH842" s="98"/>
    </row>
    <row r="843" spans="2:34" x14ac:dyDescent="0.25">
      <c r="B843" s="71"/>
      <c r="C843" s="72"/>
      <c r="D843" s="77"/>
      <c r="E843" s="78"/>
      <c r="F843" s="78"/>
      <c r="G843" s="78"/>
      <c r="H843" s="78"/>
      <c r="I843" s="79"/>
      <c r="J843" s="86"/>
      <c r="K843" s="87"/>
      <c r="L843" s="86"/>
      <c r="M843" s="87"/>
      <c r="N843" s="77"/>
      <c r="O843" s="79"/>
      <c r="P843" s="92"/>
      <c r="Q843" s="93"/>
      <c r="S843" s="99"/>
      <c r="T843" s="99"/>
      <c r="U843" s="99"/>
      <c r="V843" s="99"/>
      <c r="W843" s="99"/>
      <c r="X843" s="99"/>
      <c r="Y843" s="99"/>
      <c r="Z843" s="99"/>
      <c r="AA843" s="99"/>
      <c r="AB843" s="99"/>
      <c r="AC843" s="98"/>
      <c r="AD843" s="98"/>
      <c r="AE843" s="98"/>
      <c r="AF843" s="98"/>
      <c r="AG843" s="98"/>
      <c r="AH843" s="98"/>
    </row>
    <row r="844" spans="2:34" x14ac:dyDescent="0.25">
      <c r="B844" s="73"/>
      <c r="C844" s="74"/>
      <c r="D844" s="80"/>
      <c r="E844" s="81"/>
      <c r="F844" s="81"/>
      <c r="G844" s="81"/>
      <c r="H844" s="81"/>
      <c r="I844" s="82"/>
      <c r="J844" s="88"/>
      <c r="K844" s="89"/>
      <c r="L844" s="88"/>
      <c r="M844" s="89"/>
      <c r="N844" s="80"/>
      <c r="O844" s="82"/>
      <c r="P844" s="94"/>
      <c r="Q844" s="95"/>
      <c r="S844" s="99"/>
      <c r="T844" s="99"/>
      <c r="U844" s="99"/>
      <c r="V844" s="99"/>
      <c r="W844" s="99"/>
      <c r="X844" s="99"/>
      <c r="Y844" s="99"/>
      <c r="Z844" s="99"/>
      <c r="AA844" s="99"/>
      <c r="AB844" s="99"/>
      <c r="AC844" s="98"/>
      <c r="AD844" s="98"/>
      <c r="AE844" s="98"/>
      <c r="AF844" s="98"/>
      <c r="AG844" s="98"/>
      <c r="AH844" s="98"/>
    </row>
    <row r="845" spans="2:34" x14ac:dyDescent="0.25">
      <c r="B845" s="75"/>
      <c r="C845" s="76"/>
      <c r="D845" s="83"/>
      <c r="E845" s="84"/>
      <c r="F845" s="84"/>
      <c r="G845" s="84"/>
      <c r="H845" s="84"/>
      <c r="I845" s="85"/>
      <c r="J845" s="90"/>
      <c r="K845" s="91"/>
      <c r="L845" s="90"/>
      <c r="M845" s="91"/>
      <c r="N845" s="83"/>
      <c r="O845" s="85"/>
      <c r="P845" s="96"/>
      <c r="Q845" s="97"/>
      <c r="S845" s="99"/>
      <c r="T845" s="99"/>
      <c r="U845" s="99"/>
      <c r="V845" s="99"/>
      <c r="W845" s="99"/>
      <c r="X845" s="99"/>
      <c r="Y845" s="99"/>
      <c r="Z845" s="99"/>
      <c r="AA845" s="99"/>
      <c r="AB845" s="99"/>
      <c r="AC845" s="98"/>
      <c r="AD845" s="98"/>
      <c r="AE845" s="98"/>
      <c r="AF845" s="98"/>
      <c r="AG845" s="98"/>
      <c r="AH845" s="98"/>
    </row>
    <row r="846" spans="2:34" x14ac:dyDescent="0.25">
      <c r="B846" s="71"/>
      <c r="C846" s="72"/>
      <c r="D846" s="77"/>
      <c r="E846" s="78"/>
      <c r="F846" s="78"/>
      <c r="G846" s="78"/>
      <c r="H846" s="78"/>
      <c r="I846" s="79"/>
      <c r="J846" s="86"/>
      <c r="K846" s="87"/>
      <c r="L846" s="86"/>
      <c r="M846" s="87"/>
      <c r="N846" s="77"/>
      <c r="O846" s="79"/>
      <c r="P846" s="92"/>
      <c r="Q846" s="93"/>
      <c r="S846" s="99"/>
      <c r="T846" s="99"/>
      <c r="U846" s="99"/>
      <c r="V846" s="99"/>
      <c r="W846" s="99"/>
      <c r="X846" s="99"/>
      <c r="Y846" s="99"/>
      <c r="Z846" s="99"/>
      <c r="AA846" s="99"/>
      <c r="AB846" s="99"/>
      <c r="AC846" s="98"/>
      <c r="AD846" s="98"/>
      <c r="AE846" s="98"/>
      <c r="AF846" s="98"/>
      <c r="AG846" s="98"/>
      <c r="AH846" s="98"/>
    </row>
    <row r="847" spans="2:34" x14ac:dyDescent="0.25">
      <c r="B847" s="73"/>
      <c r="C847" s="74"/>
      <c r="D847" s="80"/>
      <c r="E847" s="81"/>
      <c r="F847" s="81"/>
      <c r="G847" s="81"/>
      <c r="H847" s="81"/>
      <c r="I847" s="82"/>
      <c r="J847" s="88"/>
      <c r="K847" s="89"/>
      <c r="L847" s="88"/>
      <c r="M847" s="89"/>
      <c r="N847" s="80"/>
      <c r="O847" s="82"/>
      <c r="P847" s="94"/>
      <c r="Q847" s="95"/>
      <c r="S847" s="99"/>
      <c r="T847" s="99"/>
      <c r="U847" s="99"/>
      <c r="V847" s="99"/>
      <c r="W847" s="99"/>
      <c r="X847" s="99"/>
      <c r="Y847" s="99"/>
      <c r="Z847" s="99"/>
      <c r="AA847" s="99"/>
      <c r="AB847" s="99"/>
      <c r="AC847" s="98"/>
      <c r="AD847" s="98"/>
      <c r="AE847" s="98"/>
      <c r="AF847" s="98"/>
      <c r="AG847" s="98"/>
      <c r="AH847" s="98"/>
    </row>
    <row r="848" spans="2:34" x14ac:dyDescent="0.25">
      <c r="B848" s="75"/>
      <c r="C848" s="76"/>
      <c r="D848" s="83"/>
      <c r="E848" s="84"/>
      <c r="F848" s="84"/>
      <c r="G848" s="84"/>
      <c r="H848" s="84"/>
      <c r="I848" s="85"/>
      <c r="J848" s="90"/>
      <c r="K848" s="91"/>
      <c r="L848" s="90"/>
      <c r="M848" s="91"/>
      <c r="N848" s="83"/>
      <c r="O848" s="85"/>
      <c r="P848" s="96"/>
      <c r="Q848" s="97"/>
      <c r="S848" s="99"/>
      <c r="T848" s="99"/>
      <c r="U848" s="99"/>
      <c r="V848" s="99"/>
      <c r="W848" s="99"/>
      <c r="X848" s="99"/>
      <c r="Y848" s="99"/>
      <c r="Z848" s="99"/>
      <c r="AA848" s="99"/>
      <c r="AB848" s="99"/>
      <c r="AC848" s="98"/>
      <c r="AD848" s="98"/>
      <c r="AE848" s="98"/>
      <c r="AF848" s="98"/>
      <c r="AG848" s="98"/>
      <c r="AH848" s="98"/>
    </row>
    <row r="849" spans="2:34" x14ac:dyDescent="0.25">
      <c r="B849" s="71"/>
      <c r="C849" s="72"/>
      <c r="D849" s="77"/>
      <c r="E849" s="78"/>
      <c r="F849" s="78"/>
      <c r="G849" s="78"/>
      <c r="H849" s="78"/>
      <c r="I849" s="79"/>
      <c r="J849" s="86"/>
      <c r="K849" s="87"/>
      <c r="L849" s="86"/>
      <c r="M849" s="87"/>
      <c r="N849" s="77"/>
      <c r="O849" s="79"/>
      <c r="P849" s="92"/>
      <c r="Q849" s="93"/>
      <c r="S849" s="99"/>
      <c r="T849" s="99"/>
      <c r="U849" s="99"/>
      <c r="V849" s="99"/>
      <c r="W849" s="99"/>
      <c r="X849" s="99"/>
      <c r="Y849" s="99"/>
      <c r="Z849" s="99"/>
      <c r="AA849" s="99"/>
      <c r="AB849" s="99"/>
      <c r="AC849" s="98"/>
      <c r="AD849" s="98"/>
      <c r="AE849" s="98"/>
      <c r="AF849" s="98"/>
      <c r="AG849" s="98"/>
      <c r="AH849" s="98"/>
    </row>
    <row r="850" spans="2:34" x14ac:dyDescent="0.25">
      <c r="B850" s="73"/>
      <c r="C850" s="74"/>
      <c r="D850" s="80"/>
      <c r="E850" s="81"/>
      <c r="F850" s="81"/>
      <c r="G850" s="81"/>
      <c r="H850" s="81"/>
      <c r="I850" s="82"/>
      <c r="J850" s="88"/>
      <c r="K850" s="89"/>
      <c r="L850" s="88"/>
      <c r="M850" s="89"/>
      <c r="N850" s="80"/>
      <c r="O850" s="82"/>
      <c r="P850" s="94"/>
      <c r="Q850" s="95"/>
      <c r="S850" s="99"/>
      <c r="T850" s="99"/>
      <c r="U850" s="99"/>
      <c r="V850" s="99"/>
      <c r="W850" s="99"/>
      <c r="X850" s="99"/>
      <c r="Y850" s="99"/>
      <c r="Z850" s="99"/>
      <c r="AA850" s="99"/>
      <c r="AB850" s="99"/>
      <c r="AC850" s="98"/>
      <c r="AD850" s="98"/>
      <c r="AE850" s="98"/>
      <c r="AF850" s="98"/>
      <c r="AG850" s="98"/>
      <c r="AH850" s="98"/>
    </row>
    <row r="851" spans="2:34" x14ac:dyDescent="0.25">
      <c r="B851" s="75"/>
      <c r="C851" s="76"/>
      <c r="D851" s="83"/>
      <c r="E851" s="84"/>
      <c r="F851" s="84"/>
      <c r="G851" s="84"/>
      <c r="H851" s="84"/>
      <c r="I851" s="85"/>
      <c r="J851" s="90"/>
      <c r="K851" s="91"/>
      <c r="L851" s="90"/>
      <c r="M851" s="91"/>
      <c r="N851" s="83"/>
      <c r="O851" s="85"/>
      <c r="P851" s="96"/>
      <c r="Q851" s="97"/>
      <c r="S851" s="99"/>
      <c r="T851" s="99"/>
      <c r="U851" s="99"/>
      <c r="V851" s="99"/>
      <c r="W851" s="99"/>
      <c r="X851" s="99"/>
      <c r="Y851" s="99"/>
      <c r="Z851" s="99"/>
      <c r="AA851" s="99"/>
      <c r="AB851" s="99"/>
      <c r="AC851" s="98"/>
      <c r="AD851" s="98"/>
      <c r="AE851" s="98"/>
      <c r="AF851" s="98"/>
      <c r="AG851" s="98"/>
      <c r="AH851" s="98"/>
    </row>
    <row r="852" spans="2:34" x14ac:dyDescent="0.25">
      <c r="B852" s="71"/>
      <c r="C852" s="72"/>
      <c r="D852" s="77"/>
      <c r="E852" s="78"/>
      <c r="F852" s="78"/>
      <c r="G852" s="78"/>
      <c r="H852" s="78"/>
      <c r="I852" s="79"/>
      <c r="J852" s="86"/>
      <c r="K852" s="87"/>
      <c r="L852" s="86"/>
      <c r="M852" s="87"/>
      <c r="N852" s="77"/>
      <c r="O852" s="79"/>
      <c r="P852" s="92"/>
      <c r="Q852" s="93"/>
      <c r="S852" s="99"/>
      <c r="T852" s="99"/>
      <c r="U852" s="99"/>
      <c r="V852" s="99"/>
      <c r="W852" s="99"/>
      <c r="X852" s="99"/>
      <c r="Y852" s="99"/>
      <c r="Z852" s="99"/>
      <c r="AA852" s="99"/>
      <c r="AB852" s="99"/>
      <c r="AC852" s="98"/>
      <c r="AD852" s="98"/>
      <c r="AE852" s="98"/>
      <c r="AF852" s="98"/>
      <c r="AG852" s="98"/>
      <c r="AH852" s="98"/>
    </row>
    <row r="853" spans="2:34" x14ac:dyDescent="0.25">
      <c r="B853" s="73"/>
      <c r="C853" s="74"/>
      <c r="D853" s="80"/>
      <c r="E853" s="81"/>
      <c r="F853" s="81"/>
      <c r="G853" s="81"/>
      <c r="H853" s="81"/>
      <c r="I853" s="82"/>
      <c r="J853" s="88"/>
      <c r="K853" s="89"/>
      <c r="L853" s="88"/>
      <c r="M853" s="89"/>
      <c r="N853" s="80"/>
      <c r="O853" s="82"/>
      <c r="P853" s="94"/>
      <c r="Q853" s="95"/>
      <c r="S853" s="99"/>
      <c r="T853" s="99"/>
      <c r="U853" s="99"/>
      <c r="V853" s="99"/>
      <c r="W853" s="99"/>
      <c r="X853" s="99"/>
      <c r="Y853" s="99"/>
      <c r="Z853" s="99"/>
      <c r="AA853" s="99"/>
      <c r="AB853" s="99"/>
      <c r="AC853" s="98"/>
      <c r="AD853" s="98"/>
      <c r="AE853" s="98"/>
      <c r="AF853" s="98"/>
      <c r="AG853" s="98"/>
      <c r="AH853" s="98"/>
    </row>
    <row r="854" spans="2:34" x14ac:dyDescent="0.25">
      <c r="B854" s="75"/>
      <c r="C854" s="76"/>
      <c r="D854" s="83"/>
      <c r="E854" s="84"/>
      <c r="F854" s="84"/>
      <c r="G854" s="84"/>
      <c r="H854" s="84"/>
      <c r="I854" s="85"/>
      <c r="J854" s="90"/>
      <c r="K854" s="91"/>
      <c r="L854" s="90"/>
      <c r="M854" s="91"/>
      <c r="N854" s="83"/>
      <c r="O854" s="85"/>
      <c r="P854" s="96"/>
      <c r="Q854" s="97"/>
      <c r="S854" s="99"/>
      <c r="T854" s="99"/>
      <c r="U854" s="99"/>
      <c r="V854" s="99"/>
      <c r="W854" s="99"/>
      <c r="X854" s="99"/>
      <c r="Y854" s="99"/>
      <c r="Z854" s="99"/>
      <c r="AA854" s="99"/>
      <c r="AB854" s="99"/>
      <c r="AC854" s="98"/>
      <c r="AD854" s="98"/>
      <c r="AE854" s="98"/>
      <c r="AF854" s="98"/>
      <c r="AG854" s="98"/>
      <c r="AH854" s="98"/>
    </row>
    <row r="855" spans="2:34" x14ac:dyDescent="0.25">
      <c r="B855" s="71"/>
      <c r="C855" s="72"/>
      <c r="D855" s="77"/>
      <c r="E855" s="78"/>
      <c r="F855" s="78"/>
      <c r="G855" s="78"/>
      <c r="H855" s="78"/>
      <c r="I855" s="79"/>
      <c r="J855" s="86"/>
      <c r="K855" s="87"/>
      <c r="L855" s="86"/>
      <c r="M855" s="87"/>
      <c r="N855" s="77"/>
      <c r="O855" s="79"/>
      <c r="P855" s="92"/>
      <c r="Q855" s="93"/>
      <c r="S855" s="99"/>
      <c r="T855" s="99"/>
      <c r="U855" s="99"/>
      <c r="V855" s="99"/>
      <c r="W855" s="99"/>
      <c r="X855" s="99"/>
      <c r="Y855" s="99"/>
      <c r="Z855" s="99"/>
      <c r="AA855" s="99"/>
      <c r="AB855" s="99"/>
      <c r="AC855" s="98"/>
      <c r="AD855" s="98"/>
      <c r="AE855" s="98"/>
      <c r="AF855" s="98"/>
      <c r="AG855" s="98"/>
      <c r="AH855" s="98"/>
    </row>
    <row r="856" spans="2:34" x14ac:dyDescent="0.25">
      <c r="B856" s="73"/>
      <c r="C856" s="74"/>
      <c r="D856" s="80"/>
      <c r="E856" s="81"/>
      <c r="F856" s="81"/>
      <c r="G856" s="81"/>
      <c r="H856" s="81"/>
      <c r="I856" s="82"/>
      <c r="J856" s="88"/>
      <c r="K856" s="89"/>
      <c r="L856" s="88"/>
      <c r="M856" s="89"/>
      <c r="N856" s="80"/>
      <c r="O856" s="82"/>
      <c r="P856" s="94"/>
      <c r="Q856" s="95"/>
      <c r="S856" s="99"/>
      <c r="T856" s="99"/>
      <c r="U856" s="99"/>
      <c r="V856" s="99"/>
      <c r="W856" s="99"/>
      <c r="X856" s="99"/>
      <c r="Y856" s="99"/>
      <c r="Z856" s="99"/>
      <c r="AA856" s="99"/>
      <c r="AB856" s="99"/>
      <c r="AC856" s="98"/>
      <c r="AD856" s="98"/>
      <c r="AE856" s="98"/>
      <c r="AF856" s="98"/>
      <c r="AG856" s="98"/>
      <c r="AH856" s="98"/>
    </row>
    <row r="857" spans="2:34" x14ac:dyDescent="0.25">
      <c r="B857" s="75"/>
      <c r="C857" s="76"/>
      <c r="D857" s="83"/>
      <c r="E857" s="84"/>
      <c r="F857" s="84"/>
      <c r="G857" s="84"/>
      <c r="H857" s="84"/>
      <c r="I857" s="85"/>
      <c r="J857" s="90"/>
      <c r="K857" s="91"/>
      <c r="L857" s="90"/>
      <c r="M857" s="91"/>
      <c r="N857" s="83"/>
      <c r="O857" s="85"/>
      <c r="P857" s="96"/>
      <c r="Q857" s="97"/>
      <c r="S857" s="99"/>
      <c r="T857" s="99"/>
      <c r="U857" s="99"/>
      <c r="V857" s="99"/>
      <c r="W857" s="99"/>
      <c r="X857" s="99"/>
      <c r="Y857" s="99"/>
      <c r="Z857" s="99"/>
      <c r="AA857" s="99"/>
      <c r="AB857" s="99"/>
      <c r="AC857" s="98"/>
      <c r="AD857" s="98"/>
      <c r="AE857" s="98"/>
      <c r="AF857" s="98"/>
      <c r="AG857" s="98"/>
      <c r="AH857" s="98"/>
    </row>
    <row r="858" spans="2:34" x14ac:dyDescent="0.25">
      <c r="B858" s="71"/>
      <c r="C858" s="72"/>
      <c r="D858" s="77"/>
      <c r="E858" s="78"/>
      <c r="F858" s="78"/>
      <c r="G858" s="78"/>
      <c r="H858" s="78"/>
      <c r="I858" s="79"/>
      <c r="J858" s="86"/>
      <c r="K858" s="87"/>
      <c r="L858" s="86"/>
      <c r="M858" s="87"/>
      <c r="N858" s="77"/>
      <c r="O858" s="79"/>
      <c r="P858" s="92"/>
      <c r="Q858" s="93"/>
      <c r="S858" s="99"/>
      <c r="T858" s="99"/>
      <c r="U858" s="99"/>
      <c r="V858" s="99"/>
      <c r="W858" s="99"/>
      <c r="X858" s="99"/>
      <c r="Y858" s="99"/>
      <c r="Z858" s="99"/>
      <c r="AA858" s="99"/>
      <c r="AB858" s="99"/>
      <c r="AC858" s="98"/>
      <c r="AD858" s="98"/>
      <c r="AE858" s="98"/>
      <c r="AF858" s="98"/>
      <c r="AG858" s="98"/>
      <c r="AH858" s="98"/>
    </row>
    <row r="859" spans="2:34" x14ac:dyDescent="0.25">
      <c r="B859" s="73"/>
      <c r="C859" s="74"/>
      <c r="D859" s="80"/>
      <c r="E859" s="81"/>
      <c r="F859" s="81"/>
      <c r="G859" s="81"/>
      <c r="H859" s="81"/>
      <c r="I859" s="82"/>
      <c r="J859" s="88"/>
      <c r="K859" s="89"/>
      <c r="L859" s="88"/>
      <c r="M859" s="89"/>
      <c r="N859" s="80"/>
      <c r="O859" s="82"/>
      <c r="P859" s="94"/>
      <c r="Q859" s="95"/>
      <c r="S859" s="99"/>
      <c r="T859" s="99"/>
      <c r="U859" s="99"/>
      <c r="V859" s="99"/>
      <c r="W859" s="99"/>
      <c r="X859" s="99"/>
      <c r="Y859" s="99"/>
      <c r="Z859" s="99"/>
      <c r="AA859" s="99"/>
      <c r="AB859" s="99"/>
      <c r="AC859" s="98"/>
      <c r="AD859" s="98"/>
      <c r="AE859" s="98"/>
      <c r="AF859" s="98"/>
      <c r="AG859" s="98"/>
      <c r="AH859" s="98"/>
    </row>
    <row r="860" spans="2:34" x14ac:dyDescent="0.25">
      <c r="B860" s="75"/>
      <c r="C860" s="76"/>
      <c r="D860" s="83"/>
      <c r="E860" s="84"/>
      <c r="F860" s="84"/>
      <c r="G860" s="84"/>
      <c r="H860" s="84"/>
      <c r="I860" s="85"/>
      <c r="J860" s="90"/>
      <c r="K860" s="91"/>
      <c r="L860" s="90"/>
      <c r="M860" s="91"/>
      <c r="N860" s="83"/>
      <c r="O860" s="85"/>
      <c r="P860" s="96"/>
      <c r="Q860" s="97"/>
      <c r="S860" s="99"/>
      <c r="T860" s="99"/>
      <c r="U860" s="99"/>
      <c r="V860" s="99"/>
      <c r="W860" s="99"/>
      <c r="X860" s="99"/>
      <c r="Y860" s="99"/>
      <c r="Z860" s="99"/>
      <c r="AA860" s="99"/>
      <c r="AB860" s="99"/>
      <c r="AC860" s="98"/>
      <c r="AD860" s="98"/>
      <c r="AE860" s="98"/>
      <c r="AF860" s="98"/>
      <c r="AG860" s="98"/>
      <c r="AH860" s="98"/>
    </row>
    <row r="861" spans="2:34" x14ac:dyDescent="0.25">
      <c r="B861" s="71"/>
      <c r="C861" s="72"/>
      <c r="D861" s="77"/>
      <c r="E861" s="78"/>
      <c r="F861" s="78"/>
      <c r="G861" s="78"/>
      <c r="H861" s="78"/>
      <c r="I861" s="79"/>
      <c r="J861" s="86"/>
      <c r="K861" s="87"/>
      <c r="L861" s="86"/>
      <c r="M861" s="87"/>
      <c r="N861" s="77"/>
      <c r="O861" s="79"/>
      <c r="P861" s="92"/>
      <c r="Q861" s="93"/>
      <c r="S861" s="99"/>
      <c r="T861" s="99"/>
      <c r="U861" s="99"/>
      <c r="V861" s="99"/>
      <c r="W861" s="99"/>
      <c r="X861" s="99"/>
      <c r="Y861" s="99"/>
      <c r="Z861" s="99"/>
      <c r="AA861" s="99"/>
      <c r="AB861" s="99"/>
      <c r="AC861" s="98"/>
      <c r="AD861" s="98"/>
      <c r="AE861" s="98"/>
      <c r="AF861" s="98"/>
      <c r="AG861" s="98"/>
      <c r="AH861" s="98"/>
    </row>
    <row r="862" spans="2:34" x14ac:dyDescent="0.25">
      <c r="B862" s="73"/>
      <c r="C862" s="74"/>
      <c r="D862" s="80"/>
      <c r="E862" s="81"/>
      <c r="F862" s="81"/>
      <c r="G862" s="81"/>
      <c r="H862" s="81"/>
      <c r="I862" s="82"/>
      <c r="J862" s="88"/>
      <c r="K862" s="89"/>
      <c r="L862" s="88"/>
      <c r="M862" s="89"/>
      <c r="N862" s="80"/>
      <c r="O862" s="82"/>
      <c r="P862" s="94"/>
      <c r="Q862" s="95"/>
      <c r="S862" s="99"/>
      <c r="T862" s="99"/>
      <c r="U862" s="99"/>
      <c r="V862" s="99"/>
      <c r="W862" s="99"/>
      <c r="X862" s="99"/>
      <c r="Y862" s="99"/>
      <c r="Z862" s="99"/>
      <c r="AA862" s="99"/>
      <c r="AB862" s="99"/>
      <c r="AC862" s="98"/>
      <c r="AD862" s="98"/>
      <c r="AE862" s="98"/>
      <c r="AF862" s="98"/>
      <c r="AG862" s="98"/>
      <c r="AH862" s="98"/>
    </row>
    <row r="863" spans="2:34" x14ac:dyDescent="0.25">
      <c r="B863" s="75"/>
      <c r="C863" s="76"/>
      <c r="D863" s="83"/>
      <c r="E863" s="84"/>
      <c r="F863" s="84"/>
      <c r="G863" s="84"/>
      <c r="H863" s="84"/>
      <c r="I863" s="85"/>
      <c r="J863" s="90"/>
      <c r="K863" s="91"/>
      <c r="L863" s="90"/>
      <c r="M863" s="91"/>
      <c r="N863" s="83"/>
      <c r="O863" s="85"/>
      <c r="P863" s="96"/>
      <c r="Q863" s="97"/>
      <c r="S863" s="99"/>
      <c r="T863" s="99"/>
      <c r="U863" s="99"/>
      <c r="V863" s="99"/>
      <c r="W863" s="99"/>
      <c r="X863" s="99"/>
      <c r="Y863" s="99"/>
      <c r="Z863" s="99"/>
      <c r="AA863" s="99"/>
      <c r="AB863" s="99"/>
      <c r="AC863" s="98"/>
      <c r="AD863" s="98"/>
      <c r="AE863" s="98"/>
      <c r="AF863" s="98"/>
      <c r="AG863" s="98"/>
      <c r="AH863" s="98"/>
    </row>
    <row r="864" spans="2:34" x14ac:dyDescent="0.25">
      <c r="B864" s="71"/>
      <c r="C864" s="72"/>
      <c r="D864" s="77"/>
      <c r="E864" s="78"/>
      <c r="F864" s="78"/>
      <c r="G864" s="78"/>
      <c r="H864" s="78"/>
      <c r="I864" s="79"/>
      <c r="J864" s="86"/>
      <c r="K864" s="87"/>
      <c r="L864" s="86"/>
      <c r="M864" s="87"/>
      <c r="N864" s="77"/>
      <c r="O864" s="79"/>
      <c r="P864" s="92"/>
      <c r="Q864" s="93"/>
      <c r="S864" s="99"/>
      <c r="T864" s="99"/>
      <c r="U864" s="99"/>
      <c r="V864" s="99"/>
      <c r="W864" s="99"/>
      <c r="X864" s="99"/>
      <c r="Y864" s="99"/>
      <c r="Z864" s="99"/>
      <c r="AA864" s="99"/>
      <c r="AB864" s="99"/>
      <c r="AC864" s="98"/>
      <c r="AD864" s="98"/>
      <c r="AE864" s="98"/>
      <c r="AF864" s="98"/>
      <c r="AG864" s="98"/>
      <c r="AH864" s="98"/>
    </row>
    <row r="865" spans="2:34" x14ac:dyDescent="0.25">
      <c r="B865" s="73"/>
      <c r="C865" s="74"/>
      <c r="D865" s="80"/>
      <c r="E865" s="81"/>
      <c r="F865" s="81"/>
      <c r="G865" s="81"/>
      <c r="H865" s="81"/>
      <c r="I865" s="82"/>
      <c r="J865" s="88"/>
      <c r="K865" s="89"/>
      <c r="L865" s="88"/>
      <c r="M865" s="89"/>
      <c r="N865" s="80"/>
      <c r="O865" s="82"/>
      <c r="P865" s="94"/>
      <c r="Q865" s="95"/>
      <c r="S865" s="99"/>
      <c r="T865" s="99"/>
      <c r="U865" s="99"/>
      <c r="V865" s="99"/>
      <c r="W865" s="99"/>
      <c r="X865" s="99"/>
      <c r="Y865" s="99"/>
      <c r="Z865" s="99"/>
      <c r="AA865" s="99"/>
      <c r="AB865" s="99"/>
      <c r="AC865" s="98"/>
      <c r="AD865" s="98"/>
      <c r="AE865" s="98"/>
      <c r="AF865" s="98"/>
      <c r="AG865" s="98"/>
      <c r="AH865" s="98"/>
    </row>
    <row r="866" spans="2:34" x14ac:dyDescent="0.25">
      <c r="B866" s="75"/>
      <c r="C866" s="76"/>
      <c r="D866" s="83"/>
      <c r="E866" s="84"/>
      <c r="F866" s="84"/>
      <c r="G866" s="84"/>
      <c r="H866" s="84"/>
      <c r="I866" s="85"/>
      <c r="J866" s="90"/>
      <c r="K866" s="91"/>
      <c r="L866" s="90"/>
      <c r="M866" s="91"/>
      <c r="N866" s="83"/>
      <c r="O866" s="85"/>
      <c r="P866" s="96"/>
      <c r="Q866" s="97"/>
      <c r="S866" s="99"/>
      <c r="T866" s="99"/>
      <c r="U866" s="99"/>
      <c r="V866" s="99"/>
      <c r="W866" s="99"/>
      <c r="X866" s="99"/>
      <c r="Y866" s="99"/>
      <c r="Z866" s="99"/>
      <c r="AA866" s="99"/>
      <c r="AB866" s="99"/>
      <c r="AC866" s="98"/>
      <c r="AD866" s="98"/>
      <c r="AE866" s="98"/>
      <c r="AF866" s="98"/>
      <c r="AG866" s="98"/>
      <c r="AH866" s="98"/>
    </row>
    <row r="867" spans="2:34" x14ac:dyDescent="0.25">
      <c r="B867" s="71"/>
      <c r="C867" s="72"/>
      <c r="D867" s="77"/>
      <c r="E867" s="78"/>
      <c r="F867" s="78"/>
      <c r="G867" s="78"/>
      <c r="H867" s="78"/>
      <c r="I867" s="79"/>
      <c r="J867" s="86"/>
      <c r="K867" s="87"/>
      <c r="L867" s="86"/>
      <c r="M867" s="87"/>
      <c r="N867" s="77"/>
      <c r="O867" s="79"/>
      <c r="P867" s="92"/>
      <c r="Q867" s="93"/>
      <c r="S867" s="99"/>
      <c r="T867" s="99"/>
      <c r="U867" s="99"/>
      <c r="V867" s="99"/>
      <c r="W867" s="99"/>
      <c r="X867" s="99"/>
      <c r="Y867" s="99"/>
      <c r="Z867" s="99"/>
      <c r="AA867" s="99"/>
      <c r="AB867" s="99"/>
      <c r="AC867" s="98"/>
      <c r="AD867" s="98"/>
      <c r="AE867" s="98"/>
      <c r="AF867" s="98"/>
      <c r="AG867" s="98"/>
      <c r="AH867" s="98"/>
    </row>
    <row r="868" spans="2:34" x14ac:dyDescent="0.25">
      <c r="B868" s="73"/>
      <c r="C868" s="74"/>
      <c r="D868" s="80"/>
      <c r="E868" s="81"/>
      <c r="F868" s="81"/>
      <c r="G868" s="81"/>
      <c r="H868" s="81"/>
      <c r="I868" s="82"/>
      <c r="J868" s="88"/>
      <c r="K868" s="89"/>
      <c r="L868" s="88"/>
      <c r="M868" s="89"/>
      <c r="N868" s="80"/>
      <c r="O868" s="82"/>
      <c r="P868" s="94"/>
      <c r="Q868" s="95"/>
      <c r="S868" s="99"/>
      <c r="T868" s="99"/>
      <c r="U868" s="99"/>
      <c r="V868" s="99"/>
      <c r="W868" s="99"/>
      <c r="X868" s="99"/>
      <c r="Y868" s="99"/>
      <c r="Z868" s="99"/>
      <c r="AA868" s="99"/>
      <c r="AB868" s="99"/>
      <c r="AC868" s="98"/>
      <c r="AD868" s="98"/>
      <c r="AE868" s="98"/>
      <c r="AF868" s="98"/>
      <c r="AG868" s="98"/>
      <c r="AH868" s="98"/>
    </row>
    <row r="869" spans="2:34" x14ac:dyDescent="0.25">
      <c r="B869" s="75"/>
      <c r="C869" s="76"/>
      <c r="D869" s="83"/>
      <c r="E869" s="84"/>
      <c r="F869" s="84"/>
      <c r="G869" s="84"/>
      <c r="H869" s="84"/>
      <c r="I869" s="85"/>
      <c r="J869" s="90"/>
      <c r="K869" s="91"/>
      <c r="L869" s="90"/>
      <c r="M869" s="91"/>
      <c r="N869" s="83"/>
      <c r="O869" s="85"/>
      <c r="P869" s="96"/>
      <c r="Q869" s="97"/>
      <c r="S869" s="99"/>
      <c r="T869" s="99"/>
      <c r="U869" s="99"/>
      <c r="V869" s="99"/>
      <c r="W869" s="99"/>
      <c r="X869" s="99"/>
      <c r="Y869" s="99"/>
      <c r="Z869" s="99"/>
      <c r="AA869" s="99"/>
      <c r="AB869" s="99"/>
      <c r="AC869" s="98"/>
      <c r="AD869" s="98"/>
      <c r="AE869" s="98"/>
      <c r="AF869" s="98"/>
      <c r="AG869" s="98"/>
      <c r="AH869" s="98"/>
    </row>
    <row r="870" spans="2:34" x14ac:dyDescent="0.25">
      <c r="B870" s="71"/>
      <c r="C870" s="72"/>
      <c r="D870" s="77"/>
      <c r="E870" s="78"/>
      <c r="F870" s="78"/>
      <c r="G870" s="78"/>
      <c r="H870" s="78"/>
      <c r="I870" s="79"/>
      <c r="J870" s="86"/>
      <c r="K870" s="87"/>
      <c r="L870" s="86"/>
      <c r="M870" s="87"/>
      <c r="N870" s="77"/>
      <c r="O870" s="79"/>
      <c r="P870" s="92"/>
      <c r="Q870" s="93"/>
      <c r="S870" s="99"/>
      <c r="T870" s="99"/>
      <c r="U870" s="99"/>
      <c r="V870" s="99"/>
      <c r="W870" s="99"/>
      <c r="X870" s="99"/>
      <c r="Y870" s="99"/>
      <c r="Z870" s="99"/>
      <c r="AA870" s="99"/>
      <c r="AB870" s="99"/>
      <c r="AC870" s="98"/>
      <c r="AD870" s="98"/>
      <c r="AE870" s="98"/>
      <c r="AF870" s="98"/>
      <c r="AG870" s="98"/>
      <c r="AH870" s="98"/>
    </row>
    <row r="871" spans="2:34" x14ac:dyDescent="0.25">
      <c r="B871" s="73"/>
      <c r="C871" s="74"/>
      <c r="D871" s="80"/>
      <c r="E871" s="81"/>
      <c r="F871" s="81"/>
      <c r="G871" s="81"/>
      <c r="H871" s="81"/>
      <c r="I871" s="82"/>
      <c r="J871" s="88"/>
      <c r="K871" s="89"/>
      <c r="L871" s="88"/>
      <c r="M871" s="89"/>
      <c r="N871" s="80"/>
      <c r="O871" s="82"/>
      <c r="P871" s="94"/>
      <c r="Q871" s="95"/>
      <c r="S871" s="99"/>
      <c r="T871" s="99"/>
      <c r="U871" s="99"/>
      <c r="V871" s="99"/>
      <c r="W871" s="99"/>
      <c r="X871" s="99"/>
      <c r="Y871" s="99"/>
      <c r="Z871" s="99"/>
      <c r="AA871" s="99"/>
      <c r="AB871" s="99"/>
      <c r="AC871" s="98"/>
      <c r="AD871" s="98"/>
      <c r="AE871" s="98"/>
      <c r="AF871" s="98"/>
      <c r="AG871" s="98"/>
      <c r="AH871" s="98"/>
    </row>
    <row r="872" spans="2:34" x14ac:dyDescent="0.25">
      <c r="B872" s="75"/>
      <c r="C872" s="76"/>
      <c r="D872" s="83"/>
      <c r="E872" s="84"/>
      <c r="F872" s="84"/>
      <c r="G872" s="84"/>
      <c r="H872" s="84"/>
      <c r="I872" s="85"/>
      <c r="J872" s="90"/>
      <c r="K872" s="91"/>
      <c r="L872" s="90"/>
      <c r="M872" s="91"/>
      <c r="N872" s="83"/>
      <c r="O872" s="85"/>
      <c r="P872" s="96"/>
      <c r="Q872" s="97"/>
      <c r="S872" s="99"/>
      <c r="T872" s="99"/>
      <c r="U872" s="99"/>
      <c r="V872" s="99"/>
      <c r="W872" s="99"/>
      <c r="X872" s="99"/>
      <c r="Y872" s="99"/>
      <c r="Z872" s="99"/>
      <c r="AA872" s="99"/>
      <c r="AB872" s="99"/>
      <c r="AC872" s="98"/>
      <c r="AD872" s="98"/>
      <c r="AE872" s="98"/>
      <c r="AF872" s="98"/>
      <c r="AG872" s="98"/>
      <c r="AH872" s="98"/>
    </row>
  </sheetData>
  <mergeCells count="3480">
    <mergeCell ref="S870:T872"/>
    <mergeCell ref="U870:Z872"/>
    <mergeCell ref="AA870:AB872"/>
    <mergeCell ref="AC870:AD872"/>
    <mergeCell ref="AE870:AF872"/>
    <mergeCell ref="AG870:AH872"/>
    <mergeCell ref="B870:C872"/>
    <mergeCell ref="D870:I872"/>
    <mergeCell ref="J870:K872"/>
    <mergeCell ref="L870:M872"/>
    <mergeCell ref="N870:O872"/>
    <mergeCell ref="P870:Q872"/>
    <mergeCell ref="S867:T869"/>
    <mergeCell ref="U867:Z869"/>
    <mergeCell ref="AA867:AB869"/>
    <mergeCell ref="AC867:AD869"/>
    <mergeCell ref="AE867:AF869"/>
    <mergeCell ref="AG867:AH869"/>
    <mergeCell ref="B867:C869"/>
    <mergeCell ref="D867:I869"/>
    <mergeCell ref="J867:K869"/>
    <mergeCell ref="L867:M869"/>
    <mergeCell ref="N867:O869"/>
    <mergeCell ref="P867:Q869"/>
    <mergeCell ref="S864:T866"/>
    <mergeCell ref="U864:Z866"/>
    <mergeCell ref="AA864:AB866"/>
    <mergeCell ref="AC864:AD866"/>
    <mergeCell ref="AE864:AF866"/>
    <mergeCell ref="AG864:AH866"/>
    <mergeCell ref="B864:C866"/>
    <mergeCell ref="D864:I866"/>
    <mergeCell ref="J864:K866"/>
    <mergeCell ref="L864:M866"/>
    <mergeCell ref="N864:O866"/>
    <mergeCell ref="P864:Q866"/>
    <mergeCell ref="S861:T863"/>
    <mergeCell ref="U861:Z863"/>
    <mergeCell ref="AA861:AB863"/>
    <mergeCell ref="AC861:AD863"/>
    <mergeCell ref="AE861:AF863"/>
    <mergeCell ref="AG861:AH863"/>
    <mergeCell ref="B861:C863"/>
    <mergeCell ref="D861:I863"/>
    <mergeCell ref="J861:K863"/>
    <mergeCell ref="L861:M863"/>
    <mergeCell ref="N861:O863"/>
    <mergeCell ref="P861:Q863"/>
    <mergeCell ref="S858:T860"/>
    <mergeCell ref="U858:Z860"/>
    <mergeCell ref="AA858:AB860"/>
    <mergeCell ref="AC858:AD860"/>
    <mergeCell ref="AE858:AF860"/>
    <mergeCell ref="AG858:AH860"/>
    <mergeCell ref="B858:C860"/>
    <mergeCell ref="D858:I860"/>
    <mergeCell ref="J858:K860"/>
    <mergeCell ref="L858:M860"/>
    <mergeCell ref="N858:O860"/>
    <mergeCell ref="P858:Q860"/>
    <mergeCell ref="S855:T857"/>
    <mergeCell ref="U855:Z857"/>
    <mergeCell ref="AA855:AB857"/>
    <mergeCell ref="AC855:AD857"/>
    <mergeCell ref="AE855:AF857"/>
    <mergeCell ref="AG855:AH857"/>
    <mergeCell ref="B855:C857"/>
    <mergeCell ref="D855:I857"/>
    <mergeCell ref="J855:K857"/>
    <mergeCell ref="L855:M857"/>
    <mergeCell ref="N855:O857"/>
    <mergeCell ref="P855:Q857"/>
    <mergeCell ref="S852:T854"/>
    <mergeCell ref="U852:Z854"/>
    <mergeCell ref="AA852:AB854"/>
    <mergeCell ref="AC852:AD854"/>
    <mergeCell ref="AE852:AF854"/>
    <mergeCell ref="AG852:AH854"/>
    <mergeCell ref="B852:C854"/>
    <mergeCell ref="D852:I854"/>
    <mergeCell ref="J852:K854"/>
    <mergeCell ref="L852:M854"/>
    <mergeCell ref="N852:O854"/>
    <mergeCell ref="P852:Q854"/>
    <mergeCell ref="S849:T851"/>
    <mergeCell ref="U849:Z851"/>
    <mergeCell ref="AA849:AB851"/>
    <mergeCell ref="AC849:AD851"/>
    <mergeCell ref="AE849:AF851"/>
    <mergeCell ref="AG849:AH851"/>
    <mergeCell ref="B849:C851"/>
    <mergeCell ref="D849:I851"/>
    <mergeCell ref="J849:K851"/>
    <mergeCell ref="L849:M851"/>
    <mergeCell ref="N849:O851"/>
    <mergeCell ref="P849:Q851"/>
    <mergeCell ref="S846:T848"/>
    <mergeCell ref="U846:Z848"/>
    <mergeCell ref="AA846:AB848"/>
    <mergeCell ref="AC846:AD848"/>
    <mergeCell ref="AE846:AF848"/>
    <mergeCell ref="AG846:AH848"/>
    <mergeCell ref="B846:C848"/>
    <mergeCell ref="D846:I848"/>
    <mergeCell ref="J846:K848"/>
    <mergeCell ref="L846:M848"/>
    <mergeCell ref="N846:O848"/>
    <mergeCell ref="P846:Q848"/>
    <mergeCell ref="S843:T845"/>
    <mergeCell ref="U843:Z845"/>
    <mergeCell ref="AA843:AB845"/>
    <mergeCell ref="AC843:AD845"/>
    <mergeCell ref="AE843:AF845"/>
    <mergeCell ref="AG843:AH845"/>
    <mergeCell ref="B843:C845"/>
    <mergeCell ref="D843:I845"/>
    <mergeCell ref="J843:K845"/>
    <mergeCell ref="L843:M845"/>
    <mergeCell ref="N843:O845"/>
    <mergeCell ref="P843:Q845"/>
    <mergeCell ref="S840:T842"/>
    <mergeCell ref="U840:Z842"/>
    <mergeCell ref="AA840:AB842"/>
    <mergeCell ref="AC840:AD842"/>
    <mergeCell ref="AE840:AF842"/>
    <mergeCell ref="AG840:AH842"/>
    <mergeCell ref="B840:C842"/>
    <mergeCell ref="D840:I842"/>
    <mergeCell ref="J840:K842"/>
    <mergeCell ref="L840:M842"/>
    <mergeCell ref="N840:O842"/>
    <mergeCell ref="P840:Q842"/>
    <mergeCell ref="S837:T839"/>
    <mergeCell ref="U837:Z839"/>
    <mergeCell ref="AA837:AB839"/>
    <mergeCell ref="AC837:AD839"/>
    <mergeCell ref="AE837:AF839"/>
    <mergeCell ref="AG837:AH839"/>
    <mergeCell ref="B837:C839"/>
    <mergeCell ref="D837:I839"/>
    <mergeCell ref="J837:K839"/>
    <mergeCell ref="L837:M839"/>
    <mergeCell ref="N837:O839"/>
    <mergeCell ref="P837:Q839"/>
    <mergeCell ref="S834:T836"/>
    <mergeCell ref="U834:Z836"/>
    <mergeCell ref="AA834:AB836"/>
    <mergeCell ref="AC834:AD836"/>
    <mergeCell ref="AE834:AF836"/>
    <mergeCell ref="AG834:AH836"/>
    <mergeCell ref="B834:C836"/>
    <mergeCell ref="D834:I836"/>
    <mergeCell ref="J834:K836"/>
    <mergeCell ref="L834:M836"/>
    <mergeCell ref="N834:O836"/>
    <mergeCell ref="P834:Q836"/>
    <mergeCell ref="S831:T833"/>
    <mergeCell ref="U831:Z833"/>
    <mergeCell ref="AA831:AB833"/>
    <mergeCell ref="AC831:AD833"/>
    <mergeCell ref="AE831:AF833"/>
    <mergeCell ref="AG831:AH833"/>
    <mergeCell ref="B831:C833"/>
    <mergeCell ref="D831:I833"/>
    <mergeCell ref="J831:K833"/>
    <mergeCell ref="L831:M833"/>
    <mergeCell ref="N831:O833"/>
    <mergeCell ref="P831:Q833"/>
    <mergeCell ref="S828:T830"/>
    <mergeCell ref="U828:Z830"/>
    <mergeCell ref="AA828:AB830"/>
    <mergeCell ref="AC828:AD830"/>
    <mergeCell ref="AE828:AF830"/>
    <mergeCell ref="AG828:AH830"/>
    <mergeCell ref="B828:C830"/>
    <mergeCell ref="D828:I830"/>
    <mergeCell ref="J828:K830"/>
    <mergeCell ref="L828:M830"/>
    <mergeCell ref="N828:O830"/>
    <mergeCell ref="P828:Q830"/>
    <mergeCell ref="S825:T827"/>
    <mergeCell ref="U825:Z827"/>
    <mergeCell ref="AA825:AB827"/>
    <mergeCell ref="AC825:AD827"/>
    <mergeCell ref="AE825:AF827"/>
    <mergeCell ref="AG825:AH827"/>
    <mergeCell ref="B825:C827"/>
    <mergeCell ref="D825:I827"/>
    <mergeCell ref="J825:K827"/>
    <mergeCell ref="L825:M827"/>
    <mergeCell ref="N825:O827"/>
    <mergeCell ref="P825:Q827"/>
    <mergeCell ref="S822:T824"/>
    <mergeCell ref="U822:Z824"/>
    <mergeCell ref="AA822:AB824"/>
    <mergeCell ref="AC822:AD824"/>
    <mergeCell ref="AE822:AF824"/>
    <mergeCell ref="AG822:AH824"/>
    <mergeCell ref="B822:C824"/>
    <mergeCell ref="D822:I824"/>
    <mergeCell ref="J822:K824"/>
    <mergeCell ref="L822:M824"/>
    <mergeCell ref="N822:O824"/>
    <mergeCell ref="P822:Q824"/>
    <mergeCell ref="S819:T821"/>
    <mergeCell ref="U819:Z821"/>
    <mergeCell ref="AA819:AB821"/>
    <mergeCell ref="AC819:AD821"/>
    <mergeCell ref="AE819:AF821"/>
    <mergeCell ref="AG819:AH821"/>
    <mergeCell ref="B819:C821"/>
    <mergeCell ref="D819:I821"/>
    <mergeCell ref="J819:K821"/>
    <mergeCell ref="L819:M821"/>
    <mergeCell ref="N819:O821"/>
    <mergeCell ref="P819:Q821"/>
    <mergeCell ref="S816:T818"/>
    <mergeCell ref="U816:Z818"/>
    <mergeCell ref="AA816:AB818"/>
    <mergeCell ref="AC816:AD818"/>
    <mergeCell ref="AE816:AF818"/>
    <mergeCell ref="AG816:AH818"/>
    <mergeCell ref="B816:C818"/>
    <mergeCell ref="D816:I818"/>
    <mergeCell ref="J816:K818"/>
    <mergeCell ref="L816:M818"/>
    <mergeCell ref="N816:O818"/>
    <mergeCell ref="P816:Q818"/>
    <mergeCell ref="S813:T815"/>
    <mergeCell ref="U813:Z815"/>
    <mergeCell ref="AA813:AB815"/>
    <mergeCell ref="AC813:AD815"/>
    <mergeCell ref="AE813:AF815"/>
    <mergeCell ref="AG813:AH815"/>
    <mergeCell ref="B813:C815"/>
    <mergeCell ref="D813:I815"/>
    <mergeCell ref="J813:K815"/>
    <mergeCell ref="L813:M815"/>
    <mergeCell ref="N813:O815"/>
    <mergeCell ref="P813:Q815"/>
    <mergeCell ref="S810:T812"/>
    <mergeCell ref="U810:Z812"/>
    <mergeCell ref="AA810:AB812"/>
    <mergeCell ref="AC810:AD812"/>
    <mergeCell ref="AE810:AF812"/>
    <mergeCell ref="AG810:AH812"/>
    <mergeCell ref="B810:C812"/>
    <mergeCell ref="D810:I812"/>
    <mergeCell ref="J810:K812"/>
    <mergeCell ref="L810:M812"/>
    <mergeCell ref="N810:O812"/>
    <mergeCell ref="P810:Q812"/>
    <mergeCell ref="S807:T809"/>
    <mergeCell ref="U807:Z809"/>
    <mergeCell ref="AA807:AB809"/>
    <mergeCell ref="AC807:AD809"/>
    <mergeCell ref="AE807:AF809"/>
    <mergeCell ref="AG807:AH809"/>
    <mergeCell ref="B807:C809"/>
    <mergeCell ref="D807:I809"/>
    <mergeCell ref="J807:K809"/>
    <mergeCell ref="L807:M809"/>
    <mergeCell ref="N807:O809"/>
    <mergeCell ref="P807:Q809"/>
    <mergeCell ref="S804:T806"/>
    <mergeCell ref="U804:Z806"/>
    <mergeCell ref="AA804:AB806"/>
    <mergeCell ref="AC804:AD806"/>
    <mergeCell ref="AE804:AF806"/>
    <mergeCell ref="AG804:AH806"/>
    <mergeCell ref="B804:C806"/>
    <mergeCell ref="D804:I806"/>
    <mergeCell ref="J804:K806"/>
    <mergeCell ref="L804:M806"/>
    <mergeCell ref="N804:O806"/>
    <mergeCell ref="P804:Q806"/>
    <mergeCell ref="S801:T803"/>
    <mergeCell ref="U801:Z803"/>
    <mergeCell ref="AA801:AB803"/>
    <mergeCell ref="AC801:AD803"/>
    <mergeCell ref="AE801:AF803"/>
    <mergeCell ref="AG801:AH803"/>
    <mergeCell ref="B801:C803"/>
    <mergeCell ref="D801:I803"/>
    <mergeCell ref="J801:K803"/>
    <mergeCell ref="L801:M803"/>
    <mergeCell ref="N801:O803"/>
    <mergeCell ref="P801:Q803"/>
    <mergeCell ref="S798:T800"/>
    <mergeCell ref="U798:Z800"/>
    <mergeCell ref="AA798:AB800"/>
    <mergeCell ref="AC798:AD800"/>
    <mergeCell ref="AE798:AF800"/>
    <mergeCell ref="AG798:AH800"/>
    <mergeCell ref="B798:C800"/>
    <mergeCell ref="D798:I800"/>
    <mergeCell ref="J798:K800"/>
    <mergeCell ref="L798:M800"/>
    <mergeCell ref="N798:O800"/>
    <mergeCell ref="P798:Q800"/>
    <mergeCell ref="S795:T797"/>
    <mergeCell ref="U795:Z797"/>
    <mergeCell ref="AA795:AB797"/>
    <mergeCell ref="AC795:AD797"/>
    <mergeCell ref="AE795:AF797"/>
    <mergeCell ref="AG795:AH797"/>
    <mergeCell ref="B795:C797"/>
    <mergeCell ref="D795:I797"/>
    <mergeCell ref="J795:K797"/>
    <mergeCell ref="L795:M797"/>
    <mergeCell ref="N795:O797"/>
    <mergeCell ref="P795:Q797"/>
    <mergeCell ref="S792:T794"/>
    <mergeCell ref="U792:Z794"/>
    <mergeCell ref="AA792:AB794"/>
    <mergeCell ref="AC792:AD794"/>
    <mergeCell ref="AE792:AF794"/>
    <mergeCell ref="AG792:AH794"/>
    <mergeCell ref="B792:C794"/>
    <mergeCell ref="D792:I794"/>
    <mergeCell ref="J792:K794"/>
    <mergeCell ref="L792:M794"/>
    <mergeCell ref="N792:O794"/>
    <mergeCell ref="P792:Q794"/>
    <mergeCell ref="S789:T791"/>
    <mergeCell ref="U789:Z791"/>
    <mergeCell ref="AA789:AB791"/>
    <mergeCell ref="AC789:AD791"/>
    <mergeCell ref="AE789:AF791"/>
    <mergeCell ref="AG789:AH791"/>
    <mergeCell ref="B789:C791"/>
    <mergeCell ref="D789:I791"/>
    <mergeCell ref="J789:K791"/>
    <mergeCell ref="L789:M791"/>
    <mergeCell ref="N789:O791"/>
    <mergeCell ref="P789:Q791"/>
    <mergeCell ref="S786:T788"/>
    <mergeCell ref="U786:Z788"/>
    <mergeCell ref="AA786:AB788"/>
    <mergeCell ref="AC786:AD788"/>
    <mergeCell ref="AE786:AF788"/>
    <mergeCell ref="AG786:AH788"/>
    <mergeCell ref="B786:C788"/>
    <mergeCell ref="D786:I788"/>
    <mergeCell ref="J786:K788"/>
    <mergeCell ref="L786:M788"/>
    <mergeCell ref="N786:O788"/>
    <mergeCell ref="P786:Q788"/>
    <mergeCell ref="S783:T785"/>
    <mergeCell ref="U783:Z785"/>
    <mergeCell ref="AA783:AB785"/>
    <mergeCell ref="AC783:AD785"/>
    <mergeCell ref="AE783:AF785"/>
    <mergeCell ref="AG783:AH785"/>
    <mergeCell ref="B783:C785"/>
    <mergeCell ref="D783:I785"/>
    <mergeCell ref="J783:K785"/>
    <mergeCell ref="L783:M785"/>
    <mergeCell ref="N783:O785"/>
    <mergeCell ref="P783:Q785"/>
    <mergeCell ref="S780:T782"/>
    <mergeCell ref="U780:Z782"/>
    <mergeCell ref="AA780:AB782"/>
    <mergeCell ref="AC780:AD782"/>
    <mergeCell ref="AE780:AF782"/>
    <mergeCell ref="AG780:AH782"/>
    <mergeCell ref="B780:C782"/>
    <mergeCell ref="D780:I782"/>
    <mergeCell ref="J780:K782"/>
    <mergeCell ref="L780:M782"/>
    <mergeCell ref="N780:O782"/>
    <mergeCell ref="P780:Q782"/>
    <mergeCell ref="S777:T779"/>
    <mergeCell ref="U777:Z779"/>
    <mergeCell ref="AA777:AB779"/>
    <mergeCell ref="AC777:AD779"/>
    <mergeCell ref="AE777:AF779"/>
    <mergeCell ref="AG777:AH779"/>
    <mergeCell ref="B777:C779"/>
    <mergeCell ref="D777:I779"/>
    <mergeCell ref="J777:K779"/>
    <mergeCell ref="L777:M779"/>
    <mergeCell ref="N777:O779"/>
    <mergeCell ref="P777:Q779"/>
    <mergeCell ref="S774:T776"/>
    <mergeCell ref="U774:Z776"/>
    <mergeCell ref="AA774:AB776"/>
    <mergeCell ref="AC774:AD776"/>
    <mergeCell ref="AE774:AF776"/>
    <mergeCell ref="AG774:AH776"/>
    <mergeCell ref="B774:C776"/>
    <mergeCell ref="D774:I776"/>
    <mergeCell ref="J774:K776"/>
    <mergeCell ref="L774:M776"/>
    <mergeCell ref="N774:O776"/>
    <mergeCell ref="P774:Q776"/>
    <mergeCell ref="S771:T773"/>
    <mergeCell ref="U771:Z773"/>
    <mergeCell ref="AA771:AB773"/>
    <mergeCell ref="AC771:AD773"/>
    <mergeCell ref="AE771:AF773"/>
    <mergeCell ref="AG771:AH773"/>
    <mergeCell ref="B771:C773"/>
    <mergeCell ref="D771:I773"/>
    <mergeCell ref="J771:K773"/>
    <mergeCell ref="L771:M773"/>
    <mergeCell ref="N771:O773"/>
    <mergeCell ref="P771:Q773"/>
    <mergeCell ref="S768:T770"/>
    <mergeCell ref="U768:Z770"/>
    <mergeCell ref="AA768:AB770"/>
    <mergeCell ref="AC768:AD770"/>
    <mergeCell ref="AE768:AF770"/>
    <mergeCell ref="AG768:AH770"/>
    <mergeCell ref="B768:C770"/>
    <mergeCell ref="D768:I770"/>
    <mergeCell ref="J768:K770"/>
    <mergeCell ref="L768:M770"/>
    <mergeCell ref="N768:O770"/>
    <mergeCell ref="P768:Q770"/>
    <mergeCell ref="S765:T767"/>
    <mergeCell ref="U765:Z767"/>
    <mergeCell ref="AA765:AB767"/>
    <mergeCell ref="AC765:AD767"/>
    <mergeCell ref="AE765:AF767"/>
    <mergeCell ref="AG765:AH767"/>
    <mergeCell ref="B765:C767"/>
    <mergeCell ref="D765:I767"/>
    <mergeCell ref="J765:K767"/>
    <mergeCell ref="L765:M767"/>
    <mergeCell ref="N765:O767"/>
    <mergeCell ref="P765:Q767"/>
    <mergeCell ref="S762:T764"/>
    <mergeCell ref="U762:Z764"/>
    <mergeCell ref="AA762:AB764"/>
    <mergeCell ref="AC762:AD764"/>
    <mergeCell ref="AE762:AF764"/>
    <mergeCell ref="AG762:AH764"/>
    <mergeCell ref="B762:C764"/>
    <mergeCell ref="D762:I764"/>
    <mergeCell ref="J762:K764"/>
    <mergeCell ref="L762:M764"/>
    <mergeCell ref="N762:O764"/>
    <mergeCell ref="P762:Q764"/>
    <mergeCell ref="S759:T761"/>
    <mergeCell ref="U759:Z761"/>
    <mergeCell ref="AA759:AB761"/>
    <mergeCell ref="AC759:AD761"/>
    <mergeCell ref="AE759:AF761"/>
    <mergeCell ref="AG759:AH761"/>
    <mergeCell ref="B759:C761"/>
    <mergeCell ref="D759:I761"/>
    <mergeCell ref="J759:K761"/>
    <mergeCell ref="L759:M761"/>
    <mergeCell ref="N759:O761"/>
    <mergeCell ref="P759:Q761"/>
    <mergeCell ref="S756:T758"/>
    <mergeCell ref="U756:Z758"/>
    <mergeCell ref="AA756:AB758"/>
    <mergeCell ref="AC756:AD758"/>
    <mergeCell ref="AE756:AF758"/>
    <mergeCell ref="AG756:AH758"/>
    <mergeCell ref="B756:C758"/>
    <mergeCell ref="D756:I758"/>
    <mergeCell ref="J756:K758"/>
    <mergeCell ref="L756:M758"/>
    <mergeCell ref="N756:O758"/>
    <mergeCell ref="P756:Q758"/>
    <mergeCell ref="S753:T755"/>
    <mergeCell ref="U753:Z755"/>
    <mergeCell ref="AA753:AB755"/>
    <mergeCell ref="AC753:AD755"/>
    <mergeCell ref="AE753:AF755"/>
    <mergeCell ref="AG753:AH755"/>
    <mergeCell ref="B753:C755"/>
    <mergeCell ref="D753:I755"/>
    <mergeCell ref="J753:K755"/>
    <mergeCell ref="L753:M755"/>
    <mergeCell ref="N753:O755"/>
    <mergeCell ref="P753:Q755"/>
    <mergeCell ref="S750:T752"/>
    <mergeCell ref="U750:Z752"/>
    <mergeCell ref="AA750:AB752"/>
    <mergeCell ref="AC750:AD752"/>
    <mergeCell ref="AE750:AF752"/>
    <mergeCell ref="AG750:AH752"/>
    <mergeCell ref="B750:C752"/>
    <mergeCell ref="D750:I752"/>
    <mergeCell ref="J750:K752"/>
    <mergeCell ref="L750:M752"/>
    <mergeCell ref="N750:O752"/>
    <mergeCell ref="P750:Q752"/>
    <mergeCell ref="S747:T749"/>
    <mergeCell ref="U747:Z749"/>
    <mergeCell ref="AA747:AB749"/>
    <mergeCell ref="AC747:AD749"/>
    <mergeCell ref="AE747:AF749"/>
    <mergeCell ref="AG747:AH749"/>
    <mergeCell ref="B747:C749"/>
    <mergeCell ref="D747:I749"/>
    <mergeCell ref="J747:K749"/>
    <mergeCell ref="L747:M749"/>
    <mergeCell ref="N747:O749"/>
    <mergeCell ref="P747:Q749"/>
    <mergeCell ref="S744:T746"/>
    <mergeCell ref="U744:Z746"/>
    <mergeCell ref="AA744:AB746"/>
    <mergeCell ref="AC744:AD746"/>
    <mergeCell ref="AE744:AF746"/>
    <mergeCell ref="AG744:AH746"/>
    <mergeCell ref="B744:C746"/>
    <mergeCell ref="D744:I746"/>
    <mergeCell ref="J744:K746"/>
    <mergeCell ref="L744:M746"/>
    <mergeCell ref="N744:O746"/>
    <mergeCell ref="P744:Q746"/>
    <mergeCell ref="S741:T743"/>
    <mergeCell ref="U741:Z743"/>
    <mergeCell ref="AA741:AB743"/>
    <mergeCell ref="AC741:AD743"/>
    <mergeCell ref="AE741:AF743"/>
    <mergeCell ref="AG741:AH743"/>
    <mergeCell ref="B741:C743"/>
    <mergeCell ref="D741:I743"/>
    <mergeCell ref="J741:K743"/>
    <mergeCell ref="L741:M743"/>
    <mergeCell ref="N741:O743"/>
    <mergeCell ref="P741:Q743"/>
    <mergeCell ref="S738:T740"/>
    <mergeCell ref="U738:Z740"/>
    <mergeCell ref="AA738:AB740"/>
    <mergeCell ref="AC738:AD740"/>
    <mergeCell ref="AE738:AF740"/>
    <mergeCell ref="AG738:AH740"/>
    <mergeCell ref="B738:C740"/>
    <mergeCell ref="D738:I740"/>
    <mergeCell ref="J738:K740"/>
    <mergeCell ref="L738:M740"/>
    <mergeCell ref="N738:O740"/>
    <mergeCell ref="P738:Q740"/>
    <mergeCell ref="S735:T737"/>
    <mergeCell ref="U735:Z737"/>
    <mergeCell ref="AA735:AB737"/>
    <mergeCell ref="AC735:AD737"/>
    <mergeCell ref="AE735:AF737"/>
    <mergeCell ref="AG735:AH737"/>
    <mergeCell ref="B735:C737"/>
    <mergeCell ref="D735:I737"/>
    <mergeCell ref="J735:K737"/>
    <mergeCell ref="L735:M737"/>
    <mergeCell ref="N735:O737"/>
    <mergeCell ref="P735:Q737"/>
    <mergeCell ref="S732:T734"/>
    <mergeCell ref="U732:Z734"/>
    <mergeCell ref="AA732:AB734"/>
    <mergeCell ref="AC732:AD734"/>
    <mergeCell ref="AE732:AF734"/>
    <mergeCell ref="AG732:AH734"/>
    <mergeCell ref="B732:C734"/>
    <mergeCell ref="D732:I734"/>
    <mergeCell ref="J732:K734"/>
    <mergeCell ref="L732:M734"/>
    <mergeCell ref="N732:O734"/>
    <mergeCell ref="P732:Q734"/>
    <mergeCell ref="S729:T731"/>
    <mergeCell ref="U729:Z731"/>
    <mergeCell ref="AA729:AB731"/>
    <mergeCell ref="AC729:AD731"/>
    <mergeCell ref="AE729:AF731"/>
    <mergeCell ref="AG729:AH731"/>
    <mergeCell ref="B729:C731"/>
    <mergeCell ref="D729:I731"/>
    <mergeCell ref="J729:K731"/>
    <mergeCell ref="L729:M731"/>
    <mergeCell ref="N729:O731"/>
    <mergeCell ref="P729:Q731"/>
    <mergeCell ref="S726:T728"/>
    <mergeCell ref="U726:Z728"/>
    <mergeCell ref="AA726:AB728"/>
    <mergeCell ref="AC726:AD728"/>
    <mergeCell ref="AE726:AF728"/>
    <mergeCell ref="AG726:AH728"/>
    <mergeCell ref="B726:C728"/>
    <mergeCell ref="D726:I728"/>
    <mergeCell ref="J726:K728"/>
    <mergeCell ref="L726:M728"/>
    <mergeCell ref="N726:O728"/>
    <mergeCell ref="P726:Q728"/>
    <mergeCell ref="S723:T725"/>
    <mergeCell ref="U723:Z725"/>
    <mergeCell ref="AA723:AB725"/>
    <mergeCell ref="AC723:AD725"/>
    <mergeCell ref="AE723:AF725"/>
    <mergeCell ref="AG723:AH725"/>
    <mergeCell ref="B723:C725"/>
    <mergeCell ref="D723:I725"/>
    <mergeCell ref="J723:K725"/>
    <mergeCell ref="L723:M725"/>
    <mergeCell ref="N723:O725"/>
    <mergeCell ref="P723:Q725"/>
    <mergeCell ref="S720:T722"/>
    <mergeCell ref="U720:Z722"/>
    <mergeCell ref="AA720:AB722"/>
    <mergeCell ref="AC720:AD722"/>
    <mergeCell ref="AE720:AF722"/>
    <mergeCell ref="AG720:AH722"/>
    <mergeCell ref="B720:C722"/>
    <mergeCell ref="D720:I722"/>
    <mergeCell ref="J720:K722"/>
    <mergeCell ref="L720:M722"/>
    <mergeCell ref="N720:O722"/>
    <mergeCell ref="P720:Q722"/>
    <mergeCell ref="S717:T719"/>
    <mergeCell ref="U717:Z719"/>
    <mergeCell ref="AA717:AB719"/>
    <mergeCell ref="AC717:AD719"/>
    <mergeCell ref="AE717:AF719"/>
    <mergeCell ref="AG717:AH719"/>
    <mergeCell ref="B717:C719"/>
    <mergeCell ref="D717:I719"/>
    <mergeCell ref="J717:K719"/>
    <mergeCell ref="L717:M719"/>
    <mergeCell ref="N717:O719"/>
    <mergeCell ref="P717:Q719"/>
    <mergeCell ref="S714:T716"/>
    <mergeCell ref="U714:Z716"/>
    <mergeCell ref="AA714:AB716"/>
    <mergeCell ref="AC714:AD716"/>
    <mergeCell ref="AE714:AF716"/>
    <mergeCell ref="AG714:AH716"/>
    <mergeCell ref="B714:C716"/>
    <mergeCell ref="D714:I716"/>
    <mergeCell ref="J714:K716"/>
    <mergeCell ref="L714:M716"/>
    <mergeCell ref="N714:O716"/>
    <mergeCell ref="P714:Q716"/>
    <mergeCell ref="S711:T713"/>
    <mergeCell ref="U711:Z713"/>
    <mergeCell ref="AA711:AB713"/>
    <mergeCell ref="AC711:AD713"/>
    <mergeCell ref="AE711:AF713"/>
    <mergeCell ref="AG711:AH713"/>
    <mergeCell ref="B711:C713"/>
    <mergeCell ref="D711:I713"/>
    <mergeCell ref="J711:K713"/>
    <mergeCell ref="L711:M713"/>
    <mergeCell ref="N711:O713"/>
    <mergeCell ref="P711:Q713"/>
    <mergeCell ref="S708:T710"/>
    <mergeCell ref="U708:Z710"/>
    <mergeCell ref="AA708:AB710"/>
    <mergeCell ref="AC708:AD710"/>
    <mergeCell ref="AE708:AF710"/>
    <mergeCell ref="AG708:AH710"/>
    <mergeCell ref="B708:C710"/>
    <mergeCell ref="D708:I710"/>
    <mergeCell ref="J708:K710"/>
    <mergeCell ref="L708:M710"/>
    <mergeCell ref="N708:O710"/>
    <mergeCell ref="P708:Q710"/>
    <mergeCell ref="S705:T707"/>
    <mergeCell ref="U705:Z707"/>
    <mergeCell ref="AA705:AB707"/>
    <mergeCell ref="AC705:AD707"/>
    <mergeCell ref="AE705:AF707"/>
    <mergeCell ref="AG705:AH707"/>
    <mergeCell ref="B705:C707"/>
    <mergeCell ref="D705:I707"/>
    <mergeCell ref="J705:K707"/>
    <mergeCell ref="L705:M707"/>
    <mergeCell ref="N705:O707"/>
    <mergeCell ref="P705:Q707"/>
    <mergeCell ref="S702:T704"/>
    <mergeCell ref="U702:Z704"/>
    <mergeCell ref="AA702:AB704"/>
    <mergeCell ref="AC702:AD704"/>
    <mergeCell ref="AE702:AF704"/>
    <mergeCell ref="AG702:AH704"/>
    <mergeCell ref="B702:C704"/>
    <mergeCell ref="D702:I704"/>
    <mergeCell ref="J702:K704"/>
    <mergeCell ref="L702:M704"/>
    <mergeCell ref="N702:O704"/>
    <mergeCell ref="P702:Q704"/>
    <mergeCell ref="S699:T701"/>
    <mergeCell ref="U699:Z701"/>
    <mergeCell ref="AA699:AB701"/>
    <mergeCell ref="AC699:AD701"/>
    <mergeCell ref="AE699:AF701"/>
    <mergeCell ref="AG699:AH701"/>
    <mergeCell ref="B699:C701"/>
    <mergeCell ref="D699:I701"/>
    <mergeCell ref="J699:K701"/>
    <mergeCell ref="L699:M701"/>
    <mergeCell ref="N699:O701"/>
    <mergeCell ref="P699:Q701"/>
    <mergeCell ref="S696:T698"/>
    <mergeCell ref="U696:Z698"/>
    <mergeCell ref="AA696:AB698"/>
    <mergeCell ref="AC696:AD698"/>
    <mergeCell ref="AE696:AF698"/>
    <mergeCell ref="AG696:AH698"/>
    <mergeCell ref="B696:C698"/>
    <mergeCell ref="D696:I698"/>
    <mergeCell ref="J696:K698"/>
    <mergeCell ref="L696:M698"/>
    <mergeCell ref="N696:O698"/>
    <mergeCell ref="P696:Q698"/>
    <mergeCell ref="S693:T695"/>
    <mergeCell ref="U693:Z695"/>
    <mergeCell ref="AA693:AB695"/>
    <mergeCell ref="AC693:AD695"/>
    <mergeCell ref="AE693:AF695"/>
    <mergeCell ref="AG693:AH695"/>
    <mergeCell ref="B693:C695"/>
    <mergeCell ref="D693:I695"/>
    <mergeCell ref="J693:K695"/>
    <mergeCell ref="L693:M695"/>
    <mergeCell ref="N693:O695"/>
    <mergeCell ref="P693:Q695"/>
    <mergeCell ref="S690:T692"/>
    <mergeCell ref="U690:Z692"/>
    <mergeCell ref="AA690:AB692"/>
    <mergeCell ref="AC690:AD692"/>
    <mergeCell ref="AE690:AF692"/>
    <mergeCell ref="AG690:AH692"/>
    <mergeCell ref="B690:C692"/>
    <mergeCell ref="D690:I692"/>
    <mergeCell ref="J690:K692"/>
    <mergeCell ref="L690:M692"/>
    <mergeCell ref="N690:O692"/>
    <mergeCell ref="P690:Q692"/>
    <mergeCell ref="S687:T689"/>
    <mergeCell ref="U687:Z689"/>
    <mergeCell ref="AA687:AB689"/>
    <mergeCell ref="AC687:AD689"/>
    <mergeCell ref="AE687:AF689"/>
    <mergeCell ref="AG687:AH689"/>
    <mergeCell ref="B687:C689"/>
    <mergeCell ref="D687:I689"/>
    <mergeCell ref="J687:K689"/>
    <mergeCell ref="L687:M689"/>
    <mergeCell ref="N687:O689"/>
    <mergeCell ref="P687:Q689"/>
    <mergeCell ref="S684:T686"/>
    <mergeCell ref="U684:Z686"/>
    <mergeCell ref="AA684:AB686"/>
    <mergeCell ref="AC684:AD686"/>
    <mergeCell ref="AE684:AF686"/>
    <mergeCell ref="AG684:AH686"/>
    <mergeCell ref="B684:C686"/>
    <mergeCell ref="D684:I686"/>
    <mergeCell ref="J684:K686"/>
    <mergeCell ref="L684:M686"/>
    <mergeCell ref="N684:O686"/>
    <mergeCell ref="P684:Q686"/>
    <mergeCell ref="S681:T683"/>
    <mergeCell ref="U681:Z683"/>
    <mergeCell ref="AA681:AB683"/>
    <mergeCell ref="AC681:AD683"/>
    <mergeCell ref="AE681:AF683"/>
    <mergeCell ref="AG681:AH683"/>
    <mergeCell ref="B681:C683"/>
    <mergeCell ref="D681:I683"/>
    <mergeCell ref="J681:K683"/>
    <mergeCell ref="L681:M683"/>
    <mergeCell ref="N681:O683"/>
    <mergeCell ref="P681:Q683"/>
    <mergeCell ref="S678:T680"/>
    <mergeCell ref="U678:Z680"/>
    <mergeCell ref="AA678:AB680"/>
    <mergeCell ref="AC678:AD680"/>
    <mergeCell ref="AE678:AF680"/>
    <mergeCell ref="AG678:AH680"/>
    <mergeCell ref="B678:C680"/>
    <mergeCell ref="D678:I680"/>
    <mergeCell ref="J678:K680"/>
    <mergeCell ref="L678:M680"/>
    <mergeCell ref="N678:O680"/>
    <mergeCell ref="P678:Q680"/>
    <mergeCell ref="S675:T677"/>
    <mergeCell ref="U675:Z677"/>
    <mergeCell ref="AA675:AB677"/>
    <mergeCell ref="AC675:AD677"/>
    <mergeCell ref="AE675:AF677"/>
    <mergeCell ref="AG675:AH677"/>
    <mergeCell ref="B675:C677"/>
    <mergeCell ref="D675:I677"/>
    <mergeCell ref="J675:K677"/>
    <mergeCell ref="L675:M677"/>
    <mergeCell ref="N675:O677"/>
    <mergeCell ref="P675:Q677"/>
    <mergeCell ref="S672:T674"/>
    <mergeCell ref="U672:Z674"/>
    <mergeCell ref="AA672:AB674"/>
    <mergeCell ref="AC672:AD674"/>
    <mergeCell ref="AE672:AF674"/>
    <mergeCell ref="AG672:AH674"/>
    <mergeCell ref="B672:C674"/>
    <mergeCell ref="D672:I674"/>
    <mergeCell ref="J672:K674"/>
    <mergeCell ref="L672:M674"/>
    <mergeCell ref="N672:O674"/>
    <mergeCell ref="P672:Q674"/>
    <mergeCell ref="S669:T671"/>
    <mergeCell ref="U669:Z671"/>
    <mergeCell ref="AA669:AB671"/>
    <mergeCell ref="AC669:AD671"/>
    <mergeCell ref="AE669:AF671"/>
    <mergeCell ref="AG669:AH671"/>
    <mergeCell ref="B669:C671"/>
    <mergeCell ref="D669:I671"/>
    <mergeCell ref="J669:K671"/>
    <mergeCell ref="L669:M671"/>
    <mergeCell ref="N669:O671"/>
    <mergeCell ref="P669:Q671"/>
    <mergeCell ref="S666:T668"/>
    <mergeCell ref="U666:Z668"/>
    <mergeCell ref="AA666:AB668"/>
    <mergeCell ref="AC666:AD668"/>
    <mergeCell ref="AE666:AF668"/>
    <mergeCell ref="AG666:AH668"/>
    <mergeCell ref="B666:C668"/>
    <mergeCell ref="D666:I668"/>
    <mergeCell ref="J666:K668"/>
    <mergeCell ref="L666:M668"/>
    <mergeCell ref="N666:O668"/>
    <mergeCell ref="P666:Q668"/>
    <mergeCell ref="S663:T665"/>
    <mergeCell ref="U663:Z665"/>
    <mergeCell ref="AA663:AB665"/>
    <mergeCell ref="AC663:AD665"/>
    <mergeCell ref="AE663:AF665"/>
    <mergeCell ref="AG663:AH665"/>
    <mergeCell ref="B663:C665"/>
    <mergeCell ref="D663:I665"/>
    <mergeCell ref="J663:K665"/>
    <mergeCell ref="L663:M665"/>
    <mergeCell ref="N663:O665"/>
    <mergeCell ref="P663:Q665"/>
    <mergeCell ref="S660:T662"/>
    <mergeCell ref="U660:Z662"/>
    <mergeCell ref="AA660:AB662"/>
    <mergeCell ref="AC660:AD662"/>
    <mergeCell ref="AE660:AF662"/>
    <mergeCell ref="AG660:AH662"/>
    <mergeCell ref="B660:C662"/>
    <mergeCell ref="D660:I662"/>
    <mergeCell ref="J660:K662"/>
    <mergeCell ref="L660:M662"/>
    <mergeCell ref="N660:O662"/>
    <mergeCell ref="P660:Q662"/>
    <mergeCell ref="S657:T659"/>
    <mergeCell ref="U657:Z659"/>
    <mergeCell ref="AA657:AB659"/>
    <mergeCell ref="AC657:AD659"/>
    <mergeCell ref="AE657:AF659"/>
    <mergeCell ref="AG657:AH659"/>
    <mergeCell ref="B657:C659"/>
    <mergeCell ref="D657:I659"/>
    <mergeCell ref="J657:K659"/>
    <mergeCell ref="L657:M659"/>
    <mergeCell ref="N657:O659"/>
    <mergeCell ref="P657:Q659"/>
    <mergeCell ref="S654:T656"/>
    <mergeCell ref="U654:Z656"/>
    <mergeCell ref="AA654:AB656"/>
    <mergeCell ref="AC654:AD656"/>
    <mergeCell ref="AE654:AF656"/>
    <mergeCell ref="AG654:AH656"/>
    <mergeCell ref="B654:C656"/>
    <mergeCell ref="D654:I656"/>
    <mergeCell ref="J654:K656"/>
    <mergeCell ref="L654:M656"/>
    <mergeCell ref="N654:O656"/>
    <mergeCell ref="P654:Q656"/>
    <mergeCell ref="S651:T653"/>
    <mergeCell ref="U651:Z653"/>
    <mergeCell ref="AA651:AB653"/>
    <mergeCell ref="AC651:AD653"/>
    <mergeCell ref="AE651:AF653"/>
    <mergeCell ref="AG651:AH653"/>
    <mergeCell ref="B651:C653"/>
    <mergeCell ref="D651:I653"/>
    <mergeCell ref="J651:K653"/>
    <mergeCell ref="L651:M653"/>
    <mergeCell ref="N651:O653"/>
    <mergeCell ref="P651:Q653"/>
    <mergeCell ref="S648:T650"/>
    <mergeCell ref="U648:Z650"/>
    <mergeCell ref="AA648:AB650"/>
    <mergeCell ref="AC648:AD650"/>
    <mergeCell ref="AE648:AF650"/>
    <mergeCell ref="AG648:AH650"/>
    <mergeCell ref="B648:C650"/>
    <mergeCell ref="D648:I650"/>
    <mergeCell ref="J648:K650"/>
    <mergeCell ref="L648:M650"/>
    <mergeCell ref="N648:O650"/>
    <mergeCell ref="P648:Q650"/>
    <mergeCell ref="S645:T647"/>
    <mergeCell ref="U645:Z647"/>
    <mergeCell ref="AA645:AB647"/>
    <mergeCell ref="AC645:AD647"/>
    <mergeCell ref="AE645:AF647"/>
    <mergeCell ref="AG645:AH647"/>
    <mergeCell ref="B645:C647"/>
    <mergeCell ref="D645:I647"/>
    <mergeCell ref="J645:K647"/>
    <mergeCell ref="L645:M647"/>
    <mergeCell ref="N645:O647"/>
    <mergeCell ref="P645:Q647"/>
    <mergeCell ref="S642:T644"/>
    <mergeCell ref="U642:Z644"/>
    <mergeCell ref="AA642:AB644"/>
    <mergeCell ref="AC642:AD644"/>
    <mergeCell ref="AE642:AF644"/>
    <mergeCell ref="AG642:AH644"/>
    <mergeCell ref="B642:C644"/>
    <mergeCell ref="D642:I644"/>
    <mergeCell ref="J642:K644"/>
    <mergeCell ref="L642:M644"/>
    <mergeCell ref="N642:O644"/>
    <mergeCell ref="P642:Q644"/>
    <mergeCell ref="S639:T641"/>
    <mergeCell ref="U639:Z641"/>
    <mergeCell ref="AA639:AB641"/>
    <mergeCell ref="AC639:AD641"/>
    <mergeCell ref="AE639:AF641"/>
    <mergeCell ref="AG639:AH641"/>
    <mergeCell ref="B639:C641"/>
    <mergeCell ref="D639:I641"/>
    <mergeCell ref="J639:K641"/>
    <mergeCell ref="L639:M641"/>
    <mergeCell ref="N639:O641"/>
    <mergeCell ref="P639:Q641"/>
    <mergeCell ref="S636:T638"/>
    <mergeCell ref="U636:Z638"/>
    <mergeCell ref="AA636:AB638"/>
    <mergeCell ref="AC636:AD638"/>
    <mergeCell ref="AE636:AF638"/>
    <mergeCell ref="AG636:AH638"/>
    <mergeCell ref="B636:C638"/>
    <mergeCell ref="D636:I638"/>
    <mergeCell ref="J636:K638"/>
    <mergeCell ref="L636:M638"/>
    <mergeCell ref="N636:O638"/>
    <mergeCell ref="P636:Q638"/>
    <mergeCell ref="S633:T635"/>
    <mergeCell ref="U633:Z635"/>
    <mergeCell ref="AA633:AB635"/>
    <mergeCell ref="AC633:AD635"/>
    <mergeCell ref="AE633:AF635"/>
    <mergeCell ref="AG633:AH635"/>
    <mergeCell ref="B633:C635"/>
    <mergeCell ref="D633:I635"/>
    <mergeCell ref="J633:K635"/>
    <mergeCell ref="L633:M635"/>
    <mergeCell ref="N633:O635"/>
    <mergeCell ref="P633:Q635"/>
    <mergeCell ref="S630:T632"/>
    <mergeCell ref="U630:Z632"/>
    <mergeCell ref="AA630:AB632"/>
    <mergeCell ref="AC630:AD632"/>
    <mergeCell ref="AE630:AF632"/>
    <mergeCell ref="AG630:AH632"/>
    <mergeCell ref="B630:C632"/>
    <mergeCell ref="D630:I632"/>
    <mergeCell ref="J630:K632"/>
    <mergeCell ref="L630:M632"/>
    <mergeCell ref="N630:O632"/>
    <mergeCell ref="P630:Q632"/>
    <mergeCell ref="S627:T629"/>
    <mergeCell ref="U627:Z629"/>
    <mergeCell ref="AA627:AB629"/>
    <mergeCell ref="AC627:AD629"/>
    <mergeCell ref="AE627:AF629"/>
    <mergeCell ref="AG627:AH629"/>
    <mergeCell ref="B627:C629"/>
    <mergeCell ref="D627:I629"/>
    <mergeCell ref="J627:K629"/>
    <mergeCell ref="L627:M629"/>
    <mergeCell ref="N627:O629"/>
    <mergeCell ref="P627:Q629"/>
    <mergeCell ref="S624:T626"/>
    <mergeCell ref="U624:Z626"/>
    <mergeCell ref="AA624:AB626"/>
    <mergeCell ref="AC624:AD626"/>
    <mergeCell ref="AE624:AF626"/>
    <mergeCell ref="AG624:AH626"/>
    <mergeCell ref="B624:C626"/>
    <mergeCell ref="D624:I626"/>
    <mergeCell ref="J624:K626"/>
    <mergeCell ref="L624:M626"/>
    <mergeCell ref="N624:O626"/>
    <mergeCell ref="P624:Q626"/>
    <mergeCell ref="S621:T623"/>
    <mergeCell ref="U621:Z623"/>
    <mergeCell ref="AA621:AB623"/>
    <mergeCell ref="AC621:AD623"/>
    <mergeCell ref="AE621:AF623"/>
    <mergeCell ref="AG621:AH623"/>
    <mergeCell ref="B621:C623"/>
    <mergeCell ref="D621:I623"/>
    <mergeCell ref="J621:K623"/>
    <mergeCell ref="L621:M623"/>
    <mergeCell ref="N621:O623"/>
    <mergeCell ref="P621:Q623"/>
    <mergeCell ref="S618:T620"/>
    <mergeCell ref="U618:Z620"/>
    <mergeCell ref="AA618:AB620"/>
    <mergeCell ref="AC618:AD620"/>
    <mergeCell ref="AE618:AF620"/>
    <mergeCell ref="AG618:AH620"/>
    <mergeCell ref="B618:C620"/>
    <mergeCell ref="D618:I620"/>
    <mergeCell ref="J618:K620"/>
    <mergeCell ref="L618:M620"/>
    <mergeCell ref="N618:O620"/>
    <mergeCell ref="P618:Q620"/>
    <mergeCell ref="S615:T617"/>
    <mergeCell ref="U615:Z617"/>
    <mergeCell ref="AA615:AB617"/>
    <mergeCell ref="AC615:AD617"/>
    <mergeCell ref="AE615:AF617"/>
    <mergeCell ref="AG615:AH617"/>
    <mergeCell ref="B615:C617"/>
    <mergeCell ref="D615:I617"/>
    <mergeCell ref="J615:K617"/>
    <mergeCell ref="L615:M617"/>
    <mergeCell ref="N615:O617"/>
    <mergeCell ref="P615:Q617"/>
    <mergeCell ref="S612:T614"/>
    <mergeCell ref="U612:Z614"/>
    <mergeCell ref="AA612:AB614"/>
    <mergeCell ref="AC612:AD614"/>
    <mergeCell ref="AE612:AF614"/>
    <mergeCell ref="AG612:AH614"/>
    <mergeCell ref="B612:C614"/>
    <mergeCell ref="D612:I614"/>
    <mergeCell ref="J612:K614"/>
    <mergeCell ref="L612:M614"/>
    <mergeCell ref="N612:O614"/>
    <mergeCell ref="P612:Q614"/>
    <mergeCell ref="S609:T611"/>
    <mergeCell ref="U609:Z611"/>
    <mergeCell ref="AA609:AB611"/>
    <mergeCell ref="AC609:AD611"/>
    <mergeCell ref="AE609:AF611"/>
    <mergeCell ref="AG609:AH611"/>
    <mergeCell ref="B609:C611"/>
    <mergeCell ref="D609:I611"/>
    <mergeCell ref="J609:K611"/>
    <mergeCell ref="L609:M611"/>
    <mergeCell ref="N609:O611"/>
    <mergeCell ref="P609:Q611"/>
    <mergeCell ref="S606:T608"/>
    <mergeCell ref="U606:Z608"/>
    <mergeCell ref="AA606:AB608"/>
    <mergeCell ref="AC606:AD608"/>
    <mergeCell ref="AE606:AF608"/>
    <mergeCell ref="AG606:AH608"/>
    <mergeCell ref="B606:C608"/>
    <mergeCell ref="D606:I608"/>
    <mergeCell ref="J606:K608"/>
    <mergeCell ref="L606:M608"/>
    <mergeCell ref="N606:O608"/>
    <mergeCell ref="P606:Q608"/>
    <mergeCell ref="S603:T605"/>
    <mergeCell ref="U603:Z605"/>
    <mergeCell ref="AA603:AB605"/>
    <mergeCell ref="AC603:AD605"/>
    <mergeCell ref="AE603:AF605"/>
    <mergeCell ref="AG603:AH605"/>
    <mergeCell ref="B603:C605"/>
    <mergeCell ref="D603:I605"/>
    <mergeCell ref="J603:K605"/>
    <mergeCell ref="L603:M605"/>
    <mergeCell ref="N603:O605"/>
    <mergeCell ref="P603:Q605"/>
    <mergeCell ref="S600:T602"/>
    <mergeCell ref="U600:Z602"/>
    <mergeCell ref="AA600:AB602"/>
    <mergeCell ref="AC600:AD602"/>
    <mergeCell ref="AE600:AF602"/>
    <mergeCell ref="AG600:AH602"/>
    <mergeCell ref="B600:C602"/>
    <mergeCell ref="D600:I602"/>
    <mergeCell ref="J600:K602"/>
    <mergeCell ref="L600:M602"/>
    <mergeCell ref="N600:O602"/>
    <mergeCell ref="P600:Q602"/>
    <mergeCell ref="S597:T599"/>
    <mergeCell ref="U597:Z599"/>
    <mergeCell ref="AA597:AB599"/>
    <mergeCell ref="AC597:AD599"/>
    <mergeCell ref="AE597:AF599"/>
    <mergeCell ref="AG597:AH599"/>
    <mergeCell ref="B597:C599"/>
    <mergeCell ref="D597:I599"/>
    <mergeCell ref="J597:K599"/>
    <mergeCell ref="L597:M599"/>
    <mergeCell ref="N597:O599"/>
    <mergeCell ref="P597:Q599"/>
    <mergeCell ref="S594:T596"/>
    <mergeCell ref="U594:Z596"/>
    <mergeCell ref="AA594:AB596"/>
    <mergeCell ref="AC594:AD596"/>
    <mergeCell ref="AE594:AF596"/>
    <mergeCell ref="AG594:AH596"/>
    <mergeCell ref="B594:C596"/>
    <mergeCell ref="D594:I596"/>
    <mergeCell ref="J594:K596"/>
    <mergeCell ref="L594:M596"/>
    <mergeCell ref="N594:O596"/>
    <mergeCell ref="P594:Q596"/>
    <mergeCell ref="S591:T593"/>
    <mergeCell ref="U591:Z593"/>
    <mergeCell ref="AA591:AB593"/>
    <mergeCell ref="AC591:AD593"/>
    <mergeCell ref="AE591:AF593"/>
    <mergeCell ref="AG591:AH593"/>
    <mergeCell ref="B591:C593"/>
    <mergeCell ref="D591:I593"/>
    <mergeCell ref="J591:K593"/>
    <mergeCell ref="L591:M593"/>
    <mergeCell ref="N591:O593"/>
    <mergeCell ref="P591:Q593"/>
    <mergeCell ref="S588:T590"/>
    <mergeCell ref="U588:Z590"/>
    <mergeCell ref="AA588:AB590"/>
    <mergeCell ref="AC588:AD590"/>
    <mergeCell ref="AE588:AF590"/>
    <mergeCell ref="AG588:AH590"/>
    <mergeCell ref="B588:C590"/>
    <mergeCell ref="D588:I590"/>
    <mergeCell ref="J588:K590"/>
    <mergeCell ref="L588:M590"/>
    <mergeCell ref="N588:O590"/>
    <mergeCell ref="P588:Q590"/>
    <mergeCell ref="S585:T587"/>
    <mergeCell ref="U585:Z587"/>
    <mergeCell ref="AA585:AB587"/>
    <mergeCell ref="AC585:AD587"/>
    <mergeCell ref="AE585:AF587"/>
    <mergeCell ref="AG585:AH587"/>
    <mergeCell ref="B585:C587"/>
    <mergeCell ref="D585:I587"/>
    <mergeCell ref="J585:K587"/>
    <mergeCell ref="L585:M587"/>
    <mergeCell ref="N585:O587"/>
    <mergeCell ref="P585:Q587"/>
    <mergeCell ref="S582:T584"/>
    <mergeCell ref="U582:Z584"/>
    <mergeCell ref="AA582:AB584"/>
    <mergeCell ref="AC582:AD584"/>
    <mergeCell ref="AE582:AF584"/>
    <mergeCell ref="AG582:AH584"/>
    <mergeCell ref="B582:C584"/>
    <mergeCell ref="D582:I584"/>
    <mergeCell ref="J582:K584"/>
    <mergeCell ref="L582:M584"/>
    <mergeCell ref="N582:O584"/>
    <mergeCell ref="P582:Q584"/>
    <mergeCell ref="S579:T581"/>
    <mergeCell ref="U579:Z581"/>
    <mergeCell ref="AA579:AB581"/>
    <mergeCell ref="AC579:AD581"/>
    <mergeCell ref="AE579:AF581"/>
    <mergeCell ref="AG579:AH581"/>
    <mergeCell ref="B579:C581"/>
    <mergeCell ref="D579:I581"/>
    <mergeCell ref="J579:K581"/>
    <mergeCell ref="L579:M581"/>
    <mergeCell ref="N579:O581"/>
    <mergeCell ref="P579:Q581"/>
    <mergeCell ref="S576:T578"/>
    <mergeCell ref="U576:Z578"/>
    <mergeCell ref="AA576:AB578"/>
    <mergeCell ref="AC576:AD578"/>
    <mergeCell ref="AE576:AF578"/>
    <mergeCell ref="AG576:AH578"/>
    <mergeCell ref="B576:C578"/>
    <mergeCell ref="D576:I578"/>
    <mergeCell ref="J576:K578"/>
    <mergeCell ref="L576:M578"/>
    <mergeCell ref="N576:O578"/>
    <mergeCell ref="P576:Q578"/>
    <mergeCell ref="S573:T575"/>
    <mergeCell ref="U573:Z575"/>
    <mergeCell ref="AA573:AB575"/>
    <mergeCell ref="AC573:AD575"/>
    <mergeCell ref="AE573:AF575"/>
    <mergeCell ref="AG573:AH575"/>
    <mergeCell ref="B573:C575"/>
    <mergeCell ref="D573:I575"/>
    <mergeCell ref="J573:K575"/>
    <mergeCell ref="L573:M575"/>
    <mergeCell ref="N573:O575"/>
    <mergeCell ref="P573:Q575"/>
    <mergeCell ref="S570:T572"/>
    <mergeCell ref="U570:Z572"/>
    <mergeCell ref="AA570:AB572"/>
    <mergeCell ref="AC570:AD572"/>
    <mergeCell ref="AE570:AF572"/>
    <mergeCell ref="AG570:AH572"/>
    <mergeCell ref="B570:C572"/>
    <mergeCell ref="D570:I572"/>
    <mergeCell ref="J570:K572"/>
    <mergeCell ref="L570:M572"/>
    <mergeCell ref="N570:O572"/>
    <mergeCell ref="P570:Q572"/>
    <mergeCell ref="S567:T569"/>
    <mergeCell ref="U567:Z569"/>
    <mergeCell ref="AA567:AB569"/>
    <mergeCell ref="AC567:AD569"/>
    <mergeCell ref="AE567:AF569"/>
    <mergeCell ref="AG567:AH569"/>
    <mergeCell ref="B567:C569"/>
    <mergeCell ref="D567:I569"/>
    <mergeCell ref="J567:K569"/>
    <mergeCell ref="L567:M569"/>
    <mergeCell ref="N567:O569"/>
    <mergeCell ref="P567:Q569"/>
    <mergeCell ref="S564:T566"/>
    <mergeCell ref="U564:Z566"/>
    <mergeCell ref="AA564:AB566"/>
    <mergeCell ref="AC564:AD566"/>
    <mergeCell ref="AE564:AF566"/>
    <mergeCell ref="AG564:AH566"/>
    <mergeCell ref="B564:C566"/>
    <mergeCell ref="D564:I566"/>
    <mergeCell ref="J564:K566"/>
    <mergeCell ref="L564:M566"/>
    <mergeCell ref="N564:O566"/>
    <mergeCell ref="P564:Q566"/>
    <mergeCell ref="S561:T563"/>
    <mergeCell ref="U561:Z563"/>
    <mergeCell ref="AA561:AB563"/>
    <mergeCell ref="AC561:AD563"/>
    <mergeCell ref="AE561:AF563"/>
    <mergeCell ref="AG561:AH563"/>
    <mergeCell ref="B561:C563"/>
    <mergeCell ref="D561:I563"/>
    <mergeCell ref="J561:K563"/>
    <mergeCell ref="L561:M563"/>
    <mergeCell ref="N561:O563"/>
    <mergeCell ref="P561:Q563"/>
    <mergeCell ref="S558:T560"/>
    <mergeCell ref="U558:Z560"/>
    <mergeCell ref="AA558:AB560"/>
    <mergeCell ref="AC558:AD560"/>
    <mergeCell ref="AE558:AF560"/>
    <mergeCell ref="AG558:AH560"/>
    <mergeCell ref="B558:C560"/>
    <mergeCell ref="D558:I560"/>
    <mergeCell ref="J558:K560"/>
    <mergeCell ref="L558:M560"/>
    <mergeCell ref="N558:O560"/>
    <mergeCell ref="P558:Q560"/>
    <mergeCell ref="S555:T557"/>
    <mergeCell ref="U555:Z557"/>
    <mergeCell ref="AA555:AB557"/>
    <mergeCell ref="AC555:AD557"/>
    <mergeCell ref="AE555:AF557"/>
    <mergeCell ref="AG555:AH557"/>
    <mergeCell ref="B555:C557"/>
    <mergeCell ref="D555:I557"/>
    <mergeCell ref="J555:K557"/>
    <mergeCell ref="L555:M557"/>
    <mergeCell ref="N555:O557"/>
    <mergeCell ref="P555:Q557"/>
    <mergeCell ref="S552:T554"/>
    <mergeCell ref="U552:Z554"/>
    <mergeCell ref="AA552:AB554"/>
    <mergeCell ref="AC552:AD554"/>
    <mergeCell ref="AE552:AF554"/>
    <mergeCell ref="AG552:AH554"/>
    <mergeCell ref="B552:C554"/>
    <mergeCell ref="D552:I554"/>
    <mergeCell ref="J552:K554"/>
    <mergeCell ref="L552:M554"/>
    <mergeCell ref="N552:O554"/>
    <mergeCell ref="P552:Q554"/>
    <mergeCell ref="S549:T551"/>
    <mergeCell ref="U549:Z551"/>
    <mergeCell ref="AA549:AB551"/>
    <mergeCell ref="AC549:AD551"/>
    <mergeCell ref="AE549:AF551"/>
    <mergeCell ref="AG549:AH551"/>
    <mergeCell ref="B549:C551"/>
    <mergeCell ref="D549:I551"/>
    <mergeCell ref="J549:K551"/>
    <mergeCell ref="L549:M551"/>
    <mergeCell ref="N549:O551"/>
    <mergeCell ref="P549:Q551"/>
    <mergeCell ref="S546:T548"/>
    <mergeCell ref="U546:Z548"/>
    <mergeCell ref="AA546:AB548"/>
    <mergeCell ref="AC546:AD548"/>
    <mergeCell ref="AE546:AF548"/>
    <mergeCell ref="AG546:AH548"/>
    <mergeCell ref="B546:C548"/>
    <mergeCell ref="D546:I548"/>
    <mergeCell ref="J546:K548"/>
    <mergeCell ref="L546:M548"/>
    <mergeCell ref="N546:O548"/>
    <mergeCell ref="P546:Q548"/>
    <mergeCell ref="S543:T545"/>
    <mergeCell ref="U543:Z545"/>
    <mergeCell ref="AA543:AB545"/>
    <mergeCell ref="AC543:AD545"/>
    <mergeCell ref="AE543:AF545"/>
    <mergeCell ref="AG543:AH545"/>
    <mergeCell ref="B543:C545"/>
    <mergeCell ref="D543:I545"/>
    <mergeCell ref="J543:K545"/>
    <mergeCell ref="L543:M545"/>
    <mergeCell ref="N543:O545"/>
    <mergeCell ref="P543:Q545"/>
    <mergeCell ref="S540:T542"/>
    <mergeCell ref="U540:Z542"/>
    <mergeCell ref="AA540:AB542"/>
    <mergeCell ref="AC540:AD542"/>
    <mergeCell ref="AE540:AF542"/>
    <mergeCell ref="AG540:AH542"/>
    <mergeCell ref="B540:C542"/>
    <mergeCell ref="D540:I542"/>
    <mergeCell ref="J540:K542"/>
    <mergeCell ref="L540:M542"/>
    <mergeCell ref="N540:O542"/>
    <mergeCell ref="P540:Q542"/>
    <mergeCell ref="S537:T539"/>
    <mergeCell ref="U537:Z539"/>
    <mergeCell ref="AA537:AB539"/>
    <mergeCell ref="AC537:AD539"/>
    <mergeCell ref="AE537:AF539"/>
    <mergeCell ref="AG537:AH539"/>
    <mergeCell ref="B537:C539"/>
    <mergeCell ref="D537:I539"/>
    <mergeCell ref="J537:K539"/>
    <mergeCell ref="L537:M539"/>
    <mergeCell ref="N537:O539"/>
    <mergeCell ref="P537:Q539"/>
    <mergeCell ref="S534:T536"/>
    <mergeCell ref="U534:Z536"/>
    <mergeCell ref="AA534:AB536"/>
    <mergeCell ref="AC534:AD536"/>
    <mergeCell ref="AE534:AF536"/>
    <mergeCell ref="AG534:AH536"/>
    <mergeCell ref="B534:C536"/>
    <mergeCell ref="D534:I536"/>
    <mergeCell ref="J534:K536"/>
    <mergeCell ref="L534:M536"/>
    <mergeCell ref="N534:O536"/>
    <mergeCell ref="P534:Q536"/>
    <mergeCell ref="S531:T533"/>
    <mergeCell ref="U531:Z533"/>
    <mergeCell ref="AA531:AB533"/>
    <mergeCell ref="AC531:AD533"/>
    <mergeCell ref="AE531:AF533"/>
    <mergeCell ref="AG531:AH533"/>
    <mergeCell ref="B531:C533"/>
    <mergeCell ref="D531:I533"/>
    <mergeCell ref="J531:K533"/>
    <mergeCell ref="L531:M533"/>
    <mergeCell ref="N531:O533"/>
    <mergeCell ref="P531:Q533"/>
    <mergeCell ref="S528:T530"/>
    <mergeCell ref="U528:Z530"/>
    <mergeCell ref="AA528:AB530"/>
    <mergeCell ref="AC528:AD530"/>
    <mergeCell ref="AE528:AF530"/>
    <mergeCell ref="AG528:AH530"/>
    <mergeCell ref="B528:C530"/>
    <mergeCell ref="D528:I530"/>
    <mergeCell ref="J528:K530"/>
    <mergeCell ref="L528:M530"/>
    <mergeCell ref="N528:O530"/>
    <mergeCell ref="P528:Q530"/>
    <mergeCell ref="S525:T527"/>
    <mergeCell ref="U525:Z527"/>
    <mergeCell ref="AA525:AB527"/>
    <mergeCell ref="AC525:AD527"/>
    <mergeCell ref="AE525:AF527"/>
    <mergeCell ref="AG525:AH527"/>
    <mergeCell ref="B525:C527"/>
    <mergeCell ref="D525:I527"/>
    <mergeCell ref="J525:K527"/>
    <mergeCell ref="L525:M527"/>
    <mergeCell ref="N525:O527"/>
    <mergeCell ref="P525:Q527"/>
    <mergeCell ref="S522:T524"/>
    <mergeCell ref="U522:Z524"/>
    <mergeCell ref="AA522:AB524"/>
    <mergeCell ref="AC522:AD524"/>
    <mergeCell ref="AE522:AF524"/>
    <mergeCell ref="AG522:AH524"/>
    <mergeCell ref="B522:C524"/>
    <mergeCell ref="D522:I524"/>
    <mergeCell ref="J522:K524"/>
    <mergeCell ref="L522:M524"/>
    <mergeCell ref="N522:O524"/>
    <mergeCell ref="P522:Q524"/>
    <mergeCell ref="S519:T521"/>
    <mergeCell ref="U519:Z521"/>
    <mergeCell ref="AA519:AB521"/>
    <mergeCell ref="AC519:AD521"/>
    <mergeCell ref="AE519:AF521"/>
    <mergeCell ref="AG519:AH521"/>
    <mergeCell ref="B519:C521"/>
    <mergeCell ref="D519:I521"/>
    <mergeCell ref="J519:K521"/>
    <mergeCell ref="L519:M521"/>
    <mergeCell ref="N519:O521"/>
    <mergeCell ref="P519:Q521"/>
    <mergeCell ref="S516:T518"/>
    <mergeCell ref="U516:Z518"/>
    <mergeCell ref="AA516:AB518"/>
    <mergeCell ref="AC516:AD518"/>
    <mergeCell ref="AE516:AF518"/>
    <mergeCell ref="AG516:AH518"/>
    <mergeCell ref="B516:C518"/>
    <mergeCell ref="D516:I518"/>
    <mergeCell ref="J516:K518"/>
    <mergeCell ref="L516:M518"/>
    <mergeCell ref="N516:O518"/>
    <mergeCell ref="P516:Q518"/>
    <mergeCell ref="S513:T515"/>
    <mergeCell ref="U513:Z515"/>
    <mergeCell ref="AA513:AB515"/>
    <mergeCell ref="AC513:AD515"/>
    <mergeCell ref="AE513:AF515"/>
    <mergeCell ref="AG513:AH515"/>
    <mergeCell ref="B513:C515"/>
    <mergeCell ref="D513:I515"/>
    <mergeCell ref="J513:K515"/>
    <mergeCell ref="L513:M515"/>
    <mergeCell ref="N513:O515"/>
    <mergeCell ref="P513:Q515"/>
    <mergeCell ref="S510:T512"/>
    <mergeCell ref="U510:Z512"/>
    <mergeCell ref="AA510:AB512"/>
    <mergeCell ref="AC510:AD512"/>
    <mergeCell ref="AE510:AF512"/>
    <mergeCell ref="AG510:AH512"/>
    <mergeCell ref="B510:C512"/>
    <mergeCell ref="D510:I512"/>
    <mergeCell ref="J510:K512"/>
    <mergeCell ref="L510:M512"/>
    <mergeCell ref="N510:O512"/>
    <mergeCell ref="P510:Q512"/>
    <mergeCell ref="S507:T509"/>
    <mergeCell ref="U507:Z509"/>
    <mergeCell ref="AA507:AB509"/>
    <mergeCell ref="AC507:AD509"/>
    <mergeCell ref="AE507:AF509"/>
    <mergeCell ref="AG507:AH509"/>
    <mergeCell ref="B507:C509"/>
    <mergeCell ref="D507:I509"/>
    <mergeCell ref="J507:K509"/>
    <mergeCell ref="L507:M509"/>
    <mergeCell ref="N507:O509"/>
    <mergeCell ref="P507:Q509"/>
    <mergeCell ref="S504:T506"/>
    <mergeCell ref="U504:Z506"/>
    <mergeCell ref="AA504:AB506"/>
    <mergeCell ref="AC504:AD506"/>
    <mergeCell ref="AE504:AF506"/>
    <mergeCell ref="AG504:AH506"/>
    <mergeCell ref="B504:C506"/>
    <mergeCell ref="D504:I506"/>
    <mergeCell ref="J504:K506"/>
    <mergeCell ref="L504:M506"/>
    <mergeCell ref="N504:O506"/>
    <mergeCell ref="P504:Q506"/>
    <mergeCell ref="S501:T503"/>
    <mergeCell ref="U501:Z503"/>
    <mergeCell ref="AA501:AB503"/>
    <mergeCell ref="AC501:AD503"/>
    <mergeCell ref="AE501:AF503"/>
    <mergeCell ref="AG501:AH503"/>
    <mergeCell ref="B501:C503"/>
    <mergeCell ref="D501:I503"/>
    <mergeCell ref="J501:K503"/>
    <mergeCell ref="L501:M503"/>
    <mergeCell ref="N501:O503"/>
    <mergeCell ref="P501:Q503"/>
    <mergeCell ref="S498:T500"/>
    <mergeCell ref="U498:Z500"/>
    <mergeCell ref="AA498:AB500"/>
    <mergeCell ref="AC498:AD500"/>
    <mergeCell ref="AE498:AF500"/>
    <mergeCell ref="AG498:AH500"/>
    <mergeCell ref="B498:C500"/>
    <mergeCell ref="D498:I500"/>
    <mergeCell ref="J498:K500"/>
    <mergeCell ref="L498:M500"/>
    <mergeCell ref="N498:O500"/>
    <mergeCell ref="P498:Q500"/>
    <mergeCell ref="S495:T497"/>
    <mergeCell ref="U495:Z497"/>
    <mergeCell ref="AA495:AB497"/>
    <mergeCell ref="AC495:AD497"/>
    <mergeCell ref="AE495:AF497"/>
    <mergeCell ref="AG495:AH497"/>
    <mergeCell ref="B495:C497"/>
    <mergeCell ref="D495:I497"/>
    <mergeCell ref="J495:K497"/>
    <mergeCell ref="L495:M497"/>
    <mergeCell ref="N495:O497"/>
    <mergeCell ref="P495:Q497"/>
    <mergeCell ref="S492:T494"/>
    <mergeCell ref="U492:Z494"/>
    <mergeCell ref="AA492:AB494"/>
    <mergeCell ref="AC492:AD494"/>
    <mergeCell ref="AE492:AF494"/>
    <mergeCell ref="AG492:AH494"/>
    <mergeCell ref="B492:C494"/>
    <mergeCell ref="D492:I494"/>
    <mergeCell ref="J492:K494"/>
    <mergeCell ref="L492:M494"/>
    <mergeCell ref="N492:O494"/>
    <mergeCell ref="P492:Q494"/>
    <mergeCell ref="S489:T491"/>
    <mergeCell ref="U489:Z491"/>
    <mergeCell ref="AA489:AB491"/>
    <mergeCell ref="AC489:AD491"/>
    <mergeCell ref="AE489:AF491"/>
    <mergeCell ref="AG489:AH491"/>
    <mergeCell ref="B489:C491"/>
    <mergeCell ref="D489:I491"/>
    <mergeCell ref="J489:K491"/>
    <mergeCell ref="L489:M491"/>
    <mergeCell ref="N489:O491"/>
    <mergeCell ref="P489:Q491"/>
    <mergeCell ref="S486:T488"/>
    <mergeCell ref="U486:Z488"/>
    <mergeCell ref="AA486:AB488"/>
    <mergeCell ref="AC486:AD488"/>
    <mergeCell ref="AE486:AF488"/>
    <mergeCell ref="AG486:AH488"/>
    <mergeCell ref="B486:C488"/>
    <mergeCell ref="D486:I488"/>
    <mergeCell ref="J486:K488"/>
    <mergeCell ref="L486:M488"/>
    <mergeCell ref="N486:O488"/>
    <mergeCell ref="P486:Q488"/>
    <mergeCell ref="S483:T485"/>
    <mergeCell ref="U483:Z485"/>
    <mergeCell ref="AA483:AB485"/>
    <mergeCell ref="AC483:AD485"/>
    <mergeCell ref="AE483:AF485"/>
    <mergeCell ref="AG483:AH485"/>
    <mergeCell ref="B483:C485"/>
    <mergeCell ref="D483:I485"/>
    <mergeCell ref="J483:K485"/>
    <mergeCell ref="L483:M485"/>
    <mergeCell ref="N483:O485"/>
    <mergeCell ref="P483:Q485"/>
    <mergeCell ref="S480:T482"/>
    <mergeCell ref="U480:Z482"/>
    <mergeCell ref="AA480:AB482"/>
    <mergeCell ref="AC480:AD482"/>
    <mergeCell ref="AE480:AF482"/>
    <mergeCell ref="AG480:AH482"/>
    <mergeCell ref="B480:C482"/>
    <mergeCell ref="D480:I482"/>
    <mergeCell ref="J480:K482"/>
    <mergeCell ref="L480:M482"/>
    <mergeCell ref="N480:O482"/>
    <mergeCell ref="P480:Q482"/>
    <mergeCell ref="S477:T479"/>
    <mergeCell ref="U477:Z479"/>
    <mergeCell ref="AA477:AB479"/>
    <mergeCell ref="AC477:AD479"/>
    <mergeCell ref="AE477:AF479"/>
    <mergeCell ref="AG477:AH479"/>
    <mergeCell ref="B477:C479"/>
    <mergeCell ref="D477:I479"/>
    <mergeCell ref="J477:K479"/>
    <mergeCell ref="L477:M479"/>
    <mergeCell ref="N477:O479"/>
    <mergeCell ref="P477:Q479"/>
    <mergeCell ref="S474:T476"/>
    <mergeCell ref="U474:Z476"/>
    <mergeCell ref="AA474:AB476"/>
    <mergeCell ref="AC474:AD476"/>
    <mergeCell ref="AE474:AF476"/>
    <mergeCell ref="AG474:AH476"/>
    <mergeCell ref="B474:C476"/>
    <mergeCell ref="D474:I476"/>
    <mergeCell ref="J474:K476"/>
    <mergeCell ref="L474:M476"/>
    <mergeCell ref="N474:O476"/>
    <mergeCell ref="P474:Q476"/>
    <mergeCell ref="S471:T473"/>
    <mergeCell ref="U471:Z473"/>
    <mergeCell ref="AA471:AB473"/>
    <mergeCell ref="AC471:AD473"/>
    <mergeCell ref="AE471:AF473"/>
    <mergeCell ref="AG471:AH473"/>
    <mergeCell ref="B471:C473"/>
    <mergeCell ref="D471:I473"/>
    <mergeCell ref="J471:K473"/>
    <mergeCell ref="L471:M473"/>
    <mergeCell ref="N471:O473"/>
    <mergeCell ref="P471:Q473"/>
    <mergeCell ref="S468:T470"/>
    <mergeCell ref="U468:Z470"/>
    <mergeCell ref="AA468:AB470"/>
    <mergeCell ref="AC468:AD470"/>
    <mergeCell ref="AE468:AF470"/>
    <mergeCell ref="AG468:AH470"/>
    <mergeCell ref="B468:C470"/>
    <mergeCell ref="D468:I470"/>
    <mergeCell ref="J468:K470"/>
    <mergeCell ref="L468:M470"/>
    <mergeCell ref="N468:O470"/>
    <mergeCell ref="P468:Q470"/>
    <mergeCell ref="S465:T467"/>
    <mergeCell ref="U465:Z467"/>
    <mergeCell ref="AA465:AB467"/>
    <mergeCell ref="AC465:AD467"/>
    <mergeCell ref="AE465:AF467"/>
    <mergeCell ref="AG465:AH467"/>
    <mergeCell ref="B465:C467"/>
    <mergeCell ref="D465:I467"/>
    <mergeCell ref="J465:K467"/>
    <mergeCell ref="L465:M467"/>
    <mergeCell ref="N465:O467"/>
    <mergeCell ref="P465:Q467"/>
    <mergeCell ref="S462:T464"/>
    <mergeCell ref="U462:Z464"/>
    <mergeCell ref="AA462:AB464"/>
    <mergeCell ref="AC462:AD464"/>
    <mergeCell ref="AE462:AF464"/>
    <mergeCell ref="AG462:AH464"/>
    <mergeCell ref="B462:C464"/>
    <mergeCell ref="D462:I464"/>
    <mergeCell ref="J462:K464"/>
    <mergeCell ref="L462:M464"/>
    <mergeCell ref="N462:O464"/>
    <mergeCell ref="P462:Q464"/>
    <mergeCell ref="S459:T461"/>
    <mergeCell ref="U459:Z461"/>
    <mergeCell ref="AA459:AB461"/>
    <mergeCell ref="AC459:AD461"/>
    <mergeCell ref="AE459:AF461"/>
    <mergeCell ref="AG459:AH461"/>
    <mergeCell ref="B459:C461"/>
    <mergeCell ref="D459:I461"/>
    <mergeCell ref="J459:K461"/>
    <mergeCell ref="L459:M461"/>
    <mergeCell ref="N459:O461"/>
    <mergeCell ref="P459:Q461"/>
    <mergeCell ref="S456:T458"/>
    <mergeCell ref="U456:Z458"/>
    <mergeCell ref="AA456:AB458"/>
    <mergeCell ref="AC456:AD458"/>
    <mergeCell ref="AE456:AF458"/>
    <mergeCell ref="AG456:AH458"/>
    <mergeCell ref="B456:C458"/>
    <mergeCell ref="D456:I458"/>
    <mergeCell ref="J456:K458"/>
    <mergeCell ref="L456:M458"/>
    <mergeCell ref="N456:O458"/>
    <mergeCell ref="P456:Q458"/>
    <mergeCell ref="S453:T455"/>
    <mergeCell ref="U453:Z455"/>
    <mergeCell ref="AA453:AB455"/>
    <mergeCell ref="AC453:AD455"/>
    <mergeCell ref="AE453:AF455"/>
    <mergeCell ref="AG453:AH455"/>
    <mergeCell ref="B453:C455"/>
    <mergeCell ref="D453:I455"/>
    <mergeCell ref="J453:K455"/>
    <mergeCell ref="L453:M455"/>
    <mergeCell ref="N453:O455"/>
    <mergeCell ref="P453:Q455"/>
    <mergeCell ref="S450:T452"/>
    <mergeCell ref="U450:Z452"/>
    <mergeCell ref="AA450:AB452"/>
    <mergeCell ref="AC450:AD452"/>
    <mergeCell ref="AE450:AF452"/>
    <mergeCell ref="AG450:AH452"/>
    <mergeCell ref="B450:C452"/>
    <mergeCell ref="D450:I452"/>
    <mergeCell ref="J450:K452"/>
    <mergeCell ref="L450:M452"/>
    <mergeCell ref="N450:O452"/>
    <mergeCell ref="P450:Q452"/>
    <mergeCell ref="S447:T449"/>
    <mergeCell ref="U447:Z449"/>
    <mergeCell ref="AA447:AB449"/>
    <mergeCell ref="AC447:AD449"/>
    <mergeCell ref="AE447:AF449"/>
    <mergeCell ref="AG447:AH449"/>
    <mergeCell ref="B447:C449"/>
    <mergeCell ref="D447:I449"/>
    <mergeCell ref="J447:K449"/>
    <mergeCell ref="L447:M449"/>
    <mergeCell ref="N447:O449"/>
    <mergeCell ref="P447:Q449"/>
    <mergeCell ref="S444:T446"/>
    <mergeCell ref="U444:Z446"/>
    <mergeCell ref="AA444:AB446"/>
    <mergeCell ref="AC444:AD446"/>
    <mergeCell ref="AE444:AF446"/>
    <mergeCell ref="AG444:AH446"/>
    <mergeCell ref="B444:C446"/>
    <mergeCell ref="D444:I446"/>
    <mergeCell ref="J444:K446"/>
    <mergeCell ref="L444:M446"/>
    <mergeCell ref="N444:O446"/>
    <mergeCell ref="P444:Q446"/>
    <mergeCell ref="S441:T443"/>
    <mergeCell ref="U441:Z443"/>
    <mergeCell ref="AA441:AB443"/>
    <mergeCell ref="AC441:AD443"/>
    <mergeCell ref="AE441:AF443"/>
    <mergeCell ref="AG441:AH443"/>
    <mergeCell ref="B441:C443"/>
    <mergeCell ref="D441:I443"/>
    <mergeCell ref="J441:K443"/>
    <mergeCell ref="L441:M443"/>
    <mergeCell ref="N441:O443"/>
    <mergeCell ref="P441:Q443"/>
    <mergeCell ref="S438:T440"/>
    <mergeCell ref="U438:Z440"/>
    <mergeCell ref="AA438:AB440"/>
    <mergeCell ref="AC438:AD440"/>
    <mergeCell ref="AE438:AF440"/>
    <mergeCell ref="AG438:AH440"/>
    <mergeCell ref="B438:C440"/>
    <mergeCell ref="D438:I440"/>
    <mergeCell ref="J438:K440"/>
    <mergeCell ref="L438:M440"/>
    <mergeCell ref="N438:O440"/>
    <mergeCell ref="P438:Q440"/>
    <mergeCell ref="S435:T437"/>
    <mergeCell ref="U435:Z437"/>
    <mergeCell ref="AA435:AB437"/>
    <mergeCell ref="AC435:AD437"/>
    <mergeCell ref="AE435:AF437"/>
    <mergeCell ref="AG435:AH437"/>
    <mergeCell ref="B435:C437"/>
    <mergeCell ref="D435:I437"/>
    <mergeCell ref="J435:K437"/>
    <mergeCell ref="L435:M437"/>
    <mergeCell ref="N435:O437"/>
    <mergeCell ref="P435:Q437"/>
    <mergeCell ref="S432:T434"/>
    <mergeCell ref="U432:Z434"/>
    <mergeCell ref="AA432:AB434"/>
    <mergeCell ref="AC432:AD434"/>
    <mergeCell ref="AE432:AF434"/>
    <mergeCell ref="AG432:AH434"/>
    <mergeCell ref="B432:C434"/>
    <mergeCell ref="D432:I434"/>
    <mergeCell ref="J432:K434"/>
    <mergeCell ref="L432:M434"/>
    <mergeCell ref="N432:O434"/>
    <mergeCell ref="P432:Q434"/>
    <mergeCell ref="S429:T431"/>
    <mergeCell ref="U429:Z431"/>
    <mergeCell ref="AA429:AB431"/>
    <mergeCell ref="AC429:AD431"/>
    <mergeCell ref="AE429:AF431"/>
    <mergeCell ref="AG429:AH431"/>
    <mergeCell ref="B429:C431"/>
    <mergeCell ref="D429:I431"/>
    <mergeCell ref="J429:K431"/>
    <mergeCell ref="L429:M431"/>
    <mergeCell ref="N429:O431"/>
    <mergeCell ref="P429:Q431"/>
    <mergeCell ref="S426:T428"/>
    <mergeCell ref="U426:Z428"/>
    <mergeCell ref="AA426:AB428"/>
    <mergeCell ref="AC426:AD428"/>
    <mergeCell ref="AE426:AF428"/>
    <mergeCell ref="AG426:AH428"/>
    <mergeCell ref="B426:C428"/>
    <mergeCell ref="D426:I428"/>
    <mergeCell ref="J426:K428"/>
    <mergeCell ref="L426:M428"/>
    <mergeCell ref="N426:O428"/>
    <mergeCell ref="P426:Q428"/>
    <mergeCell ref="S423:T425"/>
    <mergeCell ref="U423:Z425"/>
    <mergeCell ref="AA423:AB425"/>
    <mergeCell ref="AC423:AD425"/>
    <mergeCell ref="AE423:AF425"/>
    <mergeCell ref="AG423:AH425"/>
    <mergeCell ref="B423:C425"/>
    <mergeCell ref="D423:I425"/>
    <mergeCell ref="J423:K425"/>
    <mergeCell ref="L423:M425"/>
    <mergeCell ref="N423:O425"/>
    <mergeCell ref="P423:Q425"/>
    <mergeCell ref="S420:T422"/>
    <mergeCell ref="U420:Z422"/>
    <mergeCell ref="AA420:AB422"/>
    <mergeCell ref="AC420:AD422"/>
    <mergeCell ref="AE420:AF422"/>
    <mergeCell ref="AG420:AH422"/>
    <mergeCell ref="B420:C422"/>
    <mergeCell ref="D420:I422"/>
    <mergeCell ref="J420:K422"/>
    <mergeCell ref="L420:M422"/>
    <mergeCell ref="N420:O422"/>
    <mergeCell ref="P420:Q422"/>
    <mergeCell ref="S417:T419"/>
    <mergeCell ref="U417:Z419"/>
    <mergeCell ref="AA417:AB419"/>
    <mergeCell ref="AC417:AD419"/>
    <mergeCell ref="AE417:AF419"/>
    <mergeCell ref="AG417:AH419"/>
    <mergeCell ref="B417:C419"/>
    <mergeCell ref="D417:I419"/>
    <mergeCell ref="J417:K419"/>
    <mergeCell ref="L417:M419"/>
    <mergeCell ref="N417:O419"/>
    <mergeCell ref="P417:Q419"/>
    <mergeCell ref="S414:T416"/>
    <mergeCell ref="U414:Z416"/>
    <mergeCell ref="AA414:AB416"/>
    <mergeCell ref="AC414:AD416"/>
    <mergeCell ref="AE414:AF416"/>
    <mergeCell ref="AG414:AH416"/>
    <mergeCell ref="B414:C416"/>
    <mergeCell ref="D414:I416"/>
    <mergeCell ref="J414:K416"/>
    <mergeCell ref="L414:M416"/>
    <mergeCell ref="N414:O416"/>
    <mergeCell ref="P414:Q416"/>
    <mergeCell ref="S411:T413"/>
    <mergeCell ref="U411:Z413"/>
    <mergeCell ref="AA411:AB413"/>
    <mergeCell ref="AC411:AD413"/>
    <mergeCell ref="AE411:AF413"/>
    <mergeCell ref="AG411:AH413"/>
    <mergeCell ref="B411:C413"/>
    <mergeCell ref="D411:I413"/>
    <mergeCell ref="J411:K413"/>
    <mergeCell ref="L411:M413"/>
    <mergeCell ref="N411:O413"/>
    <mergeCell ref="P411:Q413"/>
    <mergeCell ref="S408:T410"/>
    <mergeCell ref="U408:Z410"/>
    <mergeCell ref="AA408:AB410"/>
    <mergeCell ref="AC408:AD410"/>
    <mergeCell ref="AE408:AF410"/>
    <mergeCell ref="AG408:AH410"/>
    <mergeCell ref="B408:C410"/>
    <mergeCell ref="D408:I410"/>
    <mergeCell ref="J408:K410"/>
    <mergeCell ref="L408:M410"/>
    <mergeCell ref="N408:O410"/>
    <mergeCell ref="P408:Q410"/>
    <mergeCell ref="S405:T407"/>
    <mergeCell ref="U405:Z407"/>
    <mergeCell ref="AA405:AB407"/>
    <mergeCell ref="AC405:AD407"/>
    <mergeCell ref="AE405:AF407"/>
    <mergeCell ref="AG405:AH407"/>
    <mergeCell ref="B405:C407"/>
    <mergeCell ref="D405:I407"/>
    <mergeCell ref="J405:K407"/>
    <mergeCell ref="L405:M407"/>
    <mergeCell ref="N405:O407"/>
    <mergeCell ref="P405:Q407"/>
    <mergeCell ref="S402:T404"/>
    <mergeCell ref="U402:Z404"/>
    <mergeCell ref="AA402:AB404"/>
    <mergeCell ref="AC402:AD404"/>
    <mergeCell ref="AE402:AF404"/>
    <mergeCell ref="AG402:AH404"/>
    <mergeCell ref="B402:C404"/>
    <mergeCell ref="D402:I404"/>
    <mergeCell ref="J402:K404"/>
    <mergeCell ref="L402:M404"/>
    <mergeCell ref="N402:O404"/>
    <mergeCell ref="P402:Q404"/>
    <mergeCell ref="S399:T401"/>
    <mergeCell ref="U399:Z401"/>
    <mergeCell ref="AA399:AB401"/>
    <mergeCell ref="AC399:AD401"/>
    <mergeCell ref="AE399:AF401"/>
    <mergeCell ref="AG399:AH401"/>
    <mergeCell ref="B399:C401"/>
    <mergeCell ref="D399:I401"/>
    <mergeCell ref="J399:K401"/>
    <mergeCell ref="L399:M401"/>
    <mergeCell ref="N399:O401"/>
    <mergeCell ref="P399:Q401"/>
    <mergeCell ref="S396:T398"/>
    <mergeCell ref="U396:Z398"/>
    <mergeCell ref="AA396:AB398"/>
    <mergeCell ref="AC396:AD398"/>
    <mergeCell ref="AE396:AF398"/>
    <mergeCell ref="AG396:AH398"/>
    <mergeCell ref="B396:C398"/>
    <mergeCell ref="D396:I398"/>
    <mergeCell ref="J396:K398"/>
    <mergeCell ref="L396:M398"/>
    <mergeCell ref="N396:O398"/>
    <mergeCell ref="P396:Q398"/>
    <mergeCell ref="S393:T395"/>
    <mergeCell ref="U393:Z395"/>
    <mergeCell ref="AA393:AB395"/>
    <mergeCell ref="AC393:AD395"/>
    <mergeCell ref="AE393:AF395"/>
    <mergeCell ref="AG393:AH395"/>
    <mergeCell ref="B393:C395"/>
    <mergeCell ref="D393:I395"/>
    <mergeCell ref="J393:K395"/>
    <mergeCell ref="L393:M395"/>
    <mergeCell ref="N393:O395"/>
    <mergeCell ref="P393:Q395"/>
    <mergeCell ref="S390:T392"/>
    <mergeCell ref="U390:Z392"/>
    <mergeCell ref="AA390:AB392"/>
    <mergeCell ref="AC390:AD392"/>
    <mergeCell ref="AE390:AF392"/>
    <mergeCell ref="AG390:AH392"/>
    <mergeCell ref="B390:C392"/>
    <mergeCell ref="D390:I392"/>
    <mergeCell ref="J390:K392"/>
    <mergeCell ref="L390:M392"/>
    <mergeCell ref="N390:O392"/>
    <mergeCell ref="P390:Q392"/>
    <mergeCell ref="S387:T389"/>
    <mergeCell ref="U387:Z389"/>
    <mergeCell ref="AA387:AB389"/>
    <mergeCell ref="AC387:AD389"/>
    <mergeCell ref="AE387:AF389"/>
    <mergeCell ref="AG387:AH389"/>
    <mergeCell ref="B387:C389"/>
    <mergeCell ref="D387:I389"/>
    <mergeCell ref="J387:K389"/>
    <mergeCell ref="L387:M389"/>
    <mergeCell ref="N387:O389"/>
    <mergeCell ref="P387:Q389"/>
    <mergeCell ref="S384:T386"/>
    <mergeCell ref="U384:Z386"/>
    <mergeCell ref="AA384:AB386"/>
    <mergeCell ref="AC384:AD386"/>
    <mergeCell ref="AE384:AF386"/>
    <mergeCell ref="AG384:AH386"/>
    <mergeCell ref="B384:C386"/>
    <mergeCell ref="D384:I386"/>
    <mergeCell ref="J384:K386"/>
    <mergeCell ref="L384:M386"/>
    <mergeCell ref="N384:O386"/>
    <mergeCell ref="P384:Q386"/>
    <mergeCell ref="S381:T383"/>
    <mergeCell ref="U381:Z383"/>
    <mergeCell ref="AA381:AB383"/>
    <mergeCell ref="AC381:AD383"/>
    <mergeCell ref="AE381:AF383"/>
    <mergeCell ref="AG381:AH383"/>
    <mergeCell ref="B381:C383"/>
    <mergeCell ref="D381:I383"/>
    <mergeCell ref="J381:K383"/>
    <mergeCell ref="L381:M383"/>
    <mergeCell ref="N381:O383"/>
    <mergeCell ref="P381:Q383"/>
    <mergeCell ref="S378:T380"/>
    <mergeCell ref="U378:Z380"/>
    <mergeCell ref="AA378:AB380"/>
    <mergeCell ref="AC378:AD380"/>
    <mergeCell ref="AE378:AF380"/>
    <mergeCell ref="AG378:AH380"/>
    <mergeCell ref="B378:C380"/>
    <mergeCell ref="D378:I380"/>
    <mergeCell ref="J378:K380"/>
    <mergeCell ref="L378:M380"/>
    <mergeCell ref="N378:O380"/>
    <mergeCell ref="P378:Q380"/>
    <mergeCell ref="S375:T377"/>
    <mergeCell ref="U375:Z377"/>
    <mergeCell ref="AA375:AB377"/>
    <mergeCell ref="AC375:AD377"/>
    <mergeCell ref="AE375:AF377"/>
    <mergeCell ref="AG375:AH377"/>
    <mergeCell ref="B375:C377"/>
    <mergeCell ref="D375:I377"/>
    <mergeCell ref="J375:K377"/>
    <mergeCell ref="L375:M377"/>
    <mergeCell ref="N375:O377"/>
    <mergeCell ref="P375:Q377"/>
    <mergeCell ref="S372:T374"/>
    <mergeCell ref="U372:Z374"/>
    <mergeCell ref="AA372:AB374"/>
    <mergeCell ref="AC372:AD374"/>
    <mergeCell ref="AE372:AF374"/>
    <mergeCell ref="AG372:AH374"/>
    <mergeCell ref="B372:C374"/>
    <mergeCell ref="D372:I374"/>
    <mergeCell ref="J372:K374"/>
    <mergeCell ref="L372:M374"/>
    <mergeCell ref="N372:O374"/>
    <mergeCell ref="P372:Q374"/>
    <mergeCell ref="S369:T371"/>
    <mergeCell ref="U369:Z371"/>
    <mergeCell ref="AA369:AB371"/>
    <mergeCell ref="AC369:AD371"/>
    <mergeCell ref="AE369:AF371"/>
    <mergeCell ref="AG369:AH371"/>
    <mergeCell ref="B369:C371"/>
    <mergeCell ref="D369:I371"/>
    <mergeCell ref="J369:K371"/>
    <mergeCell ref="L369:M371"/>
    <mergeCell ref="N369:O371"/>
    <mergeCell ref="P369:Q371"/>
    <mergeCell ref="S366:T368"/>
    <mergeCell ref="U366:Z368"/>
    <mergeCell ref="AA366:AB368"/>
    <mergeCell ref="AC366:AD368"/>
    <mergeCell ref="AE366:AF368"/>
    <mergeCell ref="AG366:AH368"/>
    <mergeCell ref="B366:C368"/>
    <mergeCell ref="D366:I368"/>
    <mergeCell ref="J366:K368"/>
    <mergeCell ref="L366:M368"/>
    <mergeCell ref="N366:O368"/>
    <mergeCell ref="P366:Q368"/>
    <mergeCell ref="S363:T365"/>
    <mergeCell ref="U363:Z365"/>
    <mergeCell ref="AA363:AB365"/>
    <mergeCell ref="AC363:AD365"/>
    <mergeCell ref="AE363:AF365"/>
    <mergeCell ref="AG363:AH365"/>
    <mergeCell ref="B363:C365"/>
    <mergeCell ref="D363:I365"/>
    <mergeCell ref="J363:K365"/>
    <mergeCell ref="L363:M365"/>
    <mergeCell ref="N363:O365"/>
    <mergeCell ref="P363:Q365"/>
    <mergeCell ref="S360:T362"/>
    <mergeCell ref="U360:Z362"/>
    <mergeCell ref="AA360:AB362"/>
    <mergeCell ref="AC360:AD362"/>
    <mergeCell ref="AE360:AF362"/>
    <mergeCell ref="AG360:AH362"/>
    <mergeCell ref="B360:C362"/>
    <mergeCell ref="D360:I362"/>
    <mergeCell ref="J360:K362"/>
    <mergeCell ref="L360:M362"/>
    <mergeCell ref="N360:O362"/>
    <mergeCell ref="P360:Q362"/>
    <mergeCell ref="S357:T359"/>
    <mergeCell ref="U357:Z359"/>
    <mergeCell ref="AA357:AB359"/>
    <mergeCell ref="AC357:AD359"/>
    <mergeCell ref="AE357:AF359"/>
    <mergeCell ref="AG357:AH359"/>
    <mergeCell ref="B357:C359"/>
    <mergeCell ref="D357:I359"/>
    <mergeCell ref="J357:K359"/>
    <mergeCell ref="L357:M359"/>
    <mergeCell ref="N357:O359"/>
    <mergeCell ref="P357:Q359"/>
    <mergeCell ref="S354:T356"/>
    <mergeCell ref="U354:Z356"/>
    <mergeCell ref="AA354:AB356"/>
    <mergeCell ref="AC354:AD356"/>
    <mergeCell ref="AE354:AF356"/>
    <mergeCell ref="AG354:AH356"/>
    <mergeCell ref="B354:C356"/>
    <mergeCell ref="D354:I356"/>
    <mergeCell ref="J354:K356"/>
    <mergeCell ref="L354:M356"/>
    <mergeCell ref="N354:O356"/>
    <mergeCell ref="P354:Q356"/>
    <mergeCell ref="S351:T353"/>
    <mergeCell ref="U351:Z353"/>
    <mergeCell ref="AA351:AB353"/>
    <mergeCell ref="AC351:AD353"/>
    <mergeCell ref="AE351:AF353"/>
    <mergeCell ref="AG351:AH353"/>
    <mergeCell ref="B351:C353"/>
    <mergeCell ref="D351:I353"/>
    <mergeCell ref="J351:K353"/>
    <mergeCell ref="L351:M353"/>
    <mergeCell ref="N351:O353"/>
    <mergeCell ref="P351:Q353"/>
    <mergeCell ref="S348:T350"/>
    <mergeCell ref="U348:Z350"/>
    <mergeCell ref="AA348:AB350"/>
    <mergeCell ref="AC348:AD350"/>
    <mergeCell ref="AE348:AF350"/>
    <mergeCell ref="AG348:AH350"/>
    <mergeCell ref="B348:C350"/>
    <mergeCell ref="D348:I350"/>
    <mergeCell ref="J348:K350"/>
    <mergeCell ref="L348:M350"/>
    <mergeCell ref="N348:O350"/>
    <mergeCell ref="P348:Q350"/>
    <mergeCell ref="S345:T347"/>
    <mergeCell ref="U345:Z347"/>
    <mergeCell ref="AA345:AB347"/>
    <mergeCell ref="AC345:AD347"/>
    <mergeCell ref="AE345:AF347"/>
    <mergeCell ref="AG345:AH347"/>
    <mergeCell ref="B345:C347"/>
    <mergeCell ref="D345:I347"/>
    <mergeCell ref="J345:K347"/>
    <mergeCell ref="L345:M347"/>
    <mergeCell ref="N345:O347"/>
    <mergeCell ref="P345:Q347"/>
    <mergeCell ref="S342:T344"/>
    <mergeCell ref="U342:Z344"/>
    <mergeCell ref="AA342:AB344"/>
    <mergeCell ref="AC342:AD344"/>
    <mergeCell ref="AE342:AF344"/>
    <mergeCell ref="AG342:AH344"/>
    <mergeCell ref="B342:C344"/>
    <mergeCell ref="D342:I344"/>
    <mergeCell ref="J342:K344"/>
    <mergeCell ref="L342:M344"/>
    <mergeCell ref="N342:O344"/>
    <mergeCell ref="P342:Q344"/>
    <mergeCell ref="S339:T341"/>
    <mergeCell ref="U339:Z341"/>
    <mergeCell ref="AA339:AB341"/>
    <mergeCell ref="AC339:AD341"/>
    <mergeCell ref="AE339:AF341"/>
    <mergeCell ref="AG339:AH341"/>
    <mergeCell ref="B339:C341"/>
    <mergeCell ref="D339:I341"/>
    <mergeCell ref="J339:K341"/>
    <mergeCell ref="L339:M341"/>
    <mergeCell ref="N339:O341"/>
    <mergeCell ref="P339:Q341"/>
    <mergeCell ref="S336:T338"/>
    <mergeCell ref="U336:Z338"/>
    <mergeCell ref="AA336:AB338"/>
    <mergeCell ref="AC336:AD338"/>
    <mergeCell ref="AE336:AF338"/>
    <mergeCell ref="AG336:AH338"/>
    <mergeCell ref="B336:C338"/>
    <mergeCell ref="D336:I338"/>
    <mergeCell ref="J336:K338"/>
    <mergeCell ref="L336:M338"/>
    <mergeCell ref="N336:O338"/>
    <mergeCell ref="P336:Q338"/>
    <mergeCell ref="S333:T335"/>
    <mergeCell ref="U333:Z335"/>
    <mergeCell ref="AA333:AB335"/>
    <mergeCell ref="AC333:AD335"/>
    <mergeCell ref="AE333:AF335"/>
    <mergeCell ref="AG333:AH335"/>
    <mergeCell ref="B333:C335"/>
    <mergeCell ref="D333:I335"/>
    <mergeCell ref="J333:K335"/>
    <mergeCell ref="L333:M335"/>
    <mergeCell ref="N333:O335"/>
    <mergeCell ref="P333:Q335"/>
    <mergeCell ref="S330:T332"/>
    <mergeCell ref="U330:Z332"/>
    <mergeCell ref="AA330:AB332"/>
    <mergeCell ref="AC330:AD332"/>
    <mergeCell ref="AE330:AF332"/>
    <mergeCell ref="AG330:AH332"/>
    <mergeCell ref="B330:C332"/>
    <mergeCell ref="D330:I332"/>
    <mergeCell ref="J330:K332"/>
    <mergeCell ref="L330:M332"/>
    <mergeCell ref="N330:O332"/>
    <mergeCell ref="P330:Q332"/>
    <mergeCell ref="S327:T329"/>
    <mergeCell ref="U327:Z329"/>
    <mergeCell ref="AA327:AB329"/>
    <mergeCell ref="AC327:AD329"/>
    <mergeCell ref="AE327:AF329"/>
    <mergeCell ref="AG327:AH329"/>
    <mergeCell ref="B327:C329"/>
    <mergeCell ref="D327:I329"/>
    <mergeCell ref="J327:K329"/>
    <mergeCell ref="L327:M329"/>
    <mergeCell ref="N327:O329"/>
    <mergeCell ref="P327:Q329"/>
    <mergeCell ref="S324:T326"/>
    <mergeCell ref="U324:Z326"/>
    <mergeCell ref="AA324:AB326"/>
    <mergeCell ref="AC324:AD326"/>
    <mergeCell ref="AE324:AF326"/>
    <mergeCell ref="AG324:AH326"/>
    <mergeCell ref="B324:C326"/>
    <mergeCell ref="D324:I326"/>
    <mergeCell ref="J324:K326"/>
    <mergeCell ref="L324:M326"/>
    <mergeCell ref="N324:O326"/>
    <mergeCell ref="P324:Q326"/>
    <mergeCell ref="S321:T323"/>
    <mergeCell ref="U321:Z323"/>
    <mergeCell ref="AA321:AB323"/>
    <mergeCell ref="AC321:AD323"/>
    <mergeCell ref="AE321:AF323"/>
    <mergeCell ref="AG321:AH323"/>
    <mergeCell ref="B321:C323"/>
    <mergeCell ref="D321:I323"/>
    <mergeCell ref="J321:K323"/>
    <mergeCell ref="L321:M323"/>
    <mergeCell ref="N321:O323"/>
    <mergeCell ref="P321:Q323"/>
    <mergeCell ref="S318:T320"/>
    <mergeCell ref="U318:Z320"/>
    <mergeCell ref="AA318:AB320"/>
    <mergeCell ref="AC318:AD320"/>
    <mergeCell ref="AE318:AF320"/>
    <mergeCell ref="AG318:AH320"/>
    <mergeCell ref="B318:C320"/>
    <mergeCell ref="D318:I320"/>
    <mergeCell ref="J318:K320"/>
    <mergeCell ref="L318:M320"/>
    <mergeCell ref="N318:O320"/>
    <mergeCell ref="P318:Q320"/>
    <mergeCell ref="S315:T317"/>
    <mergeCell ref="U315:Z317"/>
    <mergeCell ref="AA315:AB317"/>
    <mergeCell ref="AC315:AD317"/>
    <mergeCell ref="AE315:AF317"/>
    <mergeCell ref="AG315:AH317"/>
    <mergeCell ref="B315:C317"/>
    <mergeCell ref="D315:I317"/>
    <mergeCell ref="J315:K317"/>
    <mergeCell ref="L315:M317"/>
    <mergeCell ref="N315:O317"/>
    <mergeCell ref="P315:Q317"/>
    <mergeCell ref="S312:T314"/>
    <mergeCell ref="U312:Z314"/>
    <mergeCell ref="AA312:AB314"/>
    <mergeCell ref="AC312:AD314"/>
    <mergeCell ref="AE312:AF314"/>
    <mergeCell ref="AG312:AH314"/>
    <mergeCell ref="B312:C314"/>
    <mergeCell ref="D312:I314"/>
    <mergeCell ref="J312:K314"/>
    <mergeCell ref="L312:M314"/>
    <mergeCell ref="N312:O314"/>
    <mergeCell ref="P312:Q314"/>
    <mergeCell ref="S309:T311"/>
    <mergeCell ref="U309:Z311"/>
    <mergeCell ref="AA309:AB311"/>
    <mergeCell ref="AC309:AD311"/>
    <mergeCell ref="AE309:AF311"/>
    <mergeCell ref="AG309:AH311"/>
    <mergeCell ref="B309:C311"/>
    <mergeCell ref="D309:I311"/>
    <mergeCell ref="J309:K311"/>
    <mergeCell ref="L309:M311"/>
    <mergeCell ref="N309:O311"/>
    <mergeCell ref="P309:Q311"/>
    <mergeCell ref="S306:T308"/>
    <mergeCell ref="U306:Z308"/>
    <mergeCell ref="AA306:AB308"/>
    <mergeCell ref="AC306:AD308"/>
    <mergeCell ref="AE306:AF308"/>
    <mergeCell ref="AG306:AH308"/>
    <mergeCell ref="B306:C308"/>
    <mergeCell ref="D306:I308"/>
    <mergeCell ref="J306:K308"/>
    <mergeCell ref="L306:M308"/>
    <mergeCell ref="N306:O308"/>
    <mergeCell ref="P306:Q308"/>
    <mergeCell ref="S303:T305"/>
    <mergeCell ref="U303:Z305"/>
    <mergeCell ref="AA303:AB305"/>
    <mergeCell ref="AC303:AD305"/>
    <mergeCell ref="AE303:AF305"/>
    <mergeCell ref="AG303:AH305"/>
    <mergeCell ref="B303:C305"/>
    <mergeCell ref="D303:I305"/>
    <mergeCell ref="J303:K305"/>
    <mergeCell ref="L303:M305"/>
    <mergeCell ref="N303:O305"/>
    <mergeCell ref="P303:Q305"/>
    <mergeCell ref="S300:T302"/>
    <mergeCell ref="U300:Z302"/>
    <mergeCell ref="AA300:AB302"/>
    <mergeCell ref="AC300:AD302"/>
    <mergeCell ref="AE300:AF302"/>
    <mergeCell ref="AG300:AH302"/>
    <mergeCell ref="B300:C302"/>
    <mergeCell ref="D300:I302"/>
    <mergeCell ref="J300:K302"/>
    <mergeCell ref="L300:M302"/>
    <mergeCell ref="N300:O302"/>
    <mergeCell ref="P300:Q302"/>
    <mergeCell ref="S297:T299"/>
    <mergeCell ref="U297:Z299"/>
    <mergeCell ref="AA297:AB299"/>
    <mergeCell ref="AC297:AD299"/>
    <mergeCell ref="AE297:AF299"/>
    <mergeCell ref="AG297:AH299"/>
    <mergeCell ref="B297:C299"/>
    <mergeCell ref="D297:I299"/>
    <mergeCell ref="J297:K299"/>
    <mergeCell ref="L297:M299"/>
    <mergeCell ref="N297:O299"/>
    <mergeCell ref="P297:Q299"/>
    <mergeCell ref="S294:T296"/>
    <mergeCell ref="U294:Z296"/>
    <mergeCell ref="AA294:AB296"/>
    <mergeCell ref="AC294:AD296"/>
    <mergeCell ref="AE294:AF296"/>
    <mergeCell ref="AG294:AH296"/>
    <mergeCell ref="B294:C296"/>
    <mergeCell ref="D294:I296"/>
    <mergeCell ref="J294:K296"/>
    <mergeCell ref="L294:M296"/>
    <mergeCell ref="N294:O296"/>
    <mergeCell ref="P294:Q296"/>
    <mergeCell ref="S291:T293"/>
    <mergeCell ref="U291:Z293"/>
    <mergeCell ref="AA291:AB293"/>
    <mergeCell ref="AC291:AD293"/>
    <mergeCell ref="AE291:AF293"/>
    <mergeCell ref="AG291:AH293"/>
    <mergeCell ref="B291:C293"/>
    <mergeCell ref="D291:I293"/>
    <mergeCell ref="J291:K293"/>
    <mergeCell ref="L291:M293"/>
    <mergeCell ref="N291:O293"/>
    <mergeCell ref="P291:Q293"/>
    <mergeCell ref="S288:T290"/>
    <mergeCell ref="U288:Z290"/>
    <mergeCell ref="AA288:AB290"/>
    <mergeCell ref="AC288:AD290"/>
    <mergeCell ref="AE288:AF290"/>
    <mergeCell ref="AG288:AH290"/>
    <mergeCell ref="B288:C290"/>
    <mergeCell ref="D288:I290"/>
    <mergeCell ref="J288:K290"/>
    <mergeCell ref="L288:M290"/>
    <mergeCell ref="N288:O290"/>
    <mergeCell ref="P288:Q290"/>
    <mergeCell ref="S285:T287"/>
    <mergeCell ref="U285:Z287"/>
    <mergeCell ref="AA285:AB287"/>
    <mergeCell ref="AC285:AD287"/>
    <mergeCell ref="AE285:AF287"/>
    <mergeCell ref="AG285:AH287"/>
    <mergeCell ref="B285:C287"/>
    <mergeCell ref="D285:I287"/>
    <mergeCell ref="J285:K287"/>
    <mergeCell ref="L285:M287"/>
    <mergeCell ref="N285:O287"/>
    <mergeCell ref="P285:Q287"/>
    <mergeCell ref="S282:T284"/>
    <mergeCell ref="U282:Z284"/>
    <mergeCell ref="AA282:AB284"/>
    <mergeCell ref="AC282:AD284"/>
    <mergeCell ref="AE282:AF284"/>
    <mergeCell ref="AG282:AH284"/>
    <mergeCell ref="B282:C284"/>
    <mergeCell ref="D282:I284"/>
    <mergeCell ref="J282:K284"/>
    <mergeCell ref="L282:M284"/>
    <mergeCell ref="N282:O284"/>
    <mergeCell ref="P282:Q284"/>
    <mergeCell ref="S279:T281"/>
    <mergeCell ref="U279:Z281"/>
    <mergeCell ref="AA279:AB281"/>
    <mergeCell ref="AC279:AD281"/>
    <mergeCell ref="AE279:AF281"/>
    <mergeCell ref="AG279:AH281"/>
    <mergeCell ref="B279:C281"/>
    <mergeCell ref="D279:I281"/>
    <mergeCell ref="J279:K281"/>
    <mergeCell ref="L279:M281"/>
    <mergeCell ref="N279:O281"/>
    <mergeCell ref="P279:Q281"/>
    <mergeCell ref="S276:T278"/>
    <mergeCell ref="U276:Z278"/>
    <mergeCell ref="AA276:AB278"/>
    <mergeCell ref="AC276:AD278"/>
    <mergeCell ref="AE276:AF278"/>
    <mergeCell ref="AG276:AH278"/>
    <mergeCell ref="B276:C278"/>
    <mergeCell ref="D276:I278"/>
    <mergeCell ref="J276:K278"/>
    <mergeCell ref="L276:M278"/>
    <mergeCell ref="N276:O278"/>
    <mergeCell ref="P276:Q278"/>
    <mergeCell ref="S273:T275"/>
    <mergeCell ref="U273:Z275"/>
    <mergeCell ref="AA273:AB275"/>
    <mergeCell ref="AC273:AD275"/>
    <mergeCell ref="AE273:AF275"/>
    <mergeCell ref="AG273:AH275"/>
    <mergeCell ref="B273:C275"/>
    <mergeCell ref="D273:I275"/>
    <mergeCell ref="J273:K275"/>
    <mergeCell ref="L273:M275"/>
    <mergeCell ref="N273:O275"/>
    <mergeCell ref="P273:Q275"/>
    <mergeCell ref="S270:T272"/>
    <mergeCell ref="U270:Z272"/>
    <mergeCell ref="AA270:AB272"/>
    <mergeCell ref="AC270:AD272"/>
    <mergeCell ref="AE270:AF272"/>
    <mergeCell ref="AG270:AH272"/>
    <mergeCell ref="B270:C272"/>
    <mergeCell ref="D270:I272"/>
    <mergeCell ref="J270:K272"/>
    <mergeCell ref="L270:M272"/>
    <mergeCell ref="N270:O272"/>
    <mergeCell ref="P270:Q272"/>
    <mergeCell ref="S267:T269"/>
    <mergeCell ref="U267:Z269"/>
    <mergeCell ref="AA267:AB269"/>
    <mergeCell ref="AC267:AD269"/>
    <mergeCell ref="AE267:AF269"/>
    <mergeCell ref="AG267:AH269"/>
    <mergeCell ref="B267:C269"/>
    <mergeCell ref="D267:I269"/>
    <mergeCell ref="J267:K269"/>
    <mergeCell ref="L267:M269"/>
    <mergeCell ref="N267:O269"/>
    <mergeCell ref="P267:Q269"/>
    <mergeCell ref="S264:T266"/>
    <mergeCell ref="U264:Z266"/>
    <mergeCell ref="AA264:AB266"/>
    <mergeCell ref="AC264:AD266"/>
    <mergeCell ref="AE264:AF266"/>
    <mergeCell ref="AG264:AH266"/>
    <mergeCell ref="B264:C266"/>
    <mergeCell ref="D264:I266"/>
    <mergeCell ref="J264:K266"/>
    <mergeCell ref="L264:M266"/>
    <mergeCell ref="N264:O266"/>
    <mergeCell ref="P264:Q266"/>
    <mergeCell ref="S261:T263"/>
    <mergeCell ref="U261:Z263"/>
    <mergeCell ref="AA261:AB263"/>
    <mergeCell ref="AC261:AD263"/>
    <mergeCell ref="AE261:AF263"/>
    <mergeCell ref="AG261:AH263"/>
    <mergeCell ref="B261:C263"/>
    <mergeCell ref="D261:I263"/>
    <mergeCell ref="J261:K263"/>
    <mergeCell ref="L261:M263"/>
    <mergeCell ref="N261:O263"/>
    <mergeCell ref="P261:Q263"/>
    <mergeCell ref="S258:T260"/>
    <mergeCell ref="U258:Z260"/>
    <mergeCell ref="AA258:AB260"/>
    <mergeCell ref="AC258:AD260"/>
    <mergeCell ref="AE258:AF260"/>
    <mergeCell ref="AG258:AH260"/>
    <mergeCell ref="B258:C260"/>
    <mergeCell ref="D258:I260"/>
    <mergeCell ref="J258:K260"/>
    <mergeCell ref="L258:M260"/>
    <mergeCell ref="N258:O260"/>
    <mergeCell ref="P258:Q260"/>
    <mergeCell ref="S255:T257"/>
    <mergeCell ref="U255:Z257"/>
    <mergeCell ref="AA255:AB257"/>
    <mergeCell ref="AC255:AD257"/>
    <mergeCell ref="AE255:AF257"/>
    <mergeCell ref="AG255:AH257"/>
    <mergeCell ref="B255:C257"/>
    <mergeCell ref="D255:I257"/>
    <mergeCell ref="J255:K257"/>
    <mergeCell ref="L255:M257"/>
    <mergeCell ref="N255:O257"/>
    <mergeCell ref="P255:Q257"/>
    <mergeCell ref="S252:T254"/>
    <mergeCell ref="U252:Z254"/>
    <mergeCell ref="AA252:AB254"/>
    <mergeCell ref="AC252:AD254"/>
    <mergeCell ref="AE252:AF254"/>
    <mergeCell ref="AG252:AH254"/>
    <mergeCell ref="B252:C254"/>
    <mergeCell ref="D252:I254"/>
    <mergeCell ref="J252:K254"/>
    <mergeCell ref="L252:M254"/>
    <mergeCell ref="N252:O254"/>
    <mergeCell ref="P252:Q254"/>
    <mergeCell ref="S249:T251"/>
    <mergeCell ref="U249:Z251"/>
    <mergeCell ref="AA249:AB251"/>
    <mergeCell ref="AC249:AD251"/>
    <mergeCell ref="AE249:AF251"/>
    <mergeCell ref="AG249:AH251"/>
    <mergeCell ref="B249:C251"/>
    <mergeCell ref="D249:I251"/>
    <mergeCell ref="J249:K251"/>
    <mergeCell ref="L249:M251"/>
    <mergeCell ref="N249:O251"/>
    <mergeCell ref="P249:Q251"/>
    <mergeCell ref="S246:T248"/>
    <mergeCell ref="U246:Z248"/>
    <mergeCell ref="AA246:AB248"/>
    <mergeCell ref="AC246:AD248"/>
    <mergeCell ref="AE246:AF248"/>
    <mergeCell ref="AG246:AH248"/>
    <mergeCell ref="B246:C248"/>
    <mergeCell ref="D246:I248"/>
    <mergeCell ref="J246:K248"/>
    <mergeCell ref="L246:M248"/>
    <mergeCell ref="N246:O248"/>
    <mergeCell ref="P246:Q248"/>
    <mergeCell ref="S243:T245"/>
    <mergeCell ref="U243:Z245"/>
    <mergeCell ref="AA243:AB245"/>
    <mergeCell ref="AC243:AD245"/>
    <mergeCell ref="AE243:AF245"/>
    <mergeCell ref="AG243:AH245"/>
    <mergeCell ref="B243:C245"/>
    <mergeCell ref="D243:I245"/>
    <mergeCell ref="J243:K245"/>
    <mergeCell ref="L243:M245"/>
    <mergeCell ref="N243:O245"/>
    <mergeCell ref="P243:Q245"/>
    <mergeCell ref="S240:T242"/>
    <mergeCell ref="U240:Z242"/>
    <mergeCell ref="AA240:AB242"/>
    <mergeCell ref="AC240:AD242"/>
    <mergeCell ref="AE240:AF242"/>
    <mergeCell ref="AG240:AH242"/>
    <mergeCell ref="B240:C242"/>
    <mergeCell ref="D240:I242"/>
    <mergeCell ref="J240:K242"/>
    <mergeCell ref="L240:M242"/>
    <mergeCell ref="N240:O242"/>
    <mergeCell ref="P240:Q242"/>
    <mergeCell ref="S237:T239"/>
    <mergeCell ref="U237:Z239"/>
    <mergeCell ref="AA237:AB239"/>
    <mergeCell ref="AC237:AD239"/>
    <mergeCell ref="AE237:AF239"/>
    <mergeCell ref="AG237:AH239"/>
    <mergeCell ref="B237:C239"/>
    <mergeCell ref="D237:I239"/>
    <mergeCell ref="J237:K239"/>
    <mergeCell ref="L237:M239"/>
    <mergeCell ref="N237:O239"/>
    <mergeCell ref="P237:Q239"/>
    <mergeCell ref="S234:T236"/>
    <mergeCell ref="U234:Z236"/>
    <mergeCell ref="AA234:AB236"/>
    <mergeCell ref="AC234:AD236"/>
    <mergeCell ref="AE234:AF236"/>
    <mergeCell ref="AG234:AH236"/>
    <mergeCell ref="B234:C236"/>
    <mergeCell ref="D234:I236"/>
    <mergeCell ref="J234:K236"/>
    <mergeCell ref="L234:M236"/>
    <mergeCell ref="N234:O236"/>
    <mergeCell ref="P234:Q236"/>
    <mergeCell ref="S231:T233"/>
    <mergeCell ref="U231:Z233"/>
    <mergeCell ref="AA231:AB233"/>
    <mergeCell ref="AC231:AD233"/>
    <mergeCell ref="AE231:AF233"/>
    <mergeCell ref="AG231:AH233"/>
    <mergeCell ref="B231:C233"/>
    <mergeCell ref="D231:I233"/>
    <mergeCell ref="J231:K233"/>
    <mergeCell ref="L231:M233"/>
    <mergeCell ref="N231:O233"/>
    <mergeCell ref="P231:Q233"/>
    <mergeCell ref="S228:T230"/>
    <mergeCell ref="U228:Z230"/>
    <mergeCell ref="AA228:AB230"/>
    <mergeCell ref="AC228:AD230"/>
    <mergeCell ref="AE228:AF230"/>
    <mergeCell ref="AG228:AH230"/>
    <mergeCell ref="B228:C230"/>
    <mergeCell ref="D228:I230"/>
    <mergeCell ref="J228:K230"/>
    <mergeCell ref="L228:M230"/>
    <mergeCell ref="N228:O230"/>
    <mergeCell ref="P228:Q230"/>
    <mergeCell ref="S225:T227"/>
    <mergeCell ref="U225:Z227"/>
    <mergeCell ref="AA225:AB227"/>
    <mergeCell ref="AC225:AD227"/>
    <mergeCell ref="AE225:AF227"/>
    <mergeCell ref="AG225:AH227"/>
    <mergeCell ref="B225:C227"/>
    <mergeCell ref="D225:I227"/>
    <mergeCell ref="J225:K227"/>
    <mergeCell ref="L225:M227"/>
    <mergeCell ref="N225:O227"/>
    <mergeCell ref="P225:Q227"/>
    <mergeCell ref="S222:T224"/>
    <mergeCell ref="U222:Z224"/>
    <mergeCell ref="AA222:AB224"/>
    <mergeCell ref="AC222:AD224"/>
    <mergeCell ref="AE222:AF224"/>
    <mergeCell ref="AG222:AH224"/>
    <mergeCell ref="B222:C224"/>
    <mergeCell ref="D222:I224"/>
    <mergeCell ref="J222:K224"/>
    <mergeCell ref="L222:M224"/>
    <mergeCell ref="N222:O224"/>
    <mergeCell ref="P222:Q224"/>
    <mergeCell ref="S219:T221"/>
    <mergeCell ref="U219:Z221"/>
    <mergeCell ref="AA219:AB221"/>
    <mergeCell ref="AC219:AD221"/>
    <mergeCell ref="AE219:AF221"/>
    <mergeCell ref="AG219:AH221"/>
    <mergeCell ref="B219:C221"/>
    <mergeCell ref="D219:I221"/>
    <mergeCell ref="J219:K221"/>
    <mergeCell ref="L219:M221"/>
    <mergeCell ref="N219:O221"/>
    <mergeCell ref="P219:Q221"/>
    <mergeCell ref="S216:T218"/>
    <mergeCell ref="U216:Z218"/>
    <mergeCell ref="AA216:AB218"/>
    <mergeCell ref="AC216:AD218"/>
    <mergeCell ref="AE216:AF218"/>
    <mergeCell ref="AG216:AH218"/>
    <mergeCell ref="B216:C218"/>
    <mergeCell ref="D216:I218"/>
    <mergeCell ref="J216:K218"/>
    <mergeCell ref="L216:M218"/>
    <mergeCell ref="N216:O218"/>
    <mergeCell ref="P216:Q218"/>
    <mergeCell ref="S213:T215"/>
    <mergeCell ref="U213:Z215"/>
    <mergeCell ref="AA213:AB215"/>
    <mergeCell ref="AC213:AD215"/>
    <mergeCell ref="AE213:AF215"/>
    <mergeCell ref="AG213:AH215"/>
    <mergeCell ref="B213:C215"/>
    <mergeCell ref="D213:I215"/>
    <mergeCell ref="J213:K215"/>
    <mergeCell ref="L213:M215"/>
    <mergeCell ref="N213:O215"/>
    <mergeCell ref="P213:Q215"/>
    <mergeCell ref="S210:T212"/>
    <mergeCell ref="U210:Z212"/>
    <mergeCell ref="AA210:AB212"/>
    <mergeCell ref="AC210:AD212"/>
    <mergeCell ref="AE210:AF212"/>
    <mergeCell ref="AG210:AH212"/>
    <mergeCell ref="B210:C212"/>
    <mergeCell ref="D210:I212"/>
    <mergeCell ref="J210:K212"/>
    <mergeCell ref="L210:M212"/>
    <mergeCell ref="N210:O212"/>
    <mergeCell ref="P210:Q212"/>
    <mergeCell ref="S207:T209"/>
    <mergeCell ref="U207:Z209"/>
    <mergeCell ref="AA207:AB209"/>
    <mergeCell ref="AC207:AD209"/>
    <mergeCell ref="AE207:AF209"/>
    <mergeCell ref="AG207:AH209"/>
    <mergeCell ref="B207:C209"/>
    <mergeCell ref="D207:I209"/>
    <mergeCell ref="J207:K209"/>
    <mergeCell ref="L207:M209"/>
    <mergeCell ref="N207:O209"/>
    <mergeCell ref="P207:Q209"/>
    <mergeCell ref="S204:T206"/>
    <mergeCell ref="U204:Z206"/>
    <mergeCell ref="AA204:AB206"/>
    <mergeCell ref="AC204:AD206"/>
    <mergeCell ref="AE204:AF206"/>
    <mergeCell ref="AG204:AH206"/>
    <mergeCell ref="B204:C206"/>
    <mergeCell ref="D204:I206"/>
    <mergeCell ref="J204:K206"/>
    <mergeCell ref="L204:M206"/>
    <mergeCell ref="N204:O206"/>
    <mergeCell ref="P204:Q206"/>
    <mergeCell ref="S201:T203"/>
    <mergeCell ref="U201:Z203"/>
    <mergeCell ref="AA201:AB203"/>
    <mergeCell ref="AC201:AD203"/>
    <mergeCell ref="AE201:AF203"/>
    <mergeCell ref="AG201:AH203"/>
    <mergeCell ref="B201:C203"/>
    <mergeCell ref="D201:I203"/>
    <mergeCell ref="J201:K203"/>
    <mergeCell ref="L201:M203"/>
    <mergeCell ref="N201:O203"/>
    <mergeCell ref="P201:Q203"/>
    <mergeCell ref="S198:T200"/>
    <mergeCell ref="U198:Z200"/>
    <mergeCell ref="AA198:AB200"/>
    <mergeCell ref="AC198:AD200"/>
    <mergeCell ref="AE198:AF200"/>
    <mergeCell ref="AG198:AH200"/>
    <mergeCell ref="B198:C200"/>
    <mergeCell ref="D198:I200"/>
    <mergeCell ref="J198:K200"/>
    <mergeCell ref="L198:M200"/>
    <mergeCell ref="N198:O200"/>
    <mergeCell ref="P198:Q200"/>
    <mergeCell ref="S195:T197"/>
    <mergeCell ref="U195:Z197"/>
    <mergeCell ref="AA195:AB197"/>
    <mergeCell ref="AC195:AD197"/>
    <mergeCell ref="AE195:AF197"/>
    <mergeCell ref="AG195:AH197"/>
    <mergeCell ref="B195:C197"/>
    <mergeCell ref="D195:I197"/>
    <mergeCell ref="J195:K197"/>
    <mergeCell ref="L195:M197"/>
    <mergeCell ref="N195:O197"/>
    <mergeCell ref="P195:Q197"/>
    <mergeCell ref="S192:T194"/>
    <mergeCell ref="U192:Z194"/>
    <mergeCell ref="AA192:AB194"/>
    <mergeCell ref="AC192:AD194"/>
    <mergeCell ref="AE192:AF194"/>
    <mergeCell ref="AG192:AH194"/>
    <mergeCell ref="B192:C194"/>
    <mergeCell ref="D192:I194"/>
    <mergeCell ref="J192:K194"/>
    <mergeCell ref="L192:M194"/>
    <mergeCell ref="N192:O194"/>
    <mergeCell ref="P192:Q194"/>
    <mergeCell ref="S189:T191"/>
    <mergeCell ref="U189:Z191"/>
    <mergeCell ref="AA189:AB191"/>
    <mergeCell ref="AC189:AD191"/>
    <mergeCell ref="AE189:AF191"/>
    <mergeCell ref="AG189:AH191"/>
    <mergeCell ref="B189:C191"/>
    <mergeCell ref="D189:I191"/>
    <mergeCell ref="J189:K191"/>
    <mergeCell ref="L189:M191"/>
    <mergeCell ref="N189:O191"/>
    <mergeCell ref="P189:Q191"/>
    <mergeCell ref="S186:T188"/>
    <mergeCell ref="U186:Z188"/>
    <mergeCell ref="AA186:AB188"/>
    <mergeCell ref="AC186:AD188"/>
    <mergeCell ref="AE186:AF188"/>
    <mergeCell ref="AG186:AH188"/>
    <mergeCell ref="B186:C188"/>
    <mergeCell ref="D186:I188"/>
    <mergeCell ref="J186:K188"/>
    <mergeCell ref="L186:M188"/>
    <mergeCell ref="N186:O188"/>
    <mergeCell ref="P186:Q188"/>
    <mergeCell ref="S183:T185"/>
    <mergeCell ref="U183:Z185"/>
    <mergeCell ref="AA183:AB185"/>
    <mergeCell ref="AC183:AD185"/>
    <mergeCell ref="AE183:AF185"/>
    <mergeCell ref="AG183:AH185"/>
    <mergeCell ref="B183:C185"/>
    <mergeCell ref="D183:I185"/>
    <mergeCell ref="J183:K185"/>
    <mergeCell ref="L183:M185"/>
    <mergeCell ref="N183:O185"/>
    <mergeCell ref="P183:Q185"/>
    <mergeCell ref="S180:T182"/>
    <mergeCell ref="U180:Z182"/>
    <mergeCell ref="AA180:AB182"/>
    <mergeCell ref="AC180:AD182"/>
    <mergeCell ref="AE180:AF182"/>
    <mergeCell ref="AG180:AH182"/>
    <mergeCell ref="B180:C182"/>
    <mergeCell ref="D180:I182"/>
    <mergeCell ref="J180:K182"/>
    <mergeCell ref="L180:M182"/>
    <mergeCell ref="N180:O182"/>
    <mergeCell ref="P180:Q182"/>
    <mergeCell ref="S177:T179"/>
    <mergeCell ref="U177:Z179"/>
    <mergeCell ref="AA177:AB179"/>
    <mergeCell ref="AC177:AD179"/>
    <mergeCell ref="AE177:AF179"/>
    <mergeCell ref="AG177:AH179"/>
    <mergeCell ref="B177:C179"/>
    <mergeCell ref="D177:I179"/>
    <mergeCell ref="J177:K179"/>
    <mergeCell ref="L177:M179"/>
    <mergeCell ref="N177:O179"/>
    <mergeCell ref="P177:Q179"/>
    <mergeCell ref="S174:T176"/>
    <mergeCell ref="U174:Z176"/>
    <mergeCell ref="AA174:AB176"/>
    <mergeCell ref="AC174:AD176"/>
    <mergeCell ref="AE174:AF176"/>
    <mergeCell ref="AG174:AH176"/>
    <mergeCell ref="B174:C176"/>
    <mergeCell ref="D174:I176"/>
    <mergeCell ref="J174:K176"/>
    <mergeCell ref="L174:M176"/>
    <mergeCell ref="N174:O176"/>
    <mergeCell ref="P174:Q176"/>
    <mergeCell ref="S171:T173"/>
    <mergeCell ref="U171:Z173"/>
    <mergeCell ref="AA171:AB173"/>
    <mergeCell ref="AC171:AD173"/>
    <mergeCell ref="AE171:AF173"/>
    <mergeCell ref="AG171:AH173"/>
    <mergeCell ref="B171:C173"/>
    <mergeCell ref="D171:I173"/>
    <mergeCell ref="J171:K173"/>
    <mergeCell ref="L171:M173"/>
    <mergeCell ref="N171:O173"/>
    <mergeCell ref="P171:Q173"/>
    <mergeCell ref="S168:T170"/>
    <mergeCell ref="U168:Z170"/>
    <mergeCell ref="AA168:AB170"/>
    <mergeCell ref="AC168:AD170"/>
    <mergeCell ref="AE168:AF170"/>
    <mergeCell ref="AG168:AH170"/>
    <mergeCell ref="B168:C170"/>
    <mergeCell ref="D168:I170"/>
    <mergeCell ref="J168:K170"/>
    <mergeCell ref="L168:M170"/>
    <mergeCell ref="N168:O170"/>
    <mergeCell ref="P168:Q170"/>
    <mergeCell ref="S165:T167"/>
    <mergeCell ref="U165:Z167"/>
    <mergeCell ref="AA165:AB167"/>
    <mergeCell ref="AC165:AD167"/>
    <mergeCell ref="AE165:AF167"/>
    <mergeCell ref="AG165:AH167"/>
    <mergeCell ref="B165:C167"/>
    <mergeCell ref="D165:I167"/>
    <mergeCell ref="J165:K167"/>
    <mergeCell ref="L165:M167"/>
    <mergeCell ref="N165:O167"/>
    <mergeCell ref="P165:Q167"/>
    <mergeCell ref="S162:T164"/>
    <mergeCell ref="U162:Z164"/>
    <mergeCell ref="AA162:AB164"/>
    <mergeCell ref="AC162:AD164"/>
    <mergeCell ref="AE162:AF164"/>
    <mergeCell ref="AG162:AH164"/>
    <mergeCell ref="B162:C164"/>
    <mergeCell ref="D162:I164"/>
    <mergeCell ref="J162:K164"/>
    <mergeCell ref="L162:M164"/>
    <mergeCell ref="N162:O164"/>
    <mergeCell ref="P162:Q164"/>
    <mergeCell ref="S159:T161"/>
    <mergeCell ref="U159:Z161"/>
    <mergeCell ref="AA159:AB161"/>
    <mergeCell ref="AC159:AD161"/>
    <mergeCell ref="AE159:AF161"/>
    <mergeCell ref="AG159:AH161"/>
    <mergeCell ref="B159:C161"/>
    <mergeCell ref="D159:I161"/>
    <mergeCell ref="J159:K161"/>
    <mergeCell ref="L159:M161"/>
    <mergeCell ref="N159:O161"/>
    <mergeCell ref="P159:Q161"/>
    <mergeCell ref="S156:T158"/>
    <mergeCell ref="U156:Z158"/>
    <mergeCell ref="AA156:AB158"/>
    <mergeCell ref="AC156:AD158"/>
    <mergeCell ref="AE156:AF158"/>
    <mergeCell ref="AG156:AH158"/>
    <mergeCell ref="B156:C158"/>
    <mergeCell ref="D156:I158"/>
    <mergeCell ref="J156:K158"/>
    <mergeCell ref="L156:M158"/>
    <mergeCell ref="N156:O158"/>
    <mergeCell ref="P156:Q158"/>
    <mergeCell ref="S153:T155"/>
    <mergeCell ref="U153:Z155"/>
    <mergeCell ref="AA153:AB155"/>
    <mergeCell ref="AC153:AD155"/>
    <mergeCell ref="AE153:AF155"/>
    <mergeCell ref="AG153:AH155"/>
    <mergeCell ref="B153:C155"/>
    <mergeCell ref="D153:I155"/>
    <mergeCell ref="J153:K155"/>
    <mergeCell ref="L153:M155"/>
    <mergeCell ref="N153:O155"/>
    <mergeCell ref="P153:Q155"/>
    <mergeCell ref="S150:T152"/>
    <mergeCell ref="U150:Z152"/>
    <mergeCell ref="AA150:AB152"/>
    <mergeCell ref="AC150:AD152"/>
    <mergeCell ref="AE150:AF152"/>
    <mergeCell ref="AG150:AH152"/>
    <mergeCell ref="B150:C152"/>
    <mergeCell ref="D150:I152"/>
    <mergeCell ref="J150:K152"/>
    <mergeCell ref="L150:M152"/>
    <mergeCell ref="N150:O152"/>
    <mergeCell ref="P150:Q152"/>
    <mergeCell ref="S147:T149"/>
    <mergeCell ref="U147:Z149"/>
    <mergeCell ref="AA147:AB149"/>
    <mergeCell ref="AC147:AD149"/>
    <mergeCell ref="AE147:AF149"/>
    <mergeCell ref="AG147:AH149"/>
    <mergeCell ref="B147:C149"/>
    <mergeCell ref="D147:I149"/>
    <mergeCell ref="J147:K149"/>
    <mergeCell ref="L147:M149"/>
    <mergeCell ref="N147:O149"/>
    <mergeCell ref="P147:Q149"/>
    <mergeCell ref="S144:T146"/>
    <mergeCell ref="U144:Z146"/>
    <mergeCell ref="AA144:AB146"/>
    <mergeCell ref="AC144:AD146"/>
    <mergeCell ref="AE144:AF146"/>
    <mergeCell ref="AG144:AH146"/>
    <mergeCell ref="B144:C146"/>
    <mergeCell ref="D144:I146"/>
    <mergeCell ref="J144:K146"/>
    <mergeCell ref="L144:M146"/>
    <mergeCell ref="N144:O146"/>
    <mergeCell ref="P144:Q146"/>
    <mergeCell ref="S141:T143"/>
    <mergeCell ref="U141:Z143"/>
    <mergeCell ref="AA141:AB143"/>
    <mergeCell ref="AC141:AD143"/>
    <mergeCell ref="AE141:AF143"/>
    <mergeCell ref="AG141:AH143"/>
    <mergeCell ref="B141:C143"/>
    <mergeCell ref="D141:I143"/>
    <mergeCell ref="J141:K143"/>
    <mergeCell ref="L141:M143"/>
    <mergeCell ref="N141:O143"/>
    <mergeCell ref="P141:Q143"/>
    <mergeCell ref="S138:T140"/>
    <mergeCell ref="U138:Z140"/>
    <mergeCell ref="AA138:AB140"/>
    <mergeCell ref="AC138:AD140"/>
    <mergeCell ref="AE138:AF140"/>
    <mergeCell ref="AG138:AH140"/>
    <mergeCell ref="B138:C140"/>
    <mergeCell ref="D138:I140"/>
    <mergeCell ref="J138:K140"/>
    <mergeCell ref="L138:M140"/>
    <mergeCell ref="N138:O140"/>
    <mergeCell ref="P138:Q140"/>
    <mergeCell ref="S135:T137"/>
    <mergeCell ref="U135:Z137"/>
    <mergeCell ref="AA135:AB137"/>
    <mergeCell ref="AC135:AD137"/>
    <mergeCell ref="AE135:AF137"/>
    <mergeCell ref="AG135:AH137"/>
    <mergeCell ref="B135:C137"/>
    <mergeCell ref="D135:I137"/>
    <mergeCell ref="J135:K137"/>
    <mergeCell ref="L135:M137"/>
    <mergeCell ref="N135:O137"/>
    <mergeCell ref="P135:Q137"/>
    <mergeCell ref="S132:T134"/>
    <mergeCell ref="U132:Z134"/>
    <mergeCell ref="AA132:AB134"/>
    <mergeCell ref="AC132:AD134"/>
    <mergeCell ref="AE132:AF134"/>
    <mergeCell ref="AG132:AH134"/>
    <mergeCell ref="B132:C134"/>
    <mergeCell ref="D132:I134"/>
    <mergeCell ref="J132:K134"/>
    <mergeCell ref="L132:M134"/>
    <mergeCell ref="N132:O134"/>
    <mergeCell ref="P132:Q134"/>
    <mergeCell ref="S129:T131"/>
    <mergeCell ref="U129:Z131"/>
    <mergeCell ref="AA129:AB131"/>
    <mergeCell ref="AC129:AD131"/>
    <mergeCell ref="AE129:AF131"/>
    <mergeCell ref="AG129:AH131"/>
    <mergeCell ref="B129:C131"/>
    <mergeCell ref="D129:I131"/>
    <mergeCell ref="J129:K131"/>
    <mergeCell ref="L129:M131"/>
    <mergeCell ref="N129:O131"/>
    <mergeCell ref="P129:Q131"/>
    <mergeCell ref="S126:T128"/>
    <mergeCell ref="U126:Z128"/>
    <mergeCell ref="AA126:AB128"/>
    <mergeCell ref="AC126:AD128"/>
    <mergeCell ref="AE126:AF128"/>
    <mergeCell ref="AG126:AH128"/>
    <mergeCell ref="B126:C128"/>
    <mergeCell ref="D126:I128"/>
    <mergeCell ref="J126:K128"/>
    <mergeCell ref="L126:M128"/>
    <mergeCell ref="N126:O128"/>
    <mergeCell ref="P126:Q128"/>
    <mergeCell ref="S123:T125"/>
    <mergeCell ref="U123:Z125"/>
    <mergeCell ref="AA123:AB125"/>
    <mergeCell ref="AC123:AD125"/>
    <mergeCell ref="AE123:AF125"/>
    <mergeCell ref="AG123:AH125"/>
    <mergeCell ref="B123:C125"/>
    <mergeCell ref="D123:I125"/>
    <mergeCell ref="J123:K125"/>
    <mergeCell ref="L123:M125"/>
    <mergeCell ref="N123:O125"/>
    <mergeCell ref="P123:Q125"/>
    <mergeCell ref="S120:T122"/>
    <mergeCell ref="U120:Z122"/>
    <mergeCell ref="AA120:AB122"/>
    <mergeCell ref="AC120:AD122"/>
    <mergeCell ref="AE120:AF122"/>
    <mergeCell ref="AG120:AH122"/>
    <mergeCell ref="B120:C122"/>
    <mergeCell ref="D120:I122"/>
    <mergeCell ref="J120:K122"/>
    <mergeCell ref="L120:M122"/>
    <mergeCell ref="N120:O122"/>
    <mergeCell ref="P120:Q122"/>
    <mergeCell ref="S117:T119"/>
    <mergeCell ref="U117:Z119"/>
    <mergeCell ref="AA117:AB119"/>
    <mergeCell ref="AC117:AD119"/>
    <mergeCell ref="AE117:AF119"/>
    <mergeCell ref="AG117:AH119"/>
    <mergeCell ref="B117:C119"/>
    <mergeCell ref="D117:I119"/>
    <mergeCell ref="J117:K119"/>
    <mergeCell ref="L117:M119"/>
    <mergeCell ref="N117:O119"/>
    <mergeCell ref="P117:Q119"/>
    <mergeCell ref="S114:T116"/>
    <mergeCell ref="U114:Z116"/>
    <mergeCell ref="AA114:AB116"/>
    <mergeCell ref="AC114:AD116"/>
    <mergeCell ref="AE114:AF116"/>
    <mergeCell ref="AG114:AH116"/>
    <mergeCell ref="B114:C116"/>
    <mergeCell ref="D114:I116"/>
    <mergeCell ref="J114:K116"/>
    <mergeCell ref="L114:M116"/>
    <mergeCell ref="N114:O116"/>
    <mergeCell ref="P114:Q116"/>
    <mergeCell ref="S111:T113"/>
    <mergeCell ref="U111:Z113"/>
    <mergeCell ref="AA111:AB113"/>
    <mergeCell ref="AC111:AD113"/>
    <mergeCell ref="AE111:AF113"/>
    <mergeCell ref="AG111:AH113"/>
    <mergeCell ref="B111:C113"/>
    <mergeCell ref="D111:I113"/>
    <mergeCell ref="J111:K113"/>
    <mergeCell ref="L111:M113"/>
    <mergeCell ref="N111:O113"/>
    <mergeCell ref="P111:Q113"/>
    <mergeCell ref="S108:T110"/>
    <mergeCell ref="U108:Z110"/>
    <mergeCell ref="AA108:AB110"/>
    <mergeCell ref="AC108:AD110"/>
    <mergeCell ref="AE108:AF110"/>
    <mergeCell ref="AG108:AH110"/>
    <mergeCell ref="B108:C110"/>
    <mergeCell ref="D108:I110"/>
    <mergeCell ref="J108:K110"/>
    <mergeCell ref="L108:M110"/>
    <mergeCell ref="N108:O110"/>
    <mergeCell ref="P108:Q110"/>
    <mergeCell ref="S105:T107"/>
    <mergeCell ref="U105:Z107"/>
    <mergeCell ref="AA105:AB107"/>
    <mergeCell ref="AC105:AD107"/>
    <mergeCell ref="AE105:AF107"/>
    <mergeCell ref="AG105:AH107"/>
    <mergeCell ref="B105:C107"/>
    <mergeCell ref="D105:I107"/>
    <mergeCell ref="J105:K107"/>
    <mergeCell ref="L105:M107"/>
    <mergeCell ref="N105:O107"/>
    <mergeCell ref="P105:Q107"/>
    <mergeCell ref="S102:T104"/>
    <mergeCell ref="U102:Z104"/>
    <mergeCell ref="AA102:AB104"/>
    <mergeCell ref="AC102:AD104"/>
    <mergeCell ref="AE102:AF104"/>
    <mergeCell ref="AG102:AH104"/>
    <mergeCell ref="B102:C104"/>
    <mergeCell ref="D102:I104"/>
    <mergeCell ref="J102:K104"/>
    <mergeCell ref="L102:M104"/>
    <mergeCell ref="N102:O104"/>
    <mergeCell ref="P102:Q104"/>
    <mergeCell ref="S99:T101"/>
    <mergeCell ref="U99:Z101"/>
    <mergeCell ref="AA99:AB101"/>
    <mergeCell ref="AC99:AD101"/>
    <mergeCell ref="AE99:AF101"/>
    <mergeCell ref="AG99:AH101"/>
    <mergeCell ref="B99:C101"/>
    <mergeCell ref="D99:I101"/>
    <mergeCell ref="J99:K101"/>
    <mergeCell ref="L99:M101"/>
    <mergeCell ref="N99:O101"/>
    <mergeCell ref="P99:Q101"/>
    <mergeCell ref="S96:T98"/>
    <mergeCell ref="U96:Z98"/>
    <mergeCell ref="AA96:AB98"/>
    <mergeCell ref="AC96:AD98"/>
    <mergeCell ref="AE96:AF98"/>
    <mergeCell ref="AG96:AH98"/>
    <mergeCell ref="B96:C98"/>
    <mergeCell ref="D96:I98"/>
    <mergeCell ref="J96:K98"/>
    <mergeCell ref="L96:M98"/>
    <mergeCell ref="N96:O98"/>
    <mergeCell ref="P96:Q98"/>
    <mergeCell ref="S93:T95"/>
    <mergeCell ref="U93:Z95"/>
    <mergeCell ref="AA93:AB95"/>
    <mergeCell ref="AC93:AD95"/>
    <mergeCell ref="AE93:AF95"/>
    <mergeCell ref="AG93:AH95"/>
    <mergeCell ref="B93:C95"/>
    <mergeCell ref="D93:I95"/>
    <mergeCell ref="J93:K95"/>
    <mergeCell ref="L93:M95"/>
    <mergeCell ref="N93:O95"/>
    <mergeCell ref="P93:Q95"/>
    <mergeCell ref="S90:T92"/>
    <mergeCell ref="U90:Z92"/>
    <mergeCell ref="AA90:AB92"/>
    <mergeCell ref="AC90:AD92"/>
    <mergeCell ref="AE90:AF92"/>
    <mergeCell ref="AG90:AH92"/>
    <mergeCell ref="B90:C92"/>
    <mergeCell ref="D90:I92"/>
    <mergeCell ref="J90:K92"/>
    <mergeCell ref="L90:M92"/>
    <mergeCell ref="N90:O92"/>
    <mergeCell ref="P90:Q92"/>
    <mergeCell ref="S87:T89"/>
    <mergeCell ref="U87:Z89"/>
    <mergeCell ref="AA87:AB89"/>
    <mergeCell ref="AC87:AD89"/>
    <mergeCell ref="AE87:AF89"/>
    <mergeCell ref="AG87:AH89"/>
    <mergeCell ref="B87:C89"/>
    <mergeCell ref="D87:I89"/>
    <mergeCell ref="J87:K89"/>
    <mergeCell ref="L87:M89"/>
    <mergeCell ref="N87:O89"/>
    <mergeCell ref="P87:Q89"/>
    <mergeCell ref="S84:T86"/>
    <mergeCell ref="U84:Z86"/>
    <mergeCell ref="AA84:AB86"/>
    <mergeCell ref="AC84:AD86"/>
    <mergeCell ref="AE84:AF86"/>
    <mergeCell ref="AG84:AH86"/>
    <mergeCell ref="B84:C86"/>
    <mergeCell ref="D84:I86"/>
    <mergeCell ref="J84:K86"/>
    <mergeCell ref="L84:M86"/>
    <mergeCell ref="N84:O86"/>
    <mergeCell ref="P84:Q86"/>
    <mergeCell ref="S81:T83"/>
    <mergeCell ref="U81:Z83"/>
    <mergeCell ref="AA81:AB83"/>
    <mergeCell ref="AC81:AD83"/>
    <mergeCell ref="AE81:AF83"/>
    <mergeCell ref="AG81:AH83"/>
    <mergeCell ref="B81:C83"/>
    <mergeCell ref="D81:I83"/>
    <mergeCell ref="J81:K83"/>
    <mergeCell ref="L81:M83"/>
    <mergeCell ref="N81:O83"/>
    <mergeCell ref="P81:Q83"/>
    <mergeCell ref="S78:T80"/>
    <mergeCell ref="U78:Z80"/>
    <mergeCell ref="AA78:AB80"/>
    <mergeCell ref="AC78:AD80"/>
    <mergeCell ref="AE78:AF80"/>
    <mergeCell ref="AG78:AH80"/>
    <mergeCell ref="B78:C80"/>
    <mergeCell ref="D78:I80"/>
    <mergeCell ref="J78:K80"/>
    <mergeCell ref="L78:M80"/>
    <mergeCell ref="N78:O80"/>
    <mergeCell ref="P78:Q80"/>
    <mergeCell ref="S75:T77"/>
    <mergeCell ref="U75:Z77"/>
    <mergeCell ref="AA75:AB77"/>
    <mergeCell ref="AC75:AD77"/>
    <mergeCell ref="AE75:AF77"/>
    <mergeCell ref="AG75:AH77"/>
    <mergeCell ref="B75:C77"/>
    <mergeCell ref="D75:I77"/>
    <mergeCell ref="J75:K77"/>
    <mergeCell ref="L75:M77"/>
    <mergeCell ref="N75:O77"/>
    <mergeCell ref="P75:Q77"/>
    <mergeCell ref="S72:T74"/>
    <mergeCell ref="U72:Z74"/>
    <mergeCell ref="AA72:AB74"/>
    <mergeCell ref="AC72:AD74"/>
    <mergeCell ref="AE72:AF74"/>
    <mergeCell ref="AG72:AH74"/>
    <mergeCell ref="B72:C74"/>
    <mergeCell ref="D72:I74"/>
    <mergeCell ref="J72:K74"/>
    <mergeCell ref="L72:M74"/>
    <mergeCell ref="N72:O74"/>
    <mergeCell ref="P72:Q74"/>
    <mergeCell ref="S69:T71"/>
    <mergeCell ref="U69:Z71"/>
    <mergeCell ref="AA69:AB71"/>
    <mergeCell ref="AC69:AD71"/>
    <mergeCell ref="AE69:AF71"/>
    <mergeCell ref="AG69:AH71"/>
    <mergeCell ref="B69:C71"/>
    <mergeCell ref="D69:I71"/>
    <mergeCell ref="J69:K71"/>
    <mergeCell ref="L69:M71"/>
    <mergeCell ref="N69:O71"/>
    <mergeCell ref="P69:Q71"/>
    <mergeCell ref="S66:T68"/>
    <mergeCell ref="U66:Z68"/>
    <mergeCell ref="AA66:AB68"/>
    <mergeCell ref="AC66:AD68"/>
    <mergeCell ref="AE66:AF68"/>
    <mergeCell ref="AG66:AH68"/>
    <mergeCell ref="B66:C68"/>
    <mergeCell ref="D66:I68"/>
    <mergeCell ref="J66:K68"/>
    <mergeCell ref="L66:M68"/>
    <mergeCell ref="N66:O68"/>
    <mergeCell ref="P66:Q68"/>
    <mergeCell ref="S63:T65"/>
    <mergeCell ref="U63:Z65"/>
    <mergeCell ref="AA63:AB65"/>
    <mergeCell ref="AC63:AD65"/>
    <mergeCell ref="AE63:AF65"/>
    <mergeCell ref="AG63:AH65"/>
    <mergeCell ref="B63:C65"/>
    <mergeCell ref="D63:I65"/>
    <mergeCell ref="J63:K65"/>
    <mergeCell ref="L63:M65"/>
    <mergeCell ref="N63:O65"/>
    <mergeCell ref="P63:Q65"/>
    <mergeCell ref="S60:T62"/>
    <mergeCell ref="U60:Z62"/>
    <mergeCell ref="AA60:AB62"/>
    <mergeCell ref="AC60:AD62"/>
    <mergeCell ref="AE60:AF62"/>
    <mergeCell ref="AG60:AH62"/>
    <mergeCell ref="B60:C62"/>
    <mergeCell ref="D60:I62"/>
    <mergeCell ref="J60:K62"/>
    <mergeCell ref="L60:M62"/>
    <mergeCell ref="N60:O62"/>
    <mergeCell ref="P60:Q62"/>
    <mergeCell ref="S57:T59"/>
    <mergeCell ref="U57:Z59"/>
    <mergeCell ref="AA57:AB59"/>
    <mergeCell ref="AC57:AD59"/>
    <mergeCell ref="AE57:AF59"/>
    <mergeCell ref="AG57:AH59"/>
    <mergeCell ref="B57:C59"/>
    <mergeCell ref="D57:I59"/>
    <mergeCell ref="J57:K59"/>
    <mergeCell ref="L57:M59"/>
    <mergeCell ref="N57:O59"/>
    <mergeCell ref="P57:Q59"/>
    <mergeCell ref="S54:T56"/>
    <mergeCell ref="U54:Z56"/>
    <mergeCell ref="AA54:AB56"/>
    <mergeCell ref="AC54:AD56"/>
    <mergeCell ref="AE54:AF56"/>
    <mergeCell ref="AG54:AH56"/>
    <mergeCell ref="B54:C56"/>
    <mergeCell ref="D54:I56"/>
    <mergeCell ref="J54:K56"/>
    <mergeCell ref="L54:M56"/>
    <mergeCell ref="N54:O56"/>
    <mergeCell ref="P54:Q56"/>
    <mergeCell ref="S51:T53"/>
    <mergeCell ref="U51:Z53"/>
    <mergeCell ref="AA51:AB53"/>
    <mergeCell ref="AC51:AD53"/>
    <mergeCell ref="AE51:AF53"/>
    <mergeCell ref="AG51:AH53"/>
    <mergeCell ref="B51:C53"/>
    <mergeCell ref="D51:I53"/>
    <mergeCell ref="J51:K53"/>
    <mergeCell ref="L51:M53"/>
    <mergeCell ref="N51:O53"/>
    <mergeCell ref="P51:Q53"/>
    <mergeCell ref="S48:T50"/>
    <mergeCell ref="U48:Z50"/>
    <mergeCell ref="AA48:AB50"/>
    <mergeCell ref="AC48:AD50"/>
    <mergeCell ref="AE48:AF50"/>
    <mergeCell ref="AG48:AH50"/>
    <mergeCell ref="B48:C50"/>
    <mergeCell ref="D48:I50"/>
    <mergeCell ref="J48:K50"/>
    <mergeCell ref="L48:M50"/>
    <mergeCell ref="N48:O50"/>
    <mergeCell ref="P48:Q50"/>
    <mergeCell ref="S45:T47"/>
    <mergeCell ref="U45:Z47"/>
    <mergeCell ref="AA45:AB47"/>
    <mergeCell ref="AC45:AD47"/>
    <mergeCell ref="AE45:AF47"/>
    <mergeCell ref="AG45:AH47"/>
    <mergeCell ref="B45:C47"/>
    <mergeCell ref="D45:I47"/>
    <mergeCell ref="J45:K47"/>
    <mergeCell ref="L45:M47"/>
    <mergeCell ref="N45:O47"/>
    <mergeCell ref="P45:Q47"/>
    <mergeCell ref="S42:T44"/>
    <mergeCell ref="U42:Z44"/>
    <mergeCell ref="AA42:AB44"/>
    <mergeCell ref="AC42:AD44"/>
    <mergeCell ref="AE42:AF44"/>
    <mergeCell ref="AG42:AH44"/>
    <mergeCell ref="B42:C44"/>
    <mergeCell ref="D42:I44"/>
    <mergeCell ref="J42:K44"/>
    <mergeCell ref="L42:M44"/>
    <mergeCell ref="N42:O44"/>
    <mergeCell ref="P42:Q44"/>
    <mergeCell ref="S39:T41"/>
    <mergeCell ref="U39:Z41"/>
    <mergeCell ref="AA39:AB41"/>
    <mergeCell ref="AC39:AD41"/>
    <mergeCell ref="AE39:AF41"/>
    <mergeCell ref="AG39:AH41"/>
    <mergeCell ref="B39:C41"/>
    <mergeCell ref="D39:I41"/>
    <mergeCell ref="J39:K41"/>
    <mergeCell ref="L39:M41"/>
    <mergeCell ref="N39:O41"/>
    <mergeCell ref="P39:Q41"/>
    <mergeCell ref="S36:T38"/>
    <mergeCell ref="U36:Z38"/>
    <mergeCell ref="AA36:AB38"/>
    <mergeCell ref="AC36:AD38"/>
    <mergeCell ref="AE36:AF38"/>
    <mergeCell ref="AG36:AH38"/>
    <mergeCell ref="B36:C38"/>
    <mergeCell ref="D36:I38"/>
    <mergeCell ref="J36:K38"/>
    <mergeCell ref="L36:M38"/>
    <mergeCell ref="N36:O38"/>
    <mergeCell ref="P36:Q38"/>
    <mergeCell ref="S33:T35"/>
    <mergeCell ref="U33:Z35"/>
    <mergeCell ref="AA33:AB35"/>
    <mergeCell ref="AC33:AD35"/>
    <mergeCell ref="AE33:AF35"/>
    <mergeCell ref="AG33:AH35"/>
    <mergeCell ref="B33:C35"/>
    <mergeCell ref="D33:I35"/>
    <mergeCell ref="J33:K35"/>
    <mergeCell ref="L33:M35"/>
    <mergeCell ref="N33:O35"/>
    <mergeCell ref="P33:Q35"/>
    <mergeCell ref="S30:T32"/>
    <mergeCell ref="U30:Z32"/>
    <mergeCell ref="AA30:AB32"/>
    <mergeCell ref="AC30:AD32"/>
    <mergeCell ref="AE30:AF32"/>
    <mergeCell ref="AG30:AH32"/>
    <mergeCell ref="B30:C32"/>
    <mergeCell ref="D30:I32"/>
    <mergeCell ref="J30:K32"/>
    <mergeCell ref="L30:M32"/>
    <mergeCell ref="N30:O32"/>
    <mergeCell ref="P30:Q32"/>
    <mergeCell ref="S27:T29"/>
    <mergeCell ref="U27:Z29"/>
    <mergeCell ref="AA27:AB29"/>
    <mergeCell ref="AC27:AD29"/>
    <mergeCell ref="AE27:AF29"/>
    <mergeCell ref="AG27:AH29"/>
    <mergeCell ref="B27:C29"/>
    <mergeCell ref="D27:I29"/>
    <mergeCell ref="J27:K29"/>
    <mergeCell ref="L27:M29"/>
    <mergeCell ref="N27:O29"/>
    <mergeCell ref="P27:Q29"/>
    <mergeCell ref="S24:T26"/>
    <mergeCell ref="U24:Z26"/>
    <mergeCell ref="AA24:AB26"/>
    <mergeCell ref="AC24:AD26"/>
    <mergeCell ref="AE24:AF26"/>
    <mergeCell ref="AG24:AH26"/>
    <mergeCell ref="B24:C26"/>
    <mergeCell ref="D24:I26"/>
    <mergeCell ref="J24:K26"/>
    <mergeCell ref="L24:M26"/>
    <mergeCell ref="N24:O26"/>
    <mergeCell ref="P24:Q26"/>
    <mergeCell ref="S21:T23"/>
    <mergeCell ref="U21:Z23"/>
    <mergeCell ref="AA21:AB23"/>
    <mergeCell ref="AC21:AD23"/>
    <mergeCell ref="AE21:AF23"/>
    <mergeCell ref="AG21:AH23"/>
    <mergeCell ref="B21:C23"/>
    <mergeCell ref="D21:I23"/>
    <mergeCell ref="J21:K23"/>
    <mergeCell ref="L21:M23"/>
    <mergeCell ref="N21:O23"/>
    <mergeCell ref="P21:Q23"/>
    <mergeCell ref="S18:T20"/>
    <mergeCell ref="U18:Z20"/>
    <mergeCell ref="AA18:AB20"/>
    <mergeCell ref="AC18:AD20"/>
    <mergeCell ref="AE18:AF20"/>
    <mergeCell ref="AG18:AH20"/>
    <mergeCell ref="B18:C20"/>
    <mergeCell ref="D18:I20"/>
    <mergeCell ref="J18:K20"/>
    <mergeCell ref="L18:M20"/>
    <mergeCell ref="N18:O20"/>
    <mergeCell ref="P18:Q20"/>
    <mergeCell ref="S15:T17"/>
    <mergeCell ref="U15:Z17"/>
    <mergeCell ref="AA15:AB17"/>
    <mergeCell ref="AC15:AD17"/>
    <mergeCell ref="AE15:AF17"/>
    <mergeCell ref="AG15:AH17"/>
    <mergeCell ref="B15:C17"/>
    <mergeCell ref="D15:I17"/>
    <mergeCell ref="J15:K17"/>
    <mergeCell ref="L15:M17"/>
    <mergeCell ref="N15:O17"/>
    <mergeCell ref="P15:Q17"/>
    <mergeCell ref="S12:T14"/>
    <mergeCell ref="U12:Z14"/>
    <mergeCell ref="AA12:AB14"/>
    <mergeCell ref="AC12:AD14"/>
    <mergeCell ref="AE12:AF14"/>
    <mergeCell ref="AG12:AH14"/>
    <mergeCell ref="B12:C14"/>
    <mergeCell ref="D12:I14"/>
    <mergeCell ref="J12:K14"/>
    <mergeCell ref="L12:M14"/>
    <mergeCell ref="N12:O14"/>
    <mergeCell ref="P12:Q14"/>
    <mergeCell ref="S9:T11"/>
    <mergeCell ref="U9:Z11"/>
    <mergeCell ref="AA9:AB11"/>
    <mergeCell ref="AC9:AD11"/>
    <mergeCell ref="AE9:AF11"/>
    <mergeCell ref="AG9:AH11"/>
    <mergeCell ref="B9:C11"/>
    <mergeCell ref="D9:I11"/>
    <mergeCell ref="J9:K11"/>
    <mergeCell ref="L9:M11"/>
    <mergeCell ref="N9:O11"/>
    <mergeCell ref="P9:Q11"/>
    <mergeCell ref="S6:T8"/>
    <mergeCell ref="U6:Z8"/>
    <mergeCell ref="AA6:AB8"/>
    <mergeCell ref="AC6:AD8"/>
    <mergeCell ref="AE6:AF8"/>
    <mergeCell ref="AG6:AH8"/>
    <mergeCell ref="B6:C8"/>
    <mergeCell ref="D6:I8"/>
    <mergeCell ref="J6:K8"/>
    <mergeCell ref="L6:M8"/>
    <mergeCell ref="N6:O8"/>
    <mergeCell ref="P6:Q8"/>
    <mergeCell ref="S3:T5"/>
    <mergeCell ref="U3:Z5"/>
    <mergeCell ref="AA3:AB5"/>
    <mergeCell ref="AC3:AD5"/>
    <mergeCell ref="AE3:AF5"/>
    <mergeCell ref="AG3:AH5"/>
    <mergeCell ref="B3:C5"/>
    <mergeCell ref="D3:I5"/>
    <mergeCell ref="J3:K5"/>
    <mergeCell ref="L3:M5"/>
    <mergeCell ref="N3:O5"/>
    <mergeCell ref="P3:Q5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0DE404-78FA-4ABD-A649-283971E1BF69}">
          <x14:formula1>
            <xm:f>DataBase!$F$3:$F$5</xm:f>
          </x14:formula1>
          <xm:sqref>AG6:AH23 P6:Q872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533C-7AE1-4557-928C-61B039D424EF}">
  <sheetPr codeName="Planilha5"/>
  <dimension ref="A1:X298"/>
  <sheetViews>
    <sheetView showGridLines="0" showRowColHeaders="0" workbookViewId="0">
      <pane ySplit="5" topLeftCell="A6" activePane="bottomLeft" state="frozen"/>
      <selection pane="bottomLeft" activeCell="B11" sqref="B11:Q13"/>
    </sheetView>
  </sheetViews>
  <sheetFormatPr defaultRowHeight="15" x14ac:dyDescent="0.25"/>
  <sheetData>
    <row r="1" spans="1:24" ht="15" customHeight="1" x14ac:dyDescent="0.25">
      <c r="A1" s="32"/>
      <c r="B1" s="32"/>
      <c r="C1" s="32"/>
      <c r="D1" s="5"/>
      <c r="E1" s="35"/>
      <c r="F1" s="35"/>
      <c r="G1" s="116" t="s">
        <v>3</v>
      </c>
      <c r="H1" s="4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2"/>
      <c r="B2" s="32"/>
      <c r="C2" s="32"/>
      <c r="D2" s="5"/>
      <c r="E2" s="35"/>
      <c r="F2" s="35"/>
      <c r="G2" s="46"/>
      <c r="H2" s="4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3"/>
      <c r="B3" s="33"/>
      <c r="C3" s="33"/>
      <c r="D3" s="4"/>
      <c r="E3" s="36"/>
      <c r="F3" s="36"/>
      <c r="G3" s="46"/>
      <c r="H3" s="46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29"/>
      <c r="F5" s="129"/>
      <c r="G5" s="115"/>
      <c r="H5" s="115"/>
      <c r="I5" s="115"/>
      <c r="J5" s="115"/>
      <c r="K5" s="130"/>
      <c r="L5" s="130"/>
      <c r="M5" s="115"/>
      <c r="N5" s="115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x14ac:dyDescent="0.25">
      <c r="B8" s="119" t="s">
        <v>9</v>
      </c>
      <c r="C8" s="119"/>
      <c r="D8" s="118" t="s">
        <v>10</v>
      </c>
      <c r="E8" s="118"/>
      <c r="F8" s="118"/>
      <c r="G8" s="118"/>
      <c r="H8" s="118"/>
      <c r="I8" s="118"/>
      <c r="J8" s="119" t="s">
        <v>11</v>
      </c>
      <c r="K8" s="119"/>
      <c r="L8" s="119" t="s">
        <v>12</v>
      </c>
      <c r="M8" s="119"/>
      <c r="N8" s="119" t="s">
        <v>13</v>
      </c>
      <c r="O8" s="119"/>
      <c r="P8" s="119" t="s">
        <v>14</v>
      </c>
      <c r="Q8" s="119"/>
      <c r="R8" s="8"/>
    </row>
    <row r="9" spans="1:24" x14ac:dyDescent="0.25">
      <c r="B9" s="119"/>
      <c r="C9" s="119"/>
      <c r="D9" s="118"/>
      <c r="E9" s="118"/>
      <c r="F9" s="118"/>
      <c r="G9" s="118"/>
      <c r="H9" s="118"/>
      <c r="I9" s="118"/>
      <c r="J9" s="119"/>
      <c r="K9" s="119"/>
      <c r="L9" s="119"/>
      <c r="M9" s="119"/>
      <c r="N9" s="119"/>
      <c r="O9" s="119"/>
      <c r="P9" s="119"/>
      <c r="Q9" s="119"/>
      <c r="R9" s="8"/>
    </row>
    <row r="10" spans="1:24" x14ac:dyDescent="0.25">
      <c r="B10" s="119"/>
      <c r="C10" s="119"/>
      <c r="D10" s="118"/>
      <c r="E10" s="118"/>
      <c r="F10" s="118"/>
      <c r="G10" s="118"/>
      <c r="H10" s="118"/>
      <c r="I10" s="118"/>
      <c r="J10" s="119"/>
      <c r="K10" s="119"/>
      <c r="L10" s="119"/>
      <c r="M10" s="119"/>
      <c r="N10" s="119"/>
      <c r="O10" s="119"/>
      <c r="P10" s="119"/>
      <c r="Q10" s="119"/>
      <c r="R10" s="8"/>
    </row>
    <row r="11" spans="1:24" x14ac:dyDescent="0.25">
      <c r="B11" s="77"/>
      <c r="C11" s="79"/>
      <c r="D11" s="77"/>
      <c r="E11" s="78"/>
      <c r="F11" s="78"/>
      <c r="G11" s="78"/>
      <c r="H11" s="78"/>
      <c r="I11" s="79"/>
      <c r="J11" s="86"/>
      <c r="K11" s="87"/>
      <c r="L11" s="86"/>
      <c r="M11" s="87"/>
      <c r="N11" s="77"/>
      <c r="O11" s="79"/>
      <c r="P11" s="92"/>
      <c r="Q11" s="93"/>
      <c r="R11" s="80" t="str">
        <f ca="1">IF(L11=""," ",IF(P11="Concluída"," ",IF(TODAY()&gt;L11,"EM ATRASO",IF(TODAY()=L11,"HOJE"," "))))</f>
        <v xml:space="preserve"> </v>
      </c>
      <c r="S11" s="81"/>
    </row>
    <row r="12" spans="1:24" x14ac:dyDescent="0.25">
      <c r="B12" s="80"/>
      <c r="C12" s="82"/>
      <c r="D12" s="80"/>
      <c r="E12" s="81"/>
      <c r="F12" s="81"/>
      <c r="G12" s="81"/>
      <c r="H12" s="81"/>
      <c r="I12" s="82"/>
      <c r="J12" s="88"/>
      <c r="K12" s="89"/>
      <c r="L12" s="88"/>
      <c r="M12" s="89"/>
      <c r="N12" s="80"/>
      <c r="O12" s="82"/>
      <c r="P12" s="94"/>
      <c r="Q12" s="95"/>
      <c r="R12" s="80"/>
      <c r="S12" s="81"/>
    </row>
    <row r="13" spans="1:24" x14ac:dyDescent="0.25">
      <c r="B13" s="83"/>
      <c r="C13" s="85"/>
      <c r="D13" s="83"/>
      <c r="E13" s="84"/>
      <c r="F13" s="84"/>
      <c r="G13" s="84"/>
      <c r="H13" s="84"/>
      <c r="I13" s="85"/>
      <c r="J13" s="90"/>
      <c r="K13" s="91"/>
      <c r="L13" s="90"/>
      <c r="M13" s="91"/>
      <c r="N13" s="83"/>
      <c r="O13" s="85"/>
      <c r="P13" s="96"/>
      <c r="Q13" s="97"/>
      <c r="R13" s="80"/>
      <c r="S13" s="81"/>
    </row>
    <row r="14" spans="1:24" x14ac:dyDescent="0.25">
      <c r="B14" s="73"/>
      <c r="C14" s="74"/>
      <c r="D14" s="77"/>
      <c r="E14" s="78"/>
      <c r="F14" s="78"/>
      <c r="G14" s="78"/>
      <c r="H14" s="78"/>
      <c r="I14" s="79"/>
      <c r="J14" s="86"/>
      <c r="K14" s="79"/>
      <c r="L14" s="86"/>
      <c r="M14" s="79"/>
      <c r="N14" s="77"/>
      <c r="O14" s="79"/>
      <c r="P14" s="92"/>
      <c r="Q14" s="93"/>
      <c r="R14" s="80" t="str">
        <f t="shared" ref="R14" ca="1" si="0">IF(L14=""," ",IF(P14="Concluída"," ",IF(TODAY()&gt;L14,"EM ATRASO",IF(TODAY()=L14,"HOJE"," "))))</f>
        <v xml:space="preserve"> </v>
      </c>
      <c r="S14" s="81"/>
    </row>
    <row r="15" spans="1:24" x14ac:dyDescent="0.25">
      <c r="B15" s="73"/>
      <c r="C15" s="74"/>
      <c r="D15" s="80"/>
      <c r="E15" s="81"/>
      <c r="F15" s="81"/>
      <c r="G15" s="81"/>
      <c r="H15" s="81"/>
      <c r="I15" s="82"/>
      <c r="J15" s="80"/>
      <c r="K15" s="82"/>
      <c r="L15" s="80"/>
      <c r="M15" s="82"/>
      <c r="N15" s="80"/>
      <c r="O15" s="82"/>
      <c r="P15" s="94"/>
      <c r="Q15" s="95"/>
      <c r="R15" s="80"/>
      <c r="S15" s="81"/>
    </row>
    <row r="16" spans="1:24" x14ac:dyDescent="0.25">
      <c r="B16" s="75"/>
      <c r="C16" s="76"/>
      <c r="D16" s="83"/>
      <c r="E16" s="84"/>
      <c r="F16" s="84"/>
      <c r="G16" s="84"/>
      <c r="H16" s="84"/>
      <c r="I16" s="85"/>
      <c r="J16" s="83"/>
      <c r="K16" s="85"/>
      <c r="L16" s="83"/>
      <c r="M16" s="85"/>
      <c r="N16" s="83"/>
      <c r="O16" s="85"/>
      <c r="P16" s="96"/>
      <c r="Q16" s="97"/>
      <c r="R16" s="80"/>
      <c r="S16" s="81"/>
    </row>
    <row r="17" spans="2:19" x14ac:dyDescent="0.25">
      <c r="B17" s="71"/>
      <c r="C17" s="72"/>
      <c r="D17" s="77"/>
      <c r="E17" s="78"/>
      <c r="F17" s="78"/>
      <c r="G17" s="78"/>
      <c r="H17" s="78"/>
      <c r="I17" s="79"/>
      <c r="J17" s="86"/>
      <c r="K17" s="79"/>
      <c r="L17" s="86"/>
      <c r="M17" s="79"/>
      <c r="N17" s="77"/>
      <c r="O17" s="79"/>
      <c r="P17" s="92"/>
      <c r="Q17" s="93"/>
      <c r="R17" s="80" t="str">
        <f t="shared" ref="R17" ca="1" si="1">IF(L17=""," ",IF(P17="Concluída"," ",IF(TODAY()&gt;L17,"EM ATRASO",IF(TODAY()=L17,"HOJE"," "))))</f>
        <v xml:space="preserve"> </v>
      </c>
      <c r="S17" s="81"/>
    </row>
    <row r="18" spans="2:19" x14ac:dyDescent="0.25">
      <c r="B18" s="73"/>
      <c r="C18" s="74"/>
      <c r="D18" s="80"/>
      <c r="E18" s="81"/>
      <c r="F18" s="81"/>
      <c r="G18" s="81"/>
      <c r="H18" s="81"/>
      <c r="I18" s="82"/>
      <c r="J18" s="80"/>
      <c r="K18" s="82"/>
      <c r="L18" s="80"/>
      <c r="M18" s="82"/>
      <c r="N18" s="80"/>
      <c r="O18" s="82"/>
      <c r="P18" s="94"/>
      <c r="Q18" s="95"/>
      <c r="R18" s="80"/>
      <c r="S18" s="81"/>
    </row>
    <row r="19" spans="2:19" x14ac:dyDescent="0.25">
      <c r="B19" s="75"/>
      <c r="C19" s="76"/>
      <c r="D19" s="83"/>
      <c r="E19" s="84"/>
      <c r="F19" s="84"/>
      <c r="G19" s="84"/>
      <c r="H19" s="84"/>
      <c r="I19" s="85"/>
      <c r="J19" s="83"/>
      <c r="K19" s="85"/>
      <c r="L19" s="83"/>
      <c r="M19" s="85"/>
      <c r="N19" s="83"/>
      <c r="O19" s="85"/>
      <c r="P19" s="96"/>
      <c r="Q19" s="97"/>
      <c r="R19" s="80"/>
      <c r="S19" s="81"/>
    </row>
    <row r="20" spans="2:19" x14ac:dyDescent="0.25">
      <c r="B20" s="71"/>
      <c r="C20" s="72"/>
      <c r="D20" s="77"/>
      <c r="E20" s="78"/>
      <c r="F20" s="78"/>
      <c r="G20" s="78"/>
      <c r="H20" s="78"/>
      <c r="I20" s="79"/>
      <c r="J20" s="77"/>
      <c r="K20" s="79"/>
      <c r="L20" s="77"/>
      <c r="M20" s="79"/>
      <c r="N20" s="77"/>
      <c r="O20" s="79"/>
      <c r="P20" s="92"/>
      <c r="Q20" s="93"/>
      <c r="R20" s="80" t="str">
        <f t="shared" ref="R20" ca="1" si="2">IF(L20=""," ",IF(P20="Concluída"," ",IF(TODAY()&gt;L20,"EM ATRASO",IF(TODAY()=L20,"HOJE"," "))))</f>
        <v xml:space="preserve"> </v>
      </c>
      <c r="S20" s="81"/>
    </row>
    <row r="21" spans="2:19" x14ac:dyDescent="0.25">
      <c r="B21" s="73"/>
      <c r="C21" s="74"/>
      <c r="D21" s="80"/>
      <c r="E21" s="81"/>
      <c r="F21" s="81"/>
      <c r="G21" s="81"/>
      <c r="H21" s="81"/>
      <c r="I21" s="82"/>
      <c r="J21" s="80"/>
      <c r="K21" s="82"/>
      <c r="L21" s="80"/>
      <c r="M21" s="82"/>
      <c r="N21" s="80"/>
      <c r="O21" s="82"/>
      <c r="P21" s="94"/>
      <c r="Q21" s="95"/>
      <c r="R21" s="80"/>
      <c r="S21" s="81"/>
    </row>
    <row r="22" spans="2:19" ht="15" customHeight="1" x14ac:dyDescent="0.25">
      <c r="B22" s="75"/>
      <c r="C22" s="76"/>
      <c r="D22" s="83"/>
      <c r="E22" s="84"/>
      <c r="F22" s="84"/>
      <c r="G22" s="84"/>
      <c r="H22" s="84"/>
      <c r="I22" s="85"/>
      <c r="J22" s="83"/>
      <c r="K22" s="85"/>
      <c r="L22" s="83"/>
      <c r="M22" s="85"/>
      <c r="N22" s="83"/>
      <c r="O22" s="85"/>
      <c r="P22" s="96"/>
      <c r="Q22" s="97"/>
      <c r="R22" s="80"/>
      <c r="S22" s="81"/>
    </row>
    <row r="23" spans="2:19" ht="15" customHeight="1" x14ac:dyDescent="0.25">
      <c r="B23" s="71"/>
      <c r="C23" s="72"/>
      <c r="D23" s="77"/>
      <c r="E23" s="78"/>
      <c r="F23" s="78"/>
      <c r="G23" s="78"/>
      <c r="H23" s="78"/>
      <c r="I23" s="79"/>
      <c r="J23" s="77"/>
      <c r="K23" s="79"/>
      <c r="L23" s="77"/>
      <c r="M23" s="79"/>
      <c r="N23" s="77"/>
      <c r="O23" s="79"/>
      <c r="P23" s="92"/>
      <c r="Q23" s="93"/>
      <c r="R23" s="80" t="str">
        <f t="shared" ref="R23" ca="1" si="3">IF(L23=""," ",IF(P23="Concluída"," ",IF(TODAY()&gt;L23,"EM ATRASO",IF(TODAY()=L23,"HOJE"," "))))</f>
        <v xml:space="preserve"> </v>
      </c>
      <c r="S23" s="81"/>
    </row>
    <row r="24" spans="2:19" x14ac:dyDescent="0.25">
      <c r="B24" s="73"/>
      <c r="C24" s="74"/>
      <c r="D24" s="80"/>
      <c r="E24" s="81"/>
      <c r="F24" s="81"/>
      <c r="G24" s="81"/>
      <c r="H24" s="81"/>
      <c r="I24" s="82"/>
      <c r="J24" s="80"/>
      <c r="K24" s="82"/>
      <c r="L24" s="80"/>
      <c r="M24" s="82"/>
      <c r="N24" s="80"/>
      <c r="O24" s="82"/>
      <c r="P24" s="94"/>
      <c r="Q24" s="95"/>
      <c r="R24" s="80"/>
      <c r="S24" s="81"/>
    </row>
    <row r="25" spans="2:19" x14ac:dyDescent="0.25">
      <c r="B25" s="75"/>
      <c r="C25" s="76"/>
      <c r="D25" s="83"/>
      <c r="E25" s="84"/>
      <c r="F25" s="84"/>
      <c r="G25" s="84"/>
      <c r="H25" s="84"/>
      <c r="I25" s="85"/>
      <c r="J25" s="83"/>
      <c r="K25" s="85"/>
      <c r="L25" s="83"/>
      <c r="M25" s="85"/>
      <c r="N25" s="83"/>
      <c r="O25" s="85"/>
      <c r="P25" s="96"/>
      <c r="Q25" s="97"/>
      <c r="R25" s="80"/>
      <c r="S25" s="81"/>
    </row>
    <row r="26" spans="2:19" x14ac:dyDescent="0.25">
      <c r="B26" s="71"/>
      <c r="C26" s="72"/>
      <c r="D26" s="77"/>
      <c r="E26" s="78"/>
      <c r="F26" s="78"/>
      <c r="G26" s="78"/>
      <c r="H26" s="78"/>
      <c r="I26" s="79"/>
      <c r="J26" s="77"/>
      <c r="K26" s="79"/>
      <c r="L26" s="77"/>
      <c r="M26" s="79"/>
      <c r="N26" s="77"/>
      <c r="O26" s="79"/>
      <c r="P26" s="92"/>
      <c r="Q26" s="93"/>
      <c r="R26" s="80" t="str">
        <f t="shared" ref="R26" ca="1" si="4">IF(L26=""," ",IF(P26="Concluída"," ",IF(TODAY()&gt;L26,"EM ATRASO",IF(TODAY()=L26,"HOJE"," "))))</f>
        <v xml:space="preserve"> </v>
      </c>
      <c r="S26" s="81"/>
    </row>
    <row r="27" spans="2:19" x14ac:dyDescent="0.25">
      <c r="B27" s="73"/>
      <c r="C27" s="74"/>
      <c r="D27" s="80"/>
      <c r="E27" s="81"/>
      <c r="F27" s="81"/>
      <c r="G27" s="81"/>
      <c r="H27" s="81"/>
      <c r="I27" s="82"/>
      <c r="J27" s="80"/>
      <c r="K27" s="82"/>
      <c r="L27" s="80"/>
      <c r="M27" s="82"/>
      <c r="N27" s="80"/>
      <c r="O27" s="82"/>
      <c r="P27" s="94"/>
      <c r="Q27" s="95"/>
      <c r="R27" s="80"/>
      <c r="S27" s="81"/>
    </row>
    <row r="28" spans="2:19" x14ac:dyDescent="0.25">
      <c r="B28" s="75"/>
      <c r="C28" s="76"/>
      <c r="D28" s="83"/>
      <c r="E28" s="84"/>
      <c r="F28" s="84"/>
      <c r="G28" s="84"/>
      <c r="H28" s="84"/>
      <c r="I28" s="85"/>
      <c r="J28" s="83"/>
      <c r="K28" s="85"/>
      <c r="L28" s="83"/>
      <c r="M28" s="85"/>
      <c r="N28" s="83"/>
      <c r="O28" s="85"/>
      <c r="P28" s="96"/>
      <c r="Q28" s="97"/>
      <c r="R28" s="80"/>
      <c r="S28" s="81"/>
    </row>
    <row r="29" spans="2:19" x14ac:dyDescent="0.25">
      <c r="B29" s="71"/>
      <c r="C29" s="72"/>
      <c r="D29" s="77"/>
      <c r="E29" s="78"/>
      <c r="F29" s="78"/>
      <c r="G29" s="78"/>
      <c r="H29" s="78"/>
      <c r="I29" s="79"/>
      <c r="J29" s="77"/>
      <c r="K29" s="79"/>
      <c r="L29" s="77"/>
      <c r="M29" s="79"/>
      <c r="N29" s="77"/>
      <c r="O29" s="79"/>
      <c r="P29" s="92"/>
      <c r="Q29" s="93"/>
      <c r="R29" s="80" t="str">
        <f t="shared" ref="R29" ca="1" si="5">IF(L29=""," ",IF(P29="Concluída"," ",IF(TODAY()&gt;L29,"EM ATRASO",IF(TODAY()=L29,"HOJE"," "))))</f>
        <v xml:space="preserve"> </v>
      </c>
      <c r="S29" s="81"/>
    </row>
    <row r="30" spans="2:19" x14ac:dyDescent="0.25">
      <c r="B30" s="73"/>
      <c r="C30" s="74"/>
      <c r="D30" s="80"/>
      <c r="E30" s="81"/>
      <c r="F30" s="81"/>
      <c r="G30" s="81"/>
      <c r="H30" s="81"/>
      <c r="I30" s="82"/>
      <c r="J30" s="80"/>
      <c r="K30" s="82"/>
      <c r="L30" s="80"/>
      <c r="M30" s="82"/>
      <c r="N30" s="80"/>
      <c r="O30" s="82"/>
      <c r="P30" s="94"/>
      <c r="Q30" s="95"/>
      <c r="R30" s="80"/>
      <c r="S30" s="81"/>
    </row>
    <row r="31" spans="2:19" x14ac:dyDescent="0.25">
      <c r="B31" s="75"/>
      <c r="C31" s="76"/>
      <c r="D31" s="83"/>
      <c r="E31" s="84"/>
      <c r="F31" s="84"/>
      <c r="G31" s="84"/>
      <c r="H31" s="84"/>
      <c r="I31" s="85"/>
      <c r="J31" s="83"/>
      <c r="K31" s="85"/>
      <c r="L31" s="83"/>
      <c r="M31" s="85"/>
      <c r="N31" s="83"/>
      <c r="O31" s="85"/>
      <c r="P31" s="96"/>
      <c r="Q31" s="97"/>
      <c r="R31" s="80"/>
      <c r="S31" s="81"/>
    </row>
    <row r="32" spans="2:19" x14ac:dyDescent="0.25">
      <c r="B32" s="71"/>
      <c r="C32" s="72"/>
      <c r="D32" s="77"/>
      <c r="E32" s="78"/>
      <c r="F32" s="78"/>
      <c r="G32" s="78"/>
      <c r="H32" s="78"/>
      <c r="I32" s="79"/>
      <c r="J32" s="77"/>
      <c r="K32" s="79"/>
      <c r="L32" s="77"/>
      <c r="M32" s="79"/>
      <c r="N32" s="77"/>
      <c r="O32" s="79"/>
      <c r="P32" s="92"/>
      <c r="Q32" s="93"/>
      <c r="R32" s="80" t="str">
        <f t="shared" ref="R32" ca="1" si="6">IF(L32=""," ",IF(P32="Concluída"," ",IF(TODAY()&gt;L32,"EM ATRASO",IF(TODAY()=L32,"HOJE"," "))))</f>
        <v xml:space="preserve"> </v>
      </c>
      <c r="S32" s="81"/>
    </row>
    <row r="33" spans="2:19" x14ac:dyDescent="0.25">
      <c r="B33" s="73"/>
      <c r="C33" s="74"/>
      <c r="D33" s="80"/>
      <c r="E33" s="81"/>
      <c r="F33" s="81"/>
      <c r="G33" s="81"/>
      <c r="H33" s="81"/>
      <c r="I33" s="82"/>
      <c r="J33" s="80"/>
      <c r="K33" s="82"/>
      <c r="L33" s="80"/>
      <c r="M33" s="82"/>
      <c r="N33" s="80"/>
      <c r="O33" s="82"/>
      <c r="P33" s="94"/>
      <c r="Q33" s="95"/>
      <c r="R33" s="80"/>
      <c r="S33" s="81"/>
    </row>
    <row r="34" spans="2:19" x14ac:dyDescent="0.25">
      <c r="B34" s="75"/>
      <c r="C34" s="76"/>
      <c r="D34" s="83"/>
      <c r="E34" s="84"/>
      <c r="F34" s="84"/>
      <c r="G34" s="84"/>
      <c r="H34" s="84"/>
      <c r="I34" s="85"/>
      <c r="J34" s="83"/>
      <c r="K34" s="85"/>
      <c r="L34" s="83"/>
      <c r="M34" s="85"/>
      <c r="N34" s="83"/>
      <c r="O34" s="85"/>
      <c r="P34" s="96"/>
      <c r="Q34" s="97"/>
      <c r="R34" s="80"/>
      <c r="S34" s="81"/>
    </row>
    <row r="35" spans="2:19" x14ac:dyDescent="0.25">
      <c r="B35" s="71"/>
      <c r="C35" s="72"/>
      <c r="D35" s="77"/>
      <c r="E35" s="78"/>
      <c r="F35" s="78"/>
      <c r="G35" s="78"/>
      <c r="H35" s="78"/>
      <c r="I35" s="79"/>
      <c r="J35" s="77"/>
      <c r="K35" s="79"/>
      <c r="L35" s="77"/>
      <c r="M35" s="79"/>
      <c r="N35" s="77"/>
      <c r="O35" s="79"/>
      <c r="P35" s="92"/>
      <c r="Q35" s="93"/>
      <c r="R35" s="80" t="str">
        <f t="shared" ref="R35" ca="1" si="7">IF(L35=""," ",IF(P35="Concluída"," ",IF(TODAY()&gt;L35,"EM ATRASO",IF(TODAY()=L35,"HOJE"," "))))</f>
        <v xml:space="preserve"> </v>
      </c>
      <c r="S35" s="81"/>
    </row>
    <row r="36" spans="2:19" x14ac:dyDescent="0.25">
      <c r="B36" s="73"/>
      <c r="C36" s="74"/>
      <c r="D36" s="80"/>
      <c r="E36" s="81"/>
      <c r="F36" s="81"/>
      <c r="G36" s="81"/>
      <c r="H36" s="81"/>
      <c r="I36" s="82"/>
      <c r="J36" s="80"/>
      <c r="K36" s="82"/>
      <c r="L36" s="80"/>
      <c r="M36" s="82"/>
      <c r="N36" s="80"/>
      <c r="O36" s="82"/>
      <c r="P36" s="94"/>
      <c r="Q36" s="95"/>
      <c r="R36" s="80"/>
      <c r="S36" s="81"/>
    </row>
    <row r="37" spans="2:19" x14ac:dyDescent="0.25">
      <c r="B37" s="75"/>
      <c r="C37" s="76"/>
      <c r="D37" s="83"/>
      <c r="E37" s="84"/>
      <c r="F37" s="84"/>
      <c r="G37" s="84"/>
      <c r="H37" s="84"/>
      <c r="I37" s="85"/>
      <c r="J37" s="83"/>
      <c r="K37" s="85"/>
      <c r="L37" s="83"/>
      <c r="M37" s="85"/>
      <c r="N37" s="83"/>
      <c r="O37" s="85"/>
      <c r="P37" s="96"/>
      <c r="Q37" s="97"/>
      <c r="R37" s="80"/>
      <c r="S37" s="81"/>
    </row>
    <row r="38" spans="2:19" x14ac:dyDescent="0.25">
      <c r="B38" s="71"/>
      <c r="C38" s="72"/>
      <c r="D38" s="77"/>
      <c r="E38" s="78"/>
      <c r="F38" s="78"/>
      <c r="G38" s="78"/>
      <c r="H38" s="78"/>
      <c r="I38" s="79"/>
      <c r="J38" s="77"/>
      <c r="K38" s="79"/>
      <c r="L38" s="77"/>
      <c r="M38" s="79"/>
      <c r="N38" s="77"/>
      <c r="O38" s="79"/>
      <c r="P38" s="92"/>
      <c r="Q38" s="93"/>
      <c r="R38" s="80" t="str">
        <f t="shared" ref="R38" ca="1" si="8">IF(L38=""," ",IF(P38="Concluída"," ",IF(TODAY()&gt;L38,"EM ATRASO",IF(TODAY()=L38,"HOJE"," "))))</f>
        <v xml:space="preserve"> </v>
      </c>
      <c r="S38" s="81"/>
    </row>
    <row r="39" spans="2:19" x14ac:dyDescent="0.25">
      <c r="B39" s="73"/>
      <c r="C39" s="74"/>
      <c r="D39" s="80"/>
      <c r="E39" s="81"/>
      <c r="F39" s="81"/>
      <c r="G39" s="81"/>
      <c r="H39" s="81"/>
      <c r="I39" s="82"/>
      <c r="J39" s="80"/>
      <c r="K39" s="82"/>
      <c r="L39" s="80"/>
      <c r="M39" s="82"/>
      <c r="N39" s="80"/>
      <c r="O39" s="82"/>
      <c r="P39" s="94"/>
      <c r="Q39" s="95"/>
      <c r="R39" s="80"/>
      <c r="S39" s="81"/>
    </row>
    <row r="40" spans="2:19" x14ac:dyDescent="0.25">
      <c r="B40" s="75"/>
      <c r="C40" s="76"/>
      <c r="D40" s="83"/>
      <c r="E40" s="84"/>
      <c r="F40" s="84"/>
      <c r="G40" s="84"/>
      <c r="H40" s="84"/>
      <c r="I40" s="85"/>
      <c r="J40" s="83"/>
      <c r="K40" s="85"/>
      <c r="L40" s="83"/>
      <c r="M40" s="85"/>
      <c r="N40" s="83"/>
      <c r="O40" s="85"/>
      <c r="P40" s="96"/>
      <c r="Q40" s="97"/>
      <c r="R40" s="80"/>
      <c r="S40" s="81"/>
    </row>
    <row r="41" spans="2:19" x14ac:dyDescent="0.25">
      <c r="B41" s="71"/>
      <c r="C41" s="72"/>
      <c r="D41" s="77"/>
      <c r="E41" s="78"/>
      <c r="F41" s="78"/>
      <c r="G41" s="78"/>
      <c r="H41" s="78"/>
      <c r="I41" s="79"/>
      <c r="J41" s="77"/>
      <c r="K41" s="79"/>
      <c r="L41" s="77"/>
      <c r="M41" s="79"/>
      <c r="N41" s="77"/>
      <c r="O41" s="79"/>
      <c r="P41" s="92"/>
      <c r="Q41" s="93"/>
      <c r="R41" s="80" t="str">
        <f t="shared" ref="R41" ca="1" si="9">IF(L41=""," ",IF(P41="Concluída"," ",IF(TODAY()&gt;L41,"EM ATRASO",IF(TODAY()=L41,"HOJE"," "))))</f>
        <v xml:space="preserve"> </v>
      </c>
      <c r="S41" s="81"/>
    </row>
    <row r="42" spans="2:19" x14ac:dyDescent="0.25">
      <c r="B42" s="73"/>
      <c r="C42" s="74"/>
      <c r="D42" s="80"/>
      <c r="E42" s="81"/>
      <c r="F42" s="81"/>
      <c r="G42" s="81"/>
      <c r="H42" s="81"/>
      <c r="I42" s="82"/>
      <c r="J42" s="80"/>
      <c r="K42" s="82"/>
      <c r="L42" s="80"/>
      <c r="M42" s="82"/>
      <c r="N42" s="80"/>
      <c r="O42" s="82"/>
      <c r="P42" s="94"/>
      <c r="Q42" s="95"/>
      <c r="R42" s="80"/>
      <c r="S42" s="81"/>
    </row>
    <row r="43" spans="2:19" x14ac:dyDescent="0.25">
      <c r="B43" s="75"/>
      <c r="C43" s="76"/>
      <c r="D43" s="83"/>
      <c r="E43" s="84"/>
      <c r="F43" s="84"/>
      <c r="G43" s="84"/>
      <c r="H43" s="84"/>
      <c r="I43" s="85"/>
      <c r="J43" s="83"/>
      <c r="K43" s="85"/>
      <c r="L43" s="83"/>
      <c r="M43" s="85"/>
      <c r="N43" s="83"/>
      <c r="O43" s="85"/>
      <c r="P43" s="96"/>
      <c r="Q43" s="97"/>
      <c r="R43" s="80"/>
      <c r="S43" s="81"/>
    </row>
    <row r="44" spans="2:19" x14ac:dyDescent="0.25">
      <c r="B44" s="71"/>
      <c r="C44" s="72"/>
      <c r="D44" s="77"/>
      <c r="E44" s="78"/>
      <c r="F44" s="78"/>
      <c r="G44" s="78"/>
      <c r="H44" s="78"/>
      <c r="I44" s="79"/>
      <c r="J44" s="77"/>
      <c r="K44" s="79"/>
      <c r="L44" s="77"/>
      <c r="M44" s="79"/>
      <c r="N44" s="77"/>
      <c r="O44" s="79"/>
      <c r="P44" s="92"/>
      <c r="Q44" s="93"/>
      <c r="R44" s="80" t="str">
        <f t="shared" ref="R44" ca="1" si="10">IF(L44=""," ",IF(P44="Concluída"," ",IF(TODAY()&gt;L44,"EM ATRASO",IF(TODAY()=L44,"HOJE"," "))))</f>
        <v xml:space="preserve"> </v>
      </c>
      <c r="S44" s="81"/>
    </row>
    <row r="45" spans="2:19" x14ac:dyDescent="0.25">
      <c r="B45" s="73"/>
      <c r="C45" s="74"/>
      <c r="D45" s="80"/>
      <c r="E45" s="81"/>
      <c r="F45" s="81"/>
      <c r="G45" s="81"/>
      <c r="H45" s="81"/>
      <c r="I45" s="82"/>
      <c r="J45" s="80"/>
      <c r="K45" s="82"/>
      <c r="L45" s="80"/>
      <c r="M45" s="82"/>
      <c r="N45" s="80"/>
      <c r="O45" s="82"/>
      <c r="P45" s="94"/>
      <c r="Q45" s="95"/>
      <c r="R45" s="80"/>
      <c r="S45" s="81"/>
    </row>
    <row r="46" spans="2:19" x14ac:dyDescent="0.25">
      <c r="B46" s="75"/>
      <c r="C46" s="76"/>
      <c r="D46" s="83"/>
      <c r="E46" s="84"/>
      <c r="F46" s="84"/>
      <c r="G46" s="84"/>
      <c r="H46" s="84"/>
      <c r="I46" s="85"/>
      <c r="J46" s="83"/>
      <c r="K46" s="85"/>
      <c r="L46" s="83"/>
      <c r="M46" s="85"/>
      <c r="N46" s="83"/>
      <c r="O46" s="85"/>
      <c r="P46" s="96"/>
      <c r="Q46" s="97"/>
      <c r="R46" s="80"/>
      <c r="S46" s="81"/>
    </row>
    <row r="47" spans="2:19" x14ac:dyDescent="0.25">
      <c r="B47" s="71"/>
      <c r="C47" s="72"/>
      <c r="D47" s="77"/>
      <c r="E47" s="78"/>
      <c r="F47" s="78"/>
      <c r="G47" s="78"/>
      <c r="H47" s="78"/>
      <c r="I47" s="79"/>
      <c r="J47" s="77"/>
      <c r="K47" s="79"/>
      <c r="L47" s="77"/>
      <c r="M47" s="79"/>
      <c r="N47" s="77"/>
      <c r="O47" s="79"/>
      <c r="P47" s="92"/>
      <c r="Q47" s="93"/>
      <c r="R47" s="80" t="str">
        <f t="shared" ref="R47" ca="1" si="11">IF(L47=""," ",IF(P47="Concluída"," ",IF(TODAY()&gt;L47,"EM ATRASO",IF(TODAY()=L47,"HOJE"," "))))</f>
        <v xml:space="preserve"> </v>
      </c>
      <c r="S47" s="81"/>
    </row>
    <row r="48" spans="2:19" x14ac:dyDescent="0.25">
      <c r="B48" s="73"/>
      <c r="C48" s="74"/>
      <c r="D48" s="80"/>
      <c r="E48" s="81"/>
      <c r="F48" s="81"/>
      <c r="G48" s="81"/>
      <c r="H48" s="81"/>
      <c r="I48" s="82"/>
      <c r="J48" s="80"/>
      <c r="K48" s="82"/>
      <c r="L48" s="80"/>
      <c r="M48" s="82"/>
      <c r="N48" s="80"/>
      <c r="O48" s="82"/>
      <c r="P48" s="94"/>
      <c r="Q48" s="95"/>
      <c r="R48" s="80"/>
      <c r="S48" s="81"/>
    </row>
    <row r="49" spans="2:19" x14ac:dyDescent="0.25">
      <c r="B49" s="75"/>
      <c r="C49" s="76"/>
      <c r="D49" s="83"/>
      <c r="E49" s="84"/>
      <c r="F49" s="84"/>
      <c r="G49" s="84"/>
      <c r="H49" s="84"/>
      <c r="I49" s="85"/>
      <c r="J49" s="83"/>
      <c r="K49" s="85"/>
      <c r="L49" s="83"/>
      <c r="M49" s="85"/>
      <c r="N49" s="83"/>
      <c r="O49" s="85"/>
      <c r="P49" s="96"/>
      <c r="Q49" s="97"/>
      <c r="R49" s="80"/>
      <c r="S49" s="81"/>
    </row>
    <row r="50" spans="2:19" x14ac:dyDescent="0.25">
      <c r="B50" s="71"/>
      <c r="C50" s="72"/>
      <c r="D50" s="77"/>
      <c r="E50" s="78"/>
      <c r="F50" s="78"/>
      <c r="G50" s="78"/>
      <c r="H50" s="78"/>
      <c r="I50" s="79"/>
      <c r="J50" s="77"/>
      <c r="K50" s="79"/>
      <c r="L50" s="77"/>
      <c r="M50" s="79"/>
      <c r="N50" s="77"/>
      <c r="O50" s="79"/>
      <c r="P50" s="92"/>
      <c r="Q50" s="93"/>
      <c r="R50" s="80" t="str">
        <f t="shared" ref="R50" ca="1" si="12">IF(L50=""," ",IF(P50="Concluída"," ",IF(TODAY()&gt;L50,"EM ATRASO",IF(TODAY()=L50,"HOJE"," "))))</f>
        <v xml:space="preserve"> </v>
      </c>
      <c r="S50" s="81"/>
    </row>
    <row r="51" spans="2:19" x14ac:dyDescent="0.25">
      <c r="B51" s="73"/>
      <c r="C51" s="74"/>
      <c r="D51" s="80"/>
      <c r="E51" s="81"/>
      <c r="F51" s="81"/>
      <c r="G51" s="81"/>
      <c r="H51" s="81"/>
      <c r="I51" s="82"/>
      <c r="J51" s="80"/>
      <c r="K51" s="82"/>
      <c r="L51" s="80"/>
      <c r="M51" s="82"/>
      <c r="N51" s="80"/>
      <c r="O51" s="82"/>
      <c r="P51" s="94"/>
      <c r="Q51" s="95"/>
      <c r="R51" s="80"/>
      <c r="S51" s="81"/>
    </row>
    <row r="52" spans="2:19" x14ac:dyDescent="0.25">
      <c r="B52" s="75"/>
      <c r="C52" s="76"/>
      <c r="D52" s="83"/>
      <c r="E52" s="84"/>
      <c r="F52" s="84"/>
      <c r="G52" s="84"/>
      <c r="H52" s="84"/>
      <c r="I52" s="85"/>
      <c r="J52" s="83"/>
      <c r="K52" s="85"/>
      <c r="L52" s="83"/>
      <c r="M52" s="85"/>
      <c r="N52" s="83"/>
      <c r="O52" s="85"/>
      <c r="P52" s="96"/>
      <c r="Q52" s="97"/>
      <c r="R52" s="80"/>
      <c r="S52" s="81"/>
    </row>
    <row r="53" spans="2:19" x14ac:dyDescent="0.25">
      <c r="B53" s="71"/>
      <c r="C53" s="72"/>
      <c r="D53" s="77"/>
      <c r="E53" s="78"/>
      <c r="F53" s="78"/>
      <c r="G53" s="78"/>
      <c r="H53" s="78"/>
      <c r="I53" s="79"/>
      <c r="J53" s="77"/>
      <c r="K53" s="79"/>
      <c r="L53" s="77"/>
      <c r="M53" s="79"/>
      <c r="N53" s="77"/>
      <c r="O53" s="79"/>
      <c r="P53" s="92"/>
      <c r="Q53" s="93"/>
      <c r="R53" s="80" t="str">
        <f t="shared" ref="R53" ca="1" si="13">IF(L53=""," ",IF(P53="Concluída"," ",IF(TODAY()&gt;L53,"EM ATRASO",IF(TODAY()=L53,"HOJE"," "))))</f>
        <v xml:space="preserve"> </v>
      </c>
      <c r="S53" s="81"/>
    </row>
    <row r="54" spans="2:19" x14ac:dyDescent="0.25">
      <c r="B54" s="73"/>
      <c r="C54" s="74"/>
      <c r="D54" s="80"/>
      <c r="E54" s="81"/>
      <c r="F54" s="81"/>
      <c r="G54" s="81"/>
      <c r="H54" s="81"/>
      <c r="I54" s="82"/>
      <c r="J54" s="80"/>
      <c r="K54" s="82"/>
      <c r="L54" s="80"/>
      <c r="M54" s="82"/>
      <c r="N54" s="80"/>
      <c r="O54" s="82"/>
      <c r="P54" s="94"/>
      <c r="Q54" s="95"/>
      <c r="R54" s="80"/>
      <c r="S54" s="81"/>
    </row>
    <row r="55" spans="2:19" x14ac:dyDescent="0.25">
      <c r="B55" s="75"/>
      <c r="C55" s="76"/>
      <c r="D55" s="83"/>
      <c r="E55" s="84"/>
      <c r="F55" s="84"/>
      <c r="G55" s="84"/>
      <c r="H55" s="84"/>
      <c r="I55" s="85"/>
      <c r="J55" s="83"/>
      <c r="K55" s="85"/>
      <c r="L55" s="83"/>
      <c r="M55" s="85"/>
      <c r="N55" s="83"/>
      <c r="O55" s="85"/>
      <c r="P55" s="96"/>
      <c r="Q55" s="97"/>
      <c r="R55" s="80"/>
      <c r="S55" s="81"/>
    </row>
    <row r="56" spans="2:19" x14ac:dyDescent="0.25">
      <c r="B56" s="71"/>
      <c r="C56" s="72"/>
      <c r="D56" s="77"/>
      <c r="E56" s="78"/>
      <c r="F56" s="78"/>
      <c r="G56" s="78"/>
      <c r="H56" s="78"/>
      <c r="I56" s="79"/>
      <c r="J56" s="77"/>
      <c r="K56" s="79"/>
      <c r="L56" s="77"/>
      <c r="M56" s="79"/>
      <c r="N56" s="77"/>
      <c r="O56" s="79"/>
      <c r="P56" s="92"/>
      <c r="Q56" s="93"/>
      <c r="R56" s="80" t="str">
        <f t="shared" ref="R56" ca="1" si="14">IF(L56=""," ",IF(P56="Concluída"," ",IF(TODAY()&gt;L56,"EM ATRASO",IF(TODAY()=L56,"HOJE"," "))))</f>
        <v xml:space="preserve"> </v>
      </c>
      <c r="S56" s="81"/>
    </row>
    <row r="57" spans="2:19" x14ac:dyDescent="0.25">
      <c r="B57" s="73"/>
      <c r="C57" s="74"/>
      <c r="D57" s="80"/>
      <c r="E57" s="81"/>
      <c r="F57" s="81"/>
      <c r="G57" s="81"/>
      <c r="H57" s="81"/>
      <c r="I57" s="82"/>
      <c r="J57" s="80"/>
      <c r="K57" s="82"/>
      <c r="L57" s="80"/>
      <c r="M57" s="82"/>
      <c r="N57" s="80"/>
      <c r="O57" s="82"/>
      <c r="P57" s="94"/>
      <c r="Q57" s="95"/>
      <c r="R57" s="80"/>
      <c r="S57" s="81"/>
    </row>
    <row r="58" spans="2:19" x14ac:dyDescent="0.25">
      <c r="B58" s="75"/>
      <c r="C58" s="76"/>
      <c r="D58" s="83"/>
      <c r="E58" s="84"/>
      <c r="F58" s="84"/>
      <c r="G58" s="84"/>
      <c r="H58" s="84"/>
      <c r="I58" s="85"/>
      <c r="J58" s="83"/>
      <c r="K58" s="85"/>
      <c r="L58" s="83"/>
      <c r="M58" s="85"/>
      <c r="N58" s="83"/>
      <c r="O58" s="85"/>
      <c r="P58" s="96"/>
      <c r="Q58" s="97"/>
      <c r="R58" s="80"/>
      <c r="S58" s="81"/>
    </row>
    <row r="59" spans="2:19" x14ac:dyDescent="0.25">
      <c r="B59" s="71"/>
      <c r="C59" s="72"/>
      <c r="D59" s="77"/>
      <c r="E59" s="78"/>
      <c r="F59" s="78"/>
      <c r="G59" s="78"/>
      <c r="H59" s="78"/>
      <c r="I59" s="79"/>
      <c r="J59" s="77"/>
      <c r="K59" s="79"/>
      <c r="L59" s="77"/>
      <c r="M59" s="79"/>
      <c r="N59" s="77"/>
      <c r="O59" s="79"/>
      <c r="P59" s="92"/>
      <c r="Q59" s="93"/>
      <c r="R59" s="80" t="str">
        <f t="shared" ref="R59" ca="1" si="15">IF(L59=""," ",IF(P59="Concluída"," ",IF(TODAY()&gt;L59,"EM ATRASO",IF(TODAY()=L59,"HOJE"," "))))</f>
        <v xml:space="preserve"> </v>
      </c>
      <c r="S59" s="81"/>
    </row>
    <row r="60" spans="2:19" x14ac:dyDescent="0.25">
      <c r="B60" s="73"/>
      <c r="C60" s="74"/>
      <c r="D60" s="80"/>
      <c r="E60" s="81"/>
      <c r="F60" s="81"/>
      <c r="G60" s="81"/>
      <c r="H60" s="81"/>
      <c r="I60" s="82"/>
      <c r="J60" s="80"/>
      <c r="K60" s="82"/>
      <c r="L60" s="80"/>
      <c r="M60" s="82"/>
      <c r="N60" s="80"/>
      <c r="O60" s="82"/>
      <c r="P60" s="94"/>
      <c r="Q60" s="95"/>
      <c r="R60" s="80"/>
      <c r="S60" s="81"/>
    </row>
    <row r="61" spans="2:19" x14ac:dyDescent="0.25">
      <c r="B61" s="75"/>
      <c r="C61" s="76"/>
      <c r="D61" s="83"/>
      <c r="E61" s="84"/>
      <c r="F61" s="84"/>
      <c r="G61" s="84"/>
      <c r="H61" s="84"/>
      <c r="I61" s="85"/>
      <c r="J61" s="83"/>
      <c r="K61" s="85"/>
      <c r="L61" s="83"/>
      <c r="M61" s="85"/>
      <c r="N61" s="83"/>
      <c r="O61" s="85"/>
      <c r="P61" s="96"/>
      <c r="Q61" s="97"/>
      <c r="R61" s="80"/>
      <c r="S61" s="81"/>
    </row>
    <row r="62" spans="2:19" x14ac:dyDescent="0.25">
      <c r="B62" s="71"/>
      <c r="C62" s="72"/>
      <c r="D62" s="77"/>
      <c r="E62" s="78"/>
      <c r="F62" s="78"/>
      <c r="G62" s="78"/>
      <c r="H62" s="78"/>
      <c r="I62" s="79"/>
      <c r="J62" s="77"/>
      <c r="K62" s="79"/>
      <c r="L62" s="77"/>
      <c r="M62" s="79"/>
      <c r="N62" s="77"/>
      <c r="O62" s="79"/>
      <c r="P62" s="92"/>
      <c r="Q62" s="93"/>
      <c r="R62" s="80" t="str">
        <f t="shared" ref="R62" ca="1" si="16">IF(L62=""," ",IF(P62="Concluída"," ",IF(TODAY()&gt;L62,"EM ATRASO",IF(TODAY()=L62,"HOJE"," "))))</f>
        <v xml:space="preserve"> </v>
      </c>
      <c r="S62" s="81"/>
    </row>
    <row r="63" spans="2:19" x14ac:dyDescent="0.25">
      <c r="B63" s="73"/>
      <c r="C63" s="74"/>
      <c r="D63" s="80"/>
      <c r="E63" s="81"/>
      <c r="F63" s="81"/>
      <c r="G63" s="81"/>
      <c r="H63" s="81"/>
      <c r="I63" s="82"/>
      <c r="J63" s="80"/>
      <c r="K63" s="82"/>
      <c r="L63" s="80"/>
      <c r="M63" s="82"/>
      <c r="N63" s="80"/>
      <c r="O63" s="82"/>
      <c r="P63" s="94"/>
      <c r="Q63" s="95"/>
      <c r="R63" s="80"/>
      <c r="S63" s="81"/>
    </row>
    <row r="64" spans="2:19" x14ac:dyDescent="0.25">
      <c r="B64" s="75"/>
      <c r="C64" s="76"/>
      <c r="D64" s="83"/>
      <c r="E64" s="84"/>
      <c r="F64" s="84"/>
      <c r="G64" s="84"/>
      <c r="H64" s="84"/>
      <c r="I64" s="85"/>
      <c r="J64" s="83"/>
      <c r="K64" s="85"/>
      <c r="L64" s="83"/>
      <c r="M64" s="85"/>
      <c r="N64" s="83"/>
      <c r="O64" s="85"/>
      <c r="P64" s="96"/>
      <c r="Q64" s="97"/>
      <c r="R64" s="80"/>
      <c r="S64" s="81"/>
    </row>
    <row r="65" spans="2:19" x14ac:dyDescent="0.25">
      <c r="B65" s="71"/>
      <c r="C65" s="72"/>
      <c r="D65" s="77"/>
      <c r="E65" s="78"/>
      <c r="F65" s="78"/>
      <c r="G65" s="78"/>
      <c r="H65" s="78"/>
      <c r="I65" s="79"/>
      <c r="J65" s="77"/>
      <c r="K65" s="79"/>
      <c r="L65" s="77"/>
      <c r="M65" s="79"/>
      <c r="N65" s="77"/>
      <c r="O65" s="79"/>
      <c r="P65" s="92"/>
      <c r="Q65" s="93"/>
      <c r="R65" s="80" t="str">
        <f t="shared" ref="R65" ca="1" si="17">IF(L65=""," ",IF(P65="Concluída"," ",IF(TODAY()&gt;L65,"EM ATRASO",IF(TODAY()=L65,"HOJE"," "))))</f>
        <v xml:space="preserve"> </v>
      </c>
      <c r="S65" s="81"/>
    </row>
    <row r="66" spans="2:19" x14ac:dyDescent="0.25">
      <c r="B66" s="73"/>
      <c r="C66" s="74"/>
      <c r="D66" s="80"/>
      <c r="E66" s="81"/>
      <c r="F66" s="81"/>
      <c r="G66" s="81"/>
      <c r="H66" s="81"/>
      <c r="I66" s="82"/>
      <c r="J66" s="80"/>
      <c r="K66" s="82"/>
      <c r="L66" s="80"/>
      <c r="M66" s="82"/>
      <c r="N66" s="80"/>
      <c r="O66" s="82"/>
      <c r="P66" s="94"/>
      <c r="Q66" s="95"/>
      <c r="R66" s="80"/>
      <c r="S66" s="81"/>
    </row>
    <row r="67" spans="2:19" x14ac:dyDescent="0.25">
      <c r="B67" s="75"/>
      <c r="C67" s="76"/>
      <c r="D67" s="83"/>
      <c r="E67" s="84"/>
      <c r="F67" s="84"/>
      <c r="G67" s="84"/>
      <c r="H67" s="84"/>
      <c r="I67" s="85"/>
      <c r="J67" s="83"/>
      <c r="K67" s="85"/>
      <c r="L67" s="83"/>
      <c r="M67" s="85"/>
      <c r="N67" s="83"/>
      <c r="O67" s="85"/>
      <c r="P67" s="96"/>
      <c r="Q67" s="97"/>
      <c r="R67" s="80"/>
      <c r="S67" s="81"/>
    </row>
    <row r="68" spans="2:19" x14ac:dyDescent="0.25">
      <c r="B68" s="71"/>
      <c r="C68" s="72"/>
      <c r="D68" s="77"/>
      <c r="E68" s="78"/>
      <c r="F68" s="78"/>
      <c r="G68" s="78"/>
      <c r="H68" s="78"/>
      <c r="I68" s="79"/>
      <c r="J68" s="77"/>
      <c r="K68" s="79"/>
      <c r="L68" s="77"/>
      <c r="M68" s="79"/>
      <c r="N68" s="77"/>
      <c r="O68" s="79"/>
      <c r="P68" s="92"/>
      <c r="Q68" s="93"/>
      <c r="R68" s="80" t="str">
        <f t="shared" ref="R68" ca="1" si="18">IF(L68=""," ",IF(P68="Concluída"," ",IF(TODAY()&gt;L68,"EM ATRASO",IF(TODAY()=L68,"HOJE"," "))))</f>
        <v xml:space="preserve"> </v>
      </c>
      <c r="S68" s="81"/>
    </row>
    <row r="69" spans="2:19" x14ac:dyDescent="0.25">
      <c r="B69" s="73"/>
      <c r="C69" s="74"/>
      <c r="D69" s="80"/>
      <c r="E69" s="81"/>
      <c r="F69" s="81"/>
      <c r="G69" s="81"/>
      <c r="H69" s="81"/>
      <c r="I69" s="82"/>
      <c r="J69" s="80"/>
      <c r="K69" s="82"/>
      <c r="L69" s="80"/>
      <c r="M69" s="82"/>
      <c r="N69" s="80"/>
      <c r="O69" s="82"/>
      <c r="P69" s="94"/>
      <c r="Q69" s="95"/>
      <c r="R69" s="80"/>
      <c r="S69" s="81"/>
    </row>
    <row r="70" spans="2:19" x14ac:dyDescent="0.25">
      <c r="B70" s="75"/>
      <c r="C70" s="76"/>
      <c r="D70" s="83"/>
      <c r="E70" s="84"/>
      <c r="F70" s="84"/>
      <c r="G70" s="84"/>
      <c r="H70" s="84"/>
      <c r="I70" s="85"/>
      <c r="J70" s="83"/>
      <c r="K70" s="85"/>
      <c r="L70" s="83"/>
      <c r="M70" s="85"/>
      <c r="N70" s="83"/>
      <c r="O70" s="85"/>
      <c r="P70" s="96"/>
      <c r="Q70" s="97"/>
      <c r="R70" s="80"/>
      <c r="S70" s="81"/>
    </row>
    <row r="71" spans="2:19" x14ac:dyDescent="0.25">
      <c r="B71" s="71"/>
      <c r="C71" s="72"/>
      <c r="D71" s="77"/>
      <c r="E71" s="78"/>
      <c r="F71" s="78"/>
      <c r="G71" s="78"/>
      <c r="H71" s="78"/>
      <c r="I71" s="79"/>
      <c r="J71" s="77"/>
      <c r="K71" s="79"/>
      <c r="L71" s="77"/>
      <c r="M71" s="79"/>
      <c r="N71" s="77"/>
      <c r="O71" s="79"/>
      <c r="P71" s="92"/>
      <c r="Q71" s="93"/>
      <c r="R71" s="80" t="str">
        <f t="shared" ref="R71" ca="1" si="19">IF(L71=""," ",IF(P71="Concluída"," ",IF(TODAY()&gt;L71,"EM ATRASO",IF(TODAY()=L71,"HOJE"," "))))</f>
        <v xml:space="preserve"> </v>
      </c>
      <c r="S71" s="81"/>
    </row>
    <row r="72" spans="2:19" x14ac:dyDescent="0.25">
      <c r="B72" s="73"/>
      <c r="C72" s="74"/>
      <c r="D72" s="80"/>
      <c r="E72" s="81"/>
      <c r="F72" s="81"/>
      <c r="G72" s="81"/>
      <c r="H72" s="81"/>
      <c r="I72" s="82"/>
      <c r="J72" s="80"/>
      <c r="K72" s="82"/>
      <c r="L72" s="80"/>
      <c r="M72" s="82"/>
      <c r="N72" s="80"/>
      <c r="O72" s="82"/>
      <c r="P72" s="94"/>
      <c r="Q72" s="95"/>
      <c r="R72" s="80"/>
      <c r="S72" s="81"/>
    </row>
    <row r="73" spans="2:19" x14ac:dyDescent="0.25">
      <c r="B73" s="75"/>
      <c r="C73" s="76"/>
      <c r="D73" s="83"/>
      <c r="E73" s="84"/>
      <c r="F73" s="84"/>
      <c r="G73" s="84"/>
      <c r="H73" s="84"/>
      <c r="I73" s="85"/>
      <c r="J73" s="83"/>
      <c r="K73" s="85"/>
      <c r="L73" s="83"/>
      <c r="M73" s="85"/>
      <c r="N73" s="83"/>
      <c r="O73" s="85"/>
      <c r="P73" s="96"/>
      <c r="Q73" s="97"/>
      <c r="R73" s="80"/>
      <c r="S73" s="81"/>
    </row>
    <row r="74" spans="2:19" x14ac:dyDescent="0.25">
      <c r="B74" s="71"/>
      <c r="C74" s="72"/>
      <c r="D74" s="77"/>
      <c r="E74" s="78"/>
      <c r="F74" s="78"/>
      <c r="G74" s="78"/>
      <c r="H74" s="78"/>
      <c r="I74" s="79"/>
      <c r="J74" s="77"/>
      <c r="K74" s="79"/>
      <c r="L74" s="77"/>
      <c r="M74" s="79"/>
      <c r="N74" s="77"/>
      <c r="O74" s="79"/>
      <c r="P74" s="92"/>
      <c r="Q74" s="93"/>
      <c r="R74" s="80" t="str">
        <f t="shared" ref="R74" ca="1" si="20">IF(L74=""," ",IF(P74="Concluída"," ",IF(TODAY()&gt;L74,"EM ATRASO",IF(TODAY()=L74,"HOJE"," "))))</f>
        <v xml:space="preserve"> </v>
      </c>
      <c r="S74" s="81"/>
    </row>
    <row r="75" spans="2:19" x14ac:dyDescent="0.25">
      <c r="B75" s="73"/>
      <c r="C75" s="74"/>
      <c r="D75" s="80"/>
      <c r="E75" s="81"/>
      <c r="F75" s="81"/>
      <c r="G75" s="81"/>
      <c r="H75" s="81"/>
      <c r="I75" s="82"/>
      <c r="J75" s="80"/>
      <c r="K75" s="82"/>
      <c r="L75" s="80"/>
      <c r="M75" s="82"/>
      <c r="N75" s="80"/>
      <c r="O75" s="82"/>
      <c r="P75" s="94"/>
      <c r="Q75" s="95"/>
      <c r="R75" s="80"/>
      <c r="S75" s="81"/>
    </row>
    <row r="76" spans="2:19" x14ac:dyDescent="0.25">
      <c r="B76" s="75"/>
      <c r="C76" s="76"/>
      <c r="D76" s="83"/>
      <c r="E76" s="84"/>
      <c r="F76" s="84"/>
      <c r="G76" s="84"/>
      <c r="H76" s="84"/>
      <c r="I76" s="85"/>
      <c r="J76" s="83"/>
      <c r="K76" s="85"/>
      <c r="L76" s="83"/>
      <c r="M76" s="85"/>
      <c r="N76" s="83"/>
      <c r="O76" s="85"/>
      <c r="P76" s="96"/>
      <c r="Q76" s="97"/>
      <c r="R76" s="80"/>
      <c r="S76" s="81"/>
    </row>
    <row r="77" spans="2:19" x14ac:dyDescent="0.25">
      <c r="B77" s="71"/>
      <c r="C77" s="72"/>
      <c r="D77" s="77"/>
      <c r="E77" s="78"/>
      <c r="F77" s="78"/>
      <c r="G77" s="78"/>
      <c r="H77" s="78"/>
      <c r="I77" s="79"/>
      <c r="J77" s="77"/>
      <c r="K77" s="79"/>
      <c r="L77" s="77"/>
      <c r="M77" s="79"/>
      <c r="N77" s="77"/>
      <c r="O77" s="79"/>
      <c r="P77" s="92"/>
      <c r="Q77" s="93"/>
      <c r="R77" s="80" t="str">
        <f t="shared" ref="R77" ca="1" si="21">IF(L77=""," ",IF(P77="Concluída"," ",IF(TODAY()&gt;L77,"EM ATRASO",IF(TODAY()=L77,"HOJE"," "))))</f>
        <v xml:space="preserve"> </v>
      </c>
      <c r="S77" s="81"/>
    </row>
    <row r="78" spans="2:19" x14ac:dyDescent="0.25">
      <c r="B78" s="73"/>
      <c r="C78" s="74"/>
      <c r="D78" s="80"/>
      <c r="E78" s="81"/>
      <c r="F78" s="81"/>
      <c r="G78" s="81"/>
      <c r="H78" s="81"/>
      <c r="I78" s="82"/>
      <c r="J78" s="80"/>
      <c r="K78" s="82"/>
      <c r="L78" s="80"/>
      <c r="M78" s="82"/>
      <c r="N78" s="80"/>
      <c r="O78" s="82"/>
      <c r="P78" s="94"/>
      <c r="Q78" s="95"/>
      <c r="R78" s="80"/>
      <c r="S78" s="81"/>
    </row>
    <row r="79" spans="2:19" x14ac:dyDescent="0.25">
      <c r="B79" s="75"/>
      <c r="C79" s="76"/>
      <c r="D79" s="83"/>
      <c r="E79" s="84"/>
      <c r="F79" s="84"/>
      <c r="G79" s="84"/>
      <c r="H79" s="84"/>
      <c r="I79" s="85"/>
      <c r="J79" s="83"/>
      <c r="K79" s="85"/>
      <c r="L79" s="83"/>
      <c r="M79" s="85"/>
      <c r="N79" s="83"/>
      <c r="O79" s="85"/>
      <c r="P79" s="96"/>
      <c r="Q79" s="97"/>
      <c r="R79" s="80"/>
      <c r="S79" s="81"/>
    </row>
    <row r="80" spans="2:19" x14ac:dyDescent="0.25">
      <c r="B80" s="71"/>
      <c r="C80" s="72"/>
      <c r="D80" s="77"/>
      <c r="E80" s="78"/>
      <c r="F80" s="78"/>
      <c r="G80" s="78"/>
      <c r="H80" s="78"/>
      <c r="I80" s="79"/>
      <c r="J80" s="77"/>
      <c r="K80" s="79"/>
      <c r="L80" s="77"/>
      <c r="M80" s="79"/>
      <c r="N80" s="77"/>
      <c r="O80" s="79"/>
      <c r="P80" s="92"/>
      <c r="Q80" s="93"/>
      <c r="R80" s="80" t="str">
        <f t="shared" ref="R80" ca="1" si="22">IF(L80=""," ",IF(P80="Concluída"," ",IF(TODAY()&gt;L80,"EM ATRASO",IF(TODAY()=L80,"HOJE"," "))))</f>
        <v xml:space="preserve"> </v>
      </c>
      <c r="S80" s="81"/>
    </row>
    <row r="81" spans="2:19" x14ac:dyDescent="0.25">
      <c r="B81" s="73"/>
      <c r="C81" s="74"/>
      <c r="D81" s="80"/>
      <c r="E81" s="81"/>
      <c r="F81" s="81"/>
      <c r="G81" s="81"/>
      <c r="H81" s="81"/>
      <c r="I81" s="82"/>
      <c r="J81" s="80"/>
      <c r="K81" s="82"/>
      <c r="L81" s="80"/>
      <c r="M81" s="82"/>
      <c r="N81" s="80"/>
      <c r="O81" s="82"/>
      <c r="P81" s="94"/>
      <c r="Q81" s="95"/>
      <c r="R81" s="80"/>
      <c r="S81" s="81"/>
    </row>
    <row r="82" spans="2:19" x14ac:dyDescent="0.25">
      <c r="B82" s="75"/>
      <c r="C82" s="76"/>
      <c r="D82" s="83"/>
      <c r="E82" s="84"/>
      <c r="F82" s="84"/>
      <c r="G82" s="84"/>
      <c r="H82" s="84"/>
      <c r="I82" s="85"/>
      <c r="J82" s="83"/>
      <c r="K82" s="85"/>
      <c r="L82" s="83"/>
      <c r="M82" s="85"/>
      <c r="N82" s="83"/>
      <c r="O82" s="85"/>
      <c r="P82" s="96"/>
      <c r="Q82" s="97"/>
      <c r="R82" s="80"/>
      <c r="S82" s="81"/>
    </row>
    <row r="83" spans="2:19" x14ac:dyDescent="0.25">
      <c r="B83" s="71"/>
      <c r="C83" s="72"/>
      <c r="D83" s="77"/>
      <c r="E83" s="78"/>
      <c r="F83" s="78"/>
      <c r="G83" s="78"/>
      <c r="H83" s="78"/>
      <c r="I83" s="79"/>
      <c r="J83" s="77"/>
      <c r="K83" s="79"/>
      <c r="L83" s="77"/>
      <c r="M83" s="79"/>
      <c r="N83" s="77"/>
      <c r="O83" s="79"/>
      <c r="P83" s="92"/>
      <c r="Q83" s="93"/>
      <c r="R83" s="80" t="str">
        <f t="shared" ref="R83" ca="1" si="23">IF(L83=""," ",IF(P83="Concluída"," ",IF(TODAY()&gt;L83,"EM ATRASO",IF(TODAY()=L83,"HOJE"," "))))</f>
        <v xml:space="preserve"> </v>
      </c>
      <c r="S83" s="81"/>
    </row>
    <row r="84" spans="2:19" x14ac:dyDescent="0.25">
      <c r="B84" s="73"/>
      <c r="C84" s="74"/>
      <c r="D84" s="80"/>
      <c r="E84" s="81"/>
      <c r="F84" s="81"/>
      <c r="G84" s="81"/>
      <c r="H84" s="81"/>
      <c r="I84" s="82"/>
      <c r="J84" s="80"/>
      <c r="K84" s="82"/>
      <c r="L84" s="80"/>
      <c r="M84" s="82"/>
      <c r="N84" s="80"/>
      <c r="O84" s="82"/>
      <c r="P84" s="94"/>
      <c r="Q84" s="95"/>
      <c r="R84" s="80"/>
      <c r="S84" s="81"/>
    </row>
    <row r="85" spans="2:19" x14ac:dyDescent="0.25">
      <c r="B85" s="75"/>
      <c r="C85" s="76"/>
      <c r="D85" s="83"/>
      <c r="E85" s="84"/>
      <c r="F85" s="84"/>
      <c r="G85" s="84"/>
      <c r="H85" s="84"/>
      <c r="I85" s="85"/>
      <c r="J85" s="83"/>
      <c r="K85" s="85"/>
      <c r="L85" s="83"/>
      <c r="M85" s="85"/>
      <c r="N85" s="83"/>
      <c r="O85" s="85"/>
      <c r="P85" s="96"/>
      <c r="Q85" s="97"/>
      <c r="R85" s="80"/>
      <c r="S85" s="81"/>
    </row>
    <row r="86" spans="2:19" x14ac:dyDescent="0.25">
      <c r="B86" s="71"/>
      <c r="C86" s="72"/>
      <c r="D86" s="77"/>
      <c r="E86" s="78"/>
      <c r="F86" s="78"/>
      <c r="G86" s="78"/>
      <c r="H86" s="78"/>
      <c r="I86" s="79"/>
      <c r="J86" s="77"/>
      <c r="K86" s="79"/>
      <c r="L86" s="77"/>
      <c r="M86" s="79"/>
      <c r="N86" s="77"/>
      <c r="O86" s="79"/>
      <c r="P86" s="92"/>
      <c r="Q86" s="93"/>
      <c r="R86" s="80" t="str">
        <f t="shared" ref="R86" ca="1" si="24">IF(L86=""," ",IF(P86="Concluída"," ",IF(TODAY()&gt;L86,"EM ATRASO",IF(TODAY()=L86,"HOJE"," "))))</f>
        <v xml:space="preserve"> </v>
      </c>
      <c r="S86" s="81"/>
    </row>
    <row r="87" spans="2:19" x14ac:dyDescent="0.25">
      <c r="B87" s="73"/>
      <c r="C87" s="74"/>
      <c r="D87" s="80"/>
      <c r="E87" s="81"/>
      <c r="F87" s="81"/>
      <c r="G87" s="81"/>
      <c r="H87" s="81"/>
      <c r="I87" s="82"/>
      <c r="J87" s="80"/>
      <c r="K87" s="82"/>
      <c r="L87" s="80"/>
      <c r="M87" s="82"/>
      <c r="N87" s="80"/>
      <c r="O87" s="82"/>
      <c r="P87" s="94"/>
      <c r="Q87" s="95"/>
      <c r="R87" s="80"/>
      <c r="S87" s="81"/>
    </row>
    <row r="88" spans="2:19" x14ac:dyDescent="0.25">
      <c r="B88" s="75"/>
      <c r="C88" s="76"/>
      <c r="D88" s="83"/>
      <c r="E88" s="84"/>
      <c r="F88" s="84"/>
      <c r="G88" s="84"/>
      <c r="H88" s="84"/>
      <c r="I88" s="85"/>
      <c r="J88" s="83"/>
      <c r="K88" s="85"/>
      <c r="L88" s="83"/>
      <c r="M88" s="85"/>
      <c r="N88" s="83"/>
      <c r="O88" s="85"/>
      <c r="P88" s="96"/>
      <c r="Q88" s="97"/>
      <c r="R88" s="80"/>
      <c r="S88" s="81"/>
    </row>
    <row r="89" spans="2:19" x14ac:dyDescent="0.25">
      <c r="B89" s="71"/>
      <c r="C89" s="72"/>
      <c r="D89" s="77"/>
      <c r="E89" s="78"/>
      <c r="F89" s="78"/>
      <c r="G89" s="78"/>
      <c r="H89" s="78"/>
      <c r="I89" s="79"/>
      <c r="J89" s="77"/>
      <c r="K89" s="79"/>
      <c r="L89" s="77"/>
      <c r="M89" s="79"/>
      <c r="N89" s="77"/>
      <c r="O89" s="79"/>
      <c r="P89" s="92"/>
      <c r="Q89" s="93"/>
      <c r="R89" s="80" t="str">
        <f t="shared" ref="R89" ca="1" si="25">IF(L89=""," ",IF(P89="Concluída"," ",IF(TODAY()&gt;L89,"EM ATRASO",IF(TODAY()=L89,"HOJE"," "))))</f>
        <v xml:space="preserve"> </v>
      </c>
      <c r="S89" s="81"/>
    </row>
    <row r="90" spans="2:19" x14ac:dyDescent="0.25">
      <c r="B90" s="73"/>
      <c r="C90" s="74"/>
      <c r="D90" s="80"/>
      <c r="E90" s="81"/>
      <c r="F90" s="81"/>
      <c r="G90" s="81"/>
      <c r="H90" s="81"/>
      <c r="I90" s="82"/>
      <c r="J90" s="80"/>
      <c r="K90" s="82"/>
      <c r="L90" s="80"/>
      <c r="M90" s="82"/>
      <c r="N90" s="80"/>
      <c r="O90" s="82"/>
      <c r="P90" s="94"/>
      <c r="Q90" s="95"/>
      <c r="R90" s="80"/>
      <c r="S90" s="81"/>
    </row>
    <row r="91" spans="2:19" x14ac:dyDescent="0.25">
      <c r="B91" s="75"/>
      <c r="C91" s="76"/>
      <c r="D91" s="83"/>
      <c r="E91" s="84"/>
      <c r="F91" s="84"/>
      <c r="G91" s="84"/>
      <c r="H91" s="84"/>
      <c r="I91" s="85"/>
      <c r="J91" s="83"/>
      <c r="K91" s="85"/>
      <c r="L91" s="83"/>
      <c r="M91" s="85"/>
      <c r="N91" s="83"/>
      <c r="O91" s="85"/>
      <c r="P91" s="96"/>
      <c r="Q91" s="97"/>
      <c r="R91" s="80"/>
      <c r="S91" s="81"/>
    </row>
    <row r="92" spans="2:19" x14ac:dyDescent="0.25">
      <c r="B92" s="71"/>
      <c r="C92" s="72"/>
      <c r="D92" s="77"/>
      <c r="E92" s="78"/>
      <c r="F92" s="78"/>
      <c r="G92" s="78"/>
      <c r="H92" s="78"/>
      <c r="I92" s="79"/>
      <c r="J92" s="77"/>
      <c r="K92" s="79"/>
      <c r="L92" s="77"/>
      <c r="M92" s="79"/>
      <c r="N92" s="77"/>
      <c r="O92" s="79"/>
      <c r="P92" s="92"/>
      <c r="Q92" s="93"/>
      <c r="R92" s="80" t="str">
        <f t="shared" ref="R92" ca="1" si="26">IF(L92=""," ",IF(P92="Concluída"," ",IF(TODAY()&gt;L92,"EM ATRASO",IF(TODAY()=L92,"HOJE"," "))))</f>
        <v xml:space="preserve"> </v>
      </c>
      <c r="S92" s="81"/>
    </row>
    <row r="93" spans="2:19" x14ac:dyDescent="0.25">
      <c r="B93" s="73"/>
      <c r="C93" s="74"/>
      <c r="D93" s="80"/>
      <c r="E93" s="81"/>
      <c r="F93" s="81"/>
      <c r="G93" s="81"/>
      <c r="H93" s="81"/>
      <c r="I93" s="82"/>
      <c r="J93" s="80"/>
      <c r="K93" s="82"/>
      <c r="L93" s="80"/>
      <c r="M93" s="82"/>
      <c r="N93" s="80"/>
      <c r="O93" s="82"/>
      <c r="P93" s="94"/>
      <c r="Q93" s="95"/>
      <c r="R93" s="80"/>
      <c r="S93" s="81"/>
    </row>
    <row r="94" spans="2:19" x14ac:dyDescent="0.25">
      <c r="B94" s="75"/>
      <c r="C94" s="76"/>
      <c r="D94" s="83"/>
      <c r="E94" s="84"/>
      <c r="F94" s="84"/>
      <c r="G94" s="84"/>
      <c r="H94" s="84"/>
      <c r="I94" s="85"/>
      <c r="J94" s="83"/>
      <c r="K94" s="85"/>
      <c r="L94" s="83"/>
      <c r="M94" s="85"/>
      <c r="N94" s="83"/>
      <c r="O94" s="85"/>
      <c r="P94" s="96"/>
      <c r="Q94" s="97"/>
      <c r="R94" s="80"/>
      <c r="S94" s="81"/>
    </row>
    <row r="95" spans="2:19" x14ac:dyDescent="0.25">
      <c r="B95" s="71"/>
      <c r="C95" s="72"/>
      <c r="D95" s="77"/>
      <c r="E95" s="78"/>
      <c r="F95" s="78"/>
      <c r="G95" s="78"/>
      <c r="H95" s="78"/>
      <c r="I95" s="79"/>
      <c r="J95" s="77"/>
      <c r="K95" s="79"/>
      <c r="L95" s="77"/>
      <c r="M95" s="79"/>
      <c r="N95" s="77"/>
      <c r="O95" s="79"/>
      <c r="P95" s="92"/>
      <c r="Q95" s="93"/>
      <c r="R95" s="80" t="str">
        <f t="shared" ref="R95" ca="1" si="27">IF(L95=""," ",IF(P95="Concluída"," ",IF(TODAY()&gt;L95,"EM ATRASO",IF(TODAY()=L95,"HOJE"," "))))</f>
        <v xml:space="preserve"> </v>
      </c>
      <c r="S95" s="81"/>
    </row>
    <row r="96" spans="2:19" x14ac:dyDescent="0.25">
      <c r="B96" s="73"/>
      <c r="C96" s="74"/>
      <c r="D96" s="80"/>
      <c r="E96" s="81"/>
      <c r="F96" s="81"/>
      <c r="G96" s="81"/>
      <c r="H96" s="81"/>
      <c r="I96" s="82"/>
      <c r="J96" s="80"/>
      <c r="K96" s="82"/>
      <c r="L96" s="80"/>
      <c r="M96" s="82"/>
      <c r="N96" s="80"/>
      <c r="O96" s="82"/>
      <c r="P96" s="94"/>
      <c r="Q96" s="95"/>
      <c r="R96" s="80"/>
      <c r="S96" s="81"/>
    </row>
    <row r="97" spans="2:19" x14ac:dyDescent="0.25">
      <c r="B97" s="75"/>
      <c r="C97" s="76"/>
      <c r="D97" s="83"/>
      <c r="E97" s="84"/>
      <c r="F97" s="84"/>
      <c r="G97" s="84"/>
      <c r="H97" s="84"/>
      <c r="I97" s="85"/>
      <c r="J97" s="83"/>
      <c r="K97" s="85"/>
      <c r="L97" s="83"/>
      <c r="M97" s="85"/>
      <c r="N97" s="83"/>
      <c r="O97" s="85"/>
      <c r="P97" s="96"/>
      <c r="Q97" s="97"/>
      <c r="R97" s="80"/>
      <c r="S97" s="81"/>
    </row>
    <row r="98" spans="2:19" x14ac:dyDescent="0.25">
      <c r="B98" s="71"/>
      <c r="C98" s="72"/>
      <c r="D98" s="77"/>
      <c r="E98" s="78"/>
      <c r="F98" s="78"/>
      <c r="G98" s="78"/>
      <c r="H98" s="78"/>
      <c r="I98" s="79"/>
      <c r="J98" s="77"/>
      <c r="K98" s="79"/>
      <c r="L98" s="77"/>
      <c r="M98" s="79"/>
      <c r="N98" s="77"/>
      <c r="O98" s="79"/>
      <c r="P98" s="92"/>
      <c r="Q98" s="93"/>
      <c r="R98" s="80" t="str">
        <f t="shared" ref="R98" ca="1" si="28">IF(L98=""," ",IF(P98="Concluída"," ",IF(TODAY()&gt;L98,"EM ATRASO",IF(TODAY()=L98,"HOJE"," "))))</f>
        <v xml:space="preserve"> </v>
      </c>
      <c r="S98" s="81"/>
    </row>
    <row r="99" spans="2:19" x14ac:dyDescent="0.25">
      <c r="B99" s="73"/>
      <c r="C99" s="74"/>
      <c r="D99" s="80"/>
      <c r="E99" s="81"/>
      <c r="F99" s="81"/>
      <c r="G99" s="81"/>
      <c r="H99" s="81"/>
      <c r="I99" s="82"/>
      <c r="J99" s="80"/>
      <c r="K99" s="82"/>
      <c r="L99" s="80"/>
      <c r="M99" s="82"/>
      <c r="N99" s="80"/>
      <c r="O99" s="82"/>
      <c r="P99" s="94"/>
      <c r="Q99" s="95"/>
      <c r="R99" s="80"/>
      <c r="S99" s="81"/>
    </row>
    <row r="100" spans="2:19" x14ac:dyDescent="0.25">
      <c r="B100" s="75"/>
      <c r="C100" s="76"/>
      <c r="D100" s="83"/>
      <c r="E100" s="84"/>
      <c r="F100" s="84"/>
      <c r="G100" s="84"/>
      <c r="H100" s="84"/>
      <c r="I100" s="85"/>
      <c r="J100" s="83"/>
      <c r="K100" s="85"/>
      <c r="L100" s="83"/>
      <c r="M100" s="85"/>
      <c r="N100" s="83"/>
      <c r="O100" s="85"/>
      <c r="P100" s="96"/>
      <c r="Q100" s="97"/>
      <c r="R100" s="80"/>
      <c r="S100" s="81"/>
    </row>
    <row r="101" spans="2:19" x14ac:dyDescent="0.25">
      <c r="B101" s="71"/>
      <c r="C101" s="72"/>
      <c r="D101" s="77"/>
      <c r="E101" s="78"/>
      <c r="F101" s="78"/>
      <c r="G101" s="78"/>
      <c r="H101" s="78"/>
      <c r="I101" s="79"/>
      <c r="J101" s="77"/>
      <c r="K101" s="79"/>
      <c r="L101" s="77"/>
      <c r="M101" s="79"/>
      <c r="N101" s="77"/>
      <c r="O101" s="79"/>
      <c r="P101" s="92"/>
      <c r="Q101" s="93"/>
    </row>
    <row r="102" spans="2:19" x14ac:dyDescent="0.25">
      <c r="B102" s="73"/>
      <c r="C102" s="74"/>
      <c r="D102" s="80"/>
      <c r="E102" s="81"/>
      <c r="F102" s="81"/>
      <c r="G102" s="81"/>
      <c r="H102" s="81"/>
      <c r="I102" s="82"/>
      <c r="J102" s="80"/>
      <c r="K102" s="82"/>
      <c r="L102" s="80"/>
      <c r="M102" s="82"/>
      <c r="N102" s="80"/>
      <c r="O102" s="82"/>
      <c r="P102" s="94"/>
      <c r="Q102" s="95"/>
    </row>
    <row r="103" spans="2:19" x14ac:dyDescent="0.25">
      <c r="B103" s="75"/>
      <c r="C103" s="76"/>
      <c r="D103" s="83"/>
      <c r="E103" s="84"/>
      <c r="F103" s="84"/>
      <c r="G103" s="84"/>
      <c r="H103" s="84"/>
      <c r="I103" s="85"/>
      <c r="J103" s="83"/>
      <c r="K103" s="85"/>
      <c r="L103" s="83"/>
      <c r="M103" s="85"/>
      <c r="N103" s="83"/>
      <c r="O103" s="85"/>
      <c r="P103" s="96"/>
      <c r="Q103" s="97"/>
    </row>
    <row r="104" spans="2:19" x14ac:dyDescent="0.25">
      <c r="B104" s="71"/>
      <c r="C104" s="72"/>
      <c r="D104" s="77"/>
      <c r="E104" s="78"/>
      <c r="F104" s="78"/>
      <c r="G104" s="78"/>
      <c r="H104" s="78"/>
      <c r="I104" s="79"/>
      <c r="J104" s="77"/>
      <c r="K104" s="79"/>
      <c r="L104" s="77"/>
      <c r="M104" s="79"/>
      <c r="N104" s="77"/>
      <c r="O104" s="79"/>
      <c r="P104" s="92"/>
      <c r="Q104" s="93"/>
    </row>
    <row r="105" spans="2:19" x14ac:dyDescent="0.25">
      <c r="B105" s="73"/>
      <c r="C105" s="74"/>
      <c r="D105" s="80"/>
      <c r="E105" s="81"/>
      <c r="F105" s="81"/>
      <c r="G105" s="81"/>
      <c r="H105" s="81"/>
      <c r="I105" s="82"/>
      <c r="J105" s="80"/>
      <c r="K105" s="82"/>
      <c r="L105" s="80"/>
      <c r="M105" s="82"/>
      <c r="N105" s="80"/>
      <c r="O105" s="82"/>
      <c r="P105" s="94"/>
      <c r="Q105" s="95"/>
    </row>
    <row r="106" spans="2:19" x14ac:dyDescent="0.25">
      <c r="B106" s="75"/>
      <c r="C106" s="76"/>
      <c r="D106" s="83"/>
      <c r="E106" s="84"/>
      <c r="F106" s="84"/>
      <c r="G106" s="84"/>
      <c r="H106" s="84"/>
      <c r="I106" s="85"/>
      <c r="J106" s="83"/>
      <c r="K106" s="85"/>
      <c r="L106" s="83"/>
      <c r="M106" s="85"/>
      <c r="N106" s="83"/>
      <c r="O106" s="85"/>
      <c r="P106" s="96"/>
      <c r="Q106" s="97"/>
    </row>
    <row r="107" spans="2:19" x14ac:dyDescent="0.25">
      <c r="B107" s="71"/>
      <c r="C107" s="72"/>
      <c r="D107" s="77"/>
      <c r="E107" s="78"/>
      <c r="F107" s="78"/>
      <c r="G107" s="78"/>
      <c r="H107" s="78"/>
      <c r="I107" s="79"/>
      <c r="J107" s="77"/>
      <c r="K107" s="79"/>
      <c r="L107" s="77"/>
      <c r="M107" s="79"/>
      <c r="N107" s="77"/>
      <c r="O107" s="79"/>
      <c r="P107" s="92"/>
      <c r="Q107" s="93"/>
    </row>
    <row r="108" spans="2:19" x14ac:dyDescent="0.25">
      <c r="B108" s="73"/>
      <c r="C108" s="74"/>
      <c r="D108" s="80"/>
      <c r="E108" s="81"/>
      <c r="F108" s="81"/>
      <c r="G108" s="81"/>
      <c r="H108" s="81"/>
      <c r="I108" s="82"/>
      <c r="J108" s="80"/>
      <c r="K108" s="82"/>
      <c r="L108" s="80"/>
      <c r="M108" s="82"/>
      <c r="N108" s="80"/>
      <c r="O108" s="82"/>
      <c r="P108" s="94"/>
      <c r="Q108" s="95"/>
    </row>
    <row r="109" spans="2:19" x14ac:dyDescent="0.25">
      <c r="B109" s="75"/>
      <c r="C109" s="76"/>
      <c r="D109" s="83"/>
      <c r="E109" s="84"/>
      <c r="F109" s="84"/>
      <c r="G109" s="84"/>
      <c r="H109" s="84"/>
      <c r="I109" s="85"/>
      <c r="J109" s="83"/>
      <c r="K109" s="85"/>
      <c r="L109" s="83"/>
      <c r="M109" s="85"/>
      <c r="N109" s="83"/>
      <c r="O109" s="85"/>
      <c r="P109" s="96"/>
      <c r="Q109" s="97"/>
    </row>
    <row r="110" spans="2:19" x14ac:dyDescent="0.25">
      <c r="B110" s="71"/>
      <c r="C110" s="72"/>
      <c r="D110" s="77"/>
      <c r="E110" s="78"/>
      <c r="F110" s="78"/>
      <c r="G110" s="78"/>
      <c r="H110" s="78"/>
      <c r="I110" s="79"/>
      <c r="J110" s="77"/>
      <c r="K110" s="79"/>
      <c r="L110" s="77"/>
      <c r="M110" s="79"/>
      <c r="N110" s="77"/>
      <c r="O110" s="79"/>
      <c r="P110" s="92"/>
      <c r="Q110" s="93"/>
    </row>
    <row r="111" spans="2:19" x14ac:dyDescent="0.25">
      <c r="B111" s="73"/>
      <c r="C111" s="74"/>
      <c r="D111" s="80"/>
      <c r="E111" s="81"/>
      <c r="F111" s="81"/>
      <c r="G111" s="81"/>
      <c r="H111" s="81"/>
      <c r="I111" s="82"/>
      <c r="J111" s="80"/>
      <c r="K111" s="82"/>
      <c r="L111" s="80"/>
      <c r="M111" s="82"/>
      <c r="N111" s="80"/>
      <c r="O111" s="82"/>
      <c r="P111" s="94"/>
      <c r="Q111" s="95"/>
    </row>
    <row r="112" spans="2:19" x14ac:dyDescent="0.25">
      <c r="B112" s="75"/>
      <c r="C112" s="76"/>
      <c r="D112" s="83"/>
      <c r="E112" s="84"/>
      <c r="F112" s="84"/>
      <c r="G112" s="84"/>
      <c r="H112" s="84"/>
      <c r="I112" s="85"/>
      <c r="J112" s="83"/>
      <c r="K112" s="85"/>
      <c r="L112" s="83"/>
      <c r="M112" s="85"/>
      <c r="N112" s="83"/>
      <c r="O112" s="85"/>
      <c r="P112" s="96"/>
      <c r="Q112" s="97"/>
    </row>
    <row r="113" spans="2:17" x14ac:dyDescent="0.25">
      <c r="B113" s="71"/>
      <c r="C113" s="72"/>
      <c r="D113" s="77"/>
      <c r="E113" s="78"/>
      <c r="F113" s="78"/>
      <c r="G113" s="78"/>
      <c r="H113" s="78"/>
      <c r="I113" s="79"/>
      <c r="J113" s="77"/>
      <c r="K113" s="79"/>
      <c r="L113" s="77"/>
      <c r="M113" s="79"/>
      <c r="N113" s="77"/>
      <c r="O113" s="79"/>
      <c r="P113" s="92"/>
      <c r="Q113" s="93"/>
    </row>
    <row r="114" spans="2:17" x14ac:dyDescent="0.25">
      <c r="B114" s="73"/>
      <c r="C114" s="74"/>
      <c r="D114" s="80"/>
      <c r="E114" s="81"/>
      <c r="F114" s="81"/>
      <c r="G114" s="81"/>
      <c r="H114" s="81"/>
      <c r="I114" s="82"/>
      <c r="J114" s="80"/>
      <c r="K114" s="82"/>
      <c r="L114" s="80"/>
      <c r="M114" s="82"/>
      <c r="N114" s="80"/>
      <c r="O114" s="82"/>
      <c r="P114" s="94"/>
      <c r="Q114" s="95"/>
    </row>
    <row r="115" spans="2:17" x14ac:dyDescent="0.25">
      <c r="B115" s="75"/>
      <c r="C115" s="76"/>
      <c r="D115" s="83"/>
      <c r="E115" s="84"/>
      <c r="F115" s="84"/>
      <c r="G115" s="84"/>
      <c r="H115" s="84"/>
      <c r="I115" s="85"/>
      <c r="J115" s="83"/>
      <c r="K115" s="85"/>
      <c r="L115" s="83"/>
      <c r="M115" s="85"/>
      <c r="N115" s="83"/>
      <c r="O115" s="85"/>
      <c r="P115" s="96"/>
      <c r="Q115" s="97"/>
    </row>
    <row r="116" spans="2:17" x14ac:dyDescent="0.25">
      <c r="B116" s="71"/>
      <c r="C116" s="72"/>
      <c r="D116" s="77"/>
      <c r="E116" s="78"/>
      <c r="F116" s="78"/>
      <c r="G116" s="78"/>
      <c r="H116" s="78"/>
      <c r="I116" s="79"/>
      <c r="J116" s="77"/>
      <c r="K116" s="79"/>
      <c r="L116" s="77"/>
      <c r="M116" s="79"/>
      <c r="N116" s="77"/>
      <c r="O116" s="79"/>
      <c r="P116" s="92"/>
      <c r="Q116" s="93"/>
    </row>
    <row r="117" spans="2:17" x14ac:dyDescent="0.25">
      <c r="B117" s="73"/>
      <c r="C117" s="74"/>
      <c r="D117" s="80"/>
      <c r="E117" s="81"/>
      <c r="F117" s="81"/>
      <c r="G117" s="81"/>
      <c r="H117" s="81"/>
      <c r="I117" s="82"/>
      <c r="J117" s="80"/>
      <c r="K117" s="82"/>
      <c r="L117" s="80"/>
      <c r="M117" s="82"/>
      <c r="N117" s="80"/>
      <c r="O117" s="82"/>
      <c r="P117" s="94"/>
      <c r="Q117" s="95"/>
    </row>
    <row r="118" spans="2:17" x14ac:dyDescent="0.25">
      <c r="B118" s="75"/>
      <c r="C118" s="76"/>
      <c r="D118" s="83"/>
      <c r="E118" s="84"/>
      <c r="F118" s="84"/>
      <c r="G118" s="84"/>
      <c r="H118" s="84"/>
      <c r="I118" s="85"/>
      <c r="J118" s="83"/>
      <c r="K118" s="85"/>
      <c r="L118" s="83"/>
      <c r="M118" s="85"/>
      <c r="N118" s="83"/>
      <c r="O118" s="85"/>
      <c r="P118" s="96"/>
      <c r="Q118" s="97"/>
    </row>
    <row r="119" spans="2:17" x14ac:dyDescent="0.25">
      <c r="B119" s="71"/>
      <c r="C119" s="72"/>
      <c r="D119" s="77"/>
      <c r="E119" s="78"/>
      <c r="F119" s="78"/>
      <c r="G119" s="78"/>
      <c r="H119" s="78"/>
      <c r="I119" s="79"/>
      <c r="J119" s="77"/>
      <c r="K119" s="79"/>
      <c r="L119" s="77"/>
      <c r="M119" s="79"/>
      <c r="N119" s="77"/>
      <c r="O119" s="79"/>
      <c r="P119" s="92"/>
      <c r="Q119" s="93"/>
    </row>
    <row r="120" spans="2:17" x14ac:dyDescent="0.25">
      <c r="B120" s="73"/>
      <c r="C120" s="74"/>
      <c r="D120" s="80"/>
      <c r="E120" s="81"/>
      <c r="F120" s="81"/>
      <c r="G120" s="81"/>
      <c r="H120" s="81"/>
      <c r="I120" s="82"/>
      <c r="J120" s="80"/>
      <c r="K120" s="82"/>
      <c r="L120" s="80"/>
      <c r="M120" s="82"/>
      <c r="N120" s="80"/>
      <c r="O120" s="82"/>
      <c r="P120" s="94"/>
      <c r="Q120" s="95"/>
    </row>
    <row r="121" spans="2:17" x14ac:dyDescent="0.25">
      <c r="B121" s="75"/>
      <c r="C121" s="76"/>
      <c r="D121" s="83"/>
      <c r="E121" s="84"/>
      <c r="F121" s="84"/>
      <c r="G121" s="84"/>
      <c r="H121" s="84"/>
      <c r="I121" s="85"/>
      <c r="J121" s="83"/>
      <c r="K121" s="85"/>
      <c r="L121" s="83"/>
      <c r="M121" s="85"/>
      <c r="N121" s="83"/>
      <c r="O121" s="85"/>
      <c r="P121" s="96"/>
      <c r="Q121" s="97"/>
    </row>
    <row r="122" spans="2:17" x14ac:dyDescent="0.25">
      <c r="B122" s="71"/>
      <c r="C122" s="72"/>
      <c r="D122" s="77"/>
      <c r="E122" s="78"/>
      <c r="F122" s="78"/>
      <c r="G122" s="78"/>
      <c r="H122" s="78"/>
      <c r="I122" s="79"/>
      <c r="J122" s="77"/>
      <c r="K122" s="79"/>
      <c r="L122" s="77"/>
      <c r="M122" s="79"/>
      <c r="N122" s="77"/>
      <c r="O122" s="79"/>
      <c r="P122" s="92"/>
      <c r="Q122" s="93"/>
    </row>
    <row r="123" spans="2:17" x14ac:dyDescent="0.25">
      <c r="B123" s="73"/>
      <c r="C123" s="74"/>
      <c r="D123" s="80"/>
      <c r="E123" s="81"/>
      <c r="F123" s="81"/>
      <c r="G123" s="81"/>
      <c r="H123" s="81"/>
      <c r="I123" s="82"/>
      <c r="J123" s="80"/>
      <c r="K123" s="82"/>
      <c r="L123" s="80"/>
      <c r="M123" s="82"/>
      <c r="N123" s="80"/>
      <c r="O123" s="82"/>
      <c r="P123" s="94"/>
      <c r="Q123" s="95"/>
    </row>
    <row r="124" spans="2:17" x14ac:dyDescent="0.25">
      <c r="B124" s="75"/>
      <c r="C124" s="76"/>
      <c r="D124" s="83"/>
      <c r="E124" s="84"/>
      <c r="F124" s="84"/>
      <c r="G124" s="84"/>
      <c r="H124" s="84"/>
      <c r="I124" s="85"/>
      <c r="J124" s="83"/>
      <c r="K124" s="85"/>
      <c r="L124" s="83"/>
      <c r="M124" s="85"/>
      <c r="N124" s="83"/>
      <c r="O124" s="85"/>
      <c r="P124" s="96"/>
      <c r="Q124" s="97"/>
    </row>
    <row r="125" spans="2:17" x14ac:dyDescent="0.25">
      <c r="B125" s="71"/>
      <c r="C125" s="72"/>
      <c r="D125" s="77"/>
      <c r="E125" s="78"/>
      <c r="F125" s="78"/>
      <c r="G125" s="78"/>
      <c r="H125" s="78"/>
      <c r="I125" s="79"/>
      <c r="J125" s="77"/>
      <c r="K125" s="79"/>
      <c r="L125" s="77"/>
      <c r="M125" s="79"/>
      <c r="N125" s="77"/>
      <c r="O125" s="79"/>
      <c r="P125" s="92"/>
      <c r="Q125" s="93"/>
    </row>
    <row r="126" spans="2:17" x14ac:dyDescent="0.25">
      <c r="B126" s="73"/>
      <c r="C126" s="74"/>
      <c r="D126" s="80"/>
      <c r="E126" s="81"/>
      <c r="F126" s="81"/>
      <c r="G126" s="81"/>
      <c r="H126" s="81"/>
      <c r="I126" s="82"/>
      <c r="J126" s="80"/>
      <c r="K126" s="82"/>
      <c r="L126" s="80"/>
      <c r="M126" s="82"/>
      <c r="N126" s="80"/>
      <c r="O126" s="82"/>
      <c r="P126" s="94"/>
      <c r="Q126" s="95"/>
    </row>
    <row r="127" spans="2:17" x14ac:dyDescent="0.25">
      <c r="B127" s="75"/>
      <c r="C127" s="76"/>
      <c r="D127" s="83"/>
      <c r="E127" s="84"/>
      <c r="F127" s="84"/>
      <c r="G127" s="84"/>
      <c r="H127" s="84"/>
      <c r="I127" s="85"/>
      <c r="J127" s="83"/>
      <c r="K127" s="85"/>
      <c r="L127" s="83"/>
      <c r="M127" s="85"/>
      <c r="N127" s="83"/>
      <c r="O127" s="85"/>
      <c r="P127" s="96"/>
      <c r="Q127" s="97"/>
    </row>
    <row r="128" spans="2:17" x14ac:dyDescent="0.25">
      <c r="B128" s="71"/>
      <c r="C128" s="72"/>
      <c r="D128" s="77"/>
      <c r="E128" s="78"/>
      <c r="F128" s="78"/>
      <c r="G128" s="78"/>
      <c r="H128" s="78"/>
      <c r="I128" s="79"/>
      <c r="J128" s="77"/>
      <c r="K128" s="79"/>
      <c r="L128" s="77"/>
      <c r="M128" s="79"/>
      <c r="N128" s="77"/>
      <c r="O128" s="79"/>
      <c r="P128" s="92"/>
      <c r="Q128" s="93"/>
    </row>
    <row r="129" spans="2:17" x14ac:dyDescent="0.25">
      <c r="B129" s="73"/>
      <c r="C129" s="74"/>
      <c r="D129" s="80"/>
      <c r="E129" s="81"/>
      <c r="F129" s="81"/>
      <c r="G129" s="81"/>
      <c r="H129" s="81"/>
      <c r="I129" s="82"/>
      <c r="J129" s="80"/>
      <c r="K129" s="82"/>
      <c r="L129" s="80"/>
      <c r="M129" s="82"/>
      <c r="N129" s="80"/>
      <c r="O129" s="82"/>
      <c r="P129" s="94"/>
      <c r="Q129" s="95"/>
    </row>
    <row r="130" spans="2:17" x14ac:dyDescent="0.25">
      <c r="B130" s="75"/>
      <c r="C130" s="76"/>
      <c r="D130" s="83"/>
      <c r="E130" s="84"/>
      <c r="F130" s="84"/>
      <c r="G130" s="84"/>
      <c r="H130" s="84"/>
      <c r="I130" s="85"/>
      <c r="J130" s="83"/>
      <c r="K130" s="85"/>
      <c r="L130" s="83"/>
      <c r="M130" s="85"/>
      <c r="N130" s="83"/>
      <c r="O130" s="85"/>
      <c r="P130" s="96"/>
      <c r="Q130" s="97"/>
    </row>
    <row r="131" spans="2:17" x14ac:dyDescent="0.25">
      <c r="B131" s="71"/>
      <c r="C131" s="72"/>
      <c r="D131" s="77"/>
      <c r="E131" s="78"/>
      <c r="F131" s="78"/>
      <c r="G131" s="78"/>
      <c r="H131" s="78"/>
      <c r="I131" s="79"/>
      <c r="J131" s="77"/>
      <c r="K131" s="79"/>
      <c r="L131" s="77"/>
      <c r="M131" s="79"/>
      <c r="N131" s="77"/>
      <c r="O131" s="79"/>
      <c r="P131" s="92"/>
      <c r="Q131" s="93"/>
    </row>
    <row r="132" spans="2:17" x14ac:dyDescent="0.25">
      <c r="B132" s="73"/>
      <c r="C132" s="74"/>
      <c r="D132" s="80"/>
      <c r="E132" s="81"/>
      <c r="F132" s="81"/>
      <c r="G132" s="81"/>
      <c r="H132" s="81"/>
      <c r="I132" s="82"/>
      <c r="J132" s="80"/>
      <c r="K132" s="82"/>
      <c r="L132" s="80"/>
      <c r="M132" s="82"/>
      <c r="N132" s="80"/>
      <c r="O132" s="82"/>
      <c r="P132" s="94"/>
      <c r="Q132" s="95"/>
    </row>
    <row r="133" spans="2:17" x14ac:dyDescent="0.25">
      <c r="B133" s="75"/>
      <c r="C133" s="76"/>
      <c r="D133" s="83"/>
      <c r="E133" s="84"/>
      <c r="F133" s="84"/>
      <c r="G133" s="84"/>
      <c r="H133" s="84"/>
      <c r="I133" s="85"/>
      <c r="J133" s="83"/>
      <c r="K133" s="85"/>
      <c r="L133" s="83"/>
      <c r="M133" s="85"/>
      <c r="N133" s="83"/>
      <c r="O133" s="85"/>
      <c r="P133" s="96"/>
      <c r="Q133" s="97"/>
    </row>
    <row r="134" spans="2:17" x14ac:dyDescent="0.25">
      <c r="B134" s="71"/>
      <c r="C134" s="72"/>
      <c r="D134" s="77"/>
      <c r="E134" s="78"/>
      <c r="F134" s="78"/>
      <c r="G134" s="78"/>
      <c r="H134" s="78"/>
      <c r="I134" s="79"/>
      <c r="J134" s="77"/>
      <c r="K134" s="79"/>
      <c r="L134" s="77"/>
      <c r="M134" s="79"/>
      <c r="N134" s="77"/>
      <c r="O134" s="79"/>
      <c r="P134" s="92"/>
      <c r="Q134" s="93"/>
    </row>
    <row r="135" spans="2:17" x14ac:dyDescent="0.25">
      <c r="B135" s="73"/>
      <c r="C135" s="74"/>
      <c r="D135" s="80"/>
      <c r="E135" s="81"/>
      <c r="F135" s="81"/>
      <c r="G135" s="81"/>
      <c r="H135" s="81"/>
      <c r="I135" s="82"/>
      <c r="J135" s="80"/>
      <c r="K135" s="82"/>
      <c r="L135" s="80"/>
      <c r="M135" s="82"/>
      <c r="N135" s="80"/>
      <c r="O135" s="82"/>
      <c r="P135" s="94"/>
      <c r="Q135" s="95"/>
    </row>
    <row r="136" spans="2:17" x14ac:dyDescent="0.25">
      <c r="B136" s="75"/>
      <c r="C136" s="76"/>
      <c r="D136" s="83"/>
      <c r="E136" s="84"/>
      <c r="F136" s="84"/>
      <c r="G136" s="84"/>
      <c r="H136" s="84"/>
      <c r="I136" s="85"/>
      <c r="J136" s="83"/>
      <c r="K136" s="85"/>
      <c r="L136" s="83"/>
      <c r="M136" s="85"/>
      <c r="N136" s="83"/>
      <c r="O136" s="85"/>
      <c r="P136" s="96"/>
      <c r="Q136" s="97"/>
    </row>
    <row r="137" spans="2:17" x14ac:dyDescent="0.25">
      <c r="B137" s="71"/>
      <c r="C137" s="72"/>
      <c r="D137" s="77"/>
      <c r="E137" s="78"/>
      <c r="F137" s="78"/>
      <c r="G137" s="78"/>
      <c r="H137" s="78"/>
      <c r="I137" s="79"/>
      <c r="J137" s="77"/>
      <c r="K137" s="79"/>
      <c r="L137" s="77"/>
      <c r="M137" s="79"/>
      <c r="N137" s="77"/>
      <c r="O137" s="79"/>
      <c r="P137" s="92"/>
      <c r="Q137" s="93"/>
    </row>
    <row r="138" spans="2:17" x14ac:dyDescent="0.25">
      <c r="B138" s="73"/>
      <c r="C138" s="74"/>
      <c r="D138" s="80"/>
      <c r="E138" s="81"/>
      <c r="F138" s="81"/>
      <c r="G138" s="81"/>
      <c r="H138" s="81"/>
      <c r="I138" s="82"/>
      <c r="J138" s="80"/>
      <c r="K138" s="82"/>
      <c r="L138" s="80"/>
      <c r="M138" s="82"/>
      <c r="N138" s="80"/>
      <c r="O138" s="82"/>
      <c r="P138" s="94"/>
      <c r="Q138" s="95"/>
    </row>
    <row r="139" spans="2:17" x14ac:dyDescent="0.25">
      <c r="B139" s="75"/>
      <c r="C139" s="76"/>
      <c r="D139" s="83"/>
      <c r="E139" s="84"/>
      <c r="F139" s="84"/>
      <c r="G139" s="84"/>
      <c r="H139" s="84"/>
      <c r="I139" s="85"/>
      <c r="J139" s="83"/>
      <c r="K139" s="85"/>
      <c r="L139" s="83"/>
      <c r="M139" s="85"/>
      <c r="N139" s="83"/>
      <c r="O139" s="85"/>
      <c r="P139" s="96"/>
      <c r="Q139" s="97"/>
    </row>
    <row r="140" spans="2:17" x14ac:dyDescent="0.25">
      <c r="B140" s="71"/>
      <c r="C140" s="72"/>
      <c r="D140" s="77"/>
      <c r="E140" s="78"/>
      <c r="F140" s="78"/>
      <c r="G140" s="78"/>
      <c r="H140" s="78"/>
      <c r="I140" s="79"/>
      <c r="J140" s="77"/>
      <c r="K140" s="79"/>
      <c r="L140" s="77"/>
      <c r="M140" s="79"/>
      <c r="N140" s="77"/>
      <c r="O140" s="79"/>
      <c r="P140" s="92"/>
      <c r="Q140" s="93"/>
    </row>
    <row r="141" spans="2:17" x14ac:dyDescent="0.25">
      <c r="B141" s="73"/>
      <c r="C141" s="74"/>
      <c r="D141" s="80"/>
      <c r="E141" s="81"/>
      <c r="F141" s="81"/>
      <c r="G141" s="81"/>
      <c r="H141" s="81"/>
      <c r="I141" s="82"/>
      <c r="J141" s="80"/>
      <c r="K141" s="82"/>
      <c r="L141" s="80"/>
      <c r="M141" s="82"/>
      <c r="N141" s="80"/>
      <c r="O141" s="82"/>
      <c r="P141" s="94"/>
      <c r="Q141" s="95"/>
    </row>
    <row r="142" spans="2:17" x14ac:dyDescent="0.25">
      <c r="B142" s="75"/>
      <c r="C142" s="76"/>
      <c r="D142" s="83"/>
      <c r="E142" s="84"/>
      <c r="F142" s="84"/>
      <c r="G142" s="84"/>
      <c r="H142" s="84"/>
      <c r="I142" s="85"/>
      <c r="J142" s="83"/>
      <c r="K142" s="85"/>
      <c r="L142" s="83"/>
      <c r="M142" s="85"/>
      <c r="N142" s="83"/>
      <c r="O142" s="85"/>
      <c r="P142" s="96"/>
      <c r="Q142" s="97"/>
    </row>
    <row r="143" spans="2:17" x14ac:dyDescent="0.25">
      <c r="B143" s="71"/>
      <c r="C143" s="72"/>
      <c r="D143" s="77"/>
      <c r="E143" s="78"/>
      <c r="F143" s="78"/>
      <c r="G143" s="78"/>
      <c r="H143" s="78"/>
      <c r="I143" s="79"/>
      <c r="J143" s="77"/>
      <c r="K143" s="79"/>
      <c r="L143" s="77"/>
      <c r="M143" s="79"/>
      <c r="N143" s="77"/>
      <c r="O143" s="79"/>
      <c r="P143" s="92"/>
      <c r="Q143" s="93"/>
    </row>
    <row r="144" spans="2:17" x14ac:dyDescent="0.25">
      <c r="B144" s="73"/>
      <c r="C144" s="74"/>
      <c r="D144" s="80"/>
      <c r="E144" s="81"/>
      <c r="F144" s="81"/>
      <c r="G144" s="81"/>
      <c r="H144" s="81"/>
      <c r="I144" s="82"/>
      <c r="J144" s="80"/>
      <c r="K144" s="82"/>
      <c r="L144" s="80"/>
      <c r="M144" s="82"/>
      <c r="N144" s="80"/>
      <c r="O144" s="82"/>
      <c r="P144" s="94"/>
      <c r="Q144" s="95"/>
    </row>
    <row r="145" spans="2:17" x14ac:dyDescent="0.25">
      <c r="B145" s="75"/>
      <c r="C145" s="76"/>
      <c r="D145" s="83"/>
      <c r="E145" s="84"/>
      <c r="F145" s="84"/>
      <c r="G145" s="84"/>
      <c r="H145" s="84"/>
      <c r="I145" s="85"/>
      <c r="J145" s="83"/>
      <c r="K145" s="85"/>
      <c r="L145" s="83"/>
      <c r="M145" s="85"/>
      <c r="N145" s="83"/>
      <c r="O145" s="85"/>
      <c r="P145" s="96"/>
      <c r="Q145" s="97"/>
    </row>
    <row r="146" spans="2:17" x14ac:dyDescent="0.25">
      <c r="B146" s="71"/>
      <c r="C146" s="72"/>
      <c r="D146" s="77"/>
      <c r="E146" s="78"/>
      <c r="F146" s="78"/>
      <c r="G146" s="78"/>
      <c r="H146" s="78"/>
      <c r="I146" s="79"/>
      <c r="J146" s="77"/>
      <c r="K146" s="79"/>
      <c r="L146" s="77"/>
      <c r="M146" s="79"/>
      <c r="N146" s="77"/>
      <c r="O146" s="79"/>
      <c r="P146" s="92"/>
      <c r="Q146" s="93"/>
    </row>
    <row r="147" spans="2:17" x14ac:dyDescent="0.25">
      <c r="B147" s="73"/>
      <c r="C147" s="74"/>
      <c r="D147" s="80"/>
      <c r="E147" s="81"/>
      <c r="F147" s="81"/>
      <c r="G147" s="81"/>
      <c r="H147" s="81"/>
      <c r="I147" s="82"/>
      <c r="J147" s="80"/>
      <c r="K147" s="82"/>
      <c r="L147" s="80"/>
      <c r="M147" s="82"/>
      <c r="N147" s="80"/>
      <c r="O147" s="82"/>
      <c r="P147" s="94"/>
      <c r="Q147" s="95"/>
    </row>
    <row r="148" spans="2:17" x14ac:dyDescent="0.25">
      <c r="B148" s="75"/>
      <c r="C148" s="76"/>
      <c r="D148" s="83"/>
      <c r="E148" s="84"/>
      <c r="F148" s="84"/>
      <c r="G148" s="84"/>
      <c r="H148" s="84"/>
      <c r="I148" s="85"/>
      <c r="J148" s="83"/>
      <c r="K148" s="85"/>
      <c r="L148" s="83"/>
      <c r="M148" s="85"/>
      <c r="N148" s="83"/>
      <c r="O148" s="85"/>
      <c r="P148" s="96"/>
      <c r="Q148" s="97"/>
    </row>
    <row r="149" spans="2:17" x14ac:dyDescent="0.25">
      <c r="B149" s="71"/>
      <c r="C149" s="72"/>
      <c r="D149" s="77"/>
      <c r="E149" s="78"/>
      <c r="F149" s="78"/>
      <c r="G149" s="78"/>
      <c r="H149" s="78"/>
      <c r="I149" s="79"/>
      <c r="J149" s="77"/>
      <c r="K149" s="79"/>
      <c r="L149" s="77"/>
      <c r="M149" s="79"/>
      <c r="N149" s="77"/>
      <c r="O149" s="79"/>
      <c r="P149" s="92"/>
      <c r="Q149" s="93"/>
    </row>
    <row r="150" spans="2:17" x14ac:dyDescent="0.25">
      <c r="B150" s="73"/>
      <c r="C150" s="74"/>
      <c r="D150" s="80"/>
      <c r="E150" s="81"/>
      <c r="F150" s="81"/>
      <c r="G150" s="81"/>
      <c r="H150" s="81"/>
      <c r="I150" s="82"/>
      <c r="J150" s="80"/>
      <c r="K150" s="82"/>
      <c r="L150" s="80"/>
      <c r="M150" s="82"/>
      <c r="N150" s="80"/>
      <c r="O150" s="82"/>
      <c r="P150" s="94"/>
      <c r="Q150" s="95"/>
    </row>
    <row r="151" spans="2:17" x14ac:dyDescent="0.25">
      <c r="B151" s="75"/>
      <c r="C151" s="76"/>
      <c r="D151" s="83"/>
      <c r="E151" s="84"/>
      <c r="F151" s="84"/>
      <c r="G151" s="84"/>
      <c r="H151" s="84"/>
      <c r="I151" s="85"/>
      <c r="J151" s="83"/>
      <c r="K151" s="85"/>
      <c r="L151" s="83"/>
      <c r="M151" s="85"/>
      <c r="N151" s="83"/>
      <c r="O151" s="85"/>
      <c r="P151" s="96"/>
      <c r="Q151" s="97"/>
    </row>
    <row r="152" spans="2:17" x14ac:dyDescent="0.25">
      <c r="B152" s="71"/>
      <c r="C152" s="72"/>
      <c r="D152" s="77"/>
      <c r="E152" s="78"/>
      <c r="F152" s="78"/>
      <c r="G152" s="78"/>
      <c r="H152" s="78"/>
      <c r="I152" s="79"/>
      <c r="J152" s="77"/>
      <c r="K152" s="79"/>
      <c r="L152" s="77"/>
      <c r="M152" s="79"/>
      <c r="N152" s="77"/>
      <c r="O152" s="79"/>
      <c r="P152" s="92"/>
      <c r="Q152" s="93"/>
    </row>
    <row r="153" spans="2:17" x14ac:dyDescent="0.25">
      <c r="B153" s="73"/>
      <c r="C153" s="74"/>
      <c r="D153" s="80"/>
      <c r="E153" s="81"/>
      <c r="F153" s="81"/>
      <c r="G153" s="81"/>
      <c r="H153" s="81"/>
      <c r="I153" s="82"/>
      <c r="J153" s="80"/>
      <c r="K153" s="82"/>
      <c r="L153" s="80"/>
      <c r="M153" s="82"/>
      <c r="N153" s="80"/>
      <c r="O153" s="82"/>
      <c r="P153" s="94"/>
      <c r="Q153" s="95"/>
    </row>
    <row r="154" spans="2:17" x14ac:dyDescent="0.25">
      <c r="B154" s="75"/>
      <c r="C154" s="76"/>
      <c r="D154" s="83"/>
      <c r="E154" s="84"/>
      <c r="F154" s="84"/>
      <c r="G154" s="84"/>
      <c r="H154" s="84"/>
      <c r="I154" s="85"/>
      <c r="J154" s="83"/>
      <c r="K154" s="85"/>
      <c r="L154" s="83"/>
      <c r="M154" s="85"/>
      <c r="N154" s="83"/>
      <c r="O154" s="85"/>
      <c r="P154" s="96"/>
      <c r="Q154" s="97"/>
    </row>
    <row r="155" spans="2:17" x14ac:dyDescent="0.25">
      <c r="B155" s="71"/>
      <c r="C155" s="72"/>
      <c r="D155" s="77"/>
      <c r="E155" s="78"/>
      <c r="F155" s="78"/>
      <c r="G155" s="78"/>
      <c r="H155" s="78"/>
      <c r="I155" s="79"/>
      <c r="J155" s="77"/>
      <c r="K155" s="79"/>
      <c r="L155" s="77"/>
      <c r="M155" s="79"/>
      <c r="N155" s="77"/>
      <c r="O155" s="79"/>
      <c r="P155" s="92"/>
      <c r="Q155" s="93"/>
    </row>
    <row r="156" spans="2:17" x14ac:dyDescent="0.25">
      <c r="B156" s="73"/>
      <c r="C156" s="74"/>
      <c r="D156" s="80"/>
      <c r="E156" s="81"/>
      <c r="F156" s="81"/>
      <c r="G156" s="81"/>
      <c r="H156" s="81"/>
      <c r="I156" s="82"/>
      <c r="J156" s="80"/>
      <c r="K156" s="82"/>
      <c r="L156" s="80"/>
      <c r="M156" s="82"/>
      <c r="N156" s="80"/>
      <c r="O156" s="82"/>
      <c r="P156" s="94"/>
      <c r="Q156" s="95"/>
    </row>
    <row r="157" spans="2:17" x14ac:dyDescent="0.25">
      <c r="B157" s="75"/>
      <c r="C157" s="76"/>
      <c r="D157" s="83"/>
      <c r="E157" s="84"/>
      <c r="F157" s="84"/>
      <c r="G157" s="84"/>
      <c r="H157" s="84"/>
      <c r="I157" s="85"/>
      <c r="J157" s="83"/>
      <c r="K157" s="85"/>
      <c r="L157" s="83"/>
      <c r="M157" s="85"/>
      <c r="N157" s="83"/>
      <c r="O157" s="85"/>
      <c r="P157" s="96"/>
      <c r="Q157" s="97"/>
    </row>
    <row r="158" spans="2:17" x14ac:dyDescent="0.25">
      <c r="B158" s="71"/>
      <c r="C158" s="72"/>
      <c r="D158" s="77"/>
      <c r="E158" s="78"/>
      <c r="F158" s="78"/>
      <c r="G158" s="78"/>
      <c r="H158" s="78"/>
      <c r="I158" s="79"/>
      <c r="J158" s="77"/>
      <c r="K158" s="79"/>
      <c r="L158" s="77"/>
      <c r="M158" s="79"/>
      <c r="N158" s="77"/>
      <c r="O158" s="79"/>
      <c r="P158" s="92"/>
      <c r="Q158" s="93"/>
    </row>
    <row r="159" spans="2:17" x14ac:dyDescent="0.25">
      <c r="B159" s="73"/>
      <c r="C159" s="74"/>
      <c r="D159" s="80"/>
      <c r="E159" s="81"/>
      <c r="F159" s="81"/>
      <c r="G159" s="81"/>
      <c r="H159" s="81"/>
      <c r="I159" s="82"/>
      <c r="J159" s="80"/>
      <c r="K159" s="82"/>
      <c r="L159" s="80"/>
      <c r="M159" s="82"/>
      <c r="N159" s="80"/>
      <c r="O159" s="82"/>
      <c r="P159" s="94"/>
      <c r="Q159" s="95"/>
    </row>
    <row r="160" spans="2:17" x14ac:dyDescent="0.25">
      <c r="B160" s="75"/>
      <c r="C160" s="76"/>
      <c r="D160" s="83"/>
      <c r="E160" s="84"/>
      <c r="F160" s="84"/>
      <c r="G160" s="84"/>
      <c r="H160" s="84"/>
      <c r="I160" s="85"/>
      <c r="J160" s="83"/>
      <c r="K160" s="85"/>
      <c r="L160" s="83"/>
      <c r="M160" s="85"/>
      <c r="N160" s="83"/>
      <c r="O160" s="85"/>
      <c r="P160" s="96"/>
      <c r="Q160" s="97"/>
    </row>
    <row r="161" spans="2:17" x14ac:dyDescent="0.25">
      <c r="B161" s="71"/>
      <c r="C161" s="72"/>
      <c r="D161" s="77"/>
      <c r="E161" s="78"/>
      <c r="F161" s="78"/>
      <c r="G161" s="78"/>
      <c r="H161" s="78"/>
      <c r="I161" s="79"/>
      <c r="J161" s="77"/>
      <c r="K161" s="79"/>
      <c r="L161" s="77"/>
      <c r="M161" s="79"/>
      <c r="N161" s="77"/>
      <c r="O161" s="79"/>
      <c r="P161" s="92"/>
      <c r="Q161" s="93"/>
    </row>
    <row r="162" spans="2:17" x14ac:dyDescent="0.25">
      <c r="B162" s="73"/>
      <c r="C162" s="74"/>
      <c r="D162" s="80"/>
      <c r="E162" s="81"/>
      <c r="F162" s="81"/>
      <c r="G162" s="81"/>
      <c r="H162" s="81"/>
      <c r="I162" s="82"/>
      <c r="J162" s="80"/>
      <c r="K162" s="82"/>
      <c r="L162" s="80"/>
      <c r="M162" s="82"/>
      <c r="N162" s="80"/>
      <c r="O162" s="82"/>
      <c r="P162" s="94"/>
      <c r="Q162" s="95"/>
    </row>
    <row r="163" spans="2:17" x14ac:dyDescent="0.25">
      <c r="B163" s="75"/>
      <c r="C163" s="76"/>
      <c r="D163" s="83"/>
      <c r="E163" s="84"/>
      <c r="F163" s="84"/>
      <c r="G163" s="84"/>
      <c r="H163" s="84"/>
      <c r="I163" s="85"/>
      <c r="J163" s="83"/>
      <c r="K163" s="85"/>
      <c r="L163" s="83"/>
      <c r="M163" s="85"/>
      <c r="N163" s="83"/>
      <c r="O163" s="85"/>
      <c r="P163" s="96"/>
      <c r="Q163" s="97"/>
    </row>
    <row r="164" spans="2:17" x14ac:dyDescent="0.25">
      <c r="B164" s="71"/>
      <c r="C164" s="72"/>
      <c r="D164" s="77"/>
      <c r="E164" s="78"/>
      <c r="F164" s="78"/>
      <c r="G164" s="78"/>
      <c r="H164" s="78"/>
      <c r="I164" s="79"/>
      <c r="J164" s="77"/>
      <c r="K164" s="79"/>
      <c r="L164" s="77"/>
      <c r="M164" s="79"/>
      <c r="N164" s="77"/>
      <c r="O164" s="79"/>
      <c r="P164" s="92"/>
      <c r="Q164" s="93"/>
    </row>
    <row r="165" spans="2:17" x14ac:dyDescent="0.25">
      <c r="B165" s="73"/>
      <c r="C165" s="74"/>
      <c r="D165" s="80"/>
      <c r="E165" s="81"/>
      <c r="F165" s="81"/>
      <c r="G165" s="81"/>
      <c r="H165" s="81"/>
      <c r="I165" s="82"/>
      <c r="J165" s="80"/>
      <c r="K165" s="82"/>
      <c r="L165" s="80"/>
      <c r="M165" s="82"/>
      <c r="N165" s="80"/>
      <c r="O165" s="82"/>
      <c r="P165" s="94"/>
      <c r="Q165" s="95"/>
    </row>
    <row r="166" spans="2:17" x14ac:dyDescent="0.25">
      <c r="B166" s="75"/>
      <c r="C166" s="76"/>
      <c r="D166" s="83"/>
      <c r="E166" s="84"/>
      <c r="F166" s="84"/>
      <c r="G166" s="84"/>
      <c r="H166" s="84"/>
      <c r="I166" s="85"/>
      <c r="J166" s="83"/>
      <c r="K166" s="85"/>
      <c r="L166" s="83"/>
      <c r="M166" s="85"/>
      <c r="N166" s="83"/>
      <c r="O166" s="85"/>
      <c r="P166" s="96"/>
      <c r="Q166" s="97"/>
    </row>
    <row r="167" spans="2:17" x14ac:dyDescent="0.25">
      <c r="B167" s="71"/>
      <c r="C167" s="72"/>
      <c r="D167" s="77"/>
      <c r="E167" s="78"/>
      <c r="F167" s="78"/>
      <c r="G167" s="78"/>
      <c r="H167" s="78"/>
      <c r="I167" s="79"/>
      <c r="J167" s="77"/>
      <c r="K167" s="79"/>
      <c r="L167" s="77"/>
      <c r="M167" s="79"/>
      <c r="N167" s="77"/>
      <c r="O167" s="79"/>
      <c r="P167" s="92"/>
      <c r="Q167" s="93"/>
    </row>
    <row r="168" spans="2:17" x14ac:dyDescent="0.25">
      <c r="B168" s="73"/>
      <c r="C168" s="74"/>
      <c r="D168" s="80"/>
      <c r="E168" s="81"/>
      <c r="F168" s="81"/>
      <c r="G168" s="81"/>
      <c r="H168" s="81"/>
      <c r="I168" s="82"/>
      <c r="J168" s="80"/>
      <c r="K168" s="82"/>
      <c r="L168" s="80"/>
      <c r="M168" s="82"/>
      <c r="N168" s="80"/>
      <c r="O168" s="82"/>
      <c r="P168" s="94"/>
      <c r="Q168" s="95"/>
    </row>
    <row r="169" spans="2:17" x14ac:dyDescent="0.25">
      <c r="B169" s="75"/>
      <c r="C169" s="76"/>
      <c r="D169" s="83"/>
      <c r="E169" s="84"/>
      <c r="F169" s="84"/>
      <c r="G169" s="84"/>
      <c r="H169" s="84"/>
      <c r="I169" s="85"/>
      <c r="J169" s="83"/>
      <c r="K169" s="85"/>
      <c r="L169" s="83"/>
      <c r="M169" s="85"/>
      <c r="N169" s="83"/>
      <c r="O169" s="85"/>
      <c r="P169" s="96"/>
      <c r="Q169" s="97"/>
    </row>
    <row r="170" spans="2:17" x14ac:dyDescent="0.25">
      <c r="B170" s="71"/>
      <c r="C170" s="72"/>
      <c r="D170" s="77"/>
      <c r="E170" s="78"/>
      <c r="F170" s="78"/>
      <c r="G170" s="78"/>
      <c r="H170" s="78"/>
      <c r="I170" s="79"/>
      <c r="J170" s="77"/>
      <c r="K170" s="79"/>
      <c r="L170" s="77"/>
      <c r="M170" s="79"/>
      <c r="N170" s="77"/>
      <c r="O170" s="79"/>
      <c r="P170" s="92"/>
      <c r="Q170" s="93"/>
    </row>
    <row r="171" spans="2:17" x14ac:dyDescent="0.25">
      <c r="B171" s="73"/>
      <c r="C171" s="74"/>
      <c r="D171" s="80"/>
      <c r="E171" s="81"/>
      <c r="F171" s="81"/>
      <c r="G171" s="81"/>
      <c r="H171" s="81"/>
      <c r="I171" s="82"/>
      <c r="J171" s="80"/>
      <c r="K171" s="82"/>
      <c r="L171" s="80"/>
      <c r="M171" s="82"/>
      <c r="N171" s="80"/>
      <c r="O171" s="82"/>
      <c r="P171" s="94"/>
      <c r="Q171" s="95"/>
    </row>
    <row r="172" spans="2:17" x14ac:dyDescent="0.25">
      <c r="B172" s="75"/>
      <c r="C172" s="76"/>
      <c r="D172" s="83"/>
      <c r="E172" s="84"/>
      <c r="F172" s="84"/>
      <c r="G172" s="84"/>
      <c r="H172" s="84"/>
      <c r="I172" s="85"/>
      <c r="J172" s="83"/>
      <c r="K172" s="85"/>
      <c r="L172" s="83"/>
      <c r="M172" s="85"/>
      <c r="N172" s="83"/>
      <c r="O172" s="85"/>
      <c r="P172" s="96"/>
      <c r="Q172" s="97"/>
    </row>
    <row r="173" spans="2:17" x14ac:dyDescent="0.25">
      <c r="B173" s="71"/>
      <c r="C173" s="72"/>
      <c r="D173" s="77"/>
      <c r="E173" s="78"/>
      <c r="F173" s="78"/>
      <c r="G173" s="78"/>
      <c r="H173" s="78"/>
      <c r="I173" s="79"/>
      <c r="J173" s="77"/>
      <c r="K173" s="79"/>
      <c r="L173" s="77"/>
      <c r="M173" s="79"/>
      <c r="N173" s="77"/>
      <c r="O173" s="79"/>
      <c r="P173" s="92"/>
      <c r="Q173" s="93"/>
    </row>
    <row r="174" spans="2:17" x14ac:dyDescent="0.25">
      <c r="B174" s="73"/>
      <c r="C174" s="74"/>
      <c r="D174" s="80"/>
      <c r="E174" s="81"/>
      <c r="F174" s="81"/>
      <c r="G174" s="81"/>
      <c r="H174" s="81"/>
      <c r="I174" s="82"/>
      <c r="J174" s="80"/>
      <c r="K174" s="82"/>
      <c r="L174" s="80"/>
      <c r="M174" s="82"/>
      <c r="N174" s="80"/>
      <c r="O174" s="82"/>
      <c r="P174" s="94"/>
      <c r="Q174" s="95"/>
    </row>
    <row r="175" spans="2:17" x14ac:dyDescent="0.25">
      <c r="B175" s="75"/>
      <c r="C175" s="76"/>
      <c r="D175" s="83"/>
      <c r="E175" s="84"/>
      <c r="F175" s="84"/>
      <c r="G175" s="84"/>
      <c r="H175" s="84"/>
      <c r="I175" s="85"/>
      <c r="J175" s="83"/>
      <c r="K175" s="85"/>
      <c r="L175" s="83"/>
      <c r="M175" s="85"/>
      <c r="N175" s="83"/>
      <c r="O175" s="85"/>
      <c r="P175" s="96"/>
      <c r="Q175" s="97"/>
    </row>
    <row r="176" spans="2:17" x14ac:dyDescent="0.25">
      <c r="B176" s="71"/>
      <c r="C176" s="72"/>
      <c r="D176" s="77"/>
      <c r="E176" s="78"/>
      <c r="F176" s="78"/>
      <c r="G176" s="78"/>
      <c r="H176" s="78"/>
      <c r="I176" s="79"/>
      <c r="J176" s="77"/>
      <c r="K176" s="79"/>
      <c r="L176" s="77"/>
      <c r="M176" s="79"/>
      <c r="N176" s="77"/>
      <c r="O176" s="79"/>
      <c r="P176" s="92"/>
      <c r="Q176" s="93"/>
    </row>
    <row r="177" spans="2:17" x14ac:dyDescent="0.25">
      <c r="B177" s="73"/>
      <c r="C177" s="74"/>
      <c r="D177" s="80"/>
      <c r="E177" s="81"/>
      <c r="F177" s="81"/>
      <c r="G177" s="81"/>
      <c r="H177" s="81"/>
      <c r="I177" s="82"/>
      <c r="J177" s="80"/>
      <c r="K177" s="82"/>
      <c r="L177" s="80"/>
      <c r="M177" s="82"/>
      <c r="N177" s="80"/>
      <c r="O177" s="82"/>
      <c r="P177" s="94"/>
      <c r="Q177" s="95"/>
    </row>
    <row r="178" spans="2:17" x14ac:dyDescent="0.25">
      <c r="B178" s="75"/>
      <c r="C178" s="76"/>
      <c r="D178" s="83"/>
      <c r="E178" s="84"/>
      <c r="F178" s="84"/>
      <c r="G178" s="84"/>
      <c r="H178" s="84"/>
      <c r="I178" s="85"/>
      <c r="J178" s="83"/>
      <c r="K178" s="85"/>
      <c r="L178" s="83"/>
      <c r="M178" s="85"/>
      <c r="N178" s="83"/>
      <c r="O178" s="85"/>
      <c r="P178" s="96"/>
      <c r="Q178" s="97"/>
    </row>
    <row r="179" spans="2:17" x14ac:dyDescent="0.25">
      <c r="B179" s="71"/>
      <c r="C179" s="72"/>
      <c r="D179" s="77"/>
      <c r="E179" s="78"/>
      <c r="F179" s="78"/>
      <c r="G179" s="78"/>
      <c r="H179" s="78"/>
      <c r="I179" s="79"/>
      <c r="J179" s="77"/>
      <c r="K179" s="79"/>
      <c r="L179" s="77"/>
      <c r="M179" s="79"/>
      <c r="N179" s="77"/>
      <c r="O179" s="79"/>
      <c r="P179" s="92"/>
      <c r="Q179" s="93"/>
    </row>
    <row r="180" spans="2:17" x14ac:dyDescent="0.25">
      <c r="B180" s="73"/>
      <c r="C180" s="74"/>
      <c r="D180" s="80"/>
      <c r="E180" s="81"/>
      <c r="F180" s="81"/>
      <c r="G180" s="81"/>
      <c r="H180" s="81"/>
      <c r="I180" s="82"/>
      <c r="J180" s="80"/>
      <c r="K180" s="82"/>
      <c r="L180" s="80"/>
      <c r="M180" s="82"/>
      <c r="N180" s="80"/>
      <c r="O180" s="82"/>
      <c r="P180" s="94"/>
      <c r="Q180" s="95"/>
    </row>
    <row r="181" spans="2:17" x14ac:dyDescent="0.25">
      <c r="B181" s="75"/>
      <c r="C181" s="76"/>
      <c r="D181" s="83"/>
      <c r="E181" s="84"/>
      <c r="F181" s="84"/>
      <c r="G181" s="84"/>
      <c r="H181" s="84"/>
      <c r="I181" s="85"/>
      <c r="J181" s="83"/>
      <c r="K181" s="85"/>
      <c r="L181" s="83"/>
      <c r="M181" s="85"/>
      <c r="N181" s="83"/>
      <c r="O181" s="85"/>
      <c r="P181" s="96"/>
      <c r="Q181" s="97"/>
    </row>
    <row r="182" spans="2:17" x14ac:dyDescent="0.25">
      <c r="B182" s="71"/>
      <c r="C182" s="72"/>
      <c r="D182" s="77"/>
      <c r="E182" s="78"/>
      <c r="F182" s="78"/>
      <c r="G182" s="78"/>
      <c r="H182" s="78"/>
      <c r="I182" s="79"/>
      <c r="J182" s="77"/>
      <c r="K182" s="79"/>
      <c r="L182" s="77"/>
      <c r="M182" s="79"/>
      <c r="N182" s="77"/>
      <c r="O182" s="79"/>
      <c r="P182" s="92"/>
      <c r="Q182" s="93"/>
    </row>
    <row r="183" spans="2:17" x14ac:dyDescent="0.25">
      <c r="B183" s="73"/>
      <c r="C183" s="74"/>
      <c r="D183" s="80"/>
      <c r="E183" s="81"/>
      <c r="F183" s="81"/>
      <c r="G183" s="81"/>
      <c r="H183" s="81"/>
      <c r="I183" s="82"/>
      <c r="J183" s="80"/>
      <c r="K183" s="82"/>
      <c r="L183" s="80"/>
      <c r="M183" s="82"/>
      <c r="N183" s="80"/>
      <c r="O183" s="82"/>
      <c r="P183" s="94"/>
      <c r="Q183" s="95"/>
    </row>
    <row r="184" spans="2:17" x14ac:dyDescent="0.25">
      <c r="B184" s="75"/>
      <c r="C184" s="76"/>
      <c r="D184" s="83"/>
      <c r="E184" s="84"/>
      <c r="F184" s="84"/>
      <c r="G184" s="84"/>
      <c r="H184" s="84"/>
      <c r="I184" s="85"/>
      <c r="J184" s="83"/>
      <c r="K184" s="85"/>
      <c r="L184" s="83"/>
      <c r="M184" s="85"/>
      <c r="N184" s="83"/>
      <c r="O184" s="85"/>
      <c r="P184" s="96"/>
      <c r="Q184" s="97"/>
    </row>
    <row r="185" spans="2:17" x14ac:dyDescent="0.25">
      <c r="B185" s="71"/>
      <c r="C185" s="72"/>
      <c r="D185" s="77"/>
      <c r="E185" s="78"/>
      <c r="F185" s="78"/>
      <c r="G185" s="78"/>
      <c r="H185" s="78"/>
      <c r="I185" s="79"/>
      <c r="J185" s="77"/>
      <c r="K185" s="79"/>
      <c r="L185" s="77"/>
      <c r="M185" s="79"/>
      <c r="N185" s="77"/>
      <c r="O185" s="79"/>
      <c r="P185" s="92"/>
      <c r="Q185" s="93"/>
    </row>
    <row r="186" spans="2:17" x14ac:dyDescent="0.25">
      <c r="B186" s="73"/>
      <c r="C186" s="74"/>
      <c r="D186" s="80"/>
      <c r="E186" s="81"/>
      <c r="F186" s="81"/>
      <c r="G186" s="81"/>
      <c r="H186" s="81"/>
      <c r="I186" s="82"/>
      <c r="J186" s="80"/>
      <c r="K186" s="82"/>
      <c r="L186" s="80"/>
      <c r="M186" s="82"/>
      <c r="N186" s="80"/>
      <c r="O186" s="82"/>
      <c r="P186" s="94"/>
      <c r="Q186" s="95"/>
    </row>
    <row r="187" spans="2:17" x14ac:dyDescent="0.25">
      <c r="B187" s="75"/>
      <c r="C187" s="76"/>
      <c r="D187" s="83"/>
      <c r="E187" s="84"/>
      <c r="F187" s="84"/>
      <c r="G187" s="84"/>
      <c r="H187" s="84"/>
      <c r="I187" s="85"/>
      <c r="J187" s="83"/>
      <c r="K187" s="85"/>
      <c r="L187" s="83"/>
      <c r="M187" s="85"/>
      <c r="N187" s="83"/>
      <c r="O187" s="85"/>
      <c r="P187" s="96"/>
      <c r="Q187" s="97"/>
    </row>
    <row r="188" spans="2:17" x14ac:dyDescent="0.25">
      <c r="B188" s="71"/>
      <c r="C188" s="72"/>
      <c r="D188" s="77"/>
      <c r="E188" s="78"/>
      <c r="F188" s="78"/>
      <c r="G188" s="78"/>
      <c r="H188" s="78"/>
      <c r="I188" s="79"/>
      <c r="J188" s="77"/>
      <c r="K188" s="79"/>
      <c r="L188" s="77"/>
      <c r="M188" s="79"/>
      <c r="N188" s="77"/>
      <c r="O188" s="79"/>
      <c r="P188" s="92"/>
      <c r="Q188" s="93"/>
    </row>
    <row r="189" spans="2:17" x14ac:dyDescent="0.25">
      <c r="B189" s="73"/>
      <c r="C189" s="74"/>
      <c r="D189" s="80"/>
      <c r="E189" s="81"/>
      <c r="F189" s="81"/>
      <c r="G189" s="81"/>
      <c r="H189" s="81"/>
      <c r="I189" s="82"/>
      <c r="J189" s="80"/>
      <c r="K189" s="82"/>
      <c r="L189" s="80"/>
      <c r="M189" s="82"/>
      <c r="N189" s="80"/>
      <c r="O189" s="82"/>
      <c r="P189" s="94"/>
      <c r="Q189" s="95"/>
    </row>
    <row r="190" spans="2:17" x14ac:dyDescent="0.25">
      <c r="B190" s="75"/>
      <c r="C190" s="76"/>
      <c r="D190" s="83"/>
      <c r="E190" s="84"/>
      <c r="F190" s="84"/>
      <c r="G190" s="84"/>
      <c r="H190" s="84"/>
      <c r="I190" s="85"/>
      <c r="J190" s="83"/>
      <c r="K190" s="85"/>
      <c r="L190" s="83"/>
      <c r="M190" s="85"/>
      <c r="N190" s="83"/>
      <c r="O190" s="85"/>
      <c r="P190" s="96"/>
      <c r="Q190" s="97"/>
    </row>
    <row r="191" spans="2:17" x14ac:dyDescent="0.25">
      <c r="B191" s="71"/>
      <c r="C191" s="72"/>
      <c r="D191" s="77"/>
      <c r="E191" s="78"/>
      <c r="F191" s="78"/>
      <c r="G191" s="78"/>
      <c r="H191" s="78"/>
      <c r="I191" s="79"/>
      <c r="J191" s="77"/>
      <c r="K191" s="79"/>
      <c r="L191" s="77"/>
      <c r="M191" s="79"/>
      <c r="N191" s="77"/>
      <c r="O191" s="79"/>
      <c r="P191" s="92"/>
      <c r="Q191" s="93"/>
    </row>
    <row r="192" spans="2:17" x14ac:dyDescent="0.25">
      <c r="B192" s="73"/>
      <c r="C192" s="74"/>
      <c r="D192" s="80"/>
      <c r="E192" s="81"/>
      <c r="F192" s="81"/>
      <c r="G192" s="81"/>
      <c r="H192" s="81"/>
      <c r="I192" s="82"/>
      <c r="J192" s="80"/>
      <c r="K192" s="82"/>
      <c r="L192" s="80"/>
      <c r="M192" s="82"/>
      <c r="N192" s="80"/>
      <c r="O192" s="82"/>
      <c r="P192" s="94"/>
      <c r="Q192" s="95"/>
    </row>
    <row r="193" spans="2:17" x14ac:dyDescent="0.25">
      <c r="B193" s="75"/>
      <c r="C193" s="76"/>
      <c r="D193" s="83"/>
      <c r="E193" s="84"/>
      <c r="F193" s="84"/>
      <c r="G193" s="84"/>
      <c r="H193" s="84"/>
      <c r="I193" s="85"/>
      <c r="J193" s="83"/>
      <c r="K193" s="85"/>
      <c r="L193" s="83"/>
      <c r="M193" s="85"/>
      <c r="N193" s="83"/>
      <c r="O193" s="85"/>
      <c r="P193" s="96"/>
      <c r="Q193" s="97"/>
    </row>
    <row r="194" spans="2:17" x14ac:dyDescent="0.25">
      <c r="B194" s="71"/>
      <c r="C194" s="72"/>
      <c r="D194" s="77"/>
      <c r="E194" s="78"/>
      <c r="F194" s="78"/>
      <c r="G194" s="78"/>
      <c r="H194" s="78"/>
      <c r="I194" s="79"/>
      <c r="J194" s="77"/>
      <c r="K194" s="79"/>
      <c r="L194" s="77"/>
      <c r="M194" s="79"/>
      <c r="N194" s="77"/>
      <c r="O194" s="79"/>
      <c r="P194" s="92"/>
      <c r="Q194" s="93"/>
    </row>
    <row r="195" spans="2:17" x14ac:dyDescent="0.25">
      <c r="B195" s="73"/>
      <c r="C195" s="74"/>
      <c r="D195" s="80"/>
      <c r="E195" s="81"/>
      <c r="F195" s="81"/>
      <c r="G195" s="81"/>
      <c r="H195" s="81"/>
      <c r="I195" s="82"/>
      <c r="J195" s="80"/>
      <c r="K195" s="82"/>
      <c r="L195" s="80"/>
      <c r="M195" s="82"/>
      <c r="N195" s="80"/>
      <c r="O195" s="82"/>
      <c r="P195" s="94"/>
      <c r="Q195" s="95"/>
    </row>
    <row r="196" spans="2:17" x14ac:dyDescent="0.25">
      <c r="B196" s="75"/>
      <c r="C196" s="76"/>
      <c r="D196" s="83"/>
      <c r="E196" s="84"/>
      <c r="F196" s="84"/>
      <c r="G196" s="84"/>
      <c r="H196" s="84"/>
      <c r="I196" s="85"/>
      <c r="J196" s="83"/>
      <c r="K196" s="85"/>
      <c r="L196" s="83"/>
      <c r="M196" s="85"/>
      <c r="N196" s="83"/>
      <c r="O196" s="85"/>
      <c r="P196" s="96"/>
      <c r="Q196" s="97"/>
    </row>
    <row r="197" spans="2:17" x14ac:dyDescent="0.25">
      <c r="B197" s="71"/>
      <c r="C197" s="72"/>
      <c r="D197" s="77"/>
      <c r="E197" s="78"/>
      <c r="F197" s="78"/>
      <c r="G197" s="78"/>
      <c r="H197" s="78"/>
      <c r="I197" s="79"/>
      <c r="J197" s="77"/>
      <c r="K197" s="79"/>
      <c r="L197" s="77"/>
      <c r="M197" s="79"/>
      <c r="N197" s="77"/>
      <c r="O197" s="79"/>
      <c r="P197" s="92"/>
      <c r="Q197" s="93"/>
    </row>
    <row r="198" spans="2:17" x14ac:dyDescent="0.25">
      <c r="B198" s="73"/>
      <c r="C198" s="74"/>
      <c r="D198" s="80"/>
      <c r="E198" s="81"/>
      <c r="F198" s="81"/>
      <c r="G198" s="81"/>
      <c r="H198" s="81"/>
      <c r="I198" s="82"/>
      <c r="J198" s="80"/>
      <c r="K198" s="82"/>
      <c r="L198" s="80"/>
      <c r="M198" s="82"/>
      <c r="N198" s="80"/>
      <c r="O198" s="82"/>
      <c r="P198" s="94"/>
      <c r="Q198" s="95"/>
    </row>
    <row r="199" spans="2:17" x14ac:dyDescent="0.25">
      <c r="B199" s="75"/>
      <c r="C199" s="76"/>
      <c r="D199" s="83"/>
      <c r="E199" s="84"/>
      <c r="F199" s="84"/>
      <c r="G199" s="84"/>
      <c r="H199" s="84"/>
      <c r="I199" s="85"/>
      <c r="J199" s="83"/>
      <c r="K199" s="85"/>
      <c r="L199" s="83"/>
      <c r="M199" s="85"/>
      <c r="N199" s="83"/>
      <c r="O199" s="85"/>
      <c r="P199" s="96"/>
      <c r="Q199" s="97"/>
    </row>
    <row r="200" spans="2:17" x14ac:dyDescent="0.25">
      <c r="B200" s="71"/>
      <c r="C200" s="72"/>
      <c r="D200" s="77"/>
      <c r="E200" s="78"/>
      <c r="F200" s="78"/>
      <c r="G200" s="78"/>
      <c r="H200" s="78"/>
      <c r="I200" s="79"/>
      <c r="J200" s="77"/>
      <c r="K200" s="79"/>
      <c r="L200" s="77"/>
      <c r="M200" s="79"/>
      <c r="N200" s="77"/>
      <c r="O200" s="79"/>
      <c r="P200" s="92"/>
      <c r="Q200" s="93"/>
    </row>
    <row r="201" spans="2:17" x14ac:dyDescent="0.25">
      <c r="B201" s="73"/>
      <c r="C201" s="74"/>
      <c r="D201" s="80"/>
      <c r="E201" s="81"/>
      <c r="F201" s="81"/>
      <c r="G201" s="81"/>
      <c r="H201" s="81"/>
      <c r="I201" s="82"/>
      <c r="J201" s="80"/>
      <c r="K201" s="82"/>
      <c r="L201" s="80"/>
      <c r="M201" s="82"/>
      <c r="N201" s="80"/>
      <c r="O201" s="82"/>
      <c r="P201" s="94"/>
      <c r="Q201" s="95"/>
    </row>
    <row r="202" spans="2:17" x14ac:dyDescent="0.25">
      <c r="B202" s="75"/>
      <c r="C202" s="76"/>
      <c r="D202" s="83"/>
      <c r="E202" s="84"/>
      <c r="F202" s="84"/>
      <c r="G202" s="84"/>
      <c r="H202" s="84"/>
      <c r="I202" s="85"/>
      <c r="J202" s="83"/>
      <c r="K202" s="85"/>
      <c r="L202" s="83"/>
      <c r="M202" s="85"/>
      <c r="N202" s="83"/>
      <c r="O202" s="85"/>
      <c r="P202" s="96"/>
      <c r="Q202" s="97"/>
    </row>
    <row r="203" spans="2:17" x14ac:dyDescent="0.25">
      <c r="B203" s="71"/>
      <c r="C203" s="72"/>
      <c r="D203" s="77"/>
      <c r="E203" s="78"/>
      <c r="F203" s="78"/>
      <c r="G203" s="78"/>
      <c r="H203" s="78"/>
      <c r="I203" s="79"/>
      <c r="J203" s="77"/>
      <c r="K203" s="79"/>
      <c r="L203" s="77"/>
      <c r="M203" s="79"/>
      <c r="N203" s="77"/>
      <c r="O203" s="79"/>
      <c r="P203" s="92"/>
      <c r="Q203" s="93"/>
    </row>
    <row r="204" spans="2:17" x14ac:dyDescent="0.25">
      <c r="B204" s="73"/>
      <c r="C204" s="74"/>
      <c r="D204" s="80"/>
      <c r="E204" s="81"/>
      <c r="F204" s="81"/>
      <c r="G204" s="81"/>
      <c r="H204" s="81"/>
      <c r="I204" s="82"/>
      <c r="J204" s="80"/>
      <c r="K204" s="82"/>
      <c r="L204" s="80"/>
      <c r="M204" s="82"/>
      <c r="N204" s="80"/>
      <c r="O204" s="82"/>
      <c r="P204" s="94"/>
      <c r="Q204" s="95"/>
    </row>
    <row r="205" spans="2:17" x14ac:dyDescent="0.25">
      <c r="B205" s="75"/>
      <c r="C205" s="76"/>
      <c r="D205" s="83"/>
      <c r="E205" s="84"/>
      <c r="F205" s="84"/>
      <c r="G205" s="84"/>
      <c r="H205" s="84"/>
      <c r="I205" s="85"/>
      <c r="J205" s="83"/>
      <c r="K205" s="85"/>
      <c r="L205" s="83"/>
      <c r="M205" s="85"/>
      <c r="N205" s="83"/>
      <c r="O205" s="85"/>
      <c r="P205" s="96"/>
      <c r="Q205" s="97"/>
    </row>
    <row r="206" spans="2:17" x14ac:dyDescent="0.25">
      <c r="B206" s="71"/>
      <c r="C206" s="72"/>
      <c r="D206" s="77"/>
      <c r="E206" s="78"/>
      <c r="F206" s="78"/>
      <c r="G206" s="78"/>
      <c r="H206" s="78"/>
      <c r="I206" s="79"/>
      <c r="J206" s="77"/>
      <c r="K206" s="79"/>
      <c r="L206" s="77"/>
      <c r="M206" s="79"/>
      <c r="N206" s="77"/>
      <c r="O206" s="79"/>
      <c r="P206" s="92"/>
      <c r="Q206" s="93"/>
    </row>
    <row r="207" spans="2:17" x14ac:dyDescent="0.25">
      <c r="B207" s="73"/>
      <c r="C207" s="74"/>
      <c r="D207" s="80"/>
      <c r="E207" s="81"/>
      <c r="F207" s="81"/>
      <c r="G207" s="81"/>
      <c r="H207" s="81"/>
      <c r="I207" s="82"/>
      <c r="J207" s="80"/>
      <c r="K207" s="82"/>
      <c r="L207" s="80"/>
      <c r="M207" s="82"/>
      <c r="N207" s="80"/>
      <c r="O207" s="82"/>
      <c r="P207" s="94"/>
      <c r="Q207" s="95"/>
    </row>
    <row r="208" spans="2:17" x14ac:dyDescent="0.25">
      <c r="B208" s="75"/>
      <c r="C208" s="76"/>
      <c r="D208" s="83"/>
      <c r="E208" s="84"/>
      <c r="F208" s="84"/>
      <c r="G208" s="84"/>
      <c r="H208" s="84"/>
      <c r="I208" s="85"/>
      <c r="J208" s="83"/>
      <c r="K208" s="85"/>
      <c r="L208" s="83"/>
      <c r="M208" s="85"/>
      <c r="N208" s="83"/>
      <c r="O208" s="85"/>
      <c r="P208" s="96"/>
      <c r="Q208" s="97"/>
    </row>
    <row r="209" spans="2:17" x14ac:dyDescent="0.25">
      <c r="B209" s="71"/>
      <c r="C209" s="72"/>
      <c r="D209" s="77"/>
      <c r="E209" s="78"/>
      <c r="F209" s="78"/>
      <c r="G209" s="78"/>
      <c r="H209" s="78"/>
      <c r="I209" s="79"/>
      <c r="J209" s="77"/>
      <c r="K209" s="79"/>
      <c r="L209" s="77"/>
      <c r="M209" s="79"/>
      <c r="N209" s="77"/>
      <c r="O209" s="79"/>
      <c r="P209" s="92"/>
      <c r="Q209" s="93"/>
    </row>
    <row r="210" spans="2:17" x14ac:dyDescent="0.25">
      <c r="B210" s="73"/>
      <c r="C210" s="74"/>
      <c r="D210" s="80"/>
      <c r="E210" s="81"/>
      <c r="F210" s="81"/>
      <c r="G210" s="81"/>
      <c r="H210" s="81"/>
      <c r="I210" s="82"/>
      <c r="J210" s="80"/>
      <c r="K210" s="82"/>
      <c r="L210" s="80"/>
      <c r="M210" s="82"/>
      <c r="N210" s="80"/>
      <c r="O210" s="82"/>
      <c r="P210" s="94"/>
      <c r="Q210" s="95"/>
    </row>
    <row r="211" spans="2:17" x14ac:dyDescent="0.25">
      <c r="B211" s="75"/>
      <c r="C211" s="76"/>
      <c r="D211" s="83"/>
      <c r="E211" s="84"/>
      <c r="F211" s="84"/>
      <c r="G211" s="84"/>
      <c r="H211" s="84"/>
      <c r="I211" s="85"/>
      <c r="J211" s="83"/>
      <c r="K211" s="85"/>
      <c r="L211" s="83"/>
      <c r="M211" s="85"/>
      <c r="N211" s="83"/>
      <c r="O211" s="85"/>
      <c r="P211" s="96"/>
      <c r="Q211" s="97"/>
    </row>
    <row r="212" spans="2:17" x14ac:dyDescent="0.25">
      <c r="B212" s="71"/>
      <c r="C212" s="72"/>
      <c r="D212" s="77"/>
      <c r="E212" s="78"/>
      <c r="F212" s="78"/>
      <c r="G212" s="78"/>
      <c r="H212" s="78"/>
      <c r="I212" s="79"/>
      <c r="J212" s="77"/>
      <c r="K212" s="79"/>
      <c r="L212" s="77"/>
      <c r="M212" s="79"/>
      <c r="N212" s="77"/>
      <c r="O212" s="79"/>
      <c r="P212" s="92"/>
      <c r="Q212" s="93"/>
    </row>
    <row r="213" spans="2:17" x14ac:dyDescent="0.25">
      <c r="B213" s="73"/>
      <c r="C213" s="74"/>
      <c r="D213" s="80"/>
      <c r="E213" s="81"/>
      <c r="F213" s="81"/>
      <c r="G213" s="81"/>
      <c r="H213" s="81"/>
      <c r="I213" s="82"/>
      <c r="J213" s="80"/>
      <c r="K213" s="82"/>
      <c r="L213" s="80"/>
      <c r="M213" s="82"/>
      <c r="N213" s="80"/>
      <c r="O213" s="82"/>
      <c r="P213" s="94"/>
      <c r="Q213" s="95"/>
    </row>
    <row r="214" spans="2:17" x14ac:dyDescent="0.25">
      <c r="B214" s="75"/>
      <c r="C214" s="76"/>
      <c r="D214" s="83"/>
      <c r="E214" s="84"/>
      <c r="F214" s="84"/>
      <c r="G214" s="84"/>
      <c r="H214" s="84"/>
      <c r="I214" s="85"/>
      <c r="J214" s="83"/>
      <c r="K214" s="85"/>
      <c r="L214" s="83"/>
      <c r="M214" s="85"/>
      <c r="N214" s="83"/>
      <c r="O214" s="85"/>
      <c r="P214" s="96"/>
      <c r="Q214" s="97"/>
    </row>
    <row r="215" spans="2:17" x14ac:dyDescent="0.25">
      <c r="B215" s="71"/>
      <c r="C215" s="72"/>
      <c r="D215" s="77"/>
      <c r="E215" s="78"/>
      <c r="F215" s="78"/>
      <c r="G215" s="78"/>
      <c r="H215" s="78"/>
      <c r="I215" s="79"/>
      <c r="J215" s="77"/>
      <c r="K215" s="79"/>
      <c r="L215" s="77"/>
      <c r="M215" s="79"/>
      <c r="N215" s="77"/>
      <c r="O215" s="79"/>
      <c r="P215" s="92"/>
      <c r="Q215" s="93"/>
    </row>
    <row r="216" spans="2:17" x14ac:dyDescent="0.25">
      <c r="B216" s="73"/>
      <c r="C216" s="74"/>
      <c r="D216" s="80"/>
      <c r="E216" s="81"/>
      <c r="F216" s="81"/>
      <c r="G216" s="81"/>
      <c r="H216" s="81"/>
      <c r="I216" s="82"/>
      <c r="J216" s="80"/>
      <c r="K216" s="82"/>
      <c r="L216" s="80"/>
      <c r="M216" s="82"/>
      <c r="N216" s="80"/>
      <c r="O216" s="82"/>
      <c r="P216" s="94"/>
      <c r="Q216" s="95"/>
    </row>
    <row r="217" spans="2:17" x14ac:dyDescent="0.25">
      <c r="B217" s="75"/>
      <c r="C217" s="76"/>
      <c r="D217" s="83"/>
      <c r="E217" s="84"/>
      <c r="F217" s="84"/>
      <c r="G217" s="84"/>
      <c r="H217" s="84"/>
      <c r="I217" s="85"/>
      <c r="J217" s="83"/>
      <c r="K217" s="85"/>
      <c r="L217" s="83"/>
      <c r="M217" s="85"/>
      <c r="N217" s="83"/>
      <c r="O217" s="85"/>
      <c r="P217" s="96"/>
      <c r="Q217" s="97"/>
    </row>
    <row r="218" spans="2:17" x14ac:dyDescent="0.25">
      <c r="B218" s="71"/>
      <c r="C218" s="72"/>
      <c r="D218" s="77"/>
      <c r="E218" s="78"/>
      <c r="F218" s="78"/>
      <c r="G218" s="78"/>
      <c r="H218" s="78"/>
      <c r="I218" s="79"/>
      <c r="J218" s="77"/>
      <c r="K218" s="79"/>
      <c r="L218" s="77"/>
      <c r="M218" s="79"/>
      <c r="N218" s="77"/>
      <c r="O218" s="79"/>
      <c r="P218" s="92"/>
      <c r="Q218" s="93"/>
    </row>
    <row r="219" spans="2:17" x14ac:dyDescent="0.25">
      <c r="B219" s="73"/>
      <c r="C219" s="74"/>
      <c r="D219" s="80"/>
      <c r="E219" s="81"/>
      <c r="F219" s="81"/>
      <c r="G219" s="81"/>
      <c r="H219" s="81"/>
      <c r="I219" s="82"/>
      <c r="J219" s="80"/>
      <c r="K219" s="82"/>
      <c r="L219" s="80"/>
      <c r="M219" s="82"/>
      <c r="N219" s="80"/>
      <c r="O219" s="82"/>
      <c r="P219" s="94"/>
      <c r="Q219" s="95"/>
    </row>
    <row r="220" spans="2:17" x14ac:dyDescent="0.25">
      <c r="B220" s="75"/>
      <c r="C220" s="76"/>
      <c r="D220" s="83"/>
      <c r="E220" s="84"/>
      <c r="F220" s="84"/>
      <c r="G220" s="84"/>
      <c r="H220" s="84"/>
      <c r="I220" s="85"/>
      <c r="J220" s="83"/>
      <c r="K220" s="85"/>
      <c r="L220" s="83"/>
      <c r="M220" s="85"/>
      <c r="N220" s="83"/>
      <c r="O220" s="85"/>
      <c r="P220" s="96"/>
      <c r="Q220" s="97"/>
    </row>
    <row r="221" spans="2:17" x14ac:dyDescent="0.25">
      <c r="B221" s="71"/>
      <c r="C221" s="72"/>
      <c r="D221" s="77"/>
      <c r="E221" s="78"/>
      <c r="F221" s="78"/>
      <c r="G221" s="78"/>
      <c r="H221" s="78"/>
      <c r="I221" s="79"/>
      <c r="J221" s="77"/>
      <c r="K221" s="79"/>
      <c r="L221" s="77"/>
      <c r="M221" s="79"/>
      <c r="N221" s="77"/>
      <c r="O221" s="79"/>
      <c r="P221" s="92"/>
      <c r="Q221" s="93"/>
    </row>
    <row r="222" spans="2:17" x14ac:dyDescent="0.25">
      <c r="B222" s="73"/>
      <c r="C222" s="74"/>
      <c r="D222" s="80"/>
      <c r="E222" s="81"/>
      <c r="F222" s="81"/>
      <c r="G222" s="81"/>
      <c r="H222" s="81"/>
      <c r="I222" s="82"/>
      <c r="J222" s="80"/>
      <c r="K222" s="82"/>
      <c r="L222" s="80"/>
      <c r="M222" s="82"/>
      <c r="N222" s="80"/>
      <c r="O222" s="82"/>
      <c r="P222" s="94"/>
      <c r="Q222" s="95"/>
    </row>
    <row r="223" spans="2:17" x14ac:dyDescent="0.25">
      <c r="B223" s="75"/>
      <c r="C223" s="76"/>
      <c r="D223" s="83"/>
      <c r="E223" s="84"/>
      <c r="F223" s="84"/>
      <c r="G223" s="84"/>
      <c r="H223" s="84"/>
      <c r="I223" s="85"/>
      <c r="J223" s="83"/>
      <c r="K223" s="85"/>
      <c r="L223" s="83"/>
      <c r="M223" s="85"/>
      <c r="N223" s="83"/>
      <c r="O223" s="85"/>
      <c r="P223" s="96"/>
      <c r="Q223" s="97"/>
    </row>
    <row r="224" spans="2:17" x14ac:dyDescent="0.25">
      <c r="B224" s="71"/>
      <c r="C224" s="72"/>
      <c r="D224" s="77"/>
      <c r="E224" s="78"/>
      <c r="F224" s="78"/>
      <c r="G224" s="78"/>
      <c r="H224" s="78"/>
      <c r="I224" s="79"/>
      <c r="J224" s="77"/>
      <c r="K224" s="79"/>
      <c r="L224" s="77"/>
      <c r="M224" s="79"/>
      <c r="N224" s="77"/>
      <c r="O224" s="79"/>
      <c r="P224" s="92"/>
      <c r="Q224" s="93"/>
    </row>
    <row r="225" spans="2:17" x14ac:dyDescent="0.25">
      <c r="B225" s="73"/>
      <c r="C225" s="74"/>
      <c r="D225" s="80"/>
      <c r="E225" s="81"/>
      <c r="F225" s="81"/>
      <c r="G225" s="81"/>
      <c r="H225" s="81"/>
      <c r="I225" s="82"/>
      <c r="J225" s="80"/>
      <c r="K225" s="82"/>
      <c r="L225" s="80"/>
      <c r="M225" s="82"/>
      <c r="N225" s="80"/>
      <c r="O225" s="82"/>
      <c r="P225" s="94"/>
      <c r="Q225" s="95"/>
    </row>
    <row r="226" spans="2:17" x14ac:dyDescent="0.25">
      <c r="B226" s="75"/>
      <c r="C226" s="76"/>
      <c r="D226" s="83"/>
      <c r="E226" s="84"/>
      <c r="F226" s="84"/>
      <c r="G226" s="84"/>
      <c r="H226" s="84"/>
      <c r="I226" s="85"/>
      <c r="J226" s="83"/>
      <c r="K226" s="85"/>
      <c r="L226" s="83"/>
      <c r="M226" s="85"/>
      <c r="N226" s="83"/>
      <c r="O226" s="85"/>
      <c r="P226" s="96"/>
      <c r="Q226" s="97"/>
    </row>
    <row r="227" spans="2:17" x14ac:dyDescent="0.25">
      <c r="B227" s="71"/>
      <c r="C227" s="72"/>
      <c r="D227" s="77"/>
      <c r="E227" s="78"/>
      <c r="F227" s="78"/>
      <c r="G227" s="78"/>
      <c r="H227" s="78"/>
      <c r="I227" s="79"/>
      <c r="J227" s="77"/>
      <c r="K227" s="79"/>
      <c r="L227" s="77"/>
      <c r="M227" s="79"/>
      <c r="N227" s="77"/>
      <c r="O227" s="79"/>
      <c r="P227" s="92"/>
      <c r="Q227" s="93"/>
    </row>
    <row r="228" spans="2:17" x14ac:dyDescent="0.25">
      <c r="B228" s="73"/>
      <c r="C228" s="74"/>
      <c r="D228" s="80"/>
      <c r="E228" s="81"/>
      <c r="F228" s="81"/>
      <c r="G228" s="81"/>
      <c r="H228" s="81"/>
      <c r="I228" s="82"/>
      <c r="J228" s="80"/>
      <c r="K228" s="82"/>
      <c r="L228" s="80"/>
      <c r="M228" s="82"/>
      <c r="N228" s="80"/>
      <c r="O228" s="82"/>
      <c r="P228" s="94"/>
      <c r="Q228" s="95"/>
    </row>
    <row r="229" spans="2:17" x14ac:dyDescent="0.25">
      <c r="B229" s="75"/>
      <c r="C229" s="76"/>
      <c r="D229" s="83"/>
      <c r="E229" s="84"/>
      <c r="F229" s="84"/>
      <c r="G229" s="84"/>
      <c r="H229" s="84"/>
      <c r="I229" s="85"/>
      <c r="J229" s="83"/>
      <c r="K229" s="85"/>
      <c r="L229" s="83"/>
      <c r="M229" s="85"/>
      <c r="N229" s="83"/>
      <c r="O229" s="85"/>
      <c r="P229" s="96"/>
      <c r="Q229" s="97"/>
    </row>
    <row r="230" spans="2:17" x14ac:dyDescent="0.25">
      <c r="B230" s="71"/>
      <c r="C230" s="72"/>
      <c r="D230" s="77"/>
      <c r="E230" s="78"/>
      <c r="F230" s="78"/>
      <c r="G230" s="78"/>
      <c r="H230" s="78"/>
      <c r="I230" s="79"/>
      <c r="J230" s="77"/>
      <c r="K230" s="79"/>
      <c r="L230" s="77"/>
      <c r="M230" s="79"/>
      <c r="N230" s="77"/>
      <c r="O230" s="79"/>
      <c r="P230" s="92"/>
      <c r="Q230" s="93"/>
    </row>
    <row r="231" spans="2:17" x14ac:dyDescent="0.25">
      <c r="B231" s="73"/>
      <c r="C231" s="74"/>
      <c r="D231" s="80"/>
      <c r="E231" s="81"/>
      <c r="F231" s="81"/>
      <c r="G231" s="81"/>
      <c r="H231" s="81"/>
      <c r="I231" s="82"/>
      <c r="J231" s="80"/>
      <c r="K231" s="82"/>
      <c r="L231" s="80"/>
      <c r="M231" s="82"/>
      <c r="N231" s="80"/>
      <c r="O231" s="82"/>
      <c r="P231" s="94"/>
      <c r="Q231" s="95"/>
    </row>
    <row r="232" spans="2:17" x14ac:dyDescent="0.25">
      <c r="B232" s="75"/>
      <c r="C232" s="76"/>
      <c r="D232" s="83"/>
      <c r="E232" s="84"/>
      <c r="F232" s="84"/>
      <c r="G232" s="84"/>
      <c r="H232" s="84"/>
      <c r="I232" s="85"/>
      <c r="J232" s="83"/>
      <c r="K232" s="85"/>
      <c r="L232" s="83"/>
      <c r="M232" s="85"/>
      <c r="N232" s="83"/>
      <c r="O232" s="85"/>
      <c r="P232" s="96"/>
      <c r="Q232" s="97"/>
    </row>
    <row r="233" spans="2:17" x14ac:dyDescent="0.25">
      <c r="B233" s="71"/>
      <c r="C233" s="72"/>
      <c r="D233" s="77"/>
      <c r="E233" s="78"/>
      <c r="F233" s="78"/>
      <c r="G233" s="78"/>
      <c r="H233" s="78"/>
      <c r="I233" s="79"/>
      <c r="J233" s="77"/>
      <c r="K233" s="79"/>
      <c r="L233" s="77"/>
      <c r="M233" s="79"/>
      <c r="N233" s="77"/>
      <c r="O233" s="79"/>
      <c r="P233" s="92"/>
      <c r="Q233" s="93"/>
    </row>
    <row r="234" spans="2:17" x14ac:dyDescent="0.25">
      <c r="B234" s="73"/>
      <c r="C234" s="74"/>
      <c r="D234" s="80"/>
      <c r="E234" s="81"/>
      <c r="F234" s="81"/>
      <c r="G234" s="81"/>
      <c r="H234" s="81"/>
      <c r="I234" s="82"/>
      <c r="J234" s="80"/>
      <c r="K234" s="82"/>
      <c r="L234" s="80"/>
      <c r="M234" s="82"/>
      <c r="N234" s="80"/>
      <c r="O234" s="82"/>
      <c r="P234" s="94"/>
      <c r="Q234" s="95"/>
    </row>
    <row r="235" spans="2:17" x14ac:dyDescent="0.25">
      <c r="B235" s="75"/>
      <c r="C235" s="76"/>
      <c r="D235" s="83"/>
      <c r="E235" s="84"/>
      <c r="F235" s="84"/>
      <c r="G235" s="84"/>
      <c r="H235" s="84"/>
      <c r="I235" s="85"/>
      <c r="J235" s="83"/>
      <c r="K235" s="85"/>
      <c r="L235" s="83"/>
      <c r="M235" s="85"/>
      <c r="N235" s="83"/>
      <c r="O235" s="85"/>
      <c r="P235" s="96"/>
      <c r="Q235" s="97"/>
    </row>
    <row r="236" spans="2:17" x14ac:dyDescent="0.25">
      <c r="B236" s="71"/>
      <c r="C236" s="72"/>
      <c r="D236" s="77"/>
      <c r="E236" s="78"/>
      <c r="F236" s="78"/>
      <c r="G236" s="78"/>
      <c r="H236" s="78"/>
      <c r="I236" s="79"/>
      <c r="J236" s="77"/>
      <c r="K236" s="79"/>
      <c r="L236" s="77"/>
      <c r="M236" s="79"/>
      <c r="N236" s="77"/>
      <c r="O236" s="79"/>
      <c r="P236" s="92"/>
      <c r="Q236" s="93"/>
    </row>
    <row r="237" spans="2:17" x14ac:dyDescent="0.25">
      <c r="B237" s="73"/>
      <c r="C237" s="74"/>
      <c r="D237" s="80"/>
      <c r="E237" s="81"/>
      <c r="F237" s="81"/>
      <c r="G237" s="81"/>
      <c r="H237" s="81"/>
      <c r="I237" s="82"/>
      <c r="J237" s="80"/>
      <c r="K237" s="82"/>
      <c r="L237" s="80"/>
      <c r="M237" s="82"/>
      <c r="N237" s="80"/>
      <c r="O237" s="82"/>
      <c r="P237" s="94"/>
      <c r="Q237" s="95"/>
    </row>
    <row r="238" spans="2:17" x14ac:dyDescent="0.25">
      <c r="B238" s="75"/>
      <c r="C238" s="76"/>
      <c r="D238" s="83"/>
      <c r="E238" s="84"/>
      <c r="F238" s="84"/>
      <c r="G238" s="84"/>
      <c r="H238" s="84"/>
      <c r="I238" s="85"/>
      <c r="J238" s="83"/>
      <c r="K238" s="85"/>
      <c r="L238" s="83"/>
      <c r="M238" s="85"/>
      <c r="N238" s="83"/>
      <c r="O238" s="85"/>
      <c r="P238" s="96"/>
      <c r="Q238" s="97"/>
    </row>
    <row r="239" spans="2:17" x14ac:dyDescent="0.25">
      <c r="B239" s="71"/>
      <c r="C239" s="72"/>
      <c r="D239" s="77"/>
      <c r="E239" s="78"/>
      <c r="F239" s="78"/>
      <c r="G239" s="78"/>
      <c r="H239" s="78"/>
      <c r="I239" s="79"/>
      <c r="J239" s="77"/>
      <c r="K239" s="79"/>
      <c r="L239" s="77"/>
      <c r="M239" s="79"/>
      <c r="N239" s="77"/>
      <c r="O239" s="79"/>
      <c r="P239" s="92"/>
      <c r="Q239" s="93"/>
    </row>
    <row r="240" spans="2:17" x14ac:dyDescent="0.25">
      <c r="B240" s="73"/>
      <c r="C240" s="74"/>
      <c r="D240" s="80"/>
      <c r="E240" s="81"/>
      <c r="F240" s="81"/>
      <c r="G240" s="81"/>
      <c r="H240" s="81"/>
      <c r="I240" s="82"/>
      <c r="J240" s="80"/>
      <c r="K240" s="82"/>
      <c r="L240" s="80"/>
      <c r="M240" s="82"/>
      <c r="N240" s="80"/>
      <c r="O240" s="82"/>
      <c r="P240" s="94"/>
      <c r="Q240" s="95"/>
    </row>
    <row r="241" spans="2:17" x14ac:dyDescent="0.25">
      <c r="B241" s="75"/>
      <c r="C241" s="76"/>
      <c r="D241" s="83"/>
      <c r="E241" s="84"/>
      <c r="F241" s="84"/>
      <c r="G241" s="84"/>
      <c r="H241" s="84"/>
      <c r="I241" s="85"/>
      <c r="J241" s="83"/>
      <c r="K241" s="85"/>
      <c r="L241" s="83"/>
      <c r="M241" s="85"/>
      <c r="N241" s="83"/>
      <c r="O241" s="85"/>
      <c r="P241" s="96"/>
      <c r="Q241" s="97"/>
    </row>
    <row r="242" spans="2:17" x14ac:dyDescent="0.25">
      <c r="B242" s="71"/>
      <c r="C242" s="72"/>
      <c r="D242" s="77"/>
      <c r="E242" s="78"/>
      <c r="F242" s="78"/>
      <c r="G242" s="78"/>
      <c r="H242" s="78"/>
      <c r="I242" s="79"/>
      <c r="J242" s="77"/>
      <c r="K242" s="79"/>
      <c r="L242" s="77"/>
      <c r="M242" s="79"/>
      <c r="N242" s="77"/>
      <c r="O242" s="79"/>
      <c r="P242" s="92"/>
      <c r="Q242" s="93"/>
    </row>
    <row r="243" spans="2:17" x14ac:dyDescent="0.25">
      <c r="B243" s="73"/>
      <c r="C243" s="74"/>
      <c r="D243" s="80"/>
      <c r="E243" s="81"/>
      <c r="F243" s="81"/>
      <c r="G243" s="81"/>
      <c r="H243" s="81"/>
      <c r="I243" s="82"/>
      <c r="J243" s="80"/>
      <c r="K243" s="82"/>
      <c r="L243" s="80"/>
      <c r="M243" s="82"/>
      <c r="N243" s="80"/>
      <c r="O243" s="82"/>
      <c r="P243" s="94"/>
      <c r="Q243" s="95"/>
    </row>
    <row r="244" spans="2:17" x14ac:dyDescent="0.25">
      <c r="B244" s="75"/>
      <c r="C244" s="76"/>
      <c r="D244" s="83"/>
      <c r="E244" s="84"/>
      <c r="F244" s="84"/>
      <c r="G244" s="84"/>
      <c r="H244" s="84"/>
      <c r="I244" s="85"/>
      <c r="J244" s="83"/>
      <c r="K244" s="85"/>
      <c r="L244" s="83"/>
      <c r="M244" s="85"/>
      <c r="N244" s="83"/>
      <c r="O244" s="85"/>
      <c r="P244" s="96"/>
      <c r="Q244" s="97"/>
    </row>
    <row r="245" spans="2:17" x14ac:dyDescent="0.25">
      <c r="B245" s="71"/>
      <c r="C245" s="72"/>
      <c r="D245" s="77"/>
      <c r="E245" s="78"/>
      <c r="F245" s="78"/>
      <c r="G245" s="78"/>
      <c r="H245" s="78"/>
      <c r="I245" s="79"/>
      <c r="J245" s="77"/>
      <c r="K245" s="79"/>
      <c r="L245" s="77"/>
      <c r="M245" s="79"/>
      <c r="N245" s="77"/>
      <c r="O245" s="79"/>
      <c r="P245" s="92"/>
      <c r="Q245" s="93"/>
    </row>
    <row r="246" spans="2:17" x14ac:dyDescent="0.25">
      <c r="B246" s="73"/>
      <c r="C246" s="74"/>
      <c r="D246" s="80"/>
      <c r="E246" s="81"/>
      <c r="F246" s="81"/>
      <c r="G246" s="81"/>
      <c r="H246" s="81"/>
      <c r="I246" s="82"/>
      <c r="J246" s="80"/>
      <c r="K246" s="82"/>
      <c r="L246" s="80"/>
      <c r="M246" s="82"/>
      <c r="N246" s="80"/>
      <c r="O246" s="82"/>
      <c r="P246" s="94"/>
      <c r="Q246" s="95"/>
    </row>
    <row r="247" spans="2:17" x14ac:dyDescent="0.25">
      <c r="B247" s="75"/>
      <c r="C247" s="76"/>
      <c r="D247" s="83"/>
      <c r="E247" s="84"/>
      <c r="F247" s="84"/>
      <c r="G247" s="84"/>
      <c r="H247" s="84"/>
      <c r="I247" s="85"/>
      <c r="J247" s="83"/>
      <c r="K247" s="85"/>
      <c r="L247" s="83"/>
      <c r="M247" s="85"/>
      <c r="N247" s="83"/>
      <c r="O247" s="85"/>
      <c r="P247" s="96"/>
      <c r="Q247" s="97"/>
    </row>
    <row r="248" spans="2:17" x14ac:dyDescent="0.25">
      <c r="B248" s="71"/>
      <c r="C248" s="72"/>
      <c r="D248" s="77"/>
      <c r="E248" s="78"/>
      <c r="F248" s="78"/>
      <c r="G248" s="78"/>
      <c r="H248" s="78"/>
      <c r="I248" s="79"/>
      <c r="J248" s="77"/>
      <c r="K248" s="79"/>
      <c r="L248" s="77"/>
      <c r="M248" s="79"/>
      <c r="N248" s="77"/>
      <c r="O248" s="79"/>
      <c r="P248" s="92"/>
      <c r="Q248" s="93"/>
    </row>
    <row r="249" spans="2:17" x14ac:dyDescent="0.25">
      <c r="B249" s="73"/>
      <c r="C249" s="74"/>
      <c r="D249" s="80"/>
      <c r="E249" s="81"/>
      <c r="F249" s="81"/>
      <c r="G249" s="81"/>
      <c r="H249" s="81"/>
      <c r="I249" s="82"/>
      <c r="J249" s="80"/>
      <c r="K249" s="82"/>
      <c r="L249" s="80"/>
      <c r="M249" s="82"/>
      <c r="N249" s="80"/>
      <c r="O249" s="82"/>
      <c r="P249" s="94"/>
      <c r="Q249" s="95"/>
    </row>
    <row r="250" spans="2:17" x14ac:dyDescent="0.25">
      <c r="B250" s="75"/>
      <c r="C250" s="76"/>
      <c r="D250" s="83"/>
      <c r="E250" s="84"/>
      <c r="F250" s="84"/>
      <c r="G250" s="84"/>
      <c r="H250" s="84"/>
      <c r="I250" s="85"/>
      <c r="J250" s="83"/>
      <c r="K250" s="85"/>
      <c r="L250" s="83"/>
      <c r="M250" s="85"/>
      <c r="N250" s="83"/>
      <c r="O250" s="85"/>
      <c r="P250" s="96"/>
      <c r="Q250" s="97"/>
    </row>
    <row r="251" spans="2:17" x14ac:dyDescent="0.25">
      <c r="B251" s="71"/>
      <c r="C251" s="72"/>
      <c r="D251" s="77"/>
      <c r="E251" s="78"/>
      <c r="F251" s="78"/>
      <c r="G251" s="78"/>
      <c r="H251" s="78"/>
      <c r="I251" s="79"/>
      <c r="J251" s="77"/>
      <c r="K251" s="79"/>
      <c r="L251" s="77"/>
      <c r="M251" s="79"/>
      <c r="N251" s="77"/>
      <c r="O251" s="79"/>
      <c r="P251" s="92"/>
      <c r="Q251" s="93"/>
    </row>
    <row r="252" spans="2:17" x14ac:dyDescent="0.25">
      <c r="B252" s="73"/>
      <c r="C252" s="74"/>
      <c r="D252" s="80"/>
      <c r="E252" s="81"/>
      <c r="F252" s="81"/>
      <c r="G252" s="81"/>
      <c r="H252" s="81"/>
      <c r="I252" s="82"/>
      <c r="J252" s="80"/>
      <c r="K252" s="82"/>
      <c r="L252" s="80"/>
      <c r="M252" s="82"/>
      <c r="N252" s="80"/>
      <c r="O252" s="82"/>
      <c r="P252" s="94"/>
      <c r="Q252" s="95"/>
    </row>
    <row r="253" spans="2:17" x14ac:dyDescent="0.25">
      <c r="B253" s="75"/>
      <c r="C253" s="76"/>
      <c r="D253" s="83"/>
      <c r="E253" s="84"/>
      <c r="F253" s="84"/>
      <c r="G253" s="84"/>
      <c r="H253" s="84"/>
      <c r="I253" s="85"/>
      <c r="J253" s="83"/>
      <c r="K253" s="85"/>
      <c r="L253" s="83"/>
      <c r="M253" s="85"/>
      <c r="N253" s="83"/>
      <c r="O253" s="85"/>
      <c r="P253" s="96"/>
      <c r="Q253" s="97"/>
    </row>
    <row r="254" spans="2:17" x14ac:dyDescent="0.25">
      <c r="B254" s="71"/>
      <c r="C254" s="72"/>
      <c r="D254" s="77"/>
      <c r="E254" s="78"/>
      <c r="F254" s="78"/>
      <c r="G254" s="78"/>
      <c r="H254" s="78"/>
      <c r="I254" s="79"/>
      <c r="J254" s="77"/>
      <c r="K254" s="79"/>
      <c r="L254" s="77"/>
      <c r="M254" s="79"/>
      <c r="N254" s="77"/>
      <c r="O254" s="79"/>
      <c r="P254" s="92"/>
      <c r="Q254" s="93"/>
    </row>
    <row r="255" spans="2:17" x14ac:dyDescent="0.25">
      <c r="B255" s="73"/>
      <c r="C255" s="74"/>
      <c r="D255" s="80"/>
      <c r="E255" s="81"/>
      <c r="F255" s="81"/>
      <c r="G255" s="81"/>
      <c r="H255" s="81"/>
      <c r="I255" s="82"/>
      <c r="J255" s="80"/>
      <c r="K255" s="82"/>
      <c r="L255" s="80"/>
      <c r="M255" s="82"/>
      <c r="N255" s="80"/>
      <c r="O255" s="82"/>
      <c r="P255" s="94"/>
      <c r="Q255" s="95"/>
    </row>
    <row r="256" spans="2:17" x14ac:dyDescent="0.25">
      <c r="B256" s="75"/>
      <c r="C256" s="76"/>
      <c r="D256" s="83"/>
      <c r="E256" s="84"/>
      <c r="F256" s="84"/>
      <c r="G256" s="84"/>
      <c r="H256" s="84"/>
      <c r="I256" s="85"/>
      <c r="J256" s="83"/>
      <c r="K256" s="85"/>
      <c r="L256" s="83"/>
      <c r="M256" s="85"/>
      <c r="N256" s="83"/>
      <c r="O256" s="85"/>
      <c r="P256" s="96"/>
      <c r="Q256" s="97"/>
    </row>
    <row r="257" spans="2:17" x14ac:dyDescent="0.25">
      <c r="B257" s="71"/>
      <c r="C257" s="72"/>
      <c r="D257" s="77"/>
      <c r="E257" s="78"/>
      <c r="F257" s="78"/>
      <c r="G257" s="78"/>
      <c r="H257" s="78"/>
      <c r="I257" s="79"/>
      <c r="J257" s="77"/>
      <c r="K257" s="79"/>
      <c r="L257" s="77"/>
      <c r="M257" s="79"/>
      <c r="N257" s="77"/>
      <c r="O257" s="79"/>
      <c r="P257" s="92"/>
      <c r="Q257" s="93"/>
    </row>
    <row r="258" spans="2:17" x14ac:dyDescent="0.25">
      <c r="B258" s="73"/>
      <c r="C258" s="74"/>
      <c r="D258" s="80"/>
      <c r="E258" s="81"/>
      <c r="F258" s="81"/>
      <c r="G258" s="81"/>
      <c r="H258" s="81"/>
      <c r="I258" s="82"/>
      <c r="J258" s="80"/>
      <c r="K258" s="82"/>
      <c r="L258" s="80"/>
      <c r="M258" s="82"/>
      <c r="N258" s="80"/>
      <c r="O258" s="82"/>
      <c r="P258" s="94"/>
      <c r="Q258" s="95"/>
    </row>
    <row r="259" spans="2:17" x14ac:dyDescent="0.25">
      <c r="B259" s="75"/>
      <c r="C259" s="76"/>
      <c r="D259" s="83"/>
      <c r="E259" s="84"/>
      <c r="F259" s="84"/>
      <c r="G259" s="84"/>
      <c r="H259" s="84"/>
      <c r="I259" s="85"/>
      <c r="J259" s="83"/>
      <c r="K259" s="85"/>
      <c r="L259" s="83"/>
      <c r="M259" s="85"/>
      <c r="N259" s="83"/>
      <c r="O259" s="85"/>
      <c r="P259" s="96"/>
      <c r="Q259" s="97"/>
    </row>
    <row r="260" spans="2:17" x14ac:dyDescent="0.25">
      <c r="B260" s="71"/>
      <c r="C260" s="72"/>
      <c r="D260" s="77"/>
      <c r="E260" s="78"/>
      <c r="F260" s="78"/>
      <c r="G260" s="78"/>
      <c r="H260" s="78"/>
      <c r="I260" s="79"/>
      <c r="J260" s="77"/>
      <c r="K260" s="79"/>
      <c r="L260" s="77"/>
      <c r="M260" s="79"/>
      <c r="N260" s="77"/>
      <c r="O260" s="79"/>
      <c r="P260" s="92"/>
      <c r="Q260" s="93"/>
    </row>
    <row r="261" spans="2:17" x14ac:dyDescent="0.25">
      <c r="B261" s="73"/>
      <c r="C261" s="74"/>
      <c r="D261" s="80"/>
      <c r="E261" s="81"/>
      <c r="F261" s="81"/>
      <c r="G261" s="81"/>
      <c r="H261" s="81"/>
      <c r="I261" s="82"/>
      <c r="J261" s="80"/>
      <c r="K261" s="82"/>
      <c r="L261" s="80"/>
      <c r="M261" s="82"/>
      <c r="N261" s="80"/>
      <c r="O261" s="82"/>
      <c r="P261" s="94"/>
      <c r="Q261" s="95"/>
    </row>
    <row r="262" spans="2:17" x14ac:dyDescent="0.25">
      <c r="B262" s="75"/>
      <c r="C262" s="76"/>
      <c r="D262" s="83"/>
      <c r="E262" s="84"/>
      <c r="F262" s="84"/>
      <c r="G262" s="84"/>
      <c r="H262" s="84"/>
      <c r="I262" s="85"/>
      <c r="J262" s="83"/>
      <c r="K262" s="85"/>
      <c r="L262" s="83"/>
      <c r="M262" s="85"/>
      <c r="N262" s="83"/>
      <c r="O262" s="85"/>
      <c r="P262" s="96"/>
      <c r="Q262" s="97"/>
    </row>
    <row r="263" spans="2:17" x14ac:dyDescent="0.25">
      <c r="B263" s="71"/>
      <c r="C263" s="72"/>
      <c r="D263" s="77"/>
      <c r="E263" s="78"/>
      <c r="F263" s="78"/>
      <c r="G263" s="78"/>
      <c r="H263" s="78"/>
      <c r="I263" s="79"/>
      <c r="J263" s="77"/>
      <c r="K263" s="79"/>
      <c r="L263" s="77"/>
      <c r="M263" s="79"/>
      <c r="N263" s="77"/>
      <c r="O263" s="79"/>
      <c r="P263" s="92"/>
      <c r="Q263" s="93"/>
    </row>
    <row r="264" spans="2:17" x14ac:dyDescent="0.25">
      <c r="B264" s="73"/>
      <c r="C264" s="74"/>
      <c r="D264" s="80"/>
      <c r="E264" s="81"/>
      <c r="F264" s="81"/>
      <c r="G264" s="81"/>
      <c r="H264" s="81"/>
      <c r="I264" s="82"/>
      <c r="J264" s="80"/>
      <c r="K264" s="82"/>
      <c r="L264" s="80"/>
      <c r="M264" s="82"/>
      <c r="N264" s="80"/>
      <c r="O264" s="82"/>
      <c r="P264" s="94"/>
      <c r="Q264" s="95"/>
    </row>
    <row r="265" spans="2:17" x14ac:dyDescent="0.25">
      <c r="B265" s="75"/>
      <c r="C265" s="76"/>
      <c r="D265" s="83"/>
      <c r="E265" s="84"/>
      <c r="F265" s="84"/>
      <c r="G265" s="84"/>
      <c r="H265" s="84"/>
      <c r="I265" s="85"/>
      <c r="J265" s="83"/>
      <c r="K265" s="85"/>
      <c r="L265" s="83"/>
      <c r="M265" s="85"/>
      <c r="N265" s="83"/>
      <c r="O265" s="85"/>
      <c r="P265" s="96"/>
      <c r="Q265" s="97"/>
    </row>
    <row r="266" spans="2:17" x14ac:dyDescent="0.25">
      <c r="B266" s="71"/>
      <c r="C266" s="72"/>
      <c r="D266" s="77"/>
      <c r="E266" s="78"/>
      <c r="F266" s="78"/>
      <c r="G266" s="78"/>
      <c r="H266" s="78"/>
      <c r="I266" s="79"/>
      <c r="J266" s="77"/>
      <c r="K266" s="79"/>
      <c r="L266" s="77"/>
      <c r="M266" s="79"/>
      <c r="N266" s="77"/>
      <c r="O266" s="79"/>
      <c r="P266" s="92"/>
      <c r="Q266" s="93"/>
    </row>
    <row r="267" spans="2:17" x14ac:dyDescent="0.25">
      <c r="B267" s="73"/>
      <c r="C267" s="74"/>
      <c r="D267" s="80"/>
      <c r="E267" s="81"/>
      <c r="F267" s="81"/>
      <c r="G267" s="81"/>
      <c r="H267" s="81"/>
      <c r="I267" s="82"/>
      <c r="J267" s="80"/>
      <c r="K267" s="82"/>
      <c r="L267" s="80"/>
      <c r="M267" s="82"/>
      <c r="N267" s="80"/>
      <c r="O267" s="82"/>
      <c r="P267" s="94"/>
      <c r="Q267" s="95"/>
    </row>
    <row r="268" spans="2:17" x14ac:dyDescent="0.25">
      <c r="B268" s="75"/>
      <c r="C268" s="76"/>
      <c r="D268" s="83"/>
      <c r="E268" s="84"/>
      <c r="F268" s="84"/>
      <c r="G268" s="84"/>
      <c r="H268" s="84"/>
      <c r="I268" s="85"/>
      <c r="J268" s="83"/>
      <c r="K268" s="85"/>
      <c r="L268" s="83"/>
      <c r="M268" s="85"/>
      <c r="N268" s="83"/>
      <c r="O268" s="85"/>
      <c r="P268" s="96"/>
      <c r="Q268" s="97"/>
    </row>
    <row r="269" spans="2:17" x14ac:dyDescent="0.25">
      <c r="B269" s="71"/>
      <c r="C269" s="72"/>
      <c r="D269" s="77"/>
      <c r="E269" s="78"/>
      <c r="F269" s="78"/>
      <c r="G269" s="78"/>
      <c r="H269" s="78"/>
      <c r="I269" s="79"/>
      <c r="J269" s="77"/>
      <c r="K269" s="79"/>
      <c r="L269" s="77"/>
      <c r="M269" s="79"/>
      <c r="N269" s="77"/>
      <c r="O269" s="79"/>
      <c r="P269" s="92"/>
      <c r="Q269" s="93"/>
    </row>
    <row r="270" spans="2:17" x14ac:dyDescent="0.25">
      <c r="B270" s="73"/>
      <c r="C270" s="74"/>
      <c r="D270" s="80"/>
      <c r="E270" s="81"/>
      <c r="F270" s="81"/>
      <c r="G270" s="81"/>
      <c r="H270" s="81"/>
      <c r="I270" s="82"/>
      <c r="J270" s="80"/>
      <c r="K270" s="82"/>
      <c r="L270" s="80"/>
      <c r="M270" s="82"/>
      <c r="N270" s="80"/>
      <c r="O270" s="82"/>
      <c r="P270" s="94"/>
      <c r="Q270" s="95"/>
    </row>
    <row r="271" spans="2:17" x14ac:dyDescent="0.25">
      <c r="B271" s="75"/>
      <c r="C271" s="76"/>
      <c r="D271" s="83"/>
      <c r="E271" s="84"/>
      <c r="F271" s="84"/>
      <c r="G271" s="84"/>
      <c r="H271" s="84"/>
      <c r="I271" s="85"/>
      <c r="J271" s="83"/>
      <c r="K271" s="85"/>
      <c r="L271" s="83"/>
      <c r="M271" s="85"/>
      <c r="N271" s="83"/>
      <c r="O271" s="85"/>
      <c r="P271" s="96"/>
      <c r="Q271" s="97"/>
    </row>
    <row r="272" spans="2:17" x14ac:dyDescent="0.25">
      <c r="B272" s="71"/>
      <c r="C272" s="72"/>
      <c r="D272" s="77"/>
      <c r="E272" s="78"/>
      <c r="F272" s="78"/>
      <c r="G272" s="78"/>
      <c r="H272" s="78"/>
      <c r="I272" s="79"/>
      <c r="J272" s="77"/>
      <c r="K272" s="79"/>
      <c r="L272" s="77"/>
      <c r="M272" s="79"/>
      <c r="N272" s="77"/>
      <c r="O272" s="79"/>
      <c r="P272" s="92"/>
      <c r="Q272" s="93"/>
    </row>
    <row r="273" spans="2:17" x14ac:dyDescent="0.25">
      <c r="B273" s="73"/>
      <c r="C273" s="74"/>
      <c r="D273" s="80"/>
      <c r="E273" s="81"/>
      <c r="F273" s="81"/>
      <c r="G273" s="81"/>
      <c r="H273" s="81"/>
      <c r="I273" s="82"/>
      <c r="J273" s="80"/>
      <c r="K273" s="82"/>
      <c r="L273" s="80"/>
      <c r="M273" s="82"/>
      <c r="N273" s="80"/>
      <c r="O273" s="82"/>
      <c r="P273" s="94"/>
      <c r="Q273" s="95"/>
    </row>
    <row r="274" spans="2:17" x14ac:dyDescent="0.25">
      <c r="B274" s="75"/>
      <c r="C274" s="76"/>
      <c r="D274" s="83"/>
      <c r="E274" s="84"/>
      <c r="F274" s="84"/>
      <c r="G274" s="84"/>
      <c r="H274" s="84"/>
      <c r="I274" s="85"/>
      <c r="J274" s="83"/>
      <c r="K274" s="85"/>
      <c r="L274" s="83"/>
      <c r="M274" s="85"/>
      <c r="N274" s="83"/>
      <c r="O274" s="85"/>
      <c r="P274" s="96"/>
      <c r="Q274" s="97"/>
    </row>
    <row r="275" spans="2:17" x14ac:dyDescent="0.25">
      <c r="B275" s="71"/>
      <c r="C275" s="72"/>
      <c r="D275" s="77"/>
      <c r="E275" s="78"/>
      <c r="F275" s="78"/>
      <c r="G275" s="78"/>
      <c r="H275" s="78"/>
      <c r="I275" s="79"/>
      <c r="J275" s="77"/>
      <c r="K275" s="79"/>
      <c r="L275" s="77"/>
      <c r="M275" s="79"/>
      <c r="N275" s="77"/>
      <c r="O275" s="79"/>
      <c r="P275" s="92"/>
      <c r="Q275" s="93"/>
    </row>
    <row r="276" spans="2:17" x14ac:dyDescent="0.25">
      <c r="B276" s="73"/>
      <c r="C276" s="74"/>
      <c r="D276" s="80"/>
      <c r="E276" s="81"/>
      <c r="F276" s="81"/>
      <c r="G276" s="81"/>
      <c r="H276" s="81"/>
      <c r="I276" s="82"/>
      <c r="J276" s="80"/>
      <c r="K276" s="82"/>
      <c r="L276" s="80"/>
      <c r="M276" s="82"/>
      <c r="N276" s="80"/>
      <c r="O276" s="82"/>
      <c r="P276" s="94"/>
      <c r="Q276" s="95"/>
    </row>
    <row r="277" spans="2:17" x14ac:dyDescent="0.25">
      <c r="B277" s="75"/>
      <c r="C277" s="76"/>
      <c r="D277" s="83"/>
      <c r="E277" s="84"/>
      <c r="F277" s="84"/>
      <c r="G277" s="84"/>
      <c r="H277" s="84"/>
      <c r="I277" s="85"/>
      <c r="J277" s="83"/>
      <c r="K277" s="85"/>
      <c r="L277" s="83"/>
      <c r="M277" s="85"/>
      <c r="N277" s="83"/>
      <c r="O277" s="85"/>
      <c r="P277" s="96"/>
      <c r="Q277" s="97"/>
    </row>
    <row r="278" spans="2:17" x14ac:dyDescent="0.25">
      <c r="B278" s="71"/>
      <c r="C278" s="72"/>
      <c r="D278" s="77"/>
      <c r="E278" s="78"/>
      <c r="F278" s="78"/>
      <c r="G278" s="78"/>
      <c r="H278" s="78"/>
      <c r="I278" s="79"/>
      <c r="J278" s="77"/>
      <c r="K278" s="79"/>
      <c r="L278" s="77"/>
      <c r="M278" s="79"/>
      <c r="N278" s="77"/>
      <c r="O278" s="79"/>
      <c r="P278" s="92"/>
      <c r="Q278" s="93"/>
    </row>
    <row r="279" spans="2:17" x14ac:dyDescent="0.25">
      <c r="B279" s="73"/>
      <c r="C279" s="74"/>
      <c r="D279" s="80"/>
      <c r="E279" s="81"/>
      <c r="F279" s="81"/>
      <c r="G279" s="81"/>
      <c r="H279" s="81"/>
      <c r="I279" s="82"/>
      <c r="J279" s="80"/>
      <c r="K279" s="82"/>
      <c r="L279" s="80"/>
      <c r="M279" s="82"/>
      <c r="N279" s="80"/>
      <c r="O279" s="82"/>
      <c r="P279" s="94"/>
      <c r="Q279" s="95"/>
    </row>
    <row r="280" spans="2:17" x14ac:dyDescent="0.25">
      <c r="B280" s="75"/>
      <c r="C280" s="76"/>
      <c r="D280" s="83"/>
      <c r="E280" s="84"/>
      <c r="F280" s="84"/>
      <c r="G280" s="84"/>
      <c r="H280" s="84"/>
      <c r="I280" s="85"/>
      <c r="J280" s="83"/>
      <c r="K280" s="85"/>
      <c r="L280" s="83"/>
      <c r="M280" s="85"/>
      <c r="N280" s="83"/>
      <c r="O280" s="85"/>
      <c r="P280" s="96"/>
      <c r="Q280" s="97"/>
    </row>
    <row r="281" spans="2:17" x14ac:dyDescent="0.25">
      <c r="B281" s="71"/>
      <c r="C281" s="72"/>
      <c r="D281" s="77"/>
      <c r="E281" s="78"/>
      <c r="F281" s="78"/>
      <c r="G281" s="78"/>
      <c r="H281" s="78"/>
      <c r="I281" s="79"/>
      <c r="J281" s="77"/>
      <c r="K281" s="79"/>
      <c r="L281" s="77"/>
      <c r="M281" s="79"/>
      <c r="N281" s="77"/>
      <c r="O281" s="79"/>
      <c r="P281" s="92"/>
      <c r="Q281" s="93"/>
    </row>
    <row r="282" spans="2:17" x14ac:dyDescent="0.25">
      <c r="B282" s="73"/>
      <c r="C282" s="74"/>
      <c r="D282" s="80"/>
      <c r="E282" s="81"/>
      <c r="F282" s="81"/>
      <c r="G282" s="81"/>
      <c r="H282" s="81"/>
      <c r="I282" s="82"/>
      <c r="J282" s="80"/>
      <c r="K282" s="82"/>
      <c r="L282" s="80"/>
      <c r="M282" s="82"/>
      <c r="N282" s="80"/>
      <c r="O282" s="82"/>
      <c r="P282" s="94"/>
      <c r="Q282" s="95"/>
    </row>
    <row r="283" spans="2:17" x14ac:dyDescent="0.25">
      <c r="B283" s="75"/>
      <c r="C283" s="76"/>
      <c r="D283" s="83"/>
      <c r="E283" s="84"/>
      <c r="F283" s="84"/>
      <c r="G283" s="84"/>
      <c r="H283" s="84"/>
      <c r="I283" s="85"/>
      <c r="J283" s="83"/>
      <c r="K283" s="85"/>
      <c r="L283" s="83"/>
      <c r="M283" s="85"/>
      <c r="N283" s="83"/>
      <c r="O283" s="85"/>
      <c r="P283" s="96"/>
      <c r="Q283" s="97"/>
    </row>
    <row r="284" spans="2:17" x14ac:dyDescent="0.25">
      <c r="B284" s="71"/>
      <c r="C284" s="72"/>
      <c r="D284" s="77"/>
      <c r="E284" s="78"/>
      <c r="F284" s="78"/>
      <c r="G284" s="78"/>
      <c r="H284" s="78"/>
      <c r="I284" s="79"/>
      <c r="J284" s="77"/>
      <c r="K284" s="79"/>
      <c r="L284" s="77"/>
      <c r="M284" s="79"/>
      <c r="N284" s="77"/>
      <c r="O284" s="79"/>
      <c r="P284" s="92"/>
      <c r="Q284" s="93"/>
    </row>
    <row r="285" spans="2:17" x14ac:dyDescent="0.25">
      <c r="B285" s="73"/>
      <c r="C285" s="74"/>
      <c r="D285" s="80"/>
      <c r="E285" s="81"/>
      <c r="F285" s="81"/>
      <c r="G285" s="81"/>
      <c r="H285" s="81"/>
      <c r="I285" s="82"/>
      <c r="J285" s="80"/>
      <c r="K285" s="82"/>
      <c r="L285" s="80"/>
      <c r="M285" s="82"/>
      <c r="N285" s="80"/>
      <c r="O285" s="82"/>
      <c r="P285" s="94"/>
      <c r="Q285" s="95"/>
    </row>
    <row r="286" spans="2:17" x14ac:dyDescent="0.25">
      <c r="B286" s="75"/>
      <c r="C286" s="76"/>
      <c r="D286" s="83"/>
      <c r="E286" s="84"/>
      <c r="F286" s="84"/>
      <c r="G286" s="84"/>
      <c r="H286" s="84"/>
      <c r="I286" s="85"/>
      <c r="J286" s="83"/>
      <c r="K286" s="85"/>
      <c r="L286" s="83"/>
      <c r="M286" s="85"/>
      <c r="N286" s="83"/>
      <c r="O286" s="85"/>
      <c r="P286" s="96"/>
      <c r="Q286" s="97"/>
    </row>
    <row r="287" spans="2:17" x14ac:dyDescent="0.25">
      <c r="B287" s="71"/>
      <c r="C287" s="72"/>
      <c r="D287" s="77"/>
      <c r="E287" s="78"/>
      <c r="F287" s="78"/>
      <c r="G287" s="78"/>
      <c r="H287" s="78"/>
      <c r="I287" s="79"/>
      <c r="J287" s="77"/>
      <c r="K287" s="79"/>
      <c r="L287" s="77"/>
      <c r="M287" s="79"/>
      <c r="N287" s="77"/>
      <c r="O287" s="79"/>
      <c r="P287" s="92"/>
      <c r="Q287" s="93"/>
    </row>
    <row r="288" spans="2:17" x14ac:dyDescent="0.25">
      <c r="B288" s="73"/>
      <c r="C288" s="74"/>
      <c r="D288" s="80"/>
      <c r="E288" s="81"/>
      <c r="F288" s="81"/>
      <c r="G288" s="81"/>
      <c r="H288" s="81"/>
      <c r="I288" s="82"/>
      <c r="J288" s="80"/>
      <c r="K288" s="82"/>
      <c r="L288" s="80"/>
      <c r="M288" s="82"/>
      <c r="N288" s="80"/>
      <c r="O288" s="82"/>
      <c r="P288" s="94"/>
      <c r="Q288" s="95"/>
    </row>
    <row r="289" spans="2:17" x14ac:dyDescent="0.25">
      <c r="B289" s="75"/>
      <c r="C289" s="76"/>
      <c r="D289" s="83"/>
      <c r="E289" s="84"/>
      <c r="F289" s="84"/>
      <c r="G289" s="84"/>
      <c r="H289" s="84"/>
      <c r="I289" s="85"/>
      <c r="J289" s="83"/>
      <c r="K289" s="85"/>
      <c r="L289" s="83"/>
      <c r="M289" s="85"/>
      <c r="N289" s="83"/>
      <c r="O289" s="85"/>
      <c r="P289" s="96"/>
      <c r="Q289" s="97"/>
    </row>
    <row r="290" spans="2:17" x14ac:dyDescent="0.25">
      <c r="B290" s="71"/>
      <c r="C290" s="72"/>
      <c r="D290" s="77"/>
      <c r="E290" s="78"/>
      <c r="F290" s="78"/>
      <c r="G290" s="78"/>
      <c r="H290" s="78"/>
      <c r="I290" s="79"/>
      <c r="J290" s="77"/>
      <c r="K290" s="79"/>
      <c r="L290" s="77"/>
      <c r="M290" s="79"/>
      <c r="N290" s="77"/>
      <c r="O290" s="79"/>
      <c r="P290" s="92"/>
      <c r="Q290" s="93"/>
    </row>
    <row r="291" spans="2:17" x14ac:dyDescent="0.25">
      <c r="B291" s="73"/>
      <c r="C291" s="74"/>
      <c r="D291" s="80"/>
      <c r="E291" s="81"/>
      <c r="F291" s="81"/>
      <c r="G291" s="81"/>
      <c r="H291" s="81"/>
      <c r="I291" s="82"/>
      <c r="J291" s="80"/>
      <c r="K291" s="82"/>
      <c r="L291" s="80"/>
      <c r="M291" s="82"/>
      <c r="N291" s="80"/>
      <c r="O291" s="82"/>
      <c r="P291" s="94"/>
      <c r="Q291" s="95"/>
    </row>
    <row r="292" spans="2:17" x14ac:dyDescent="0.25">
      <c r="B292" s="75"/>
      <c r="C292" s="76"/>
      <c r="D292" s="83"/>
      <c r="E292" s="84"/>
      <c r="F292" s="84"/>
      <c r="G292" s="84"/>
      <c r="H292" s="84"/>
      <c r="I292" s="85"/>
      <c r="J292" s="83"/>
      <c r="K292" s="85"/>
      <c r="L292" s="83"/>
      <c r="M292" s="85"/>
      <c r="N292" s="83"/>
      <c r="O292" s="85"/>
      <c r="P292" s="96"/>
      <c r="Q292" s="97"/>
    </row>
    <row r="293" spans="2:17" x14ac:dyDescent="0.25">
      <c r="B293" s="71"/>
      <c r="C293" s="72"/>
      <c r="D293" s="77"/>
      <c r="E293" s="78"/>
      <c r="F293" s="78"/>
      <c r="G293" s="78"/>
      <c r="H293" s="78"/>
      <c r="I293" s="79"/>
      <c r="J293" s="77"/>
      <c r="K293" s="79"/>
      <c r="L293" s="77"/>
      <c r="M293" s="79"/>
      <c r="N293" s="77"/>
      <c r="O293" s="79"/>
      <c r="P293" s="92"/>
      <c r="Q293" s="93"/>
    </row>
    <row r="294" spans="2:17" x14ac:dyDescent="0.25">
      <c r="B294" s="73"/>
      <c r="C294" s="74"/>
      <c r="D294" s="80"/>
      <c r="E294" s="81"/>
      <c r="F294" s="81"/>
      <c r="G294" s="81"/>
      <c r="H294" s="81"/>
      <c r="I294" s="82"/>
      <c r="J294" s="80"/>
      <c r="K294" s="82"/>
      <c r="L294" s="80"/>
      <c r="M294" s="82"/>
      <c r="N294" s="80"/>
      <c r="O294" s="82"/>
      <c r="P294" s="94"/>
      <c r="Q294" s="95"/>
    </row>
    <row r="295" spans="2:17" x14ac:dyDescent="0.25">
      <c r="B295" s="75"/>
      <c r="C295" s="76"/>
      <c r="D295" s="83"/>
      <c r="E295" s="84"/>
      <c r="F295" s="84"/>
      <c r="G295" s="84"/>
      <c r="H295" s="84"/>
      <c r="I295" s="85"/>
      <c r="J295" s="83"/>
      <c r="K295" s="85"/>
      <c r="L295" s="83"/>
      <c r="M295" s="85"/>
      <c r="N295" s="83"/>
      <c r="O295" s="85"/>
      <c r="P295" s="96"/>
      <c r="Q295" s="97"/>
    </row>
    <row r="296" spans="2:17" x14ac:dyDescent="0.25">
      <c r="B296" s="71"/>
      <c r="C296" s="72"/>
      <c r="D296" s="77"/>
      <c r="E296" s="78"/>
      <c r="F296" s="78"/>
      <c r="G296" s="78"/>
      <c r="H296" s="78"/>
      <c r="I296" s="79"/>
      <c r="J296" s="77"/>
      <c r="K296" s="79"/>
      <c r="L296" s="77"/>
      <c r="M296" s="79"/>
      <c r="N296" s="77"/>
      <c r="O296" s="79"/>
      <c r="P296" s="92"/>
      <c r="Q296" s="93"/>
    </row>
    <row r="297" spans="2:17" x14ac:dyDescent="0.25">
      <c r="B297" s="73"/>
      <c r="C297" s="74"/>
      <c r="D297" s="80"/>
      <c r="E297" s="81"/>
      <c r="F297" s="81"/>
      <c r="G297" s="81"/>
      <c r="H297" s="81"/>
      <c r="I297" s="82"/>
      <c r="J297" s="80"/>
      <c r="K297" s="82"/>
      <c r="L297" s="80"/>
      <c r="M297" s="82"/>
      <c r="N297" s="80"/>
      <c r="O297" s="82"/>
      <c r="P297" s="94"/>
      <c r="Q297" s="95"/>
    </row>
    <row r="298" spans="2:17" x14ac:dyDescent="0.25">
      <c r="B298" s="75"/>
      <c r="C298" s="76"/>
      <c r="D298" s="83"/>
      <c r="E298" s="84"/>
      <c r="F298" s="84"/>
      <c r="G298" s="84"/>
      <c r="H298" s="84"/>
      <c r="I298" s="85"/>
      <c r="J298" s="83"/>
      <c r="K298" s="85"/>
      <c r="L298" s="83"/>
      <c r="M298" s="85"/>
      <c r="N298" s="83"/>
      <c r="O298" s="85"/>
      <c r="P298" s="96"/>
      <c r="Q298" s="97"/>
    </row>
  </sheetData>
  <sheetProtection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620"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B98:C100"/>
    <mergeCell ref="D98:I100"/>
    <mergeCell ref="J98:K100"/>
    <mergeCell ref="L98:M100"/>
    <mergeCell ref="N98:O100"/>
    <mergeCell ref="P92:Q94"/>
    <mergeCell ref="B95:C97"/>
    <mergeCell ref="D95:I97"/>
    <mergeCell ref="J95:K97"/>
    <mergeCell ref="L95:M97"/>
    <mergeCell ref="N95:O97"/>
    <mergeCell ref="P95:Q97"/>
    <mergeCell ref="B92:C94"/>
    <mergeCell ref="D92:I94"/>
    <mergeCell ref="J92:K94"/>
    <mergeCell ref="L92:M94"/>
    <mergeCell ref="N92:O94"/>
    <mergeCell ref="B89:C91"/>
    <mergeCell ref="D89:I91"/>
    <mergeCell ref="J89:K91"/>
    <mergeCell ref="L89:M91"/>
    <mergeCell ref="N89:O91"/>
    <mergeCell ref="P89:Q91"/>
    <mergeCell ref="B86:C88"/>
    <mergeCell ref="D86:I88"/>
    <mergeCell ref="J86:K88"/>
    <mergeCell ref="L86:M88"/>
    <mergeCell ref="N86:O88"/>
    <mergeCell ref="B83:C85"/>
    <mergeCell ref="D83:I85"/>
    <mergeCell ref="J83:K85"/>
    <mergeCell ref="L83:M85"/>
    <mergeCell ref="N83:O85"/>
    <mergeCell ref="P83:Q85"/>
    <mergeCell ref="B80:C82"/>
    <mergeCell ref="D80:I82"/>
    <mergeCell ref="J80:K82"/>
    <mergeCell ref="L80:M82"/>
    <mergeCell ref="N80:O82"/>
    <mergeCell ref="B77:C79"/>
    <mergeCell ref="D77:I79"/>
    <mergeCell ref="J77:K79"/>
    <mergeCell ref="L77:M79"/>
    <mergeCell ref="N77:O79"/>
    <mergeCell ref="P77:Q79"/>
    <mergeCell ref="B74:C76"/>
    <mergeCell ref="D74:I76"/>
    <mergeCell ref="J74:K76"/>
    <mergeCell ref="L74:M76"/>
    <mergeCell ref="N74:O76"/>
    <mergeCell ref="P68:Q70"/>
    <mergeCell ref="B71:C73"/>
    <mergeCell ref="D71:I73"/>
    <mergeCell ref="J71:K73"/>
    <mergeCell ref="L71:M73"/>
    <mergeCell ref="N71:O73"/>
    <mergeCell ref="P71:Q73"/>
    <mergeCell ref="B68:C70"/>
    <mergeCell ref="D68:I70"/>
    <mergeCell ref="J68:K70"/>
    <mergeCell ref="L68:M70"/>
    <mergeCell ref="N68:O70"/>
    <mergeCell ref="P62:Q64"/>
    <mergeCell ref="B65:C67"/>
    <mergeCell ref="D65:I67"/>
    <mergeCell ref="J65:K67"/>
    <mergeCell ref="L65:M67"/>
    <mergeCell ref="N65:O67"/>
    <mergeCell ref="P65:Q67"/>
    <mergeCell ref="B62:C64"/>
    <mergeCell ref="D62:I64"/>
    <mergeCell ref="J62:K64"/>
    <mergeCell ref="L62:M64"/>
    <mergeCell ref="N62:O64"/>
    <mergeCell ref="P56:Q58"/>
    <mergeCell ref="B59:C61"/>
    <mergeCell ref="D59:I61"/>
    <mergeCell ref="J59:K61"/>
    <mergeCell ref="L59:M61"/>
    <mergeCell ref="N59:O61"/>
    <mergeCell ref="P59:Q61"/>
    <mergeCell ref="B56:C58"/>
    <mergeCell ref="D56:I58"/>
    <mergeCell ref="J56:K58"/>
    <mergeCell ref="L56:M58"/>
    <mergeCell ref="N56:O58"/>
    <mergeCell ref="P50:Q52"/>
    <mergeCell ref="B53:C55"/>
    <mergeCell ref="D53:I55"/>
    <mergeCell ref="J53:K55"/>
    <mergeCell ref="L53:M55"/>
    <mergeCell ref="N53:O55"/>
    <mergeCell ref="P53:Q55"/>
    <mergeCell ref="B50:C52"/>
    <mergeCell ref="D50:I52"/>
    <mergeCell ref="J50:K52"/>
    <mergeCell ref="L50:M52"/>
    <mergeCell ref="N50:O52"/>
    <mergeCell ref="N47:O49"/>
    <mergeCell ref="P47:Q49"/>
    <mergeCell ref="N41:O43"/>
    <mergeCell ref="P41:Q43"/>
    <mergeCell ref="B44:C46"/>
    <mergeCell ref="D44:I46"/>
    <mergeCell ref="J44:K46"/>
    <mergeCell ref="L44:M46"/>
    <mergeCell ref="N44:O46"/>
    <mergeCell ref="P44:Q46"/>
    <mergeCell ref="B47:C49"/>
    <mergeCell ref="D47:I49"/>
    <mergeCell ref="J47:K49"/>
    <mergeCell ref="L47:M49"/>
    <mergeCell ref="B41:C43"/>
    <mergeCell ref="D41:I43"/>
    <mergeCell ref="J41:K43"/>
    <mergeCell ref="L41:M43"/>
    <mergeCell ref="N35:O37"/>
    <mergeCell ref="P35:Q37"/>
    <mergeCell ref="B38:C40"/>
    <mergeCell ref="D38:I40"/>
    <mergeCell ref="J38:K40"/>
    <mergeCell ref="L38:M40"/>
    <mergeCell ref="N38:O40"/>
    <mergeCell ref="P38:Q40"/>
    <mergeCell ref="N29:O31"/>
    <mergeCell ref="P29:Q31"/>
    <mergeCell ref="B32:C34"/>
    <mergeCell ref="D32:I34"/>
    <mergeCell ref="J32:K34"/>
    <mergeCell ref="L32:M34"/>
    <mergeCell ref="N32:O34"/>
    <mergeCell ref="P32:Q34"/>
    <mergeCell ref="B29:C31"/>
    <mergeCell ref="D29:I31"/>
    <mergeCell ref="J29:K31"/>
    <mergeCell ref="L29:M31"/>
    <mergeCell ref="B35:C37"/>
    <mergeCell ref="D35:I37"/>
    <mergeCell ref="J35:K37"/>
    <mergeCell ref="L35:M37"/>
    <mergeCell ref="N23:O25"/>
    <mergeCell ref="P23:Q25"/>
    <mergeCell ref="B26:C28"/>
    <mergeCell ref="D26:I28"/>
    <mergeCell ref="J26:K28"/>
    <mergeCell ref="L26:M28"/>
    <mergeCell ref="N26:O28"/>
    <mergeCell ref="P26:Q28"/>
    <mergeCell ref="B23:C25"/>
    <mergeCell ref="D23:I25"/>
    <mergeCell ref="J23:K25"/>
    <mergeCell ref="L23:M25"/>
    <mergeCell ref="L14:M16"/>
    <mergeCell ref="N14:O16"/>
    <mergeCell ref="N17:O19"/>
    <mergeCell ref="P17:Q19"/>
    <mergeCell ref="B20:C22"/>
    <mergeCell ref="D20:I22"/>
    <mergeCell ref="J20:K22"/>
    <mergeCell ref="L20:M22"/>
    <mergeCell ref="N20:O22"/>
    <mergeCell ref="P20:Q22"/>
    <mergeCell ref="B17:C19"/>
    <mergeCell ref="D17:I19"/>
    <mergeCell ref="J17:K19"/>
    <mergeCell ref="L17:M19"/>
    <mergeCell ref="P14:Q16"/>
    <mergeCell ref="B14:C16"/>
    <mergeCell ref="D14:I16"/>
    <mergeCell ref="J14:K16"/>
    <mergeCell ref="P8:Q10"/>
    <mergeCell ref="B11:C13"/>
    <mergeCell ref="D11:I13"/>
    <mergeCell ref="J11:K13"/>
    <mergeCell ref="L11:M13"/>
    <mergeCell ref="N11:O13"/>
    <mergeCell ref="P11:Q13"/>
    <mergeCell ref="B8:C10"/>
    <mergeCell ref="D8:I10"/>
    <mergeCell ref="J8:K10"/>
    <mergeCell ref="K5:L5"/>
    <mergeCell ref="M5:N5"/>
    <mergeCell ref="A1:C3"/>
    <mergeCell ref="E1:F3"/>
    <mergeCell ref="G1:H3"/>
    <mergeCell ref="E5:F5"/>
    <mergeCell ref="G5:H5"/>
    <mergeCell ref="I5:J5"/>
    <mergeCell ref="L8:M10"/>
    <mergeCell ref="N8:O10"/>
    <mergeCell ref="B101:C103"/>
    <mergeCell ref="D101:I103"/>
    <mergeCell ref="J101:K103"/>
    <mergeCell ref="L101:M103"/>
    <mergeCell ref="N101:O103"/>
    <mergeCell ref="P101:Q103"/>
    <mergeCell ref="B104:C106"/>
    <mergeCell ref="D104:I106"/>
    <mergeCell ref="J104:K106"/>
    <mergeCell ref="L104:M106"/>
    <mergeCell ref="N104:O106"/>
    <mergeCell ref="P104:Q106"/>
    <mergeCell ref="B107:C109"/>
    <mergeCell ref="D107:I109"/>
    <mergeCell ref="J107:K109"/>
    <mergeCell ref="L107:M109"/>
    <mergeCell ref="N107:O109"/>
    <mergeCell ref="P107:Q109"/>
    <mergeCell ref="B110:C112"/>
    <mergeCell ref="D110:I112"/>
    <mergeCell ref="J110:K112"/>
    <mergeCell ref="L110:M112"/>
    <mergeCell ref="N110:O112"/>
    <mergeCell ref="P110:Q112"/>
    <mergeCell ref="B113:C115"/>
    <mergeCell ref="D113:I115"/>
    <mergeCell ref="J113:K115"/>
    <mergeCell ref="L113:M115"/>
    <mergeCell ref="N113:O115"/>
    <mergeCell ref="P113:Q115"/>
    <mergeCell ref="B116:C118"/>
    <mergeCell ref="D116:I118"/>
    <mergeCell ref="J116:K118"/>
    <mergeCell ref="L116:M118"/>
    <mergeCell ref="N116:O118"/>
    <mergeCell ref="P116:Q118"/>
    <mergeCell ref="B119:C121"/>
    <mergeCell ref="D119:I121"/>
    <mergeCell ref="J119:K121"/>
    <mergeCell ref="L119:M121"/>
    <mergeCell ref="N119:O121"/>
    <mergeCell ref="P119:Q121"/>
    <mergeCell ref="B122:C124"/>
    <mergeCell ref="D122:I124"/>
    <mergeCell ref="J122:K124"/>
    <mergeCell ref="L122:M124"/>
    <mergeCell ref="N122:O124"/>
    <mergeCell ref="P122:Q124"/>
    <mergeCell ref="B125:C127"/>
    <mergeCell ref="D125:I127"/>
    <mergeCell ref="J125:K127"/>
    <mergeCell ref="L125:M127"/>
    <mergeCell ref="N125:O127"/>
    <mergeCell ref="P125:Q127"/>
    <mergeCell ref="B128:C130"/>
    <mergeCell ref="D128:I130"/>
    <mergeCell ref="J128:K130"/>
    <mergeCell ref="L128:M130"/>
    <mergeCell ref="N128:O130"/>
    <mergeCell ref="P128:Q130"/>
    <mergeCell ref="B131:C133"/>
    <mergeCell ref="D131:I133"/>
    <mergeCell ref="J131:K133"/>
    <mergeCell ref="L131:M133"/>
    <mergeCell ref="N131:O133"/>
    <mergeCell ref="P131:Q133"/>
    <mergeCell ref="B134:C136"/>
    <mergeCell ref="D134:I136"/>
    <mergeCell ref="J134:K136"/>
    <mergeCell ref="L134:M136"/>
    <mergeCell ref="N134:O136"/>
    <mergeCell ref="P134:Q136"/>
    <mergeCell ref="B137:C139"/>
    <mergeCell ref="D137:I139"/>
    <mergeCell ref="J137:K139"/>
    <mergeCell ref="L137:M139"/>
    <mergeCell ref="N137:O139"/>
    <mergeCell ref="P137:Q139"/>
    <mergeCell ref="B140:C142"/>
    <mergeCell ref="D140:I142"/>
    <mergeCell ref="J140:K142"/>
    <mergeCell ref="L140:M142"/>
    <mergeCell ref="N140:O142"/>
    <mergeCell ref="P140:Q142"/>
    <mergeCell ref="B143:C145"/>
    <mergeCell ref="D143:I145"/>
    <mergeCell ref="J143:K145"/>
    <mergeCell ref="L143:M145"/>
    <mergeCell ref="N143:O145"/>
    <mergeCell ref="P143:Q145"/>
    <mergeCell ref="B146:C148"/>
    <mergeCell ref="D146:I148"/>
    <mergeCell ref="J146:K148"/>
    <mergeCell ref="L146:M148"/>
    <mergeCell ref="N146:O148"/>
    <mergeCell ref="P146:Q148"/>
    <mergeCell ref="B149:C151"/>
    <mergeCell ref="D149:I151"/>
    <mergeCell ref="J149:K151"/>
    <mergeCell ref="L149:M151"/>
    <mergeCell ref="N149:O151"/>
    <mergeCell ref="P149:Q151"/>
    <mergeCell ref="B152:C154"/>
    <mergeCell ref="D152:I154"/>
    <mergeCell ref="J152:K154"/>
    <mergeCell ref="L152:M154"/>
    <mergeCell ref="N152:O154"/>
    <mergeCell ref="P152:Q154"/>
    <mergeCell ref="B155:C157"/>
    <mergeCell ref="D155:I157"/>
    <mergeCell ref="J155:K157"/>
    <mergeCell ref="L155:M157"/>
    <mergeCell ref="N155:O157"/>
    <mergeCell ref="P155:Q157"/>
    <mergeCell ref="B158:C160"/>
    <mergeCell ref="D158:I160"/>
    <mergeCell ref="J158:K160"/>
    <mergeCell ref="L158:M160"/>
    <mergeCell ref="N158:O160"/>
    <mergeCell ref="P158:Q160"/>
    <mergeCell ref="B161:C163"/>
    <mergeCell ref="D161:I163"/>
    <mergeCell ref="J161:K163"/>
    <mergeCell ref="L161:M163"/>
    <mergeCell ref="N161:O163"/>
    <mergeCell ref="P161:Q163"/>
    <mergeCell ref="B164:C166"/>
    <mergeCell ref="D164:I166"/>
    <mergeCell ref="J164:K166"/>
    <mergeCell ref="L164:M166"/>
    <mergeCell ref="N164:O166"/>
    <mergeCell ref="P164:Q166"/>
    <mergeCell ref="B167:C169"/>
    <mergeCell ref="D167:I169"/>
    <mergeCell ref="J167:K169"/>
    <mergeCell ref="L167:M169"/>
    <mergeCell ref="N167:O169"/>
    <mergeCell ref="P167:Q169"/>
    <mergeCell ref="B170:C172"/>
    <mergeCell ref="D170:I172"/>
    <mergeCell ref="J170:K172"/>
    <mergeCell ref="L170:M172"/>
    <mergeCell ref="N170:O172"/>
    <mergeCell ref="P170:Q172"/>
    <mergeCell ref="B173:C175"/>
    <mergeCell ref="D173:I175"/>
    <mergeCell ref="J173:K175"/>
    <mergeCell ref="L173:M175"/>
    <mergeCell ref="N173:O175"/>
    <mergeCell ref="P173:Q175"/>
    <mergeCell ref="B176:C178"/>
    <mergeCell ref="D176:I178"/>
    <mergeCell ref="J176:K178"/>
    <mergeCell ref="L176:M178"/>
    <mergeCell ref="N176:O178"/>
    <mergeCell ref="P176:Q178"/>
    <mergeCell ref="B179:C181"/>
    <mergeCell ref="D179:I181"/>
    <mergeCell ref="J179:K181"/>
    <mergeCell ref="L179:M181"/>
    <mergeCell ref="N179:O181"/>
    <mergeCell ref="P179:Q181"/>
    <mergeCell ref="B182:C184"/>
    <mergeCell ref="D182:I184"/>
    <mergeCell ref="J182:K184"/>
    <mergeCell ref="L182:M184"/>
    <mergeCell ref="N182:O184"/>
    <mergeCell ref="P182:Q184"/>
    <mergeCell ref="B185:C187"/>
    <mergeCell ref="D185:I187"/>
    <mergeCell ref="J185:K187"/>
    <mergeCell ref="L185:M187"/>
    <mergeCell ref="N185:O187"/>
    <mergeCell ref="P185:Q187"/>
    <mergeCell ref="B188:C190"/>
    <mergeCell ref="D188:I190"/>
    <mergeCell ref="J188:K190"/>
    <mergeCell ref="L188:M190"/>
    <mergeCell ref="N188:O190"/>
    <mergeCell ref="P188:Q190"/>
    <mergeCell ref="B191:C193"/>
    <mergeCell ref="D191:I193"/>
    <mergeCell ref="J191:K193"/>
    <mergeCell ref="L191:M193"/>
    <mergeCell ref="N191:O193"/>
    <mergeCell ref="P191:Q193"/>
    <mergeCell ref="B194:C196"/>
    <mergeCell ref="D194:I196"/>
    <mergeCell ref="J194:K196"/>
    <mergeCell ref="L194:M196"/>
    <mergeCell ref="N194:O196"/>
    <mergeCell ref="P194:Q196"/>
    <mergeCell ref="B197:C199"/>
    <mergeCell ref="D197:I199"/>
    <mergeCell ref="J197:K199"/>
    <mergeCell ref="L197:M199"/>
    <mergeCell ref="N197:O199"/>
    <mergeCell ref="P197:Q199"/>
    <mergeCell ref="B200:C202"/>
    <mergeCell ref="D200:I202"/>
    <mergeCell ref="J200:K202"/>
    <mergeCell ref="L200:M202"/>
    <mergeCell ref="N200:O202"/>
    <mergeCell ref="P200:Q202"/>
    <mergeCell ref="B203:C205"/>
    <mergeCell ref="D203:I205"/>
    <mergeCell ref="J203:K205"/>
    <mergeCell ref="L203:M205"/>
    <mergeCell ref="N203:O205"/>
    <mergeCell ref="P203:Q205"/>
    <mergeCell ref="B206:C208"/>
    <mergeCell ref="D206:I208"/>
    <mergeCell ref="J206:K208"/>
    <mergeCell ref="L206:M208"/>
    <mergeCell ref="N206:O208"/>
    <mergeCell ref="P206:Q208"/>
    <mergeCell ref="B209:C211"/>
    <mergeCell ref="D209:I211"/>
    <mergeCell ref="J209:K211"/>
    <mergeCell ref="L209:M211"/>
    <mergeCell ref="N209:O211"/>
    <mergeCell ref="P209:Q211"/>
    <mergeCell ref="B212:C214"/>
    <mergeCell ref="D212:I214"/>
    <mergeCell ref="J212:K214"/>
    <mergeCell ref="L212:M214"/>
    <mergeCell ref="N212:O214"/>
    <mergeCell ref="P212:Q214"/>
    <mergeCell ref="B215:C217"/>
    <mergeCell ref="D215:I217"/>
    <mergeCell ref="J215:K217"/>
    <mergeCell ref="L215:M217"/>
    <mergeCell ref="N215:O217"/>
    <mergeCell ref="P215:Q217"/>
    <mergeCell ref="B218:C220"/>
    <mergeCell ref="D218:I220"/>
    <mergeCell ref="J218:K220"/>
    <mergeCell ref="L218:M220"/>
    <mergeCell ref="N218:O220"/>
    <mergeCell ref="P218:Q220"/>
    <mergeCell ref="B221:C223"/>
    <mergeCell ref="D221:I223"/>
    <mergeCell ref="J221:K223"/>
    <mergeCell ref="L221:M223"/>
    <mergeCell ref="N221:O223"/>
    <mergeCell ref="P221:Q223"/>
    <mergeCell ref="B224:C226"/>
    <mergeCell ref="D224:I226"/>
    <mergeCell ref="J224:K226"/>
    <mergeCell ref="L224:M226"/>
    <mergeCell ref="N224:O226"/>
    <mergeCell ref="P224:Q226"/>
    <mergeCell ref="B227:C229"/>
    <mergeCell ref="D227:I229"/>
    <mergeCell ref="J227:K229"/>
    <mergeCell ref="L227:M229"/>
    <mergeCell ref="N227:O229"/>
    <mergeCell ref="P227:Q229"/>
    <mergeCell ref="B230:C232"/>
    <mergeCell ref="D230:I232"/>
    <mergeCell ref="J230:K232"/>
    <mergeCell ref="L230:M232"/>
    <mergeCell ref="N230:O232"/>
    <mergeCell ref="P230:Q232"/>
    <mergeCell ref="B233:C235"/>
    <mergeCell ref="D233:I235"/>
    <mergeCell ref="J233:K235"/>
    <mergeCell ref="L233:M235"/>
    <mergeCell ref="N233:O235"/>
    <mergeCell ref="P233:Q235"/>
    <mergeCell ref="B236:C238"/>
    <mergeCell ref="D236:I238"/>
    <mergeCell ref="J236:K238"/>
    <mergeCell ref="L236:M238"/>
    <mergeCell ref="N236:O238"/>
    <mergeCell ref="P236:Q238"/>
    <mergeCell ref="B239:C241"/>
    <mergeCell ref="D239:I241"/>
    <mergeCell ref="J239:K241"/>
    <mergeCell ref="L239:M241"/>
    <mergeCell ref="N239:O241"/>
    <mergeCell ref="P239:Q241"/>
    <mergeCell ref="B242:C244"/>
    <mergeCell ref="D242:I244"/>
    <mergeCell ref="J242:K244"/>
    <mergeCell ref="L242:M244"/>
    <mergeCell ref="N242:O244"/>
    <mergeCell ref="P242:Q244"/>
    <mergeCell ref="B245:C247"/>
    <mergeCell ref="D245:I247"/>
    <mergeCell ref="J245:K247"/>
    <mergeCell ref="L245:M247"/>
    <mergeCell ref="N245:O247"/>
    <mergeCell ref="P245:Q247"/>
    <mergeCell ref="B248:C250"/>
    <mergeCell ref="D248:I250"/>
    <mergeCell ref="J248:K250"/>
    <mergeCell ref="L248:M250"/>
    <mergeCell ref="N248:O250"/>
    <mergeCell ref="P248:Q250"/>
    <mergeCell ref="B251:C253"/>
    <mergeCell ref="D251:I253"/>
    <mergeCell ref="J251:K253"/>
    <mergeCell ref="L251:M253"/>
    <mergeCell ref="N251:O253"/>
    <mergeCell ref="P251:Q253"/>
    <mergeCell ref="B254:C256"/>
    <mergeCell ref="D254:I256"/>
    <mergeCell ref="J254:K256"/>
    <mergeCell ref="L254:M256"/>
    <mergeCell ref="N254:O256"/>
    <mergeCell ref="P254:Q256"/>
    <mergeCell ref="B257:C259"/>
    <mergeCell ref="D257:I259"/>
    <mergeCell ref="J257:K259"/>
    <mergeCell ref="L257:M259"/>
    <mergeCell ref="N257:O259"/>
    <mergeCell ref="P257:Q259"/>
    <mergeCell ref="B260:C262"/>
    <mergeCell ref="D260:I262"/>
    <mergeCell ref="J260:K262"/>
    <mergeCell ref="L260:M262"/>
    <mergeCell ref="N260:O262"/>
    <mergeCell ref="P260:Q262"/>
    <mergeCell ref="B263:C265"/>
    <mergeCell ref="D263:I265"/>
    <mergeCell ref="J263:K265"/>
    <mergeCell ref="L263:M265"/>
    <mergeCell ref="N263:O265"/>
    <mergeCell ref="P263:Q265"/>
    <mergeCell ref="B266:C268"/>
    <mergeCell ref="D266:I268"/>
    <mergeCell ref="J266:K268"/>
    <mergeCell ref="L266:M268"/>
    <mergeCell ref="N266:O268"/>
    <mergeCell ref="P266:Q268"/>
    <mergeCell ref="B269:C271"/>
    <mergeCell ref="D269:I271"/>
    <mergeCell ref="J269:K271"/>
    <mergeCell ref="L269:M271"/>
    <mergeCell ref="N269:O271"/>
    <mergeCell ref="P269:Q271"/>
    <mergeCell ref="B272:C274"/>
    <mergeCell ref="D272:I274"/>
    <mergeCell ref="J272:K274"/>
    <mergeCell ref="L272:M274"/>
    <mergeCell ref="N272:O274"/>
    <mergeCell ref="P272:Q274"/>
    <mergeCell ref="B275:C277"/>
    <mergeCell ref="D275:I277"/>
    <mergeCell ref="J275:K277"/>
    <mergeCell ref="L275:M277"/>
    <mergeCell ref="N275:O277"/>
    <mergeCell ref="P275:Q277"/>
    <mergeCell ref="B278:C280"/>
    <mergeCell ref="D278:I280"/>
    <mergeCell ref="J278:K280"/>
    <mergeCell ref="L278:M280"/>
    <mergeCell ref="N278:O280"/>
    <mergeCell ref="P278:Q280"/>
    <mergeCell ref="B281:C283"/>
    <mergeCell ref="D281:I283"/>
    <mergeCell ref="J281:K283"/>
    <mergeCell ref="L281:M283"/>
    <mergeCell ref="N281:O283"/>
    <mergeCell ref="P281:Q283"/>
    <mergeCell ref="B284:C286"/>
    <mergeCell ref="D284:I286"/>
    <mergeCell ref="J284:K286"/>
    <mergeCell ref="L284:M286"/>
    <mergeCell ref="N284:O286"/>
    <mergeCell ref="P284:Q286"/>
    <mergeCell ref="B287:C289"/>
    <mergeCell ref="D287:I289"/>
    <mergeCell ref="J287:K289"/>
    <mergeCell ref="L287:M289"/>
    <mergeCell ref="N287:O289"/>
    <mergeCell ref="P287:Q289"/>
    <mergeCell ref="B290:C292"/>
    <mergeCell ref="D290:I292"/>
    <mergeCell ref="J290:K292"/>
    <mergeCell ref="L290:M292"/>
    <mergeCell ref="N290:O292"/>
    <mergeCell ref="P290:Q292"/>
    <mergeCell ref="B293:C295"/>
    <mergeCell ref="D293:I295"/>
    <mergeCell ref="J293:K295"/>
    <mergeCell ref="L293:M295"/>
    <mergeCell ref="N293:O295"/>
    <mergeCell ref="P293:Q295"/>
    <mergeCell ref="B296:C298"/>
    <mergeCell ref="D296:I298"/>
    <mergeCell ref="J296:K298"/>
    <mergeCell ref="L296:M298"/>
    <mergeCell ref="N296:O298"/>
    <mergeCell ref="P296:Q298"/>
  </mergeCells>
  <conditionalFormatting sqref="R11:S100">
    <cfRule type="containsText" dxfId="54" priority="19" operator="containsText" text="EM ATRASO">
      <formula>NOT(ISERROR(SEARCH("EM ATRASO",R11)))</formula>
    </cfRule>
  </conditionalFormatting>
  <conditionalFormatting sqref="R11:S100">
    <cfRule type="containsText" dxfId="53" priority="18" operator="containsText" text="HOJE">
      <formula>NOT(ISERROR(SEARCH("HOJE",R11)))</formula>
    </cfRule>
  </conditionalFormatting>
  <conditionalFormatting sqref="P11:Q13">
    <cfRule type="cellIs" dxfId="52" priority="1" operator="equal">
      <formula>"Por Fazer"</formula>
    </cfRule>
    <cfRule type="cellIs" dxfId="51" priority="2" operator="equal">
      <formula>"Em progresso"</formula>
    </cfRule>
    <cfRule type="cellIs" dxfId="50" priority="3" operator="equal">
      <formula>"Concluída"</formula>
    </cfRule>
  </conditionalFormatting>
  <conditionalFormatting sqref="B14:N47 B50:N50 B53:N53 B56:N56 B59:N59 B62:N62 B65:N65 B68:N68 B71:N71 B74:N74 B77:N77 B80:N80 B83:N83 B86:N86 B89:N89 B92:N92 B95:N95 B98:N98 B101:N101 B107:N107 B113:N113 B119:N119 B125:N125 B131:N131 B137:N137 B143:N143 B149:N149 B155:N155 B161:N161 B167:N167 B173:N173 B179:N179 B185:N185 B191:N191 B197:N197 B203:N203 B209:N209 B215:N215 B221:N221 B227:N227 B233:N233 B239:N239 B245:N245 B251:N251 B257:N257 B263:N263 B269:N269 B275:N275 B281:N281 B287:N287 B293:N293 B104:N104 B110:N110 B116:N116 B122:N122 B128:N128 B134:N134 B140:N140 B146:N146 B152:N152 B158:N158 B164:N164 B170:N170 B176:N176 B182:N182 B188:N188 B194:N194 B200:N200 B206:N206 B212:N212 B218:N218 B224:N224 B230:N230 B236:N236 B242:N242 B248:N248 B254:N254 B260:N260 B266:N266 B272:N272 B278:N278 B284:N284 B290:N290 B296:N296">
    <cfRule type="expression" dxfId="49" priority="11" stopIfTrue="1">
      <formula>$N14:$N50="Urgente"</formula>
    </cfRule>
    <cfRule type="expression" dxfId="48" priority="12" stopIfTrue="1">
      <formula>$N14:$N50="Alta"</formula>
    </cfRule>
    <cfRule type="expression" dxfId="47" priority="13" stopIfTrue="1">
      <formula>$N14:$N50="Média"</formula>
    </cfRule>
    <cfRule type="expression" dxfId="46" priority="14" stopIfTrue="1">
      <formula>$N14:$N50="Baixa"</formula>
    </cfRule>
  </conditionalFormatting>
  <conditionalFormatting sqref="P14:Q298">
    <cfRule type="cellIs" dxfId="45" priority="8" operator="equal">
      <formula>"Por Fazer"</formula>
    </cfRule>
    <cfRule type="cellIs" dxfId="44" priority="9" operator="equal">
      <formula>"Em progresso"</formula>
    </cfRule>
    <cfRule type="cellIs" dxfId="43" priority="10" operator="equal">
      <formula>"Concluída"</formula>
    </cfRule>
  </conditionalFormatting>
  <conditionalFormatting sqref="B11:N13">
    <cfRule type="expression" dxfId="42" priority="4" stopIfTrue="1">
      <formula>$N11:$N47="Urgente"</formula>
    </cfRule>
    <cfRule type="expression" dxfId="41" priority="5" stopIfTrue="1">
      <formula>$N11:$N47="Alta"</formula>
    </cfRule>
    <cfRule type="expression" dxfId="40" priority="6" stopIfTrue="1">
      <formula>$N11:$N47="Média"</formula>
    </cfRule>
    <cfRule type="expression" dxfId="39" priority="7" stopIfTrue="1">
      <formula>$N11:$N47="Baixa"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2C96338-D639-4707-A2EF-F703DF62EA7A}">
          <x14:formula1>
            <xm:f>DataBase!$F$3:$F$5</xm:f>
          </x14:formula1>
          <xm:sqref>P11:Q298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FCB15-26D1-496F-8B70-0B191E63FDA0}">
  <sheetPr codeName="Planilha13"/>
  <dimension ref="B3:AH872"/>
  <sheetViews>
    <sheetView topLeftCell="A28" workbookViewId="0">
      <selection activeCell="P42" sqref="B42:Q44"/>
    </sheetView>
  </sheetViews>
  <sheetFormatPr defaultRowHeight="15" x14ac:dyDescent="0.25"/>
  <sheetData>
    <row r="3" spans="2:34" x14ac:dyDescent="0.25">
      <c r="B3" s="100" t="s">
        <v>9</v>
      </c>
      <c r="C3" s="101"/>
      <c r="D3" s="106" t="s">
        <v>10</v>
      </c>
      <c r="E3" s="107"/>
      <c r="F3" s="107"/>
      <c r="G3" s="107"/>
      <c r="H3" s="107"/>
      <c r="I3" s="108"/>
      <c r="J3" s="100" t="s">
        <v>11</v>
      </c>
      <c r="K3" s="101"/>
      <c r="L3" s="100" t="s">
        <v>12</v>
      </c>
      <c r="M3" s="101"/>
      <c r="N3" s="100" t="s">
        <v>13</v>
      </c>
      <c r="O3" s="101"/>
      <c r="P3" s="100" t="s">
        <v>14</v>
      </c>
      <c r="Q3" s="101"/>
      <c r="S3" s="100" t="s">
        <v>9</v>
      </c>
      <c r="T3" s="101"/>
      <c r="U3" s="106" t="s">
        <v>10</v>
      </c>
      <c r="V3" s="107"/>
      <c r="W3" s="107"/>
      <c r="X3" s="107"/>
      <c r="Y3" s="107"/>
      <c r="Z3" s="108"/>
      <c r="AA3" s="100" t="s">
        <v>11</v>
      </c>
      <c r="AB3" s="101"/>
      <c r="AC3" s="100" t="s">
        <v>12</v>
      </c>
      <c r="AD3" s="101"/>
      <c r="AE3" s="100" t="s">
        <v>13</v>
      </c>
      <c r="AF3" s="101"/>
      <c r="AG3" s="100" t="s">
        <v>14</v>
      </c>
      <c r="AH3" s="101"/>
    </row>
    <row r="4" spans="2:34" x14ac:dyDescent="0.25">
      <c r="B4" s="102"/>
      <c r="C4" s="103"/>
      <c r="D4" s="109"/>
      <c r="E4" s="110"/>
      <c r="F4" s="110"/>
      <c r="G4" s="110"/>
      <c r="H4" s="110"/>
      <c r="I4" s="111"/>
      <c r="J4" s="102"/>
      <c r="K4" s="103"/>
      <c r="L4" s="102"/>
      <c r="M4" s="103"/>
      <c r="N4" s="102"/>
      <c r="O4" s="103"/>
      <c r="P4" s="102"/>
      <c r="Q4" s="103"/>
      <c r="S4" s="102"/>
      <c r="T4" s="103"/>
      <c r="U4" s="109"/>
      <c r="V4" s="110"/>
      <c r="W4" s="110"/>
      <c r="X4" s="110"/>
      <c r="Y4" s="110"/>
      <c r="Z4" s="111"/>
      <c r="AA4" s="102"/>
      <c r="AB4" s="103"/>
      <c r="AC4" s="102"/>
      <c r="AD4" s="103"/>
      <c r="AE4" s="102"/>
      <c r="AF4" s="103"/>
      <c r="AG4" s="102"/>
      <c r="AH4" s="103"/>
    </row>
    <row r="5" spans="2:34" x14ac:dyDescent="0.25">
      <c r="B5" s="104"/>
      <c r="C5" s="105"/>
      <c r="D5" s="112"/>
      <c r="E5" s="113"/>
      <c r="F5" s="113"/>
      <c r="G5" s="113"/>
      <c r="H5" s="113"/>
      <c r="I5" s="114"/>
      <c r="J5" s="104"/>
      <c r="K5" s="105"/>
      <c r="L5" s="104"/>
      <c r="M5" s="105"/>
      <c r="N5" s="104"/>
      <c r="O5" s="105"/>
      <c r="P5" s="104"/>
      <c r="Q5" s="105"/>
      <c r="S5" s="104"/>
      <c r="T5" s="105"/>
      <c r="U5" s="112"/>
      <c r="V5" s="113"/>
      <c r="W5" s="113"/>
      <c r="X5" s="113"/>
      <c r="Y5" s="113"/>
      <c r="Z5" s="114"/>
      <c r="AA5" s="104"/>
      <c r="AB5" s="105"/>
      <c r="AC5" s="104"/>
      <c r="AD5" s="105"/>
      <c r="AE5" s="104"/>
      <c r="AF5" s="105"/>
      <c r="AG5" s="104"/>
      <c r="AH5" s="105"/>
    </row>
    <row r="6" spans="2:34" x14ac:dyDescent="0.25">
      <c r="B6" s="71" t="s">
        <v>25</v>
      </c>
      <c r="C6" s="72"/>
      <c r="D6" s="77" t="s">
        <v>26</v>
      </c>
      <c r="E6" s="78"/>
      <c r="F6" s="78"/>
      <c r="G6" s="78"/>
      <c r="H6" s="78"/>
      <c r="I6" s="79"/>
      <c r="J6" s="86">
        <v>43577</v>
      </c>
      <c r="K6" s="87"/>
      <c r="L6" s="86">
        <v>43576</v>
      </c>
      <c r="M6" s="87"/>
      <c r="N6" s="77" t="s">
        <v>18</v>
      </c>
      <c r="O6" s="79"/>
      <c r="P6" s="92" t="s">
        <v>22</v>
      </c>
      <c r="Q6" s="93"/>
      <c r="S6" s="77"/>
      <c r="T6" s="79"/>
      <c r="U6" s="77"/>
      <c r="V6" s="78"/>
      <c r="W6" s="78"/>
      <c r="X6" s="78"/>
      <c r="Y6" s="78"/>
      <c r="Z6" s="79"/>
      <c r="AA6" s="86"/>
      <c r="AB6" s="87"/>
      <c r="AC6" s="86"/>
      <c r="AD6" s="87"/>
      <c r="AE6" s="77"/>
      <c r="AF6" s="79"/>
      <c r="AG6" s="92"/>
      <c r="AH6" s="93"/>
    </row>
    <row r="7" spans="2:34" x14ac:dyDescent="0.25">
      <c r="B7" s="73"/>
      <c r="C7" s="74"/>
      <c r="D7" s="80"/>
      <c r="E7" s="81"/>
      <c r="F7" s="81"/>
      <c r="G7" s="81"/>
      <c r="H7" s="81"/>
      <c r="I7" s="82"/>
      <c r="J7" s="88"/>
      <c r="K7" s="89"/>
      <c r="L7" s="88"/>
      <c r="M7" s="89"/>
      <c r="N7" s="80"/>
      <c r="O7" s="82"/>
      <c r="P7" s="94"/>
      <c r="Q7" s="95"/>
      <c r="S7" s="80"/>
      <c r="T7" s="82"/>
      <c r="U7" s="80"/>
      <c r="V7" s="81"/>
      <c r="W7" s="81"/>
      <c r="X7" s="81"/>
      <c r="Y7" s="81"/>
      <c r="Z7" s="82"/>
      <c r="AA7" s="88"/>
      <c r="AB7" s="89"/>
      <c r="AC7" s="88"/>
      <c r="AD7" s="89"/>
      <c r="AE7" s="80"/>
      <c r="AF7" s="82"/>
      <c r="AG7" s="94"/>
      <c r="AH7" s="95"/>
    </row>
    <row r="8" spans="2:34" x14ac:dyDescent="0.25">
      <c r="B8" s="75"/>
      <c r="C8" s="76"/>
      <c r="D8" s="83"/>
      <c r="E8" s="84"/>
      <c r="F8" s="84"/>
      <c r="G8" s="84"/>
      <c r="H8" s="84"/>
      <c r="I8" s="85"/>
      <c r="J8" s="90"/>
      <c r="K8" s="91"/>
      <c r="L8" s="90"/>
      <c r="M8" s="91"/>
      <c r="N8" s="83"/>
      <c r="O8" s="85"/>
      <c r="P8" s="96"/>
      <c r="Q8" s="97"/>
      <c r="S8" s="83"/>
      <c r="T8" s="85"/>
      <c r="U8" s="83"/>
      <c r="V8" s="84"/>
      <c r="W8" s="84"/>
      <c r="X8" s="84"/>
      <c r="Y8" s="84"/>
      <c r="Z8" s="85"/>
      <c r="AA8" s="90"/>
      <c r="AB8" s="91"/>
      <c r="AC8" s="90"/>
      <c r="AD8" s="91"/>
      <c r="AE8" s="83"/>
      <c r="AF8" s="85"/>
      <c r="AG8" s="96"/>
      <c r="AH8" s="97"/>
    </row>
    <row r="9" spans="2:34" x14ac:dyDescent="0.25">
      <c r="B9" s="71" t="s">
        <v>25</v>
      </c>
      <c r="C9" s="72"/>
      <c r="D9" s="77" t="s">
        <v>26</v>
      </c>
      <c r="E9" s="78"/>
      <c r="F9" s="78"/>
      <c r="G9" s="78"/>
      <c r="H9" s="78"/>
      <c r="I9" s="79"/>
      <c r="J9" s="86">
        <v>43577</v>
      </c>
      <c r="K9" s="87"/>
      <c r="L9" s="86">
        <v>43576</v>
      </c>
      <c r="M9" s="87"/>
      <c r="N9" s="77" t="s">
        <v>18</v>
      </c>
      <c r="O9" s="79"/>
      <c r="P9" s="92" t="s">
        <v>22</v>
      </c>
      <c r="Q9" s="93"/>
      <c r="S9" s="77"/>
      <c r="T9" s="79"/>
      <c r="U9" s="77"/>
      <c r="V9" s="78"/>
      <c r="W9" s="78"/>
      <c r="X9" s="78"/>
      <c r="Y9" s="78"/>
      <c r="Z9" s="79"/>
      <c r="AA9" s="86"/>
      <c r="AB9" s="87"/>
      <c r="AC9" s="86"/>
      <c r="AD9" s="87"/>
      <c r="AE9" s="77"/>
      <c r="AF9" s="79"/>
      <c r="AG9" s="92"/>
      <c r="AH9" s="93"/>
    </row>
    <row r="10" spans="2:34" x14ac:dyDescent="0.25">
      <c r="B10" s="73"/>
      <c r="C10" s="74"/>
      <c r="D10" s="80"/>
      <c r="E10" s="81"/>
      <c r="F10" s="81"/>
      <c r="G10" s="81"/>
      <c r="H10" s="81"/>
      <c r="I10" s="82"/>
      <c r="J10" s="88"/>
      <c r="K10" s="89"/>
      <c r="L10" s="88"/>
      <c r="M10" s="89"/>
      <c r="N10" s="80"/>
      <c r="O10" s="82"/>
      <c r="P10" s="94"/>
      <c r="Q10" s="95"/>
      <c r="S10" s="80"/>
      <c r="T10" s="82"/>
      <c r="U10" s="80"/>
      <c r="V10" s="81"/>
      <c r="W10" s="81"/>
      <c r="X10" s="81"/>
      <c r="Y10" s="81"/>
      <c r="Z10" s="82"/>
      <c r="AA10" s="88"/>
      <c r="AB10" s="89"/>
      <c r="AC10" s="88"/>
      <c r="AD10" s="89"/>
      <c r="AE10" s="80"/>
      <c r="AF10" s="82"/>
      <c r="AG10" s="94"/>
      <c r="AH10" s="95"/>
    </row>
    <row r="11" spans="2:34" x14ac:dyDescent="0.25">
      <c r="B11" s="75"/>
      <c r="C11" s="76"/>
      <c r="D11" s="83"/>
      <c r="E11" s="84"/>
      <c r="F11" s="84"/>
      <c r="G11" s="84"/>
      <c r="H11" s="84"/>
      <c r="I11" s="85"/>
      <c r="J11" s="90"/>
      <c r="K11" s="91"/>
      <c r="L11" s="90"/>
      <c r="M11" s="91"/>
      <c r="N11" s="83"/>
      <c r="O11" s="85"/>
      <c r="P11" s="96"/>
      <c r="Q11" s="97"/>
      <c r="S11" s="83"/>
      <c r="T11" s="85"/>
      <c r="U11" s="83"/>
      <c r="V11" s="84"/>
      <c r="W11" s="84"/>
      <c r="X11" s="84"/>
      <c r="Y11" s="84"/>
      <c r="Z11" s="85"/>
      <c r="AA11" s="90"/>
      <c r="AB11" s="91"/>
      <c r="AC11" s="90"/>
      <c r="AD11" s="91"/>
      <c r="AE11" s="83"/>
      <c r="AF11" s="85"/>
      <c r="AG11" s="96"/>
      <c r="AH11" s="97"/>
    </row>
    <row r="12" spans="2:34" x14ac:dyDescent="0.25">
      <c r="B12" s="71" t="s">
        <v>30</v>
      </c>
      <c r="C12" s="72"/>
      <c r="D12" s="77" t="s">
        <v>31</v>
      </c>
      <c r="E12" s="78"/>
      <c r="F12" s="78"/>
      <c r="G12" s="78"/>
      <c r="H12" s="78"/>
      <c r="I12" s="79"/>
      <c r="J12" s="86">
        <v>43579</v>
      </c>
      <c r="K12" s="87"/>
      <c r="L12" s="86">
        <v>43691</v>
      </c>
      <c r="M12" s="87"/>
      <c r="N12" s="77" t="s">
        <v>18</v>
      </c>
      <c r="O12" s="79"/>
      <c r="P12" s="92" t="s">
        <v>22</v>
      </c>
      <c r="Q12" s="93"/>
      <c r="S12" s="77"/>
      <c r="T12" s="79"/>
      <c r="U12" s="77"/>
      <c r="V12" s="78"/>
      <c r="W12" s="78"/>
      <c r="X12" s="78"/>
      <c r="Y12" s="78"/>
      <c r="Z12" s="79"/>
      <c r="AA12" s="86"/>
      <c r="AB12" s="87"/>
      <c r="AC12" s="86"/>
      <c r="AD12" s="87"/>
      <c r="AE12" s="77"/>
      <c r="AF12" s="79"/>
      <c r="AG12" s="92"/>
      <c r="AH12" s="93"/>
    </row>
    <row r="13" spans="2:34" x14ac:dyDescent="0.25">
      <c r="B13" s="73"/>
      <c r="C13" s="74"/>
      <c r="D13" s="80"/>
      <c r="E13" s="81"/>
      <c r="F13" s="81"/>
      <c r="G13" s="81"/>
      <c r="H13" s="81"/>
      <c r="I13" s="82"/>
      <c r="J13" s="88"/>
      <c r="K13" s="89"/>
      <c r="L13" s="88"/>
      <c r="M13" s="89"/>
      <c r="N13" s="80"/>
      <c r="O13" s="82"/>
      <c r="P13" s="94"/>
      <c r="Q13" s="95"/>
      <c r="S13" s="80"/>
      <c r="T13" s="82"/>
      <c r="U13" s="80"/>
      <c r="V13" s="81"/>
      <c r="W13" s="81"/>
      <c r="X13" s="81"/>
      <c r="Y13" s="81"/>
      <c r="Z13" s="82"/>
      <c r="AA13" s="88"/>
      <c r="AB13" s="89"/>
      <c r="AC13" s="88"/>
      <c r="AD13" s="89"/>
      <c r="AE13" s="80"/>
      <c r="AF13" s="82"/>
      <c r="AG13" s="94"/>
      <c r="AH13" s="95"/>
    </row>
    <row r="14" spans="2:34" x14ac:dyDescent="0.25">
      <c r="B14" s="75"/>
      <c r="C14" s="76"/>
      <c r="D14" s="83"/>
      <c r="E14" s="84"/>
      <c r="F14" s="84"/>
      <c r="G14" s="84"/>
      <c r="H14" s="84"/>
      <c r="I14" s="85"/>
      <c r="J14" s="90"/>
      <c r="K14" s="91"/>
      <c r="L14" s="90"/>
      <c r="M14" s="91"/>
      <c r="N14" s="83"/>
      <c r="O14" s="85"/>
      <c r="P14" s="96"/>
      <c r="Q14" s="97"/>
      <c r="S14" s="83"/>
      <c r="T14" s="85"/>
      <c r="U14" s="83"/>
      <c r="V14" s="84"/>
      <c r="W14" s="84"/>
      <c r="X14" s="84"/>
      <c r="Y14" s="84"/>
      <c r="Z14" s="85"/>
      <c r="AA14" s="90"/>
      <c r="AB14" s="91"/>
      <c r="AC14" s="90"/>
      <c r="AD14" s="91"/>
      <c r="AE14" s="83"/>
      <c r="AF14" s="85"/>
      <c r="AG14" s="96"/>
      <c r="AH14" s="97"/>
    </row>
    <row r="15" spans="2:34" x14ac:dyDescent="0.25">
      <c r="B15" s="71" t="s">
        <v>38</v>
      </c>
      <c r="C15" s="72"/>
      <c r="D15" s="77" t="s">
        <v>39</v>
      </c>
      <c r="E15" s="78"/>
      <c r="F15" s="78"/>
      <c r="G15" s="78"/>
      <c r="H15" s="78"/>
      <c r="I15" s="79"/>
      <c r="J15" s="86">
        <v>43579</v>
      </c>
      <c r="K15" s="87"/>
      <c r="L15" s="86">
        <v>43599</v>
      </c>
      <c r="M15" s="87"/>
      <c r="N15" s="77" t="s">
        <v>19</v>
      </c>
      <c r="O15" s="79"/>
      <c r="P15" s="92" t="s">
        <v>22</v>
      </c>
      <c r="Q15" s="93"/>
      <c r="S15" s="77"/>
      <c r="T15" s="79"/>
      <c r="U15" s="77"/>
      <c r="V15" s="78"/>
      <c r="W15" s="78"/>
      <c r="X15" s="78"/>
      <c r="Y15" s="78"/>
      <c r="Z15" s="79"/>
      <c r="AA15" s="86"/>
      <c r="AB15" s="87"/>
      <c r="AC15" s="86"/>
      <c r="AD15" s="87"/>
      <c r="AE15" s="77"/>
      <c r="AF15" s="79"/>
      <c r="AG15" s="92"/>
      <c r="AH15" s="93"/>
    </row>
    <row r="16" spans="2:34" x14ac:dyDescent="0.25">
      <c r="B16" s="73"/>
      <c r="C16" s="74"/>
      <c r="D16" s="80"/>
      <c r="E16" s="81"/>
      <c r="F16" s="81"/>
      <c r="G16" s="81"/>
      <c r="H16" s="81"/>
      <c r="I16" s="82"/>
      <c r="J16" s="88"/>
      <c r="K16" s="89"/>
      <c r="L16" s="88"/>
      <c r="M16" s="89"/>
      <c r="N16" s="80"/>
      <c r="O16" s="82"/>
      <c r="P16" s="94"/>
      <c r="Q16" s="95"/>
      <c r="S16" s="80"/>
      <c r="T16" s="82"/>
      <c r="U16" s="80"/>
      <c r="V16" s="81"/>
      <c r="W16" s="81"/>
      <c r="X16" s="81"/>
      <c r="Y16" s="81"/>
      <c r="Z16" s="82"/>
      <c r="AA16" s="88"/>
      <c r="AB16" s="89"/>
      <c r="AC16" s="88"/>
      <c r="AD16" s="89"/>
      <c r="AE16" s="80"/>
      <c r="AF16" s="82"/>
      <c r="AG16" s="94"/>
      <c r="AH16" s="95"/>
    </row>
    <row r="17" spans="2:34" x14ac:dyDescent="0.25">
      <c r="B17" s="75"/>
      <c r="C17" s="76"/>
      <c r="D17" s="83"/>
      <c r="E17" s="84"/>
      <c r="F17" s="84"/>
      <c r="G17" s="84"/>
      <c r="H17" s="84"/>
      <c r="I17" s="85"/>
      <c r="J17" s="90"/>
      <c r="K17" s="91"/>
      <c r="L17" s="90"/>
      <c r="M17" s="91"/>
      <c r="N17" s="83"/>
      <c r="O17" s="85"/>
      <c r="P17" s="96"/>
      <c r="Q17" s="97"/>
      <c r="S17" s="83"/>
      <c r="T17" s="85"/>
      <c r="U17" s="83"/>
      <c r="V17" s="84"/>
      <c r="W17" s="84"/>
      <c r="X17" s="84"/>
      <c r="Y17" s="84"/>
      <c r="Z17" s="85"/>
      <c r="AA17" s="90"/>
      <c r="AB17" s="91"/>
      <c r="AC17" s="90"/>
      <c r="AD17" s="91"/>
      <c r="AE17" s="83"/>
      <c r="AF17" s="85"/>
      <c r="AG17" s="96"/>
      <c r="AH17" s="97"/>
    </row>
    <row r="18" spans="2:34" x14ac:dyDescent="0.25">
      <c r="B18" s="71" t="s">
        <v>38</v>
      </c>
      <c r="C18" s="72"/>
      <c r="D18" s="77" t="s">
        <v>39</v>
      </c>
      <c r="E18" s="78"/>
      <c r="F18" s="78"/>
      <c r="G18" s="78"/>
      <c r="H18" s="78"/>
      <c r="I18" s="79"/>
      <c r="J18" s="86">
        <v>43579</v>
      </c>
      <c r="K18" s="87"/>
      <c r="L18" s="86">
        <v>43599</v>
      </c>
      <c r="M18" s="87"/>
      <c r="N18" s="77" t="s">
        <v>19</v>
      </c>
      <c r="O18" s="79"/>
      <c r="P18" s="92" t="s">
        <v>22</v>
      </c>
      <c r="Q18" s="93"/>
      <c r="S18" s="77"/>
      <c r="T18" s="79"/>
      <c r="U18" s="77"/>
      <c r="V18" s="78"/>
      <c r="W18" s="78"/>
      <c r="X18" s="78"/>
      <c r="Y18" s="78"/>
      <c r="Z18" s="79"/>
      <c r="AA18" s="86"/>
      <c r="AB18" s="87"/>
      <c r="AC18" s="86"/>
      <c r="AD18" s="87"/>
      <c r="AE18" s="77"/>
      <c r="AF18" s="79"/>
      <c r="AG18" s="92"/>
      <c r="AH18" s="93"/>
    </row>
    <row r="19" spans="2:34" x14ac:dyDescent="0.25">
      <c r="B19" s="73"/>
      <c r="C19" s="74"/>
      <c r="D19" s="80"/>
      <c r="E19" s="81"/>
      <c r="F19" s="81"/>
      <c r="G19" s="81"/>
      <c r="H19" s="81"/>
      <c r="I19" s="82"/>
      <c r="J19" s="88"/>
      <c r="K19" s="89"/>
      <c r="L19" s="88"/>
      <c r="M19" s="89"/>
      <c r="N19" s="80"/>
      <c r="O19" s="82"/>
      <c r="P19" s="94"/>
      <c r="Q19" s="95"/>
      <c r="S19" s="80"/>
      <c r="T19" s="82"/>
      <c r="U19" s="80"/>
      <c r="V19" s="81"/>
      <c r="W19" s="81"/>
      <c r="X19" s="81"/>
      <c r="Y19" s="81"/>
      <c r="Z19" s="82"/>
      <c r="AA19" s="88"/>
      <c r="AB19" s="89"/>
      <c r="AC19" s="88"/>
      <c r="AD19" s="89"/>
      <c r="AE19" s="80"/>
      <c r="AF19" s="82"/>
      <c r="AG19" s="94"/>
      <c r="AH19" s="95"/>
    </row>
    <row r="20" spans="2:34" x14ac:dyDescent="0.25">
      <c r="B20" s="75"/>
      <c r="C20" s="76"/>
      <c r="D20" s="83"/>
      <c r="E20" s="84"/>
      <c r="F20" s="84"/>
      <c r="G20" s="84"/>
      <c r="H20" s="84"/>
      <c r="I20" s="85"/>
      <c r="J20" s="90"/>
      <c r="K20" s="91"/>
      <c r="L20" s="90"/>
      <c r="M20" s="91"/>
      <c r="N20" s="83"/>
      <c r="O20" s="85"/>
      <c r="P20" s="96"/>
      <c r="Q20" s="97"/>
      <c r="S20" s="83"/>
      <c r="T20" s="85"/>
      <c r="U20" s="83"/>
      <c r="V20" s="84"/>
      <c r="W20" s="84"/>
      <c r="X20" s="84"/>
      <c r="Y20" s="84"/>
      <c r="Z20" s="85"/>
      <c r="AA20" s="90"/>
      <c r="AB20" s="91"/>
      <c r="AC20" s="90"/>
      <c r="AD20" s="91"/>
      <c r="AE20" s="83"/>
      <c r="AF20" s="85"/>
      <c r="AG20" s="96"/>
      <c r="AH20" s="97"/>
    </row>
    <row r="21" spans="2:34" x14ac:dyDescent="0.25">
      <c r="B21" s="71" t="s">
        <v>40</v>
      </c>
      <c r="C21" s="72"/>
      <c r="D21" s="77" t="s">
        <v>41</v>
      </c>
      <c r="E21" s="78"/>
      <c r="F21" s="78"/>
      <c r="G21" s="78"/>
      <c r="H21" s="78"/>
      <c r="I21" s="79"/>
      <c r="J21" s="86">
        <v>43579</v>
      </c>
      <c r="K21" s="87"/>
      <c r="L21" s="86">
        <v>43567</v>
      </c>
      <c r="M21" s="87"/>
      <c r="N21" s="77" t="s">
        <v>19</v>
      </c>
      <c r="O21" s="79"/>
      <c r="P21" s="92" t="s">
        <v>22</v>
      </c>
      <c r="Q21" s="93"/>
      <c r="S21" s="77"/>
      <c r="T21" s="79"/>
      <c r="U21" s="77"/>
      <c r="V21" s="78"/>
      <c r="W21" s="78"/>
      <c r="X21" s="78"/>
      <c r="Y21" s="78"/>
      <c r="Z21" s="79"/>
      <c r="AA21" s="86"/>
      <c r="AB21" s="87"/>
      <c r="AC21" s="86"/>
      <c r="AD21" s="87"/>
      <c r="AE21" s="77"/>
      <c r="AF21" s="79"/>
      <c r="AG21" s="92"/>
      <c r="AH21" s="93"/>
    </row>
    <row r="22" spans="2:34" x14ac:dyDescent="0.25">
      <c r="B22" s="73"/>
      <c r="C22" s="74"/>
      <c r="D22" s="80"/>
      <c r="E22" s="81"/>
      <c r="F22" s="81"/>
      <c r="G22" s="81"/>
      <c r="H22" s="81"/>
      <c r="I22" s="82"/>
      <c r="J22" s="88"/>
      <c r="K22" s="89"/>
      <c r="L22" s="88"/>
      <c r="M22" s="89"/>
      <c r="N22" s="80"/>
      <c r="O22" s="82"/>
      <c r="P22" s="94"/>
      <c r="Q22" s="95"/>
      <c r="S22" s="80"/>
      <c r="T22" s="82"/>
      <c r="U22" s="80"/>
      <c r="V22" s="81"/>
      <c r="W22" s="81"/>
      <c r="X22" s="81"/>
      <c r="Y22" s="81"/>
      <c r="Z22" s="82"/>
      <c r="AA22" s="88"/>
      <c r="AB22" s="89"/>
      <c r="AC22" s="88"/>
      <c r="AD22" s="89"/>
      <c r="AE22" s="80"/>
      <c r="AF22" s="82"/>
      <c r="AG22" s="94"/>
      <c r="AH22" s="95"/>
    </row>
    <row r="23" spans="2:34" x14ac:dyDescent="0.25">
      <c r="B23" s="75"/>
      <c r="C23" s="76"/>
      <c r="D23" s="83"/>
      <c r="E23" s="84"/>
      <c r="F23" s="84"/>
      <c r="G23" s="84"/>
      <c r="H23" s="84"/>
      <c r="I23" s="85"/>
      <c r="J23" s="90"/>
      <c r="K23" s="91"/>
      <c r="L23" s="90"/>
      <c r="M23" s="91"/>
      <c r="N23" s="83"/>
      <c r="O23" s="85"/>
      <c r="P23" s="96"/>
      <c r="Q23" s="97"/>
      <c r="S23" s="83"/>
      <c r="T23" s="85"/>
      <c r="U23" s="83"/>
      <c r="V23" s="84"/>
      <c r="W23" s="84"/>
      <c r="X23" s="84"/>
      <c r="Y23" s="84"/>
      <c r="Z23" s="85"/>
      <c r="AA23" s="90"/>
      <c r="AB23" s="91"/>
      <c r="AC23" s="90"/>
      <c r="AD23" s="91"/>
      <c r="AE23" s="83"/>
      <c r="AF23" s="85"/>
      <c r="AG23" s="96"/>
      <c r="AH23" s="97"/>
    </row>
    <row r="24" spans="2:34" x14ac:dyDescent="0.25">
      <c r="B24" s="71" t="s">
        <v>42</v>
      </c>
      <c r="C24" s="72"/>
      <c r="D24" s="77" t="s">
        <v>43</v>
      </c>
      <c r="E24" s="78"/>
      <c r="F24" s="78"/>
      <c r="G24" s="78"/>
      <c r="H24" s="78"/>
      <c r="I24" s="79"/>
      <c r="J24" s="86">
        <v>43579</v>
      </c>
      <c r="K24" s="87"/>
      <c r="L24" s="86">
        <v>43691</v>
      </c>
      <c r="M24" s="87"/>
      <c r="N24" s="77" t="s">
        <v>17</v>
      </c>
      <c r="O24" s="79"/>
      <c r="P24" s="92" t="s">
        <v>22</v>
      </c>
      <c r="Q24" s="93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8"/>
      <c r="AD24" s="98"/>
      <c r="AE24" s="98"/>
      <c r="AF24" s="98"/>
      <c r="AG24" s="98"/>
      <c r="AH24" s="98"/>
    </row>
    <row r="25" spans="2:34" x14ac:dyDescent="0.25">
      <c r="B25" s="73"/>
      <c r="C25" s="74"/>
      <c r="D25" s="80"/>
      <c r="E25" s="81"/>
      <c r="F25" s="81"/>
      <c r="G25" s="81"/>
      <c r="H25" s="81"/>
      <c r="I25" s="82"/>
      <c r="J25" s="88"/>
      <c r="K25" s="89"/>
      <c r="L25" s="88"/>
      <c r="M25" s="89"/>
      <c r="N25" s="80"/>
      <c r="O25" s="82"/>
      <c r="P25" s="94"/>
      <c r="Q25" s="95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8"/>
      <c r="AD25" s="98"/>
      <c r="AE25" s="98"/>
      <c r="AF25" s="98"/>
      <c r="AG25" s="98"/>
      <c r="AH25" s="98"/>
    </row>
    <row r="26" spans="2:34" x14ac:dyDescent="0.25">
      <c r="B26" s="75"/>
      <c r="C26" s="76"/>
      <c r="D26" s="83"/>
      <c r="E26" s="84"/>
      <c r="F26" s="84"/>
      <c r="G26" s="84"/>
      <c r="H26" s="84"/>
      <c r="I26" s="85"/>
      <c r="J26" s="90"/>
      <c r="K26" s="91"/>
      <c r="L26" s="90"/>
      <c r="M26" s="91"/>
      <c r="N26" s="83"/>
      <c r="O26" s="85"/>
      <c r="P26" s="96"/>
      <c r="Q26" s="97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8"/>
      <c r="AD26" s="98"/>
      <c r="AE26" s="98"/>
      <c r="AF26" s="98"/>
      <c r="AG26" s="98"/>
      <c r="AH26" s="98"/>
    </row>
    <row r="27" spans="2:34" x14ac:dyDescent="0.25">
      <c r="B27" s="71" t="s">
        <v>44</v>
      </c>
      <c r="C27" s="72"/>
      <c r="D27" s="77" t="s">
        <v>45</v>
      </c>
      <c r="E27" s="78"/>
      <c r="F27" s="78"/>
      <c r="G27" s="78"/>
      <c r="H27" s="78"/>
      <c r="I27" s="79"/>
      <c r="J27" s="86">
        <v>43579</v>
      </c>
      <c r="K27" s="87"/>
      <c r="L27" s="86">
        <v>43694</v>
      </c>
      <c r="M27" s="87"/>
      <c r="N27" s="77" t="s">
        <v>19</v>
      </c>
      <c r="O27" s="79"/>
      <c r="P27" s="92" t="s">
        <v>22</v>
      </c>
      <c r="Q27" s="93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8"/>
      <c r="AD27" s="98"/>
      <c r="AE27" s="98"/>
      <c r="AF27" s="98"/>
      <c r="AG27" s="98"/>
      <c r="AH27" s="98"/>
    </row>
    <row r="28" spans="2:34" x14ac:dyDescent="0.25">
      <c r="B28" s="73"/>
      <c r="C28" s="74"/>
      <c r="D28" s="80"/>
      <c r="E28" s="81"/>
      <c r="F28" s="81"/>
      <c r="G28" s="81"/>
      <c r="H28" s="81"/>
      <c r="I28" s="82"/>
      <c r="J28" s="88"/>
      <c r="K28" s="89"/>
      <c r="L28" s="88"/>
      <c r="M28" s="89"/>
      <c r="N28" s="80"/>
      <c r="O28" s="82"/>
      <c r="P28" s="94"/>
      <c r="Q28" s="95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8"/>
      <c r="AD28" s="98"/>
      <c r="AE28" s="98"/>
      <c r="AF28" s="98"/>
      <c r="AG28" s="98"/>
      <c r="AH28" s="98"/>
    </row>
    <row r="29" spans="2:34" x14ac:dyDescent="0.25">
      <c r="B29" s="75"/>
      <c r="C29" s="76"/>
      <c r="D29" s="83"/>
      <c r="E29" s="84"/>
      <c r="F29" s="84"/>
      <c r="G29" s="84"/>
      <c r="H29" s="84"/>
      <c r="I29" s="85"/>
      <c r="J29" s="90"/>
      <c r="K29" s="91"/>
      <c r="L29" s="90"/>
      <c r="M29" s="91"/>
      <c r="N29" s="83"/>
      <c r="O29" s="85"/>
      <c r="P29" s="96"/>
      <c r="Q29" s="97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8"/>
      <c r="AD29" s="98"/>
      <c r="AE29" s="98"/>
      <c r="AF29" s="98"/>
      <c r="AG29" s="98"/>
      <c r="AH29" s="98"/>
    </row>
    <row r="30" spans="2:34" x14ac:dyDescent="0.25">
      <c r="B30" s="71" t="s">
        <v>46</v>
      </c>
      <c r="C30" s="72"/>
      <c r="D30" s="77" t="s">
        <v>46</v>
      </c>
      <c r="E30" s="78"/>
      <c r="F30" s="78"/>
      <c r="G30" s="78"/>
      <c r="H30" s="78"/>
      <c r="I30" s="79"/>
      <c r="J30" s="86">
        <v>43579</v>
      </c>
      <c r="K30" s="87"/>
      <c r="L30" s="86">
        <v>43660</v>
      </c>
      <c r="M30" s="87"/>
      <c r="N30" s="77" t="s">
        <v>17</v>
      </c>
      <c r="O30" s="79"/>
      <c r="P30" s="92" t="s">
        <v>22</v>
      </c>
      <c r="Q30" s="93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8"/>
      <c r="AD30" s="98"/>
      <c r="AE30" s="98"/>
      <c r="AF30" s="98"/>
      <c r="AG30" s="98"/>
      <c r="AH30" s="98"/>
    </row>
    <row r="31" spans="2:34" x14ac:dyDescent="0.25">
      <c r="B31" s="73"/>
      <c r="C31" s="74"/>
      <c r="D31" s="80"/>
      <c r="E31" s="81"/>
      <c r="F31" s="81"/>
      <c r="G31" s="81"/>
      <c r="H31" s="81"/>
      <c r="I31" s="82"/>
      <c r="J31" s="88"/>
      <c r="K31" s="89"/>
      <c r="L31" s="88"/>
      <c r="M31" s="89"/>
      <c r="N31" s="80"/>
      <c r="O31" s="82"/>
      <c r="P31" s="94"/>
      <c r="Q31" s="95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8"/>
      <c r="AD31" s="98"/>
      <c r="AE31" s="98"/>
      <c r="AF31" s="98"/>
      <c r="AG31" s="98"/>
      <c r="AH31" s="98"/>
    </row>
    <row r="32" spans="2:34" x14ac:dyDescent="0.25">
      <c r="B32" s="75"/>
      <c r="C32" s="76"/>
      <c r="D32" s="83"/>
      <c r="E32" s="84"/>
      <c r="F32" s="84"/>
      <c r="G32" s="84"/>
      <c r="H32" s="84"/>
      <c r="I32" s="85"/>
      <c r="J32" s="90"/>
      <c r="K32" s="91"/>
      <c r="L32" s="90"/>
      <c r="M32" s="91"/>
      <c r="N32" s="83"/>
      <c r="O32" s="85"/>
      <c r="P32" s="96"/>
      <c r="Q32" s="97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8"/>
      <c r="AD32" s="98"/>
      <c r="AE32" s="98"/>
      <c r="AF32" s="98"/>
      <c r="AG32" s="98"/>
      <c r="AH32" s="98"/>
    </row>
    <row r="33" spans="2:34" x14ac:dyDescent="0.25">
      <c r="B33" s="71" t="s">
        <v>44</v>
      </c>
      <c r="C33" s="72"/>
      <c r="D33" s="77" t="s">
        <v>47</v>
      </c>
      <c r="E33" s="78"/>
      <c r="F33" s="78"/>
      <c r="G33" s="78"/>
      <c r="H33" s="78"/>
      <c r="I33" s="79"/>
      <c r="J33" s="86">
        <v>43579</v>
      </c>
      <c r="K33" s="87"/>
      <c r="L33" s="86">
        <v>43745</v>
      </c>
      <c r="M33" s="87"/>
      <c r="N33" s="77" t="s">
        <v>19</v>
      </c>
      <c r="O33" s="79"/>
      <c r="P33" s="92" t="s">
        <v>22</v>
      </c>
      <c r="Q33" s="93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8"/>
      <c r="AD33" s="98"/>
      <c r="AE33" s="98"/>
      <c r="AF33" s="98"/>
      <c r="AG33" s="98"/>
      <c r="AH33" s="98"/>
    </row>
    <row r="34" spans="2:34" x14ac:dyDescent="0.25">
      <c r="B34" s="73"/>
      <c r="C34" s="74"/>
      <c r="D34" s="80"/>
      <c r="E34" s="81"/>
      <c r="F34" s="81"/>
      <c r="G34" s="81"/>
      <c r="H34" s="81"/>
      <c r="I34" s="82"/>
      <c r="J34" s="88"/>
      <c r="K34" s="89"/>
      <c r="L34" s="88"/>
      <c r="M34" s="89"/>
      <c r="N34" s="80"/>
      <c r="O34" s="82"/>
      <c r="P34" s="94"/>
      <c r="Q34" s="95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8"/>
      <c r="AD34" s="98"/>
      <c r="AE34" s="98"/>
      <c r="AF34" s="98"/>
      <c r="AG34" s="98"/>
      <c r="AH34" s="98"/>
    </row>
    <row r="35" spans="2:34" x14ac:dyDescent="0.25">
      <c r="B35" s="75"/>
      <c r="C35" s="76"/>
      <c r="D35" s="83"/>
      <c r="E35" s="84"/>
      <c r="F35" s="84"/>
      <c r="G35" s="84"/>
      <c r="H35" s="84"/>
      <c r="I35" s="85"/>
      <c r="J35" s="90"/>
      <c r="K35" s="91"/>
      <c r="L35" s="90"/>
      <c r="M35" s="91"/>
      <c r="N35" s="83"/>
      <c r="O35" s="85"/>
      <c r="P35" s="96"/>
      <c r="Q35" s="97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8"/>
      <c r="AD35" s="98"/>
      <c r="AE35" s="98"/>
      <c r="AF35" s="98"/>
      <c r="AG35" s="98"/>
      <c r="AH35" s="98"/>
    </row>
    <row r="36" spans="2:34" x14ac:dyDescent="0.25">
      <c r="B36" s="71" t="s">
        <v>48</v>
      </c>
      <c r="C36" s="72"/>
      <c r="D36" s="77" t="s">
        <v>46</v>
      </c>
      <c r="E36" s="78"/>
      <c r="F36" s="78"/>
      <c r="G36" s="78"/>
      <c r="H36" s="78"/>
      <c r="I36" s="79"/>
      <c r="J36" s="86">
        <v>43579</v>
      </c>
      <c r="K36" s="87"/>
      <c r="L36" s="86">
        <v>43660</v>
      </c>
      <c r="M36" s="87"/>
      <c r="N36" s="77" t="s">
        <v>19</v>
      </c>
      <c r="O36" s="79"/>
      <c r="P36" s="92" t="s">
        <v>22</v>
      </c>
      <c r="Q36" s="93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8"/>
      <c r="AD36" s="98"/>
      <c r="AE36" s="98"/>
      <c r="AF36" s="98"/>
      <c r="AG36" s="98"/>
      <c r="AH36" s="98"/>
    </row>
    <row r="37" spans="2:34" x14ac:dyDescent="0.25">
      <c r="B37" s="73"/>
      <c r="C37" s="74"/>
      <c r="D37" s="80"/>
      <c r="E37" s="81"/>
      <c r="F37" s="81"/>
      <c r="G37" s="81"/>
      <c r="H37" s="81"/>
      <c r="I37" s="82"/>
      <c r="J37" s="88"/>
      <c r="K37" s="89"/>
      <c r="L37" s="88"/>
      <c r="M37" s="89"/>
      <c r="N37" s="80"/>
      <c r="O37" s="82"/>
      <c r="P37" s="94"/>
      <c r="Q37" s="95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8"/>
      <c r="AD37" s="98"/>
      <c r="AE37" s="98"/>
      <c r="AF37" s="98"/>
      <c r="AG37" s="98"/>
      <c r="AH37" s="98"/>
    </row>
    <row r="38" spans="2:34" x14ac:dyDescent="0.25">
      <c r="B38" s="75"/>
      <c r="C38" s="76"/>
      <c r="D38" s="83"/>
      <c r="E38" s="84"/>
      <c r="F38" s="84"/>
      <c r="G38" s="84"/>
      <c r="H38" s="84"/>
      <c r="I38" s="85"/>
      <c r="J38" s="90"/>
      <c r="K38" s="91"/>
      <c r="L38" s="90"/>
      <c r="M38" s="91"/>
      <c r="N38" s="83"/>
      <c r="O38" s="85"/>
      <c r="P38" s="96"/>
      <c r="Q38" s="97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8"/>
      <c r="AD38" s="98"/>
      <c r="AE38" s="98"/>
      <c r="AF38" s="98"/>
      <c r="AG38" s="98"/>
      <c r="AH38" s="98"/>
    </row>
    <row r="39" spans="2:34" x14ac:dyDescent="0.25">
      <c r="B39" s="71" t="s">
        <v>48</v>
      </c>
      <c r="C39" s="72"/>
      <c r="D39" s="77" t="s">
        <v>46</v>
      </c>
      <c r="E39" s="78"/>
      <c r="F39" s="78"/>
      <c r="G39" s="78"/>
      <c r="H39" s="78"/>
      <c r="I39" s="79"/>
      <c r="J39" s="86">
        <v>43579</v>
      </c>
      <c r="K39" s="87"/>
      <c r="L39" s="86">
        <v>43660</v>
      </c>
      <c r="M39" s="87"/>
      <c r="N39" s="77" t="s">
        <v>19</v>
      </c>
      <c r="O39" s="79"/>
      <c r="P39" s="92" t="s">
        <v>22</v>
      </c>
      <c r="Q39" s="93"/>
      <c r="S39" s="99"/>
      <c r="T39" s="99"/>
      <c r="U39" s="99"/>
      <c r="V39" s="99"/>
      <c r="W39" s="99"/>
      <c r="X39" s="99"/>
      <c r="Y39" s="99"/>
      <c r="Z39" s="99"/>
      <c r="AA39" s="99"/>
      <c r="AB39" s="99"/>
      <c r="AC39" s="98"/>
      <c r="AD39" s="98"/>
      <c r="AE39" s="98"/>
      <c r="AF39" s="98"/>
      <c r="AG39" s="98"/>
      <c r="AH39" s="98"/>
    </row>
    <row r="40" spans="2:34" x14ac:dyDescent="0.25">
      <c r="B40" s="73"/>
      <c r="C40" s="74"/>
      <c r="D40" s="80"/>
      <c r="E40" s="81"/>
      <c r="F40" s="81"/>
      <c r="G40" s="81"/>
      <c r="H40" s="81"/>
      <c r="I40" s="82"/>
      <c r="J40" s="88"/>
      <c r="K40" s="89"/>
      <c r="L40" s="88"/>
      <c r="M40" s="89"/>
      <c r="N40" s="80"/>
      <c r="O40" s="82"/>
      <c r="P40" s="94"/>
      <c r="Q40" s="95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8"/>
      <c r="AD40" s="98"/>
      <c r="AE40" s="98"/>
      <c r="AF40" s="98"/>
      <c r="AG40" s="98"/>
      <c r="AH40" s="98"/>
    </row>
    <row r="41" spans="2:34" x14ac:dyDescent="0.25">
      <c r="B41" s="75"/>
      <c r="C41" s="76"/>
      <c r="D41" s="83"/>
      <c r="E41" s="84"/>
      <c r="F41" s="84"/>
      <c r="G41" s="84"/>
      <c r="H41" s="84"/>
      <c r="I41" s="85"/>
      <c r="J41" s="90"/>
      <c r="K41" s="91"/>
      <c r="L41" s="90"/>
      <c r="M41" s="91"/>
      <c r="N41" s="83"/>
      <c r="O41" s="85"/>
      <c r="P41" s="96"/>
      <c r="Q41" s="97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8"/>
      <c r="AD41" s="98"/>
      <c r="AE41" s="98"/>
      <c r="AF41" s="98"/>
      <c r="AG41" s="98"/>
      <c r="AH41" s="98"/>
    </row>
    <row r="42" spans="2:34" x14ac:dyDescent="0.25">
      <c r="B42" s="71"/>
      <c r="C42" s="72"/>
      <c r="D42" s="77"/>
      <c r="E42" s="78"/>
      <c r="F42" s="78"/>
      <c r="G42" s="78"/>
      <c r="H42" s="78"/>
      <c r="I42" s="79"/>
      <c r="J42" s="86"/>
      <c r="K42" s="87"/>
      <c r="L42" s="86"/>
      <c r="M42" s="87"/>
      <c r="N42" s="77"/>
      <c r="O42" s="79"/>
      <c r="P42" s="92" t="s">
        <v>22</v>
      </c>
      <c r="Q42" s="93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8"/>
      <c r="AD42" s="98"/>
      <c r="AE42" s="98"/>
      <c r="AF42" s="98"/>
      <c r="AG42" s="98"/>
      <c r="AH42" s="98"/>
    </row>
    <row r="43" spans="2:34" x14ac:dyDescent="0.25">
      <c r="B43" s="73"/>
      <c r="C43" s="74"/>
      <c r="D43" s="80"/>
      <c r="E43" s="81"/>
      <c r="F43" s="81"/>
      <c r="G43" s="81"/>
      <c r="H43" s="81"/>
      <c r="I43" s="82"/>
      <c r="J43" s="88"/>
      <c r="K43" s="89"/>
      <c r="L43" s="88"/>
      <c r="M43" s="89"/>
      <c r="N43" s="80"/>
      <c r="O43" s="82"/>
      <c r="P43" s="94"/>
      <c r="Q43" s="95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8"/>
      <c r="AD43" s="98"/>
      <c r="AE43" s="98"/>
      <c r="AF43" s="98"/>
      <c r="AG43" s="98"/>
      <c r="AH43" s="98"/>
    </row>
    <row r="44" spans="2:34" x14ac:dyDescent="0.25">
      <c r="B44" s="75"/>
      <c r="C44" s="76"/>
      <c r="D44" s="83"/>
      <c r="E44" s="84"/>
      <c r="F44" s="84"/>
      <c r="G44" s="84"/>
      <c r="H44" s="84"/>
      <c r="I44" s="85"/>
      <c r="J44" s="90"/>
      <c r="K44" s="91"/>
      <c r="L44" s="90"/>
      <c r="M44" s="91"/>
      <c r="N44" s="83"/>
      <c r="O44" s="85"/>
      <c r="P44" s="96"/>
      <c r="Q44" s="97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8"/>
      <c r="AD44" s="98"/>
      <c r="AE44" s="98"/>
      <c r="AF44" s="98"/>
      <c r="AG44" s="98"/>
      <c r="AH44" s="98"/>
    </row>
    <row r="45" spans="2:34" x14ac:dyDescent="0.25">
      <c r="B45" s="71"/>
      <c r="C45" s="72"/>
      <c r="D45" s="77"/>
      <c r="E45" s="78"/>
      <c r="F45" s="78"/>
      <c r="G45" s="78"/>
      <c r="H45" s="78"/>
      <c r="I45" s="79"/>
      <c r="J45" s="86"/>
      <c r="K45" s="87"/>
      <c r="L45" s="86"/>
      <c r="M45" s="87"/>
      <c r="N45" s="77"/>
      <c r="O45" s="79"/>
      <c r="P45" s="92"/>
      <c r="Q45" s="93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8"/>
      <c r="AD45" s="98"/>
      <c r="AE45" s="98"/>
      <c r="AF45" s="98"/>
      <c r="AG45" s="98"/>
      <c r="AH45" s="98"/>
    </row>
    <row r="46" spans="2:34" x14ac:dyDescent="0.25">
      <c r="B46" s="73"/>
      <c r="C46" s="74"/>
      <c r="D46" s="80"/>
      <c r="E46" s="81"/>
      <c r="F46" s="81"/>
      <c r="G46" s="81"/>
      <c r="H46" s="81"/>
      <c r="I46" s="82"/>
      <c r="J46" s="88"/>
      <c r="K46" s="89"/>
      <c r="L46" s="88"/>
      <c r="M46" s="89"/>
      <c r="N46" s="80"/>
      <c r="O46" s="82"/>
      <c r="P46" s="94"/>
      <c r="Q46" s="95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8"/>
      <c r="AD46" s="98"/>
      <c r="AE46" s="98"/>
      <c r="AF46" s="98"/>
      <c r="AG46" s="98"/>
      <c r="AH46" s="98"/>
    </row>
    <row r="47" spans="2:34" x14ac:dyDescent="0.25">
      <c r="B47" s="75"/>
      <c r="C47" s="76"/>
      <c r="D47" s="83"/>
      <c r="E47" s="84"/>
      <c r="F47" s="84"/>
      <c r="G47" s="84"/>
      <c r="H47" s="84"/>
      <c r="I47" s="85"/>
      <c r="J47" s="90"/>
      <c r="K47" s="91"/>
      <c r="L47" s="90"/>
      <c r="M47" s="91"/>
      <c r="N47" s="83"/>
      <c r="O47" s="85"/>
      <c r="P47" s="96"/>
      <c r="Q47" s="97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8"/>
      <c r="AD47" s="98"/>
      <c r="AE47" s="98"/>
      <c r="AF47" s="98"/>
      <c r="AG47" s="98"/>
      <c r="AH47" s="98"/>
    </row>
    <row r="48" spans="2:34" x14ac:dyDescent="0.25">
      <c r="B48" s="71"/>
      <c r="C48" s="72"/>
      <c r="D48" s="77"/>
      <c r="E48" s="78"/>
      <c r="F48" s="78"/>
      <c r="G48" s="78"/>
      <c r="H48" s="78"/>
      <c r="I48" s="79"/>
      <c r="J48" s="86"/>
      <c r="K48" s="87"/>
      <c r="L48" s="86"/>
      <c r="M48" s="87"/>
      <c r="N48" s="77"/>
      <c r="O48" s="79"/>
      <c r="P48" s="92"/>
      <c r="Q48" s="93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8"/>
      <c r="AD48" s="98"/>
      <c r="AE48" s="98"/>
      <c r="AF48" s="98"/>
      <c r="AG48" s="98"/>
      <c r="AH48" s="98"/>
    </row>
    <row r="49" spans="2:34" x14ac:dyDescent="0.25">
      <c r="B49" s="73"/>
      <c r="C49" s="74"/>
      <c r="D49" s="80"/>
      <c r="E49" s="81"/>
      <c r="F49" s="81"/>
      <c r="G49" s="81"/>
      <c r="H49" s="81"/>
      <c r="I49" s="82"/>
      <c r="J49" s="88"/>
      <c r="K49" s="89"/>
      <c r="L49" s="88"/>
      <c r="M49" s="89"/>
      <c r="N49" s="80"/>
      <c r="O49" s="82"/>
      <c r="P49" s="94"/>
      <c r="Q49" s="95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8"/>
      <c r="AD49" s="98"/>
      <c r="AE49" s="98"/>
      <c r="AF49" s="98"/>
      <c r="AG49" s="98"/>
      <c r="AH49" s="98"/>
    </row>
    <row r="50" spans="2:34" x14ac:dyDescent="0.25">
      <c r="B50" s="75"/>
      <c r="C50" s="76"/>
      <c r="D50" s="83"/>
      <c r="E50" s="84"/>
      <c r="F50" s="84"/>
      <c r="G50" s="84"/>
      <c r="H50" s="84"/>
      <c r="I50" s="85"/>
      <c r="J50" s="90"/>
      <c r="K50" s="91"/>
      <c r="L50" s="90"/>
      <c r="M50" s="91"/>
      <c r="N50" s="83"/>
      <c r="O50" s="85"/>
      <c r="P50" s="96"/>
      <c r="Q50" s="97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8"/>
      <c r="AD50" s="98"/>
      <c r="AE50" s="98"/>
      <c r="AF50" s="98"/>
      <c r="AG50" s="98"/>
      <c r="AH50" s="98"/>
    </row>
    <row r="51" spans="2:34" x14ac:dyDescent="0.25">
      <c r="B51" s="71"/>
      <c r="C51" s="72"/>
      <c r="D51" s="77"/>
      <c r="E51" s="78"/>
      <c r="F51" s="78"/>
      <c r="G51" s="78"/>
      <c r="H51" s="78"/>
      <c r="I51" s="79"/>
      <c r="J51" s="86"/>
      <c r="K51" s="87"/>
      <c r="L51" s="86"/>
      <c r="M51" s="87"/>
      <c r="N51" s="77"/>
      <c r="O51" s="79"/>
      <c r="P51" s="92"/>
      <c r="Q51" s="93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8"/>
      <c r="AD51" s="98"/>
      <c r="AE51" s="98"/>
      <c r="AF51" s="98"/>
      <c r="AG51" s="98"/>
      <c r="AH51" s="98"/>
    </row>
    <row r="52" spans="2:34" x14ac:dyDescent="0.25">
      <c r="B52" s="73"/>
      <c r="C52" s="74"/>
      <c r="D52" s="80"/>
      <c r="E52" s="81"/>
      <c r="F52" s="81"/>
      <c r="G52" s="81"/>
      <c r="H52" s="81"/>
      <c r="I52" s="82"/>
      <c r="J52" s="88"/>
      <c r="K52" s="89"/>
      <c r="L52" s="88"/>
      <c r="M52" s="89"/>
      <c r="N52" s="80"/>
      <c r="O52" s="82"/>
      <c r="P52" s="94"/>
      <c r="Q52" s="95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8"/>
      <c r="AD52" s="98"/>
      <c r="AE52" s="98"/>
      <c r="AF52" s="98"/>
      <c r="AG52" s="98"/>
      <c r="AH52" s="98"/>
    </row>
    <row r="53" spans="2:34" x14ac:dyDescent="0.25">
      <c r="B53" s="75"/>
      <c r="C53" s="76"/>
      <c r="D53" s="83"/>
      <c r="E53" s="84"/>
      <c r="F53" s="84"/>
      <c r="G53" s="84"/>
      <c r="H53" s="84"/>
      <c r="I53" s="85"/>
      <c r="J53" s="90"/>
      <c r="K53" s="91"/>
      <c r="L53" s="90"/>
      <c r="M53" s="91"/>
      <c r="N53" s="83"/>
      <c r="O53" s="85"/>
      <c r="P53" s="96"/>
      <c r="Q53" s="97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8"/>
      <c r="AD53" s="98"/>
      <c r="AE53" s="98"/>
      <c r="AF53" s="98"/>
      <c r="AG53" s="98"/>
      <c r="AH53" s="98"/>
    </row>
    <row r="54" spans="2:34" x14ac:dyDescent="0.25">
      <c r="B54" s="71"/>
      <c r="C54" s="72"/>
      <c r="D54" s="77"/>
      <c r="E54" s="78"/>
      <c r="F54" s="78"/>
      <c r="G54" s="78"/>
      <c r="H54" s="78"/>
      <c r="I54" s="79"/>
      <c r="J54" s="86"/>
      <c r="K54" s="87"/>
      <c r="L54" s="86"/>
      <c r="M54" s="87"/>
      <c r="N54" s="77"/>
      <c r="O54" s="79"/>
      <c r="P54" s="92"/>
      <c r="Q54" s="93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8"/>
      <c r="AD54" s="98"/>
      <c r="AE54" s="98"/>
      <c r="AF54" s="98"/>
      <c r="AG54" s="98"/>
      <c r="AH54" s="98"/>
    </row>
    <row r="55" spans="2:34" x14ac:dyDescent="0.25">
      <c r="B55" s="73"/>
      <c r="C55" s="74"/>
      <c r="D55" s="80"/>
      <c r="E55" s="81"/>
      <c r="F55" s="81"/>
      <c r="G55" s="81"/>
      <c r="H55" s="81"/>
      <c r="I55" s="82"/>
      <c r="J55" s="88"/>
      <c r="K55" s="89"/>
      <c r="L55" s="88"/>
      <c r="M55" s="89"/>
      <c r="N55" s="80"/>
      <c r="O55" s="82"/>
      <c r="P55" s="94"/>
      <c r="Q55" s="95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8"/>
      <c r="AD55" s="98"/>
      <c r="AE55" s="98"/>
      <c r="AF55" s="98"/>
      <c r="AG55" s="98"/>
      <c r="AH55" s="98"/>
    </row>
    <row r="56" spans="2:34" x14ac:dyDescent="0.25">
      <c r="B56" s="75"/>
      <c r="C56" s="76"/>
      <c r="D56" s="83"/>
      <c r="E56" s="84"/>
      <c r="F56" s="84"/>
      <c r="G56" s="84"/>
      <c r="H56" s="84"/>
      <c r="I56" s="85"/>
      <c r="J56" s="90"/>
      <c r="K56" s="91"/>
      <c r="L56" s="90"/>
      <c r="M56" s="91"/>
      <c r="N56" s="83"/>
      <c r="O56" s="85"/>
      <c r="P56" s="96"/>
      <c r="Q56" s="97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8"/>
      <c r="AD56" s="98"/>
      <c r="AE56" s="98"/>
      <c r="AF56" s="98"/>
      <c r="AG56" s="98"/>
      <c r="AH56" s="98"/>
    </row>
    <row r="57" spans="2:34" x14ac:dyDescent="0.25">
      <c r="B57" s="71"/>
      <c r="C57" s="72"/>
      <c r="D57" s="77"/>
      <c r="E57" s="78"/>
      <c r="F57" s="78"/>
      <c r="G57" s="78"/>
      <c r="H57" s="78"/>
      <c r="I57" s="79"/>
      <c r="J57" s="86"/>
      <c r="K57" s="87"/>
      <c r="L57" s="86"/>
      <c r="M57" s="87"/>
      <c r="N57" s="77"/>
      <c r="O57" s="79"/>
      <c r="P57" s="92"/>
      <c r="Q57" s="93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8"/>
      <c r="AD57" s="98"/>
      <c r="AE57" s="98"/>
      <c r="AF57" s="98"/>
      <c r="AG57" s="98"/>
      <c r="AH57" s="98"/>
    </row>
    <row r="58" spans="2:34" x14ac:dyDescent="0.25">
      <c r="B58" s="73"/>
      <c r="C58" s="74"/>
      <c r="D58" s="80"/>
      <c r="E58" s="81"/>
      <c r="F58" s="81"/>
      <c r="G58" s="81"/>
      <c r="H58" s="81"/>
      <c r="I58" s="82"/>
      <c r="J58" s="88"/>
      <c r="K58" s="89"/>
      <c r="L58" s="88"/>
      <c r="M58" s="89"/>
      <c r="N58" s="80"/>
      <c r="O58" s="82"/>
      <c r="P58" s="94"/>
      <c r="Q58" s="95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8"/>
      <c r="AD58" s="98"/>
      <c r="AE58" s="98"/>
      <c r="AF58" s="98"/>
      <c r="AG58" s="98"/>
      <c r="AH58" s="98"/>
    </row>
    <row r="59" spans="2:34" x14ac:dyDescent="0.25">
      <c r="B59" s="75"/>
      <c r="C59" s="76"/>
      <c r="D59" s="83"/>
      <c r="E59" s="84"/>
      <c r="F59" s="84"/>
      <c r="G59" s="84"/>
      <c r="H59" s="84"/>
      <c r="I59" s="85"/>
      <c r="J59" s="90"/>
      <c r="K59" s="91"/>
      <c r="L59" s="90"/>
      <c r="M59" s="91"/>
      <c r="N59" s="83"/>
      <c r="O59" s="85"/>
      <c r="P59" s="96"/>
      <c r="Q59" s="97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8"/>
      <c r="AD59" s="98"/>
      <c r="AE59" s="98"/>
      <c r="AF59" s="98"/>
      <c r="AG59" s="98"/>
      <c r="AH59" s="98"/>
    </row>
    <row r="60" spans="2:34" x14ac:dyDescent="0.25">
      <c r="B60" s="71"/>
      <c r="C60" s="72"/>
      <c r="D60" s="77"/>
      <c r="E60" s="78"/>
      <c r="F60" s="78"/>
      <c r="G60" s="78"/>
      <c r="H60" s="78"/>
      <c r="I60" s="79"/>
      <c r="J60" s="86"/>
      <c r="K60" s="87"/>
      <c r="L60" s="86"/>
      <c r="M60" s="87"/>
      <c r="N60" s="77"/>
      <c r="O60" s="79"/>
      <c r="P60" s="92"/>
      <c r="Q60" s="93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8"/>
      <c r="AD60" s="98"/>
      <c r="AE60" s="98"/>
      <c r="AF60" s="98"/>
      <c r="AG60" s="98"/>
      <c r="AH60" s="98"/>
    </row>
    <row r="61" spans="2:34" x14ac:dyDescent="0.25">
      <c r="B61" s="73"/>
      <c r="C61" s="74"/>
      <c r="D61" s="80"/>
      <c r="E61" s="81"/>
      <c r="F61" s="81"/>
      <c r="G61" s="81"/>
      <c r="H61" s="81"/>
      <c r="I61" s="82"/>
      <c r="J61" s="88"/>
      <c r="K61" s="89"/>
      <c r="L61" s="88"/>
      <c r="M61" s="89"/>
      <c r="N61" s="80"/>
      <c r="O61" s="82"/>
      <c r="P61" s="94"/>
      <c r="Q61" s="95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8"/>
      <c r="AD61" s="98"/>
      <c r="AE61" s="98"/>
      <c r="AF61" s="98"/>
      <c r="AG61" s="98"/>
      <c r="AH61" s="98"/>
    </row>
    <row r="62" spans="2:34" x14ac:dyDescent="0.25">
      <c r="B62" s="75"/>
      <c r="C62" s="76"/>
      <c r="D62" s="83"/>
      <c r="E62" s="84"/>
      <c r="F62" s="84"/>
      <c r="G62" s="84"/>
      <c r="H62" s="84"/>
      <c r="I62" s="85"/>
      <c r="J62" s="90"/>
      <c r="K62" s="91"/>
      <c r="L62" s="90"/>
      <c r="M62" s="91"/>
      <c r="N62" s="83"/>
      <c r="O62" s="85"/>
      <c r="P62" s="96"/>
      <c r="Q62" s="97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8"/>
      <c r="AD62" s="98"/>
      <c r="AE62" s="98"/>
      <c r="AF62" s="98"/>
      <c r="AG62" s="98"/>
      <c r="AH62" s="98"/>
    </row>
    <row r="63" spans="2:34" x14ac:dyDescent="0.25">
      <c r="B63" s="71"/>
      <c r="C63" s="72"/>
      <c r="D63" s="77"/>
      <c r="E63" s="78"/>
      <c r="F63" s="78"/>
      <c r="G63" s="78"/>
      <c r="H63" s="78"/>
      <c r="I63" s="79"/>
      <c r="J63" s="86"/>
      <c r="K63" s="87"/>
      <c r="L63" s="86"/>
      <c r="M63" s="87"/>
      <c r="N63" s="77"/>
      <c r="O63" s="79"/>
      <c r="P63" s="92"/>
      <c r="Q63" s="93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8"/>
      <c r="AD63" s="98"/>
      <c r="AE63" s="98"/>
      <c r="AF63" s="98"/>
      <c r="AG63" s="98"/>
      <c r="AH63" s="98"/>
    </row>
    <row r="64" spans="2:34" x14ac:dyDescent="0.25">
      <c r="B64" s="73"/>
      <c r="C64" s="74"/>
      <c r="D64" s="80"/>
      <c r="E64" s="81"/>
      <c r="F64" s="81"/>
      <c r="G64" s="81"/>
      <c r="H64" s="81"/>
      <c r="I64" s="82"/>
      <c r="J64" s="88"/>
      <c r="K64" s="89"/>
      <c r="L64" s="88"/>
      <c r="M64" s="89"/>
      <c r="N64" s="80"/>
      <c r="O64" s="82"/>
      <c r="P64" s="94"/>
      <c r="Q64" s="95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8"/>
      <c r="AD64" s="98"/>
      <c r="AE64" s="98"/>
      <c r="AF64" s="98"/>
      <c r="AG64" s="98"/>
      <c r="AH64" s="98"/>
    </row>
    <row r="65" spans="2:34" x14ac:dyDescent="0.25">
      <c r="B65" s="75"/>
      <c r="C65" s="76"/>
      <c r="D65" s="83"/>
      <c r="E65" s="84"/>
      <c r="F65" s="84"/>
      <c r="G65" s="84"/>
      <c r="H65" s="84"/>
      <c r="I65" s="85"/>
      <c r="J65" s="90"/>
      <c r="K65" s="91"/>
      <c r="L65" s="90"/>
      <c r="M65" s="91"/>
      <c r="N65" s="83"/>
      <c r="O65" s="85"/>
      <c r="P65" s="96"/>
      <c r="Q65" s="97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8"/>
      <c r="AD65" s="98"/>
      <c r="AE65" s="98"/>
      <c r="AF65" s="98"/>
      <c r="AG65" s="98"/>
      <c r="AH65" s="98"/>
    </row>
    <row r="66" spans="2:34" x14ac:dyDescent="0.25">
      <c r="B66" s="71"/>
      <c r="C66" s="72"/>
      <c r="D66" s="77"/>
      <c r="E66" s="78"/>
      <c r="F66" s="78"/>
      <c r="G66" s="78"/>
      <c r="H66" s="78"/>
      <c r="I66" s="79"/>
      <c r="J66" s="86"/>
      <c r="K66" s="87"/>
      <c r="L66" s="86"/>
      <c r="M66" s="87"/>
      <c r="N66" s="77"/>
      <c r="O66" s="79"/>
      <c r="P66" s="92"/>
      <c r="Q66" s="93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8"/>
      <c r="AD66" s="98"/>
      <c r="AE66" s="98"/>
      <c r="AF66" s="98"/>
      <c r="AG66" s="98"/>
      <c r="AH66" s="98"/>
    </row>
    <row r="67" spans="2:34" x14ac:dyDescent="0.25">
      <c r="B67" s="73"/>
      <c r="C67" s="74"/>
      <c r="D67" s="80"/>
      <c r="E67" s="81"/>
      <c r="F67" s="81"/>
      <c r="G67" s="81"/>
      <c r="H67" s="81"/>
      <c r="I67" s="82"/>
      <c r="J67" s="88"/>
      <c r="K67" s="89"/>
      <c r="L67" s="88"/>
      <c r="M67" s="89"/>
      <c r="N67" s="80"/>
      <c r="O67" s="82"/>
      <c r="P67" s="94"/>
      <c r="Q67" s="95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8"/>
      <c r="AD67" s="98"/>
      <c r="AE67" s="98"/>
      <c r="AF67" s="98"/>
      <c r="AG67" s="98"/>
      <c r="AH67" s="98"/>
    </row>
    <row r="68" spans="2:34" x14ac:dyDescent="0.25">
      <c r="B68" s="75"/>
      <c r="C68" s="76"/>
      <c r="D68" s="83"/>
      <c r="E68" s="84"/>
      <c r="F68" s="84"/>
      <c r="G68" s="84"/>
      <c r="H68" s="84"/>
      <c r="I68" s="85"/>
      <c r="J68" s="90"/>
      <c r="K68" s="91"/>
      <c r="L68" s="90"/>
      <c r="M68" s="91"/>
      <c r="N68" s="83"/>
      <c r="O68" s="85"/>
      <c r="P68" s="96"/>
      <c r="Q68" s="97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8"/>
      <c r="AD68" s="98"/>
      <c r="AE68" s="98"/>
      <c r="AF68" s="98"/>
      <c r="AG68" s="98"/>
      <c r="AH68" s="98"/>
    </row>
    <row r="69" spans="2:34" x14ac:dyDescent="0.25">
      <c r="B69" s="71"/>
      <c r="C69" s="72"/>
      <c r="D69" s="77"/>
      <c r="E69" s="78"/>
      <c r="F69" s="78"/>
      <c r="G69" s="78"/>
      <c r="H69" s="78"/>
      <c r="I69" s="79"/>
      <c r="J69" s="86"/>
      <c r="K69" s="87"/>
      <c r="L69" s="86"/>
      <c r="M69" s="87"/>
      <c r="N69" s="77"/>
      <c r="O69" s="79"/>
      <c r="P69" s="92"/>
      <c r="Q69" s="93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8"/>
      <c r="AD69" s="98"/>
      <c r="AE69" s="98"/>
      <c r="AF69" s="98"/>
      <c r="AG69" s="98"/>
      <c r="AH69" s="98"/>
    </row>
    <row r="70" spans="2:34" x14ac:dyDescent="0.25">
      <c r="B70" s="73"/>
      <c r="C70" s="74"/>
      <c r="D70" s="80"/>
      <c r="E70" s="81"/>
      <c r="F70" s="81"/>
      <c r="G70" s="81"/>
      <c r="H70" s="81"/>
      <c r="I70" s="82"/>
      <c r="J70" s="88"/>
      <c r="K70" s="89"/>
      <c r="L70" s="88"/>
      <c r="M70" s="89"/>
      <c r="N70" s="80"/>
      <c r="O70" s="82"/>
      <c r="P70" s="94"/>
      <c r="Q70" s="95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8"/>
      <c r="AD70" s="98"/>
      <c r="AE70" s="98"/>
      <c r="AF70" s="98"/>
      <c r="AG70" s="98"/>
      <c r="AH70" s="98"/>
    </row>
    <row r="71" spans="2:34" x14ac:dyDescent="0.25">
      <c r="B71" s="75"/>
      <c r="C71" s="76"/>
      <c r="D71" s="83"/>
      <c r="E71" s="84"/>
      <c r="F71" s="84"/>
      <c r="G71" s="84"/>
      <c r="H71" s="84"/>
      <c r="I71" s="85"/>
      <c r="J71" s="90"/>
      <c r="K71" s="91"/>
      <c r="L71" s="90"/>
      <c r="M71" s="91"/>
      <c r="N71" s="83"/>
      <c r="O71" s="85"/>
      <c r="P71" s="96"/>
      <c r="Q71" s="97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8"/>
      <c r="AD71" s="98"/>
      <c r="AE71" s="98"/>
      <c r="AF71" s="98"/>
      <c r="AG71" s="98"/>
      <c r="AH71" s="98"/>
    </row>
    <row r="72" spans="2:34" x14ac:dyDescent="0.25">
      <c r="B72" s="71"/>
      <c r="C72" s="72"/>
      <c r="D72" s="77"/>
      <c r="E72" s="78"/>
      <c r="F72" s="78"/>
      <c r="G72" s="78"/>
      <c r="H72" s="78"/>
      <c r="I72" s="79"/>
      <c r="J72" s="86"/>
      <c r="K72" s="87"/>
      <c r="L72" s="86"/>
      <c r="M72" s="87"/>
      <c r="N72" s="77"/>
      <c r="O72" s="79"/>
      <c r="P72" s="92"/>
      <c r="Q72" s="93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8"/>
      <c r="AD72" s="98"/>
      <c r="AE72" s="98"/>
      <c r="AF72" s="98"/>
      <c r="AG72" s="98"/>
      <c r="AH72" s="98"/>
    </row>
    <row r="73" spans="2:34" x14ac:dyDescent="0.25">
      <c r="B73" s="73"/>
      <c r="C73" s="74"/>
      <c r="D73" s="80"/>
      <c r="E73" s="81"/>
      <c r="F73" s="81"/>
      <c r="G73" s="81"/>
      <c r="H73" s="81"/>
      <c r="I73" s="82"/>
      <c r="J73" s="88"/>
      <c r="K73" s="89"/>
      <c r="L73" s="88"/>
      <c r="M73" s="89"/>
      <c r="N73" s="80"/>
      <c r="O73" s="82"/>
      <c r="P73" s="94"/>
      <c r="Q73" s="95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8"/>
      <c r="AD73" s="98"/>
      <c r="AE73" s="98"/>
      <c r="AF73" s="98"/>
      <c r="AG73" s="98"/>
      <c r="AH73" s="98"/>
    </row>
    <row r="74" spans="2:34" x14ac:dyDescent="0.25">
      <c r="B74" s="75"/>
      <c r="C74" s="76"/>
      <c r="D74" s="83"/>
      <c r="E74" s="84"/>
      <c r="F74" s="84"/>
      <c r="G74" s="84"/>
      <c r="H74" s="84"/>
      <c r="I74" s="85"/>
      <c r="J74" s="90"/>
      <c r="K74" s="91"/>
      <c r="L74" s="90"/>
      <c r="M74" s="91"/>
      <c r="N74" s="83"/>
      <c r="O74" s="85"/>
      <c r="P74" s="96"/>
      <c r="Q74" s="97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8"/>
      <c r="AD74" s="98"/>
      <c r="AE74" s="98"/>
      <c r="AF74" s="98"/>
      <c r="AG74" s="98"/>
      <c r="AH74" s="98"/>
    </row>
    <row r="75" spans="2:34" x14ac:dyDescent="0.25">
      <c r="B75" s="71"/>
      <c r="C75" s="72"/>
      <c r="D75" s="77"/>
      <c r="E75" s="78"/>
      <c r="F75" s="78"/>
      <c r="G75" s="78"/>
      <c r="H75" s="78"/>
      <c r="I75" s="79"/>
      <c r="J75" s="86"/>
      <c r="K75" s="87"/>
      <c r="L75" s="86"/>
      <c r="M75" s="87"/>
      <c r="N75" s="77"/>
      <c r="O75" s="79"/>
      <c r="P75" s="92"/>
      <c r="Q75" s="93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8"/>
      <c r="AD75" s="98"/>
      <c r="AE75" s="98"/>
      <c r="AF75" s="98"/>
      <c r="AG75" s="98"/>
      <c r="AH75" s="98"/>
    </row>
    <row r="76" spans="2:34" x14ac:dyDescent="0.25">
      <c r="B76" s="73"/>
      <c r="C76" s="74"/>
      <c r="D76" s="80"/>
      <c r="E76" s="81"/>
      <c r="F76" s="81"/>
      <c r="G76" s="81"/>
      <c r="H76" s="81"/>
      <c r="I76" s="82"/>
      <c r="J76" s="88"/>
      <c r="K76" s="89"/>
      <c r="L76" s="88"/>
      <c r="M76" s="89"/>
      <c r="N76" s="80"/>
      <c r="O76" s="82"/>
      <c r="P76" s="94"/>
      <c r="Q76" s="95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8"/>
      <c r="AD76" s="98"/>
      <c r="AE76" s="98"/>
      <c r="AF76" s="98"/>
      <c r="AG76" s="98"/>
      <c r="AH76" s="98"/>
    </row>
    <row r="77" spans="2:34" x14ac:dyDescent="0.25">
      <c r="B77" s="75"/>
      <c r="C77" s="76"/>
      <c r="D77" s="83"/>
      <c r="E77" s="84"/>
      <c r="F77" s="84"/>
      <c r="G77" s="84"/>
      <c r="H77" s="84"/>
      <c r="I77" s="85"/>
      <c r="J77" s="90"/>
      <c r="K77" s="91"/>
      <c r="L77" s="90"/>
      <c r="M77" s="91"/>
      <c r="N77" s="83"/>
      <c r="O77" s="85"/>
      <c r="P77" s="96"/>
      <c r="Q77" s="97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8"/>
      <c r="AD77" s="98"/>
      <c r="AE77" s="98"/>
      <c r="AF77" s="98"/>
      <c r="AG77" s="98"/>
      <c r="AH77" s="98"/>
    </row>
    <row r="78" spans="2:34" x14ac:dyDescent="0.25">
      <c r="B78" s="71"/>
      <c r="C78" s="72"/>
      <c r="D78" s="77"/>
      <c r="E78" s="78"/>
      <c r="F78" s="78"/>
      <c r="G78" s="78"/>
      <c r="H78" s="78"/>
      <c r="I78" s="79"/>
      <c r="J78" s="86"/>
      <c r="K78" s="87"/>
      <c r="L78" s="86"/>
      <c r="M78" s="87"/>
      <c r="N78" s="77"/>
      <c r="O78" s="79"/>
      <c r="P78" s="92"/>
      <c r="Q78" s="93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8"/>
      <c r="AD78" s="98"/>
      <c r="AE78" s="98"/>
      <c r="AF78" s="98"/>
      <c r="AG78" s="98"/>
      <c r="AH78" s="98"/>
    </row>
    <row r="79" spans="2:34" x14ac:dyDescent="0.25">
      <c r="B79" s="73"/>
      <c r="C79" s="74"/>
      <c r="D79" s="80"/>
      <c r="E79" s="81"/>
      <c r="F79" s="81"/>
      <c r="G79" s="81"/>
      <c r="H79" s="81"/>
      <c r="I79" s="82"/>
      <c r="J79" s="88"/>
      <c r="K79" s="89"/>
      <c r="L79" s="88"/>
      <c r="M79" s="89"/>
      <c r="N79" s="80"/>
      <c r="O79" s="82"/>
      <c r="P79" s="94"/>
      <c r="Q79" s="95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8"/>
      <c r="AD79" s="98"/>
      <c r="AE79" s="98"/>
      <c r="AF79" s="98"/>
      <c r="AG79" s="98"/>
      <c r="AH79" s="98"/>
    </row>
    <row r="80" spans="2:34" x14ac:dyDescent="0.25">
      <c r="B80" s="75"/>
      <c r="C80" s="76"/>
      <c r="D80" s="83"/>
      <c r="E80" s="84"/>
      <c r="F80" s="84"/>
      <c r="G80" s="84"/>
      <c r="H80" s="84"/>
      <c r="I80" s="85"/>
      <c r="J80" s="90"/>
      <c r="K80" s="91"/>
      <c r="L80" s="90"/>
      <c r="M80" s="91"/>
      <c r="N80" s="83"/>
      <c r="O80" s="85"/>
      <c r="P80" s="96"/>
      <c r="Q80" s="97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8"/>
      <c r="AD80" s="98"/>
      <c r="AE80" s="98"/>
      <c r="AF80" s="98"/>
      <c r="AG80" s="98"/>
      <c r="AH80" s="98"/>
    </row>
    <row r="81" spans="2:34" x14ac:dyDescent="0.25">
      <c r="B81" s="71"/>
      <c r="C81" s="72"/>
      <c r="D81" s="77"/>
      <c r="E81" s="78"/>
      <c r="F81" s="78"/>
      <c r="G81" s="78"/>
      <c r="H81" s="78"/>
      <c r="I81" s="79"/>
      <c r="J81" s="86"/>
      <c r="K81" s="87"/>
      <c r="L81" s="86"/>
      <c r="M81" s="87"/>
      <c r="N81" s="77"/>
      <c r="O81" s="79"/>
      <c r="P81" s="92"/>
      <c r="Q81" s="93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8"/>
      <c r="AD81" s="98"/>
      <c r="AE81" s="98"/>
      <c r="AF81" s="98"/>
      <c r="AG81" s="98"/>
      <c r="AH81" s="98"/>
    </row>
    <row r="82" spans="2:34" x14ac:dyDescent="0.25">
      <c r="B82" s="73"/>
      <c r="C82" s="74"/>
      <c r="D82" s="80"/>
      <c r="E82" s="81"/>
      <c r="F82" s="81"/>
      <c r="G82" s="81"/>
      <c r="H82" s="81"/>
      <c r="I82" s="82"/>
      <c r="J82" s="88"/>
      <c r="K82" s="89"/>
      <c r="L82" s="88"/>
      <c r="M82" s="89"/>
      <c r="N82" s="80"/>
      <c r="O82" s="82"/>
      <c r="P82" s="94"/>
      <c r="Q82" s="95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8"/>
      <c r="AD82" s="98"/>
      <c r="AE82" s="98"/>
      <c r="AF82" s="98"/>
      <c r="AG82" s="98"/>
      <c r="AH82" s="98"/>
    </row>
    <row r="83" spans="2:34" x14ac:dyDescent="0.25">
      <c r="B83" s="75"/>
      <c r="C83" s="76"/>
      <c r="D83" s="83"/>
      <c r="E83" s="84"/>
      <c r="F83" s="84"/>
      <c r="G83" s="84"/>
      <c r="H83" s="84"/>
      <c r="I83" s="85"/>
      <c r="J83" s="90"/>
      <c r="K83" s="91"/>
      <c r="L83" s="90"/>
      <c r="M83" s="91"/>
      <c r="N83" s="83"/>
      <c r="O83" s="85"/>
      <c r="P83" s="96"/>
      <c r="Q83" s="97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8"/>
      <c r="AD83" s="98"/>
      <c r="AE83" s="98"/>
      <c r="AF83" s="98"/>
      <c r="AG83" s="98"/>
      <c r="AH83" s="98"/>
    </row>
    <row r="84" spans="2:34" x14ac:dyDescent="0.25">
      <c r="B84" s="71"/>
      <c r="C84" s="72"/>
      <c r="D84" s="77"/>
      <c r="E84" s="78"/>
      <c r="F84" s="78"/>
      <c r="G84" s="78"/>
      <c r="H84" s="78"/>
      <c r="I84" s="79"/>
      <c r="J84" s="86"/>
      <c r="K84" s="87"/>
      <c r="L84" s="86"/>
      <c r="M84" s="87"/>
      <c r="N84" s="77"/>
      <c r="O84" s="79"/>
      <c r="P84" s="92"/>
      <c r="Q84" s="93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8"/>
      <c r="AD84" s="98"/>
      <c r="AE84" s="98"/>
      <c r="AF84" s="98"/>
      <c r="AG84" s="98"/>
      <c r="AH84" s="98"/>
    </row>
    <row r="85" spans="2:34" x14ac:dyDescent="0.25">
      <c r="B85" s="73"/>
      <c r="C85" s="74"/>
      <c r="D85" s="80"/>
      <c r="E85" s="81"/>
      <c r="F85" s="81"/>
      <c r="G85" s="81"/>
      <c r="H85" s="81"/>
      <c r="I85" s="82"/>
      <c r="J85" s="88"/>
      <c r="K85" s="89"/>
      <c r="L85" s="88"/>
      <c r="M85" s="89"/>
      <c r="N85" s="80"/>
      <c r="O85" s="82"/>
      <c r="P85" s="94"/>
      <c r="Q85" s="95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8"/>
      <c r="AD85" s="98"/>
      <c r="AE85" s="98"/>
      <c r="AF85" s="98"/>
      <c r="AG85" s="98"/>
      <c r="AH85" s="98"/>
    </row>
    <row r="86" spans="2:34" x14ac:dyDescent="0.25">
      <c r="B86" s="75"/>
      <c r="C86" s="76"/>
      <c r="D86" s="83"/>
      <c r="E86" s="84"/>
      <c r="F86" s="84"/>
      <c r="G86" s="84"/>
      <c r="H86" s="84"/>
      <c r="I86" s="85"/>
      <c r="J86" s="90"/>
      <c r="K86" s="91"/>
      <c r="L86" s="90"/>
      <c r="M86" s="91"/>
      <c r="N86" s="83"/>
      <c r="O86" s="85"/>
      <c r="P86" s="96"/>
      <c r="Q86" s="97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8"/>
      <c r="AD86" s="98"/>
      <c r="AE86" s="98"/>
      <c r="AF86" s="98"/>
      <c r="AG86" s="98"/>
      <c r="AH86" s="98"/>
    </row>
    <row r="87" spans="2:34" x14ac:dyDescent="0.25">
      <c r="B87" s="71"/>
      <c r="C87" s="72"/>
      <c r="D87" s="77"/>
      <c r="E87" s="78"/>
      <c r="F87" s="78"/>
      <c r="G87" s="78"/>
      <c r="H87" s="78"/>
      <c r="I87" s="79"/>
      <c r="J87" s="86"/>
      <c r="K87" s="87"/>
      <c r="L87" s="86"/>
      <c r="M87" s="87"/>
      <c r="N87" s="77"/>
      <c r="O87" s="79"/>
      <c r="P87" s="92"/>
      <c r="Q87" s="93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8"/>
      <c r="AD87" s="98"/>
      <c r="AE87" s="98"/>
      <c r="AF87" s="98"/>
      <c r="AG87" s="98"/>
      <c r="AH87" s="98"/>
    </row>
    <row r="88" spans="2:34" x14ac:dyDescent="0.25">
      <c r="B88" s="73"/>
      <c r="C88" s="74"/>
      <c r="D88" s="80"/>
      <c r="E88" s="81"/>
      <c r="F88" s="81"/>
      <c r="G88" s="81"/>
      <c r="H88" s="81"/>
      <c r="I88" s="82"/>
      <c r="J88" s="88"/>
      <c r="K88" s="89"/>
      <c r="L88" s="88"/>
      <c r="M88" s="89"/>
      <c r="N88" s="80"/>
      <c r="O88" s="82"/>
      <c r="P88" s="94"/>
      <c r="Q88" s="95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8"/>
      <c r="AD88" s="98"/>
      <c r="AE88" s="98"/>
      <c r="AF88" s="98"/>
      <c r="AG88" s="98"/>
      <c r="AH88" s="98"/>
    </row>
    <row r="89" spans="2:34" x14ac:dyDescent="0.25">
      <c r="B89" s="75"/>
      <c r="C89" s="76"/>
      <c r="D89" s="83"/>
      <c r="E89" s="84"/>
      <c r="F89" s="84"/>
      <c r="G89" s="84"/>
      <c r="H89" s="84"/>
      <c r="I89" s="85"/>
      <c r="J89" s="90"/>
      <c r="K89" s="91"/>
      <c r="L89" s="90"/>
      <c r="M89" s="91"/>
      <c r="N89" s="83"/>
      <c r="O89" s="85"/>
      <c r="P89" s="96"/>
      <c r="Q89" s="97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8"/>
      <c r="AD89" s="98"/>
      <c r="AE89" s="98"/>
      <c r="AF89" s="98"/>
      <c r="AG89" s="98"/>
      <c r="AH89" s="98"/>
    </row>
    <row r="90" spans="2:34" x14ac:dyDescent="0.25">
      <c r="B90" s="71"/>
      <c r="C90" s="72"/>
      <c r="D90" s="77"/>
      <c r="E90" s="78"/>
      <c r="F90" s="78"/>
      <c r="G90" s="78"/>
      <c r="H90" s="78"/>
      <c r="I90" s="79"/>
      <c r="J90" s="86"/>
      <c r="K90" s="87"/>
      <c r="L90" s="86"/>
      <c r="M90" s="87"/>
      <c r="N90" s="77"/>
      <c r="O90" s="79"/>
      <c r="P90" s="92"/>
      <c r="Q90" s="93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8"/>
      <c r="AD90" s="98"/>
      <c r="AE90" s="98"/>
      <c r="AF90" s="98"/>
      <c r="AG90" s="98"/>
      <c r="AH90" s="98"/>
    </row>
    <row r="91" spans="2:34" x14ac:dyDescent="0.25">
      <c r="B91" s="73"/>
      <c r="C91" s="74"/>
      <c r="D91" s="80"/>
      <c r="E91" s="81"/>
      <c r="F91" s="81"/>
      <c r="G91" s="81"/>
      <c r="H91" s="81"/>
      <c r="I91" s="82"/>
      <c r="J91" s="88"/>
      <c r="K91" s="89"/>
      <c r="L91" s="88"/>
      <c r="M91" s="89"/>
      <c r="N91" s="80"/>
      <c r="O91" s="82"/>
      <c r="P91" s="94"/>
      <c r="Q91" s="95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8"/>
      <c r="AD91" s="98"/>
      <c r="AE91" s="98"/>
      <c r="AF91" s="98"/>
      <c r="AG91" s="98"/>
      <c r="AH91" s="98"/>
    </row>
    <row r="92" spans="2:34" x14ac:dyDescent="0.25">
      <c r="B92" s="75"/>
      <c r="C92" s="76"/>
      <c r="D92" s="83"/>
      <c r="E92" s="84"/>
      <c r="F92" s="84"/>
      <c r="G92" s="84"/>
      <c r="H92" s="84"/>
      <c r="I92" s="85"/>
      <c r="J92" s="90"/>
      <c r="K92" s="91"/>
      <c r="L92" s="90"/>
      <c r="M92" s="91"/>
      <c r="N92" s="83"/>
      <c r="O92" s="85"/>
      <c r="P92" s="96"/>
      <c r="Q92" s="97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8"/>
      <c r="AD92" s="98"/>
      <c r="AE92" s="98"/>
      <c r="AF92" s="98"/>
      <c r="AG92" s="98"/>
      <c r="AH92" s="98"/>
    </row>
    <row r="93" spans="2:34" x14ac:dyDescent="0.25">
      <c r="B93" s="71"/>
      <c r="C93" s="72"/>
      <c r="D93" s="77"/>
      <c r="E93" s="78"/>
      <c r="F93" s="78"/>
      <c r="G93" s="78"/>
      <c r="H93" s="78"/>
      <c r="I93" s="79"/>
      <c r="J93" s="86"/>
      <c r="K93" s="87"/>
      <c r="L93" s="86"/>
      <c r="M93" s="87"/>
      <c r="N93" s="77"/>
      <c r="O93" s="79"/>
      <c r="P93" s="92"/>
      <c r="Q93" s="93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8"/>
      <c r="AD93" s="98"/>
      <c r="AE93" s="98"/>
      <c r="AF93" s="98"/>
      <c r="AG93" s="98"/>
      <c r="AH93" s="98"/>
    </row>
    <row r="94" spans="2:34" x14ac:dyDescent="0.25">
      <c r="B94" s="73"/>
      <c r="C94" s="74"/>
      <c r="D94" s="80"/>
      <c r="E94" s="81"/>
      <c r="F94" s="81"/>
      <c r="G94" s="81"/>
      <c r="H94" s="81"/>
      <c r="I94" s="82"/>
      <c r="J94" s="88"/>
      <c r="K94" s="89"/>
      <c r="L94" s="88"/>
      <c r="M94" s="89"/>
      <c r="N94" s="80"/>
      <c r="O94" s="82"/>
      <c r="P94" s="94"/>
      <c r="Q94" s="95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8"/>
      <c r="AD94" s="98"/>
      <c r="AE94" s="98"/>
      <c r="AF94" s="98"/>
      <c r="AG94" s="98"/>
      <c r="AH94" s="98"/>
    </row>
    <row r="95" spans="2:34" x14ac:dyDescent="0.25">
      <c r="B95" s="75"/>
      <c r="C95" s="76"/>
      <c r="D95" s="83"/>
      <c r="E95" s="84"/>
      <c r="F95" s="84"/>
      <c r="G95" s="84"/>
      <c r="H95" s="84"/>
      <c r="I95" s="85"/>
      <c r="J95" s="90"/>
      <c r="K95" s="91"/>
      <c r="L95" s="90"/>
      <c r="M95" s="91"/>
      <c r="N95" s="83"/>
      <c r="O95" s="85"/>
      <c r="P95" s="96"/>
      <c r="Q95" s="97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8"/>
      <c r="AD95" s="98"/>
      <c r="AE95" s="98"/>
      <c r="AF95" s="98"/>
      <c r="AG95" s="98"/>
      <c r="AH95" s="98"/>
    </row>
    <row r="96" spans="2:34" x14ac:dyDescent="0.25">
      <c r="B96" s="71"/>
      <c r="C96" s="72"/>
      <c r="D96" s="77"/>
      <c r="E96" s="78"/>
      <c r="F96" s="78"/>
      <c r="G96" s="78"/>
      <c r="H96" s="78"/>
      <c r="I96" s="79"/>
      <c r="J96" s="86"/>
      <c r="K96" s="87"/>
      <c r="L96" s="86"/>
      <c r="M96" s="87"/>
      <c r="N96" s="77"/>
      <c r="O96" s="79"/>
      <c r="P96" s="92"/>
      <c r="Q96" s="93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8"/>
      <c r="AD96" s="98"/>
      <c r="AE96" s="98"/>
      <c r="AF96" s="98"/>
      <c r="AG96" s="98"/>
      <c r="AH96" s="98"/>
    </row>
    <row r="97" spans="2:34" x14ac:dyDescent="0.25">
      <c r="B97" s="73"/>
      <c r="C97" s="74"/>
      <c r="D97" s="80"/>
      <c r="E97" s="81"/>
      <c r="F97" s="81"/>
      <c r="G97" s="81"/>
      <c r="H97" s="81"/>
      <c r="I97" s="82"/>
      <c r="J97" s="88"/>
      <c r="K97" s="89"/>
      <c r="L97" s="88"/>
      <c r="M97" s="89"/>
      <c r="N97" s="80"/>
      <c r="O97" s="82"/>
      <c r="P97" s="94"/>
      <c r="Q97" s="95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8"/>
      <c r="AD97" s="98"/>
      <c r="AE97" s="98"/>
      <c r="AF97" s="98"/>
      <c r="AG97" s="98"/>
      <c r="AH97" s="98"/>
    </row>
    <row r="98" spans="2:34" x14ac:dyDescent="0.25">
      <c r="B98" s="75"/>
      <c r="C98" s="76"/>
      <c r="D98" s="83"/>
      <c r="E98" s="84"/>
      <c r="F98" s="84"/>
      <c r="G98" s="84"/>
      <c r="H98" s="84"/>
      <c r="I98" s="85"/>
      <c r="J98" s="90"/>
      <c r="K98" s="91"/>
      <c r="L98" s="90"/>
      <c r="M98" s="91"/>
      <c r="N98" s="83"/>
      <c r="O98" s="85"/>
      <c r="P98" s="96"/>
      <c r="Q98" s="97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8"/>
      <c r="AD98" s="98"/>
      <c r="AE98" s="98"/>
      <c r="AF98" s="98"/>
      <c r="AG98" s="98"/>
      <c r="AH98" s="98"/>
    </row>
    <row r="99" spans="2:34" x14ac:dyDescent="0.25">
      <c r="B99" s="71"/>
      <c r="C99" s="72"/>
      <c r="D99" s="77"/>
      <c r="E99" s="78"/>
      <c r="F99" s="78"/>
      <c r="G99" s="78"/>
      <c r="H99" s="78"/>
      <c r="I99" s="79"/>
      <c r="J99" s="86"/>
      <c r="K99" s="87"/>
      <c r="L99" s="86"/>
      <c r="M99" s="87"/>
      <c r="N99" s="77"/>
      <c r="O99" s="79"/>
      <c r="P99" s="92"/>
      <c r="Q99" s="93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8"/>
      <c r="AD99" s="98"/>
      <c r="AE99" s="98"/>
      <c r="AF99" s="98"/>
      <c r="AG99" s="98"/>
      <c r="AH99" s="98"/>
    </row>
    <row r="100" spans="2:34" x14ac:dyDescent="0.25">
      <c r="B100" s="73"/>
      <c r="C100" s="74"/>
      <c r="D100" s="80"/>
      <c r="E100" s="81"/>
      <c r="F100" s="81"/>
      <c r="G100" s="81"/>
      <c r="H100" s="81"/>
      <c r="I100" s="82"/>
      <c r="J100" s="88"/>
      <c r="K100" s="89"/>
      <c r="L100" s="88"/>
      <c r="M100" s="89"/>
      <c r="N100" s="80"/>
      <c r="O100" s="82"/>
      <c r="P100" s="94"/>
      <c r="Q100" s="95"/>
      <c r="S100" s="99"/>
      <c r="T100" s="99"/>
      <c r="U100" s="99"/>
      <c r="V100" s="99"/>
      <c r="W100" s="99"/>
      <c r="X100" s="99"/>
      <c r="Y100" s="99"/>
      <c r="Z100" s="99"/>
      <c r="AA100" s="99"/>
      <c r="AB100" s="99"/>
      <c r="AC100" s="98"/>
      <c r="AD100" s="98"/>
      <c r="AE100" s="98"/>
      <c r="AF100" s="98"/>
      <c r="AG100" s="98"/>
      <c r="AH100" s="98"/>
    </row>
    <row r="101" spans="2:34" x14ac:dyDescent="0.25">
      <c r="B101" s="75"/>
      <c r="C101" s="76"/>
      <c r="D101" s="83"/>
      <c r="E101" s="84"/>
      <c r="F101" s="84"/>
      <c r="G101" s="84"/>
      <c r="H101" s="84"/>
      <c r="I101" s="85"/>
      <c r="J101" s="90"/>
      <c r="K101" s="91"/>
      <c r="L101" s="90"/>
      <c r="M101" s="91"/>
      <c r="N101" s="83"/>
      <c r="O101" s="85"/>
      <c r="P101" s="96"/>
      <c r="Q101" s="97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8"/>
      <c r="AD101" s="98"/>
      <c r="AE101" s="98"/>
      <c r="AF101" s="98"/>
      <c r="AG101" s="98"/>
      <c r="AH101" s="98"/>
    </row>
    <row r="102" spans="2:34" x14ac:dyDescent="0.25">
      <c r="B102" s="71"/>
      <c r="C102" s="72"/>
      <c r="D102" s="77"/>
      <c r="E102" s="78"/>
      <c r="F102" s="78"/>
      <c r="G102" s="78"/>
      <c r="H102" s="78"/>
      <c r="I102" s="79"/>
      <c r="J102" s="86"/>
      <c r="K102" s="87"/>
      <c r="L102" s="86"/>
      <c r="M102" s="87"/>
      <c r="N102" s="77"/>
      <c r="O102" s="79"/>
      <c r="P102" s="92"/>
      <c r="Q102" s="93"/>
      <c r="S102" s="99"/>
      <c r="T102" s="99"/>
      <c r="U102" s="99"/>
      <c r="V102" s="99"/>
      <c r="W102" s="99"/>
      <c r="X102" s="99"/>
      <c r="Y102" s="99"/>
      <c r="Z102" s="99"/>
      <c r="AA102" s="99"/>
      <c r="AB102" s="99"/>
      <c r="AC102" s="98"/>
      <c r="AD102" s="98"/>
      <c r="AE102" s="98"/>
      <c r="AF102" s="98"/>
      <c r="AG102" s="98"/>
      <c r="AH102" s="98"/>
    </row>
    <row r="103" spans="2:34" x14ac:dyDescent="0.25">
      <c r="B103" s="73"/>
      <c r="C103" s="74"/>
      <c r="D103" s="80"/>
      <c r="E103" s="81"/>
      <c r="F103" s="81"/>
      <c r="G103" s="81"/>
      <c r="H103" s="81"/>
      <c r="I103" s="82"/>
      <c r="J103" s="88"/>
      <c r="K103" s="89"/>
      <c r="L103" s="88"/>
      <c r="M103" s="89"/>
      <c r="N103" s="80"/>
      <c r="O103" s="82"/>
      <c r="P103" s="94"/>
      <c r="Q103" s="95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8"/>
      <c r="AD103" s="98"/>
      <c r="AE103" s="98"/>
      <c r="AF103" s="98"/>
      <c r="AG103" s="98"/>
      <c r="AH103" s="98"/>
    </row>
    <row r="104" spans="2:34" x14ac:dyDescent="0.25">
      <c r="B104" s="75"/>
      <c r="C104" s="76"/>
      <c r="D104" s="83"/>
      <c r="E104" s="84"/>
      <c r="F104" s="84"/>
      <c r="G104" s="84"/>
      <c r="H104" s="84"/>
      <c r="I104" s="85"/>
      <c r="J104" s="90"/>
      <c r="K104" s="91"/>
      <c r="L104" s="90"/>
      <c r="M104" s="91"/>
      <c r="N104" s="83"/>
      <c r="O104" s="85"/>
      <c r="P104" s="96"/>
      <c r="Q104" s="97"/>
      <c r="S104" s="99"/>
      <c r="T104" s="99"/>
      <c r="U104" s="99"/>
      <c r="V104" s="99"/>
      <c r="W104" s="99"/>
      <c r="X104" s="99"/>
      <c r="Y104" s="99"/>
      <c r="Z104" s="99"/>
      <c r="AA104" s="99"/>
      <c r="AB104" s="99"/>
      <c r="AC104" s="98"/>
      <c r="AD104" s="98"/>
      <c r="AE104" s="98"/>
      <c r="AF104" s="98"/>
      <c r="AG104" s="98"/>
      <c r="AH104" s="98"/>
    </row>
    <row r="105" spans="2:34" x14ac:dyDescent="0.25">
      <c r="B105" s="71"/>
      <c r="C105" s="72"/>
      <c r="D105" s="77"/>
      <c r="E105" s="78"/>
      <c r="F105" s="78"/>
      <c r="G105" s="78"/>
      <c r="H105" s="78"/>
      <c r="I105" s="79"/>
      <c r="J105" s="86"/>
      <c r="K105" s="87"/>
      <c r="L105" s="86"/>
      <c r="M105" s="87"/>
      <c r="N105" s="77"/>
      <c r="O105" s="79"/>
      <c r="P105" s="92"/>
      <c r="Q105" s="93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8"/>
      <c r="AD105" s="98"/>
      <c r="AE105" s="98"/>
      <c r="AF105" s="98"/>
      <c r="AG105" s="98"/>
      <c r="AH105" s="98"/>
    </row>
    <row r="106" spans="2:34" x14ac:dyDescent="0.25">
      <c r="B106" s="73"/>
      <c r="C106" s="74"/>
      <c r="D106" s="80"/>
      <c r="E106" s="81"/>
      <c r="F106" s="81"/>
      <c r="G106" s="81"/>
      <c r="H106" s="81"/>
      <c r="I106" s="82"/>
      <c r="J106" s="88"/>
      <c r="K106" s="89"/>
      <c r="L106" s="88"/>
      <c r="M106" s="89"/>
      <c r="N106" s="80"/>
      <c r="O106" s="82"/>
      <c r="P106" s="94"/>
      <c r="Q106" s="95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8"/>
      <c r="AD106" s="98"/>
      <c r="AE106" s="98"/>
      <c r="AF106" s="98"/>
      <c r="AG106" s="98"/>
      <c r="AH106" s="98"/>
    </row>
    <row r="107" spans="2:34" x14ac:dyDescent="0.25">
      <c r="B107" s="75"/>
      <c r="C107" s="76"/>
      <c r="D107" s="83"/>
      <c r="E107" s="84"/>
      <c r="F107" s="84"/>
      <c r="G107" s="84"/>
      <c r="H107" s="84"/>
      <c r="I107" s="85"/>
      <c r="J107" s="90"/>
      <c r="K107" s="91"/>
      <c r="L107" s="90"/>
      <c r="M107" s="91"/>
      <c r="N107" s="83"/>
      <c r="O107" s="85"/>
      <c r="P107" s="96"/>
      <c r="Q107" s="97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8"/>
      <c r="AD107" s="98"/>
      <c r="AE107" s="98"/>
      <c r="AF107" s="98"/>
      <c r="AG107" s="98"/>
      <c r="AH107" s="98"/>
    </row>
    <row r="108" spans="2:34" x14ac:dyDescent="0.25">
      <c r="B108" s="71"/>
      <c r="C108" s="72"/>
      <c r="D108" s="77"/>
      <c r="E108" s="78"/>
      <c r="F108" s="78"/>
      <c r="G108" s="78"/>
      <c r="H108" s="78"/>
      <c r="I108" s="79"/>
      <c r="J108" s="86"/>
      <c r="K108" s="87"/>
      <c r="L108" s="86"/>
      <c r="M108" s="87"/>
      <c r="N108" s="77"/>
      <c r="O108" s="79"/>
      <c r="P108" s="92"/>
      <c r="Q108" s="93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8"/>
      <c r="AD108" s="98"/>
      <c r="AE108" s="98"/>
      <c r="AF108" s="98"/>
      <c r="AG108" s="98"/>
      <c r="AH108" s="98"/>
    </row>
    <row r="109" spans="2:34" x14ac:dyDescent="0.25">
      <c r="B109" s="73"/>
      <c r="C109" s="74"/>
      <c r="D109" s="80"/>
      <c r="E109" s="81"/>
      <c r="F109" s="81"/>
      <c r="G109" s="81"/>
      <c r="H109" s="81"/>
      <c r="I109" s="82"/>
      <c r="J109" s="88"/>
      <c r="K109" s="89"/>
      <c r="L109" s="88"/>
      <c r="M109" s="89"/>
      <c r="N109" s="80"/>
      <c r="O109" s="82"/>
      <c r="P109" s="94"/>
      <c r="Q109" s="95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8"/>
      <c r="AD109" s="98"/>
      <c r="AE109" s="98"/>
      <c r="AF109" s="98"/>
      <c r="AG109" s="98"/>
      <c r="AH109" s="98"/>
    </row>
    <row r="110" spans="2:34" x14ac:dyDescent="0.25">
      <c r="B110" s="75"/>
      <c r="C110" s="76"/>
      <c r="D110" s="83"/>
      <c r="E110" s="84"/>
      <c r="F110" s="84"/>
      <c r="G110" s="84"/>
      <c r="H110" s="84"/>
      <c r="I110" s="85"/>
      <c r="J110" s="90"/>
      <c r="K110" s="91"/>
      <c r="L110" s="90"/>
      <c r="M110" s="91"/>
      <c r="N110" s="83"/>
      <c r="O110" s="85"/>
      <c r="P110" s="96"/>
      <c r="Q110" s="97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8"/>
      <c r="AD110" s="98"/>
      <c r="AE110" s="98"/>
      <c r="AF110" s="98"/>
      <c r="AG110" s="98"/>
      <c r="AH110" s="98"/>
    </row>
    <row r="111" spans="2:34" x14ac:dyDescent="0.25">
      <c r="B111" s="71"/>
      <c r="C111" s="72"/>
      <c r="D111" s="77"/>
      <c r="E111" s="78"/>
      <c r="F111" s="78"/>
      <c r="G111" s="78"/>
      <c r="H111" s="78"/>
      <c r="I111" s="79"/>
      <c r="J111" s="86"/>
      <c r="K111" s="87"/>
      <c r="L111" s="86"/>
      <c r="M111" s="87"/>
      <c r="N111" s="77"/>
      <c r="O111" s="79"/>
      <c r="P111" s="92"/>
      <c r="Q111" s="93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8"/>
      <c r="AD111" s="98"/>
      <c r="AE111" s="98"/>
      <c r="AF111" s="98"/>
      <c r="AG111" s="98"/>
      <c r="AH111" s="98"/>
    </row>
    <row r="112" spans="2:34" x14ac:dyDescent="0.25">
      <c r="B112" s="73"/>
      <c r="C112" s="74"/>
      <c r="D112" s="80"/>
      <c r="E112" s="81"/>
      <c r="F112" s="81"/>
      <c r="G112" s="81"/>
      <c r="H112" s="81"/>
      <c r="I112" s="82"/>
      <c r="J112" s="88"/>
      <c r="K112" s="89"/>
      <c r="L112" s="88"/>
      <c r="M112" s="89"/>
      <c r="N112" s="80"/>
      <c r="O112" s="82"/>
      <c r="P112" s="94"/>
      <c r="Q112" s="95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8"/>
      <c r="AD112" s="98"/>
      <c r="AE112" s="98"/>
      <c r="AF112" s="98"/>
      <c r="AG112" s="98"/>
      <c r="AH112" s="98"/>
    </row>
    <row r="113" spans="2:34" x14ac:dyDescent="0.25">
      <c r="B113" s="75"/>
      <c r="C113" s="76"/>
      <c r="D113" s="83"/>
      <c r="E113" s="84"/>
      <c r="F113" s="84"/>
      <c r="G113" s="84"/>
      <c r="H113" s="84"/>
      <c r="I113" s="85"/>
      <c r="J113" s="90"/>
      <c r="K113" s="91"/>
      <c r="L113" s="90"/>
      <c r="M113" s="91"/>
      <c r="N113" s="83"/>
      <c r="O113" s="85"/>
      <c r="P113" s="96"/>
      <c r="Q113" s="97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8"/>
      <c r="AD113" s="98"/>
      <c r="AE113" s="98"/>
      <c r="AF113" s="98"/>
      <c r="AG113" s="98"/>
      <c r="AH113" s="98"/>
    </row>
    <row r="114" spans="2:34" x14ac:dyDescent="0.25">
      <c r="B114" s="71"/>
      <c r="C114" s="72"/>
      <c r="D114" s="77"/>
      <c r="E114" s="78"/>
      <c r="F114" s="78"/>
      <c r="G114" s="78"/>
      <c r="H114" s="78"/>
      <c r="I114" s="79"/>
      <c r="J114" s="86"/>
      <c r="K114" s="87"/>
      <c r="L114" s="86"/>
      <c r="M114" s="87"/>
      <c r="N114" s="77"/>
      <c r="O114" s="79"/>
      <c r="P114" s="92"/>
      <c r="Q114" s="93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8"/>
      <c r="AD114" s="98"/>
      <c r="AE114" s="98"/>
      <c r="AF114" s="98"/>
      <c r="AG114" s="98"/>
      <c r="AH114" s="98"/>
    </row>
    <row r="115" spans="2:34" x14ac:dyDescent="0.25">
      <c r="B115" s="73"/>
      <c r="C115" s="74"/>
      <c r="D115" s="80"/>
      <c r="E115" s="81"/>
      <c r="F115" s="81"/>
      <c r="G115" s="81"/>
      <c r="H115" s="81"/>
      <c r="I115" s="82"/>
      <c r="J115" s="88"/>
      <c r="K115" s="89"/>
      <c r="L115" s="88"/>
      <c r="M115" s="89"/>
      <c r="N115" s="80"/>
      <c r="O115" s="82"/>
      <c r="P115" s="94"/>
      <c r="Q115" s="95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8"/>
      <c r="AD115" s="98"/>
      <c r="AE115" s="98"/>
      <c r="AF115" s="98"/>
      <c r="AG115" s="98"/>
      <c r="AH115" s="98"/>
    </row>
    <row r="116" spans="2:34" x14ac:dyDescent="0.25">
      <c r="B116" s="75"/>
      <c r="C116" s="76"/>
      <c r="D116" s="83"/>
      <c r="E116" s="84"/>
      <c r="F116" s="84"/>
      <c r="G116" s="84"/>
      <c r="H116" s="84"/>
      <c r="I116" s="85"/>
      <c r="J116" s="90"/>
      <c r="K116" s="91"/>
      <c r="L116" s="90"/>
      <c r="M116" s="91"/>
      <c r="N116" s="83"/>
      <c r="O116" s="85"/>
      <c r="P116" s="96"/>
      <c r="Q116" s="97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8"/>
      <c r="AD116" s="98"/>
      <c r="AE116" s="98"/>
      <c r="AF116" s="98"/>
      <c r="AG116" s="98"/>
      <c r="AH116" s="98"/>
    </row>
    <row r="117" spans="2:34" x14ac:dyDescent="0.25">
      <c r="B117" s="71"/>
      <c r="C117" s="72"/>
      <c r="D117" s="77"/>
      <c r="E117" s="78"/>
      <c r="F117" s="78"/>
      <c r="G117" s="78"/>
      <c r="H117" s="78"/>
      <c r="I117" s="79"/>
      <c r="J117" s="86"/>
      <c r="K117" s="87"/>
      <c r="L117" s="86"/>
      <c r="M117" s="87"/>
      <c r="N117" s="77"/>
      <c r="O117" s="79"/>
      <c r="P117" s="92"/>
      <c r="Q117" s="93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8"/>
      <c r="AD117" s="98"/>
      <c r="AE117" s="98"/>
      <c r="AF117" s="98"/>
      <c r="AG117" s="98"/>
      <c r="AH117" s="98"/>
    </row>
    <row r="118" spans="2:34" x14ac:dyDescent="0.25">
      <c r="B118" s="73"/>
      <c r="C118" s="74"/>
      <c r="D118" s="80"/>
      <c r="E118" s="81"/>
      <c r="F118" s="81"/>
      <c r="G118" s="81"/>
      <c r="H118" s="81"/>
      <c r="I118" s="82"/>
      <c r="J118" s="88"/>
      <c r="K118" s="89"/>
      <c r="L118" s="88"/>
      <c r="M118" s="89"/>
      <c r="N118" s="80"/>
      <c r="O118" s="82"/>
      <c r="P118" s="94"/>
      <c r="Q118" s="95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8"/>
      <c r="AD118" s="98"/>
      <c r="AE118" s="98"/>
      <c r="AF118" s="98"/>
      <c r="AG118" s="98"/>
      <c r="AH118" s="98"/>
    </row>
    <row r="119" spans="2:34" x14ac:dyDescent="0.25">
      <c r="B119" s="75"/>
      <c r="C119" s="76"/>
      <c r="D119" s="83"/>
      <c r="E119" s="84"/>
      <c r="F119" s="84"/>
      <c r="G119" s="84"/>
      <c r="H119" s="84"/>
      <c r="I119" s="85"/>
      <c r="J119" s="90"/>
      <c r="K119" s="91"/>
      <c r="L119" s="90"/>
      <c r="M119" s="91"/>
      <c r="N119" s="83"/>
      <c r="O119" s="85"/>
      <c r="P119" s="96"/>
      <c r="Q119" s="97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8"/>
      <c r="AD119" s="98"/>
      <c r="AE119" s="98"/>
      <c r="AF119" s="98"/>
      <c r="AG119" s="98"/>
      <c r="AH119" s="98"/>
    </row>
    <row r="120" spans="2:34" x14ac:dyDescent="0.25">
      <c r="B120" s="71"/>
      <c r="C120" s="72"/>
      <c r="D120" s="77"/>
      <c r="E120" s="78"/>
      <c r="F120" s="78"/>
      <c r="G120" s="78"/>
      <c r="H120" s="78"/>
      <c r="I120" s="79"/>
      <c r="J120" s="86"/>
      <c r="K120" s="87"/>
      <c r="L120" s="86"/>
      <c r="M120" s="87"/>
      <c r="N120" s="77"/>
      <c r="O120" s="79"/>
      <c r="P120" s="92"/>
      <c r="Q120" s="93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8"/>
      <c r="AD120" s="98"/>
      <c r="AE120" s="98"/>
      <c r="AF120" s="98"/>
      <c r="AG120" s="98"/>
      <c r="AH120" s="98"/>
    </row>
    <row r="121" spans="2:34" x14ac:dyDescent="0.25">
      <c r="B121" s="73"/>
      <c r="C121" s="74"/>
      <c r="D121" s="80"/>
      <c r="E121" s="81"/>
      <c r="F121" s="81"/>
      <c r="G121" s="81"/>
      <c r="H121" s="81"/>
      <c r="I121" s="82"/>
      <c r="J121" s="88"/>
      <c r="K121" s="89"/>
      <c r="L121" s="88"/>
      <c r="M121" s="89"/>
      <c r="N121" s="80"/>
      <c r="O121" s="82"/>
      <c r="P121" s="94"/>
      <c r="Q121" s="95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8"/>
      <c r="AD121" s="98"/>
      <c r="AE121" s="98"/>
      <c r="AF121" s="98"/>
      <c r="AG121" s="98"/>
      <c r="AH121" s="98"/>
    </row>
    <row r="122" spans="2:34" x14ac:dyDescent="0.25">
      <c r="B122" s="75"/>
      <c r="C122" s="76"/>
      <c r="D122" s="83"/>
      <c r="E122" s="84"/>
      <c r="F122" s="84"/>
      <c r="G122" s="84"/>
      <c r="H122" s="84"/>
      <c r="I122" s="85"/>
      <c r="J122" s="90"/>
      <c r="K122" s="91"/>
      <c r="L122" s="90"/>
      <c r="M122" s="91"/>
      <c r="N122" s="83"/>
      <c r="O122" s="85"/>
      <c r="P122" s="96"/>
      <c r="Q122" s="97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8"/>
      <c r="AD122" s="98"/>
      <c r="AE122" s="98"/>
      <c r="AF122" s="98"/>
      <c r="AG122" s="98"/>
      <c r="AH122" s="98"/>
    </row>
    <row r="123" spans="2:34" x14ac:dyDescent="0.25">
      <c r="B123" s="71"/>
      <c r="C123" s="72"/>
      <c r="D123" s="77"/>
      <c r="E123" s="78"/>
      <c r="F123" s="78"/>
      <c r="G123" s="78"/>
      <c r="H123" s="78"/>
      <c r="I123" s="79"/>
      <c r="J123" s="86"/>
      <c r="K123" s="87"/>
      <c r="L123" s="86"/>
      <c r="M123" s="87"/>
      <c r="N123" s="77"/>
      <c r="O123" s="79"/>
      <c r="P123" s="92"/>
      <c r="Q123" s="93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8"/>
      <c r="AD123" s="98"/>
      <c r="AE123" s="98"/>
      <c r="AF123" s="98"/>
      <c r="AG123" s="98"/>
      <c r="AH123" s="98"/>
    </row>
    <row r="124" spans="2:34" x14ac:dyDescent="0.25">
      <c r="B124" s="73"/>
      <c r="C124" s="74"/>
      <c r="D124" s="80"/>
      <c r="E124" s="81"/>
      <c r="F124" s="81"/>
      <c r="G124" s="81"/>
      <c r="H124" s="81"/>
      <c r="I124" s="82"/>
      <c r="J124" s="88"/>
      <c r="K124" s="89"/>
      <c r="L124" s="88"/>
      <c r="M124" s="89"/>
      <c r="N124" s="80"/>
      <c r="O124" s="82"/>
      <c r="P124" s="94"/>
      <c r="Q124" s="95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8"/>
      <c r="AD124" s="98"/>
      <c r="AE124" s="98"/>
      <c r="AF124" s="98"/>
      <c r="AG124" s="98"/>
      <c r="AH124" s="98"/>
    </row>
    <row r="125" spans="2:34" x14ac:dyDescent="0.25">
      <c r="B125" s="75"/>
      <c r="C125" s="76"/>
      <c r="D125" s="83"/>
      <c r="E125" s="84"/>
      <c r="F125" s="84"/>
      <c r="G125" s="84"/>
      <c r="H125" s="84"/>
      <c r="I125" s="85"/>
      <c r="J125" s="90"/>
      <c r="K125" s="91"/>
      <c r="L125" s="90"/>
      <c r="M125" s="91"/>
      <c r="N125" s="83"/>
      <c r="O125" s="85"/>
      <c r="P125" s="96"/>
      <c r="Q125" s="97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8"/>
      <c r="AD125" s="98"/>
      <c r="AE125" s="98"/>
      <c r="AF125" s="98"/>
      <c r="AG125" s="98"/>
      <c r="AH125" s="98"/>
    </row>
    <row r="126" spans="2:34" x14ac:dyDescent="0.25">
      <c r="B126" s="71"/>
      <c r="C126" s="72"/>
      <c r="D126" s="77"/>
      <c r="E126" s="78"/>
      <c r="F126" s="78"/>
      <c r="G126" s="78"/>
      <c r="H126" s="78"/>
      <c r="I126" s="79"/>
      <c r="J126" s="86"/>
      <c r="K126" s="87"/>
      <c r="L126" s="86"/>
      <c r="M126" s="87"/>
      <c r="N126" s="77"/>
      <c r="O126" s="79"/>
      <c r="P126" s="92"/>
      <c r="Q126" s="93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8"/>
      <c r="AD126" s="98"/>
      <c r="AE126" s="98"/>
      <c r="AF126" s="98"/>
      <c r="AG126" s="98"/>
      <c r="AH126" s="98"/>
    </row>
    <row r="127" spans="2:34" x14ac:dyDescent="0.25">
      <c r="B127" s="73"/>
      <c r="C127" s="74"/>
      <c r="D127" s="80"/>
      <c r="E127" s="81"/>
      <c r="F127" s="81"/>
      <c r="G127" s="81"/>
      <c r="H127" s="81"/>
      <c r="I127" s="82"/>
      <c r="J127" s="88"/>
      <c r="K127" s="89"/>
      <c r="L127" s="88"/>
      <c r="M127" s="89"/>
      <c r="N127" s="80"/>
      <c r="O127" s="82"/>
      <c r="P127" s="94"/>
      <c r="Q127" s="95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8"/>
      <c r="AD127" s="98"/>
      <c r="AE127" s="98"/>
      <c r="AF127" s="98"/>
      <c r="AG127" s="98"/>
      <c r="AH127" s="98"/>
    </row>
    <row r="128" spans="2:34" x14ac:dyDescent="0.25">
      <c r="B128" s="75"/>
      <c r="C128" s="76"/>
      <c r="D128" s="83"/>
      <c r="E128" s="84"/>
      <c r="F128" s="84"/>
      <c r="G128" s="84"/>
      <c r="H128" s="84"/>
      <c r="I128" s="85"/>
      <c r="J128" s="90"/>
      <c r="K128" s="91"/>
      <c r="L128" s="90"/>
      <c r="M128" s="91"/>
      <c r="N128" s="83"/>
      <c r="O128" s="85"/>
      <c r="P128" s="96"/>
      <c r="Q128" s="97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8"/>
      <c r="AD128" s="98"/>
      <c r="AE128" s="98"/>
      <c r="AF128" s="98"/>
      <c r="AG128" s="98"/>
      <c r="AH128" s="98"/>
    </row>
    <row r="129" spans="2:34" x14ac:dyDescent="0.25">
      <c r="B129" s="71"/>
      <c r="C129" s="72"/>
      <c r="D129" s="77"/>
      <c r="E129" s="78"/>
      <c r="F129" s="78"/>
      <c r="G129" s="78"/>
      <c r="H129" s="78"/>
      <c r="I129" s="79"/>
      <c r="J129" s="86"/>
      <c r="K129" s="87"/>
      <c r="L129" s="86"/>
      <c r="M129" s="87"/>
      <c r="N129" s="77"/>
      <c r="O129" s="79"/>
      <c r="P129" s="92"/>
      <c r="Q129" s="93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8"/>
      <c r="AD129" s="98"/>
      <c r="AE129" s="98"/>
      <c r="AF129" s="98"/>
      <c r="AG129" s="98"/>
      <c r="AH129" s="98"/>
    </row>
    <row r="130" spans="2:34" x14ac:dyDescent="0.25">
      <c r="B130" s="73"/>
      <c r="C130" s="74"/>
      <c r="D130" s="80"/>
      <c r="E130" s="81"/>
      <c r="F130" s="81"/>
      <c r="G130" s="81"/>
      <c r="H130" s="81"/>
      <c r="I130" s="82"/>
      <c r="J130" s="88"/>
      <c r="K130" s="89"/>
      <c r="L130" s="88"/>
      <c r="M130" s="89"/>
      <c r="N130" s="80"/>
      <c r="O130" s="82"/>
      <c r="P130" s="94"/>
      <c r="Q130" s="95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8"/>
      <c r="AD130" s="98"/>
      <c r="AE130" s="98"/>
      <c r="AF130" s="98"/>
      <c r="AG130" s="98"/>
      <c r="AH130" s="98"/>
    </row>
    <row r="131" spans="2:34" x14ac:dyDescent="0.25">
      <c r="B131" s="75"/>
      <c r="C131" s="76"/>
      <c r="D131" s="83"/>
      <c r="E131" s="84"/>
      <c r="F131" s="84"/>
      <c r="G131" s="84"/>
      <c r="H131" s="84"/>
      <c r="I131" s="85"/>
      <c r="J131" s="90"/>
      <c r="K131" s="91"/>
      <c r="L131" s="90"/>
      <c r="M131" s="91"/>
      <c r="N131" s="83"/>
      <c r="O131" s="85"/>
      <c r="P131" s="96"/>
      <c r="Q131" s="97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8"/>
      <c r="AD131" s="98"/>
      <c r="AE131" s="98"/>
      <c r="AF131" s="98"/>
      <c r="AG131" s="98"/>
      <c r="AH131" s="98"/>
    </row>
    <row r="132" spans="2:34" x14ac:dyDescent="0.25">
      <c r="B132" s="71"/>
      <c r="C132" s="72"/>
      <c r="D132" s="77"/>
      <c r="E132" s="78"/>
      <c r="F132" s="78"/>
      <c r="G132" s="78"/>
      <c r="H132" s="78"/>
      <c r="I132" s="79"/>
      <c r="J132" s="86"/>
      <c r="K132" s="87"/>
      <c r="L132" s="86"/>
      <c r="M132" s="87"/>
      <c r="N132" s="77"/>
      <c r="O132" s="79"/>
      <c r="P132" s="92"/>
      <c r="Q132" s="93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8"/>
      <c r="AD132" s="98"/>
      <c r="AE132" s="98"/>
      <c r="AF132" s="98"/>
      <c r="AG132" s="98"/>
      <c r="AH132" s="98"/>
    </row>
    <row r="133" spans="2:34" x14ac:dyDescent="0.25">
      <c r="B133" s="73"/>
      <c r="C133" s="74"/>
      <c r="D133" s="80"/>
      <c r="E133" s="81"/>
      <c r="F133" s="81"/>
      <c r="G133" s="81"/>
      <c r="H133" s="81"/>
      <c r="I133" s="82"/>
      <c r="J133" s="88"/>
      <c r="K133" s="89"/>
      <c r="L133" s="88"/>
      <c r="M133" s="89"/>
      <c r="N133" s="80"/>
      <c r="O133" s="82"/>
      <c r="P133" s="94"/>
      <c r="Q133" s="95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8"/>
      <c r="AD133" s="98"/>
      <c r="AE133" s="98"/>
      <c r="AF133" s="98"/>
      <c r="AG133" s="98"/>
      <c r="AH133" s="98"/>
    </row>
    <row r="134" spans="2:34" x14ac:dyDescent="0.25">
      <c r="B134" s="75"/>
      <c r="C134" s="76"/>
      <c r="D134" s="83"/>
      <c r="E134" s="84"/>
      <c r="F134" s="84"/>
      <c r="G134" s="84"/>
      <c r="H134" s="84"/>
      <c r="I134" s="85"/>
      <c r="J134" s="90"/>
      <c r="K134" s="91"/>
      <c r="L134" s="90"/>
      <c r="M134" s="91"/>
      <c r="N134" s="83"/>
      <c r="O134" s="85"/>
      <c r="P134" s="96"/>
      <c r="Q134" s="97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8"/>
      <c r="AD134" s="98"/>
      <c r="AE134" s="98"/>
      <c r="AF134" s="98"/>
      <c r="AG134" s="98"/>
      <c r="AH134" s="98"/>
    </row>
    <row r="135" spans="2:34" x14ac:dyDescent="0.25">
      <c r="B135" s="71"/>
      <c r="C135" s="72"/>
      <c r="D135" s="77"/>
      <c r="E135" s="78"/>
      <c r="F135" s="78"/>
      <c r="G135" s="78"/>
      <c r="H135" s="78"/>
      <c r="I135" s="79"/>
      <c r="J135" s="86"/>
      <c r="K135" s="87"/>
      <c r="L135" s="86"/>
      <c r="M135" s="87"/>
      <c r="N135" s="77"/>
      <c r="O135" s="79"/>
      <c r="P135" s="92"/>
      <c r="Q135" s="93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8"/>
      <c r="AD135" s="98"/>
      <c r="AE135" s="98"/>
      <c r="AF135" s="98"/>
      <c r="AG135" s="98"/>
      <c r="AH135" s="98"/>
    </row>
    <row r="136" spans="2:34" x14ac:dyDescent="0.25">
      <c r="B136" s="73"/>
      <c r="C136" s="74"/>
      <c r="D136" s="80"/>
      <c r="E136" s="81"/>
      <c r="F136" s="81"/>
      <c r="G136" s="81"/>
      <c r="H136" s="81"/>
      <c r="I136" s="82"/>
      <c r="J136" s="88"/>
      <c r="K136" s="89"/>
      <c r="L136" s="88"/>
      <c r="M136" s="89"/>
      <c r="N136" s="80"/>
      <c r="O136" s="82"/>
      <c r="P136" s="94"/>
      <c r="Q136" s="95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8"/>
      <c r="AD136" s="98"/>
      <c r="AE136" s="98"/>
      <c r="AF136" s="98"/>
      <c r="AG136" s="98"/>
      <c r="AH136" s="98"/>
    </row>
    <row r="137" spans="2:34" x14ac:dyDescent="0.25">
      <c r="B137" s="75"/>
      <c r="C137" s="76"/>
      <c r="D137" s="83"/>
      <c r="E137" s="84"/>
      <c r="F137" s="84"/>
      <c r="G137" s="84"/>
      <c r="H137" s="84"/>
      <c r="I137" s="85"/>
      <c r="J137" s="90"/>
      <c r="K137" s="91"/>
      <c r="L137" s="90"/>
      <c r="M137" s="91"/>
      <c r="N137" s="83"/>
      <c r="O137" s="85"/>
      <c r="P137" s="96"/>
      <c r="Q137" s="97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8"/>
      <c r="AD137" s="98"/>
      <c r="AE137" s="98"/>
      <c r="AF137" s="98"/>
      <c r="AG137" s="98"/>
      <c r="AH137" s="98"/>
    </row>
    <row r="138" spans="2:34" x14ac:dyDescent="0.25">
      <c r="B138" s="71"/>
      <c r="C138" s="72"/>
      <c r="D138" s="77"/>
      <c r="E138" s="78"/>
      <c r="F138" s="78"/>
      <c r="G138" s="78"/>
      <c r="H138" s="78"/>
      <c r="I138" s="79"/>
      <c r="J138" s="86"/>
      <c r="K138" s="87"/>
      <c r="L138" s="86"/>
      <c r="M138" s="87"/>
      <c r="N138" s="77"/>
      <c r="O138" s="79"/>
      <c r="P138" s="92"/>
      <c r="Q138" s="93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8"/>
      <c r="AD138" s="98"/>
      <c r="AE138" s="98"/>
      <c r="AF138" s="98"/>
      <c r="AG138" s="98"/>
      <c r="AH138" s="98"/>
    </row>
    <row r="139" spans="2:34" x14ac:dyDescent="0.25">
      <c r="B139" s="73"/>
      <c r="C139" s="74"/>
      <c r="D139" s="80"/>
      <c r="E139" s="81"/>
      <c r="F139" s="81"/>
      <c r="G139" s="81"/>
      <c r="H139" s="81"/>
      <c r="I139" s="82"/>
      <c r="J139" s="88"/>
      <c r="K139" s="89"/>
      <c r="L139" s="88"/>
      <c r="M139" s="89"/>
      <c r="N139" s="80"/>
      <c r="O139" s="82"/>
      <c r="P139" s="94"/>
      <c r="Q139" s="95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8"/>
      <c r="AD139" s="98"/>
      <c r="AE139" s="98"/>
      <c r="AF139" s="98"/>
      <c r="AG139" s="98"/>
      <c r="AH139" s="98"/>
    </row>
    <row r="140" spans="2:34" x14ac:dyDescent="0.25">
      <c r="B140" s="75"/>
      <c r="C140" s="76"/>
      <c r="D140" s="83"/>
      <c r="E140" s="84"/>
      <c r="F140" s="84"/>
      <c r="G140" s="84"/>
      <c r="H140" s="84"/>
      <c r="I140" s="85"/>
      <c r="J140" s="90"/>
      <c r="K140" s="91"/>
      <c r="L140" s="90"/>
      <c r="M140" s="91"/>
      <c r="N140" s="83"/>
      <c r="O140" s="85"/>
      <c r="P140" s="96"/>
      <c r="Q140" s="97"/>
      <c r="S140" s="99"/>
      <c r="T140" s="99"/>
      <c r="U140" s="99"/>
      <c r="V140" s="99"/>
      <c r="W140" s="99"/>
      <c r="X140" s="99"/>
      <c r="Y140" s="99"/>
      <c r="Z140" s="99"/>
      <c r="AA140" s="99"/>
      <c r="AB140" s="99"/>
      <c r="AC140" s="98"/>
      <c r="AD140" s="98"/>
      <c r="AE140" s="98"/>
      <c r="AF140" s="98"/>
      <c r="AG140" s="98"/>
      <c r="AH140" s="98"/>
    </row>
    <row r="141" spans="2:34" x14ac:dyDescent="0.25">
      <c r="B141" s="71"/>
      <c r="C141" s="72"/>
      <c r="D141" s="77"/>
      <c r="E141" s="78"/>
      <c r="F141" s="78"/>
      <c r="G141" s="78"/>
      <c r="H141" s="78"/>
      <c r="I141" s="79"/>
      <c r="J141" s="86"/>
      <c r="K141" s="87"/>
      <c r="L141" s="86"/>
      <c r="M141" s="87"/>
      <c r="N141" s="77"/>
      <c r="O141" s="79"/>
      <c r="P141" s="92"/>
      <c r="Q141" s="93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8"/>
      <c r="AD141" s="98"/>
      <c r="AE141" s="98"/>
      <c r="AF141" s="98"/>
      <c r="AG141" s="98"/>
      <c r="AH141" s="98"/>
    </row>
    <row r="142" spans="2:34" x14ac:dyDescent="0.25">
      <c r="B142" s="73"/>
      <c r="C142" s="74"/>
      <c r="D142" s="80"/>
      <c r="E142" s="81"/>
      <c r="F142" s="81"/>
      <c r="G142" s="81"/>
      <c r="H142" s="81"/>
      <c r="I142" s="82"/>
      <c r="J142" s="88"/>
      <c r="K142" s="89"/>
      <c r="L142" s="88"/>
      <c r="M142" s="89"/>
      <c r="N142" s="80"/>
      <c r="O142" s="82"/>
      <c r="P142" s="94"/>
      <c r="Q142" s="95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8"/>
      <c r="AD142" s="98"/>
      <c r="AE142" s="98"/>
      <c r="AF142" s="98"/>
      <c r="AG142" s="98"/>
      <c r="AH142" s="98"/>
    </row>
    <row r="143" spans="2:34" x14ac:dyDescent="0.25">
      <c r="B143" s="75"/>
      <c r="C143" s="76"/>
      <c r="D143" s="83"/>
      <c r="E143" s="84"/>
      <c r="F143" s="84"/>
      <c r="G143" s="84"/>
      <c r="H143" s="84"/>
      <c r="I143" s="85"/>
      <c r="J143" s="90"/>
      <c r="K143" s="91"/>
      <c r="L143" s="90"/>
      <c r="M143" s="91"/>
      <c r="N143" s="83"/>
      <c r="O143" s="85"/>
      <c r="P143" s="96"/>
      <c r="Q143" s="97"/>
      <c r="S143" s="99"/>
      <c r="T143" s="99"/>
      <c r="U143" s="99"/>
      <c r="V143" s="99"/>
      <c r="W143" s="99"/>
      <c r="X143" s="99"/>
      <c r="Y143" s="99"/>
      <c r="Z143" s="99"/>
      <c r="AA143" s="99"/>
      <c r="AB143" s="99"/>
      <c r="AC143" s="98"/>
      <c r="AD143" s="98"/>
      <c r="AE143" s="98"/>
      <c r="AF143" s="98"/>
      <c r="AG143" s="98"/>
      <c r="AH143" s="98"/>
    </row>
    <row r="144" spans="2:34" x14ac:dyDescent="0.25">
      <c r="B144" s="71"/>
      <c r="C144" s="72"/>
      <c r="D144" s="77"/>
      <c r="E144" s="78"/>
      <c r="F144" s="78"/>
      <c r="G144" s="78"/>
      <c r="H144" s="78"/>
      <c r="I144" s="79"/>
      <c r="J144" s="86"/>
      <c r="K144" s="87"/>
      <c r="L144" s="86"/>
      <c r="M144" s="87"/>
      <c r="N144" s="77"/>
      <c r="O144" s="79"/>
      <c r="P144" s="92"/>
      <c r="Q144" s="93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8"/>
      <c r="AD144" s="98"/>
      <c r="AE144" s="98"/>
      <c r="AF144" s="98"/>
      <c r="AG144" s="98"/>
      <c r="AH144" s="98"/>
    </row>
    <row r="145" spans="2:34" x14ac:dyDescent="0.25">
      <c r="B145" s="73"/>
      <c r="C145" s="74"/>
      <c r="D145" s="80"/>
      <c r="E145" s="81"/>
      <c r="F145" s="81"/>
      <c r="G145" s="81"/>
      <c r="H145" s="81"/>
      <c r="I145" s="82"/>
      <c r="J145" s="88"/>
      <c r="K145" s="89"/>
      <c r="L145" s="88"/>
      <c r="M145" s="89"/>
      <c r="N145" s="80"/>
      <c r="O145" s="82"/>
      <c r="P145" s="94"/>
      <c r="Q145" s="95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8"/>
      <c r="AD145" s="98"/>
      <c r="AE145" s="98"/>
      <c r="AF145" s="98"/>
      <c r="AG145" s="98"/>
      <c r="AH145" s="98"/>
    </row>
    <row r="146" spans="2:34" x14ac:dyDescent="0.25">
      <c r="B146" s="75"/>
      <c r="C146" s="76"/>
      <c r="D146" s="83"/>
      <c r="E146" s="84"/>
      <c r="F146" s="84"/>
      <c r="G146" s="84"/>
      <c r="H146" s="84"/>
      <c r="I146" s="85"/>
      <c r="J146" s="90"/>
      <c r="K146" s="91"/>
      <c r="L146" s="90"/>
      <c r="M146" s="91"/>
      <c r="N146" s="83"/>
      <c r="O146" s="85"/>
      <c r="P146" s="96"/>
      <c r="Q146" s="97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8"/>
      <c r="AD146" s="98"/>
      <c r="AE146" s="98"/>
      <c r="AF146" s="98"/>
      <c r="AG146" s="98"/>
      <c r="AH146" s="98"/>
    </row>
    <row r="147" spans="2:34" x14ac:dyDescent="0.25">
      <c r="B147" s="71"/>
      <c r="C147" s="72"/>
      <c r="D147" s="77"/>
      <c r="E147" s="78"/>
      <c r="F147" s="78"/>
      <c r="G147" s="78"/>
      <c r="H147" s="78"/>
      <c r="I147" s="79"/>
      <c r="J147" s="86"/>
      <c r="K147" s="87"/>
      <c r="L147" s="86"/>
      <c r="M147" s="87"/>
      <c r="N147" s="77"/>
      <c r="O147" s="79"/>
      <c r="P147" s="92"/>
      <c r="Q147" s="93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8"/>
      <c r="AD147" s="98"/>
      <c r="AE147" s="98"/>
      <c r="AF147" s="98"/>
      <c r="AG147" s="98"/>
      <c r="AH147" s="98"/>
    </row>
    <row r="148" spans="2:34" x14ac:dyDescent="0.25">
      <c r="B148" s="73"/>
      <c r="C148" s="74"/>
      <c r="D148" s="80"/>
      <c r="E148" s="81"/>
      <c r="F148" s="81"/>
      <c r="G148" s="81"/>
      <c r="H148" s="81"/>
      <c r="I148" s="82"/>
      <c r="J148" s="88"/>
      <c r="K148" s="89"/>
      <c r="L148" s="88"/>
      <c r="M148" s="89"/>
      <c r="N148" s="80"/>
      <c r="O148" s="82"/>
      <c r="P148" s="94"/>
      <c r="Q148" s="95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8"/>
      <c r="AD148" s="98"/>
      <c r="AE148" s="98"/>
      <c r="AF148" s="98"/>
      <c r="AG148" s="98"/>
      <c r="AH148" s="98"/>
    </row>
    <row r="149" spans="2:34" x14ac:dyDescent="0.25">
      <c r="B149" s="75"/>
      <c r="C149" s="76"/>
      <c r="D149" s="83"/>
      <c r="E149" s="84"/>
      <c r="F149" s="84"/>
      <c r="G149" s="84"/>
      <c r="H149" s="84"/>
      <c r="I149" s="85"/>
      <c r="J149" s="90"/>
      <c r="K149" s="91"/>
      <c r="L149" s="90"/>
      <c r="M149" s="91"/>
      <c r="N149" s="83"/>
      <c r="O149" s="85"/>
      <c r="P149" s="96"/>
      <c r="Q149" s="97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8"/>
      <c r="AD149" s="98"/>
      <c r="AE149" s="98"/>
      <c r="AF149" s="98"/>
      <c r="AG149" s="98"/>
      <c r="AH149" s="98"/>
    </row>
    <row r="150" spans="2:34" x14ac:dyDescent="0.25">
      <c r="B150" s="71"/>
      <c r="C150" s="72"/>
      <c r="D150" s="77"/>
      <c r="E150" s="78"/>
      <c r="F150" s="78"/>
      <c r="G150" s="78"/>
      <c r="H150" s="78"/>
      <c r="I150" s="79"/>
      <c r="J150" s="86"/>
      <c r="K150" s="87"/>
      <c r="L150" s="86"/>
      <c r="M150" s="87"/>
      <c r="N150" s="77"/>
      <c r="O150" s="79"/>
      <c r="P150" s="92"/>
      <c r="Q150" s="93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8"/>
      <c r="AD150" s="98"/>
      <c r="AE150" s="98"/>
      <c r="AF150" s="98"/>
      <c r="AG150" s="98"/>
      <c r="AH150" s="98"/>
    </row>
    <row r="151" spans="2:34" x14ac:dyDescent="0.25">
      <c r="B151" s="73"/>
      <c r="C151" s="74"/>
      <c r="D151" s="80"/>
      <c r="E151" s="81"/>
      <c r="F151" s="81"/>
      <c r="G151" s="81"/>
      <c r="H151" s="81"/>
      <c r="I151" s="82"/>
      <c r="J151" s="88"/>
      <c r="K151" s="89"/>
      <c r="L151" s="88"/>
      <c r="M151" s="89"/>
      <c r="N151" s="80"/>
      <c r="O151" s="82"/>
      <c r="P151" s="94"/>
      <c r="Q151" s="95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8"/>
      <c r="AD151" s="98"/>
      <c r="AE151" s="98"/>
      <c r="AF151" s="98"/>
      <c r="AG151" s="98"/>
      <c r="AH151" s="98"/>
    </row>
    <row r="152" spans="2:34" x14ac:dyDescent="0.25">
      <c r="B152" s="75"/>
      <c r="C152" s="76"/>
      <c r="D152" s="83"/>
      <c r="E152" s="84"/>
      <c r="F152" s="84"/>
      <c r="G152" s="84"/>
      <c r="H152" s="84"/>
      <c r="I152" s="85"/>
      <c r="J152" s="90"/>
      <c r="K152" s="91"/>
      <c r="L152" s="90"/>
      <c r="M152" s="91"/>
      <c r="N152" s="83"/>
      <c r="O152" s="85"/>
      <c r="P152" s="96"/>
      <c r="Q152" s="97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8"/>
      <c r="AD152" s="98"/>
      <c r="AE152" s="98"/>
      <c r="AF152" s="98"/>
      <c r="AG152" s="98"/>
      <c r="AH152" s="98"/>
    </row>
    <row r="153" spans="2:34" x14ac:dyDescent="0.25">
      <c r="B153" s="71"/>
      <c r="C153" s="72"/>
      <c r="D153" s="77"/>
      <c r="E153" s="78"/>
      <c r="F153" s="78"/>
      <c r="G153" s="78"/>
      <c r="H153" s="78"/>
      <c r="I153" s="79"/>
      <c r="J153" s="86"/>
      <c r="K153" s="87"/>
      <c r="L153" s="86"/>
      <c r="M153" s="87"/>
      <c r="N153" s="77"/>
      <c r="O153" s="79"/>
      <c r="P153" s="92"/>
      <c r="Q153" s="93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8"/>
      <c r="AD153" s="98"/>
      <c r="AE153" s="98"/>
      <c r="AF153" s="98"/>
      <c r="AG153" s="98"/>
      <c r="AH153" s="98"/>
    </row>
    <row r="154" spans="2:34" x14ac:dyDescent="0.25">
      <c r="B154" s="73"/>
      <c r="C154" s="74"/>
      <c r="D154" s="80"/>
      <c r="E154" s="81"/>
      <c r="F154" s="81"/>
      <c r="G154" s="81"/>
      <c r="H154" s="81"/>
      <c r="I154" s="82"/>
      <c r="J154" s="88"/>
      <c r="K154" s="89"/>
      <c r="L154" s="88"/>
      <c r="M154" s="89"/>
      <c r="N154" s="80"/>
      <c r="O154" s="82"/>
      <c r="P154" s="94"/>
      <c r="Q154" s="95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8"/>
      <c r="AD154" s="98"/>
      <c r="AE154" s="98"/>
      <c r="AF154" s="98"/>
      <c r="AG154" s="98"/>
      <c r="AH154" s="98"/>
    </row>
    <row r="155" spans="2:34" x14ac:dyDescent="0.25">
      <c r="B155" s="75"/>
      <c r="C155" s="76"/>
      <c r="D155" s="83"/>
      <c r="E155" s="84"/>
      <c r="F155" s="84"/>
      <c r="G155" s="84"/>
      <c r="H155" s="84"/>
      <c r="I155" s="85"/>
      <c r="J155" s="90"/>
      <c r="K155" s="91"/>
      <c r="L155" s="90"/>
      <c r="M155" s="91"/>
      <c r="N155" s="83"/>
      <c r="O155" s="85"/>
      <c r="P155" s="96"/>
      <c r="Q155" s="97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8"/>
      <c r="AD155" s="98"/>
      <c r="AE155" s="98"/>
      <c r="AF155" s="98"/>
      <c r="AG155" s="98"/>
      <c r="AH155" s="98"/>
    </row>
    <row r="156" spans="2:34" x14ac:dyDescent="0.25">
      <c r="B156" s="71"/>
      <c r="C156" s="72"/>
      <c r="D156" s="77"/>
      <c r="E156" s="78"/>
      <c r="F156" s="78"/>
      <c r="G156" s="78"/>
      <c r="H156" s="78"/>
      <c r="I156" s="79"/>
      <c r="J156" s="86"/>
      <c r="K156" s="87"/>
      <c r="L156" s="86"/>
      <c r="M156" s="87"/>
      <c r="N156" s="77"/>
      <c r="O156" s="79"/>
      <c r="P156" s="92"/>
      <c r="Q156" s="93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8"/>
      <c r="AD156" s="98"/>
      <c r="AE156" s="98"/>
      <c r="AF156" s="98"/>
      <c r="AG156" s="98"/>
      <c r="AH156" s="98"/>
    </row>
    <row r="157" spans="2:34" x14ac:dyDescent="0.25">
      <c r="B157" s="73"/>
      <c r="C157" s="74"/>
      <c r="D157" s="80"/>
      <c r="E157" s="81"/>
      <c r="F157" s="81"/>
      <c r="G157" s="81"/>
      <c r="H157" s="81"/>
      <c r="I157" s="82"/>
      <c r="J157" s="88"/>
      <c r="K157" s="89"/>
      <c r="L157" s="88"/>
      <c r="M157" s="89"/>
      <c r="N157" s="80"/>
      <c r="O157" s="82"/>
      <c r="P157" s="94"/>
      <c r="Q157" s="95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8"/>
      <c r="AD157" s="98"/>
      <c r="AE157" s="98"/>
      <c r="AF157" s="98"/>
      <c r="AG157" s="98"/>
      <c r="AH157" s="98"/>
    </row>
    <row r="158" spans="2:34" x14ac:dyDescent="0.25">
      <c r="B158" s="75"/>
      <c r="C158" s="76"/>
      <c r="D158" s="83"/>
      <c r="E158" s="84"/>
      <c r="F158" s="84"/>
      <c r="G158" s="84"/>
      <c r="H158" s="84"/>
      <c r="I158" s="85"/>
      <c r="J158" s="90"/>
      <c r="K158" s="91"/>
      <c r="L158" s="90"/>
      <c r="M158" s="91"/>
      <c r="N158" s="83"/>
      <c r="O158" s="85"/>
      <c r="P158" s="96"/>
      <c r="Q158" s="97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8"/>
      <c r="AD158" s="98"/>
      <c r="AE158" s="98"/>
      <c r="AF158" s="98"/>
      <c r="AG158" s="98"/>
      <c r="AH158" s="98"/>
    </row>
    <row r="159" spans="2:34" x14ac:dyDescent="0.25">
      <c r="B159" s="71"/>
      <c r="C159" s="72"/>
      <c r="D159" s="77"/>
      <c r="E159" s="78"/>
      <c r="F159" s="78"/>
      <c r="G159" s="78"/>
      <c r="H159" s="78"/>
      <c r="I159" s="79"/>
      <c r="J159" s="86"/>
      <c r="K159" s="87"/>
      <c r="L159" s="86"/>
      <c r="M159" s="87"/>
      <c r="N159" s="77"/>
      <c r="O159" s="79"/>
      <c r="P159" s="92"/>
      <c r="Q159" s="93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8"/>
      <c r="AD159" s="98"/>
      <c r="AE159" s="98"/>
      <c r="AF159" s="98"/>
      <c r="AG159" s="98"/>
      <c r="AH159" s="98"/>
    </row>
    <row r="160" spans="2:34" x14ac:dyDescent="0.25">
      <c r="B160" s="73"/>
      <c r="C160" s="74"/>
      <c r="D160" s="80"/>
      <c r="E160" s="81"/>
      <c r="F160" s="81"/>
      <c r="G160" s="81"/>
      <c r="H160" s="81"/>
      <c r="I160" s="82"/>
      <c r="J160" s="88"/>
      <c r="K160" s="89"/>
      <c r="L160" s="88"/>
      <c r="M160" s="89"/>
      <c r="N160" s="80"/>
      <c r="O160" s="82"/>
      <c r="P160" s="94"/>
      <c r="Q160" s="95"/>
      <c r="S160" s="99"/>
      <c r="T160" s="99"/>
      <c r="U160" s="99"/>
      <c r="V160" s="99"/>
      <c r="W160" s="99"/>
      <c r="X160" s="99"/>
      <c r="Y160" s="99"/>
      <c r="Z160" s="99"/>
      <c r="AA160" s="99"/>
      <c r="AB160" s="99"/>
      <c r="AC160" s="98"/>
      <c r="AD160" s="98"/>
      <c r="AE160" s="98"/>
      <c r="AF160" s="98"/>
      <c r="AG160" s="98"/>
      <c r="AH160" s="98"/>
    </row>
    <row r="161" spans="2:34" x14ac:dyDescent="0.25">
      <c r="B161" s="75"/>
      <c r="C161" s="76"/>
      <c r="D161" s="83"/>
      <c r="E161" s="84"/>
      <c r="F161" s="84"/>
      <c r="G161" s="84"/>
      <c r="H161" s="84"/>
      <c r="I161" s="85"/>
      <c r="J161" s="90"/>
      <c r="K161" s="91"/>
      <c r="L161" s="90"/>
      <c r="M161" s="91"/>
      <c r="N161" s="83"/>
      <c r="O161" s="85"/>
      <c r="P161" s="96"/>
      <c r="Q161" s="97"/>
      <c r="S161" s="99"/>
      <c r="T161" s="99"/>
      <c r="U161" s="99"/>
      <c r="V161" s="99"/>
      <c r="W161" s="99"/>
      <c r="X161" s="99"/>
      <c r="Y161" s="99"/>
      <c r="Z161" s="99"/>
      <c r="AA161" s="99"/>
      <c r="AB161" s="99"/>
      <c r="AC161" s="98"/>
      <c r="AD161" s="98"/>
      <c r="AE161" s="98"/>
      <c r="AF161" s="98"/>
      <c r="AG161" s="98"/>
      <c r="AH161" s="98"/>
    </row>
    <row r="162" spans="2:34" x14ac:dyDescent="0.25">
      <c r="B162" s="71"/>
      <c r="C162" s="72"/>
      <c r="D162" s="77"/>
      <c r="E162" s="78"/>
      <c r="F162" s="78"/>
      <c r="G162" s="78"/>
      <c r="H162" s="78"/>
      <c r="I162" s="79"/>
      <c r="J162" s="86"/>
      <c r="K162" s="87"/>
      <c r="L162" s="86"/>
      <c r="M162" s="87"/>
      <c r="N162" s="77"/>
      <c r="O162" s="79"/>
      <c r="P162" s="92"/>
      <c r="Q162" s="93"/>
      <c r="S162" s="99"/>
      <c r="T162" s="99"/>
      <c r="U162" s="99"/>
      <c r="V162" s="99"/>
      <c r="W162" s="99"/>
      <c r="X162" s="99"/>
      <c r="Y162" s="99"/>
      <c r="Z162" s="99"/>
      <c r="AA162" s="99"/>
      <c r="AB162" s="99"/>
      <c r="AC162" s="98"/>
      <c r="AD162" s="98"/>
      <c r="AE162" s="98"/>
      <c r="AF162" s="98"/>
      <c r="AG162" s="98"/>
      <c r="AH162" s="98"/>
    </row>
    <row r="163" spans="2:34" x14ac:dyDescent="0.25">
      <c r="B163" s="73"/>
      <c r="C163" s="74"/>
      <c r="D163" s="80"/>
      <c r="E163" s="81"/>
      <c r="F163" s="81"/>
      <c r="G163" s="81"/>
      <c r="H163" s="81"/>
      <c r="I163" s="82"/>
      <c r="J163" s="88"/>
      <c r="K163" s="89"/>
      <c r="L163" s="88"/>
      <c r="M163" s="89"/>
      <c r="N163" s="80"/>
      <c r="O163" s="82"/>
      <c r="P163" s="94"/>
      <c r="Q163" s="95"/>
      <c r="S163" s="99"/>
      <c r="T163" s="99"/>
      <c r="U163" s="99"/>
      <c r="V163" s="99"/>
      <c r="W163" s="99"/>
      <c r="X163" s="99"/>
      <c r="Y163" s="99"/>
      <c r="Z163" s="99"/>
      <c r="AA163" s="99"/>
      <c r="AB163" s="99"/>
      <c r="AC163" s="98"/>
      <c r="AD163" s="98"/>
      <c r="AE163" s="98"/>
      <c r="AF163" s="98"/>
      <c r="AG163" s="98"/>
      <c r="AH163" s="98"/>
    </row>
    <row r="164" spans="2:34" x14ac:dyDescent="0.25">
      <c r="B164" s="75"/>
      <c r="C164" s="76"/>
      <c r="D164" s="83"/>
      <c r="E164" s="84"/>
      <c r="F164" s="84"/>
      <c r="G164" s="84"/>
      <c r="H164" s="84"/>
      <c r="I164" s="85"/>
      <c r="J164" s="90"/>
      <c r="K164" s="91"/>
      <c r="L164" s="90"/>
      <c r="M164" s="91"/>
      <c r="N164" s="83"/>
      <c r="O164" s="85"/>
      <c r="P164" s="96"/>
      <c r="Q164" s="97"/>
      <c r="S164" s="99"/>
      <c r="T164" s="99"/>
      <c r="U164" s="99"/>
      <c r="V164" s="99"/>
      <c r="W164" s="99"/>
      <c r="X164" s="99"/>
      <c r="Y164" s="99"/>
      <c r="Z164" s="99"/>
      <c r="AA164" s="99"/>
      <c r="AB164" s="99"/>
      <c r="AC164" s="98"/>
      <c r="AD164" s="98"/>
      <c r="AE164" s="98"/>
      <c r="AF164" s="98"/>
      <c r="AG164" s="98"/>
      <c r="AH164" s="98"/>
    </row>
    <row r="165" spans="2:34" x14ac:dyDescent="0.25">
      <c r="B165" s="71"/>
      <c r="C165" s="72"/>
      <c r="D165" s="77"/>
      <c r="E165" s="78"/>
      <c r="F165" s="78"/>
      <c r="G165" s="78"/>
      <c r="H165" s="78"/>
      <c r="I165" s="79"/>
      <c r="J165" s="86"/>
      <c r="K165" s="87"/>
      <c r="L165" s="86"/>
      <c r="M165" s="87"/>
      <c r="N165" s="77"/>
      <c r="O165" s="79"/>
      <c r="P165" s="92"/>
      <c r="Q165" s="93"/>
      <c r="S165" s="99"/>
      <c r="T165" s="99"/>
      <c r="U165" s="99"/>
      <c r="V165" s="99"/>
      <c r="W165" s="99"/>
      <c r="X165" s="99"/>
      <c r="Y165" s="99"/>
      <c r="Z165" s="99"/>
      <c r="AA165" s="99"/>
      <c r="AB165" s="99"/>
      <c r="AC165" s="98"/>
      <c r="AD165" s="98"/>
      <c r="AE165" s="98"/>
      <c r="AF165" s="98"/>
      <c r="AG165" s="98"/>
      <c r="AH165" s="98"/>
    </row>
    <row r="166" spans="2:34" x14ac:dyDescent="0.25">
      <c r="B166" s="73"/>
      <c r="C166" s="74"/>
      <c r="D166" s="80"/>
      <c r="E166" s="81"/>
      <c r="F166" s="81"/>
      <c r="G166" s="81"/>
      <c r="H166" s="81"/>
      <c r="I166" s="82"/>
      <c r="J166" s="88"/>
      <c r="K166" s="89"/>
      <c r="L166" s="88"/>
      <c r="M166" s="89"/>
      <c r="N166" s="80"/>
      <c r="O166" s="82"/>
      <c r="P166" s="94"/>
      <c r="Q166" s="95"/>
      <c r="S166" s="99"/>
      <c r="T166" s="99"/>
      <c r="U166" s="99"/>
      <c r="V166" s="99"/>
      <c r="W166" s="99"/>
      <c r="X166" s="99"/>
      <c r="Y166" s="99"/>
      <c r="Z166" s="99"/>
      <c r="AA166" s="99"/>
      <c r="AB166" s="99"/>
      <c r="AC166" s="98"/>
      <c r="AD166" s="98"/>
      <c r="AE166" s="98"/>
      <c r="AF166" s="98"/>
      <c r="AG166" s="98"/>
      <c r="AH166" s="98"/>
    </row>
    <row r="167" spans="2:34" x14ac:dyDescent="0.25">
      <c r="B167" s="75"/>
      <c r="C167" s="76"/>
      <c r="D167" s="83"/>
      <c r="E167" s="84"/>
      <c r="F167" s="84"/>
      <c r="G167" s="84"/>
      <c r="H167" s="84"/>
      <c r="I167" s="85"/>
      <c r="J167" s="90"/>
      <c r="K167" s="91"/>
      <c r="L167" s="90"/>
      <c r="M167" s="91"/>
      <c r="N167" s="83"/>
      <c r="O167" s="85"/>
      <c r="P167" s="96"/>
      <c r="Q167" s="97"/>
      <c r="S167" s="99"/>
      <c r="T167" s="99"/>
      <c r="U167" s="99"/>
      <c r="V167" s="99"/>
      <c r="W167" s="99"/>
      <c r="X167" s="99"/>
      <c r="Y167" s="99"/>
      <c r="Z167" s="99"/>
      <c r="AA167" s="99"/>
      <c r="AB167" s="99"/>
      <c r="AC167" s="98"/>
      <c r="AD167" s="98"/>
      <c r="AE167" s="98"/>
      <c r="AF167" s="98"/>
      <c r="AG167" s="98"/>
      <c r="AH167" s="98"/>
    </row>
    <row r="168" spans="2:34" x14ac:dyDescent="0.25">
      <c r="B168" s="71"/>
      <c r="C168" s="72"/>
      <c r="D168" s="77"/>
      <c r="E168" s="78"/>
      <c r="F168" s="78"/>
      <c r="G168" s="78"/>
      <c r="H168" s="78"/>
      <c r="I168" s="79"/>
      <c r="J168" s="86"/>
      <c r="K168" s="87"/>
      <c r="L168" s="86"/>
      <c r="M168" s="87"/>
      <c r="N168" s="77"/>
      <c r="O168" s="79"/>
      <c r="P168" s="92"/>
      <c r="Q168" s="93"/>
      <c r="S168" s="99"/>
      <c r="T168" s="99"/>
      <c r="U168" s="99"/>
      <c r="V168" s="99"/>
      <c r="W168" s="99"/>
      <c r="X168" s="99"/>
      <c r="Y168" s="99"/>
      <c r="Z168" s="99"/>
      <c r="AA168" s="99"/>
      <c r="AB168" s="99"/>
      <c r="AC168" s="98"/>
      <c r="AD168" s="98"/>
      <c r="AE168" s="98"/>
      <c r="AF168" s="98"/>
      <c r="AG168" s="98"/>
      <c r="AH168" s="98"/>
    </row>
    <row r="169" spans="2:34" x14ac:dyDescent="0.25">
      <c r="B169" s="73"/>
      <c r="C169" s="74"/>
      <c r="D169" s="80"/>
      <c r="E169" s="81"/>
      <c r="F169" s="81"/>
      <c r="G169" s="81"/>
      <c r="H169" s="81"/>
      <c r="I169" s="82"/>
      <c r="J169" s="88"/>
      <c r="K169" s="89"/>
      <c r="L169" s="88"/>
      <c r="M169" s="89"/>
      <c r="N169" s="80"/>
      <c r="O169" s="82"/>
      <c r="P169" s="94"/>
      <c r="Q169" s="95"/>
      <c r="S169" s="99"/>
      <c r="T169" s="99"/>
      <c r="U169" s="99"/>
      <c r="V169" s="99"/>
      <c r="W169" s="99"/>
      <c r="X169" s="99"/>
      <c r="Y169" s="99"/>
      <c r="Z169" s="99"/>
      <c r="AA169" s="99"/>
      <c r="AB169" s="99"/>
      <c r="AC169" s="98"/>
      <c r="AD169" s="98"/>
      <c r="AE169" s="98"/>
      <c r="AF169" s="98"/>
      <c r="AG169" s="98"/>
      <c r="AH169" s="98"/>
    </row>
    <row r="170" spans="2:34" x14ac:dyDescent="0.25">
      <c r="B170" s="75"/>
      <c r="C170" s="76"/>
      <c r="D170" s="83"/>
      <c r="E170" s="84"/>
      <c r="F170" s="84"/>
      <c r="G170" s="84"/>
      <c r="H170" s="84"/>
      <c r="I170" s="85"/>
      <c r="J170" s="90"/>
      <c r="K170" s="91"/>
      <c r="L170" s="90"/>
      <c r="M170" s="91"/>
      <c r="N170" s="83"/>
      <c r="O170" s="85"/>
      <c r="P170" s="96"/>
      <c r="Q170" s="97"/>
      <c r="S170" s="99"/>
      <c r="T170" s="99"/>
      <c r="U170" s="99"/>
      <c r="V170" s="99"/>
      <c r="W170" s="99"/>
      <c r="X170" s="99"/>
      <c r="Y170" s="99"/>
      <c r="Z170" s="99"/>
      <c r="AA170" s="99"/>
      <c r="AB170" s="99"/>
      <c r="AC170" s="98"/>
      <c r="AD170" s="98"/>
      <c r="AE170" s="98"/>
      <c r="AF170" s="98"/>
      <c r="AG170" s="98"/>
      <c r="AH170" s="98"/>
    </row>
    <row r="171" spans="2:34" x14ac:dyDescent="0.25">
      <c r="B171" s="71"/>
      <c r="C171" s="72"/>
      <c r="D171" s="77"/>
      <c r="E171" s="78"/>
      <c r="F171" s="78"/>
      <c r="G171" s="78"/>
      <c r="H171" s="78"/>
      <c r="I171" s="79"/>
      <c r="J171" s="86"/>
      <c r="K171" s="87"/>
      <c r="L171" s="86"/>
      <c r="M171" s="87"/>
      <c r="N171" s="77"/>
      <c r="O171" s="79"/>
      <c r="P171" s="92"/>
      <c r="Q171" s="93"/>
      <c r="S171" s="99"/>
      <c r="T171" s="99"/>
      <c r="U171" s="99"/>
      <c r="V171" s="99"/>
      <c r="W171" s="99"/>
      <c r="X171" s="99"/>
      <c r="Y171" s="99"/>
      <c r="Z171" s="99"/>
      <c r="AA171" s="99"/>
      <c r="AB171" s="99"/>
      <c r="AC171" s="98"/>
      <c r="AD171" s="98"/>
      <c r="AE171" s="98"/>
      <c r="AF171" s="98"/>
      <c r="AG171" s="98"/>
      <c r="AH171" s="98"/>
    </row>
    <row r="172" spans="2:34" x14ac:dyDescent="0.25">
      <c r="B172" s="73"/>
      <c r="C172" s="74"/>
      <c r="D172" s="80"/>
      <c r="E172" s="81"/>
      <c r="F172" s="81"/>
      <c r="G172" s="81"/>
      <c r="H172" s="81"/>
      <c r="I172" s="82"/>
      <c r="J172" s="88"/>
      <c r="K172" s="89"/>
      <c r="L172" s="88"/>
      <c r="M172" s="89"/>
      <c r="N172" s="80"/>
      <c r="O172" s="82"/>
      <c r="P172" s="94"/>
      <c r="Q172" s="95"/>
      <c r="S172" s="99"/>
      <c r="T172" s="99"/>
      <c r="U172" s="99"/>
      <c r="V172" s="99"/>
      <c r="W172" s="99"/>
      <c r="X172" s="99"/>
      <c r="Y172" s="99"/>
      <c r="Z172" s="99"/>
      <c r="AA172" s="99"/>
      <c r="AB172" s="99"/>
      <c r="AC172" s="98"/>
      <c r="AD172" s="98"/>
      <c r="AE172" s="98"/>
      <c r="AF172" s="98"/>
      <c r="AG172" s="98"/>
      <c r="AH172" s="98"/>
    </row>
    <row r="173" spans="2:34" x14ac:dyDescent="0.25">
      <c r="B173" s="75"/>
      <c r="C173" s="76"/>
      <c r="D173" s="83"/>
      <c r="E173" s="84"/>
      <c r="F173" s="84"/>
      <c r="G173" s="84"/>
      <c r="H173" s="84"/>
      <c r="I173" s="85"/>
      <c r="J173" s="90"/>
      <c r="K173" s="91"/>
      <c r="L173" s="90"/>
      <c r="M173" s="91"/>
      <c r="N173" s="83"/>
      <c r="O173" s="85"/>
      <c r="P173" s="96"/>
      <c r="Q173" s="97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8"/>
      <c r="AD173" s="98"/>
      <c r="AE173" s="98"/>
      <c r="AF173" s="98"/>
      <c r="AG173" s="98"/>
      <c r="AH173" s="98"/>
    </row>
    <row r="174" spans="2:34" x14ac:dyDescent="0.25">
      <c r="B174" s="71"/>
      <c r="C174" s="72"/>
      <c r="D174" s="77"/>
      <c r="E174" s="78"/>
      <c r="F174" s="78"/>
      <c r="G174" s="78"/>
      <c r="H174" s="78"/>
      <c r="I174" s="79"/>
      <c r="J174" s="86"/>
      <c r="K174" s="87"/>
      <c r="L174" s="86"/>
      <c r="M174" s="87"/>
      <c r="N174" s="77"/>
      <c r="O174" s="79"/>
      <c r="P174" s="92"/>
      <c r="Q174" s="93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8"/>
      <c r="AD174" s="98"/>
      <c r="AE174" s="98"/>
      <c r="AF174" s="98"/>
      <c r="AG174" s="98"/>
      <c r="AH174" s="98"/>
    </row>
    <row r="175" spans="2:34" x14ac:dyDescent="0.25">
      <c r="B175" s="73"/>
      <c r="C175" s="74"/>
      <c r="D175" s="80"/>
      <c r="E175" s="81"/>
      <c r="F175" s="81"/>
      <c r="G175" s="81"/>
      <c r="H175" s="81"/>
      <c r="I175" s="82"/>
      <c r="J175" s="88"/>
      <c r="K175" s="89"/>
      <c r="L175" s="88"/>
      <c r="M175" s="89"/>
      <c r="N175" s="80"/>
      <c r="O175" s="82"/>
      <c r="P175" s="94"/>
      <c r="Q175" s="95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8"/>
      <c r="AD175" s="98"/>
      <c r="AE175" s="98"/>
      <c r="AF175" s="98"/>
      <c r="AG175" s="98"/>
      <c r="AH175" s="98"/>
    </row>
    <row r="176" spans="2:34" x14ac:dyDescent="0.25">
      <c r="B176" s="75"/>
      <c r="C176" s="76"/>
      <c r="D176" s="83"/>
      <c r="E176" s="84"/>
      <c r="F176" s="84"/>
      <c r="G176" s="84"/>
      <c r="H176" s="84"/>
      <c r="I176" s="85"/>
      <c r="J176" s="90"/>
      <c r="K176" s="91"/>
      <c r="L176" s="90"/>
      <c r="M176" s="91"/>
      <c r="N176" s="83"/>
      <c r="O176" s="85"/>
      <c r="P176" s="96"/>
      <c r="Q176" s="97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8"/>
      <c r="AD176" s="98"/>
      <c r="AE176" s="98"/>
      <c r="AF176" s="98"/>
      <c r="AG176" s="98"/>
      <c r="AH176" s="98"/>
    </row>
    <row r="177" spans="2:34" x14ac:dyDescent="0.25">
      <c r="B177" s="71"/>
      <c r="C177" s="72"/>
      <c r="D177" s="77"/>
      <c r="E177" s="78"/>
      <c r="F177" s="78"/>
      <c r="G177" s="78"/>
      <c r="H177" s="78"/>
      <c r="I177" s="79"/>
      <c r="J177" s="86"/>
      <c r="K177" s="87"/>
      <c r="L177" s="86"/>
      <c r="M177" s="87"/>
      <c r="N177" s="77"/>
      <c r="O177" s="79"/>
      <c r="P177" s="92"/>
      <c r="Q177" s="93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8"/>
      <c r="AD177" s="98"/>
      <c r="AE177" s="98"/>
      <c r="AF177" s="98"/>
      <c r="AG177" s="98"/>
      <c r="AH177" s="98"/>
    </row>
    <row r="178" spans="2:34" x14ac:dyDescent="0.25">
      <c r="B178" s="73"/>
      <c r="C178" s="74"/>
      <c r="D178" s="80"/>
      <c r="E178" s="81"/>
      <c r="F178" s="81"/>
      <c r="G178" s="81"/>
      <c r="H178" s="81"/>
      <c r="I178" s="82"/>
      <c r="J178" s="88"/>
      <c r="K178" s="89"/>
      <c r="L178" s="88"/>
      <c r="M178" s="89"/>
      <c r="N178" s="80"/>
      <c r="O178" s="82"/>
      <c r="P178" s="94"/>
      <c r="Q178" s="95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8"/>
      <c r="AD178" s="98"/>
      <c r="AE178" s="98"/>
      <c r="AF178" s="98"/>
      <c r="AG178" s="98"/>
      <c r="AH178" s="98"/>
    </row>
    <row r="179" spans="2:34" x14ac:dyDescent="0.25">
      <c r="B179" s="75"/>
      <c r="C179" s="76"/>
      <c r="D179" s="83"/>
      <c r="E179" s="84"/>
      <c r="F179" s="84"/>
      <c r="G179" s="84"/>
      <c r="H179" s="84"/>
      <c r="I179" s="85"/>
      <c r="J179" s="90"/>
      <c r="K179" s="91"/>
      <c r="L179" s="90"/>
      <c r="M179" s="91"/>
      <c r="N179" s="83"/>
      <c r="O179" s="85"/>
      <c r="P179" s="96"/>
      <c r="Q179" s="97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8"/>
      <c r="AD179" s="98"/>
      <c r="AE179" s="98"/>
      <c r="AF179" s="98"/>
      <c r="AG179" s="98"/>
      <c r="AH179" s="98"/>
    </row>
    <row r="180" spans="2:34" x14ac:dyDescent="0.25">
      <c r="B180" s="71"/>
      <c r="C180" s="72"/>
      <c r="D180" s="77"/>
      <c r="E180" s="78"/>
      <c r="F180" s="78"/>
      <c r="G180" s="78"/>
      <c r="H180" s="78"/>
      <c r="I180" s="79"/>
      <c r="J180" s="86"/>
      <c r="K180" s="87"/>
      <c r="L180" s="86"/>
      <c r="M180" s="87"/>
      <c r="N180" s="77"/>
      <c r="O180" s="79"/>
      <c r="P180" s="92"/>
      <c r="Q180" s="93"/>
      <c r="S180" s="99"/>
      <c r="T180" s="99"/>
      <c r="U180" s="99"/>
      <c r="V180" s="99"/>
      <c r="W180" s="99"/>
      <c r="X180" s="99"/>
      <c r="Y180" s="99"/>
      <c r="Z180" s="99"/>
      <c r="AA180" s="99"/>
      <c r="AB180" s="99"/>
      <c r="AC180" s="98"/>
      <c r="AD180" s="98"/>
      <c r="AE180" s="98"/>
      <c r="AF180" s="98"/>
      <c r="AG180" s="98"/>
      <c r="AH180" s="98"/>
    </row>
    <row r="181" spans="2:34" x14ac:dyDescent="0.25">
      <c r="B181" s="73"/>
      <c r="C181" s="74"/>
      <c r="D181" s="80"/>
      <c r="E181" s="81"/>
      <c r="F181" s="81"/>
      <c r="G181" s="81"/>
      <c r="H181" s="81"/>
      <c r="I181" s="82"/>
      <c r="J181" s="88"/>
      <c r="K181" s="89"/>
      <c r="L181" s="88"/>
      <c r="M181" s="89"/>
      <c r="N181" s="80"/>
      <c r="O181" s="82"/>
      <c r="P181" s="94"/>
      <c r="Q181" s="95"/>
      <c r="S181" s="99"/>
      <c r="T181" s="99"/>
      <c r="U181" s="99"/>
      <c r="V181" s="99"/>
      <c r="W181" s="99"/>
      <c r="X181" s="99"/>
      <c r="Y181" s="99"/>
      <c r="Z181" s="99"/>
      <c r="AA181" s="99"/>
      <c r="AB181" s="99"/>
      <c r="AC181" s="98"/>
      <c r="AD181" s="98"/>
      <c r="AE181" s="98"/>
      <c r="AF181" s="98"/>
      <c r="AG181" s="98"/>
      <c r="AH181" s="98"/>
    </row>
    <row r="182" spans="2:34" x14ac:dyDescent="0.25">
      <c r="B182" s="75"/>
      <c r="C182" s="76"/>
      <c r="D182" s="83"/>
      <c r="E182" s="84"/>
      <c r="F182" s="84"/>
      <c r="G182" s="84"/>
      <c r="H182" s="84"/>
      <c r="I182" s="85"/>
      <c r="J182" s="90"/>
      <c r="K182" s="91"/>
      <c r="L182" s="90"/>
      <c r="M182" s="91"/>
      <c r="N182" s="83"/>
      <c r="O182" s="85"/>
      <c r="P182" s="96"/>
      <c r="Q182" s="97"/>
      <c r="S182" s="99"/>
      <c r="T182" s="99"/>
      <c r="U182" s="99"/>
      <c r="V182" s="99"/>
      <c r="W182" s="99"/>
      <c r="X182" s="99"/>
      <c r="Y182" s="99"/>
      <c r="Z182" s="99"/>
      <c r="AA182" s="99"/>
      <c r="AB182" s="99"/>
      <c r="AC182" s="98"/>
      <c r="AD182" s="98"/>
      <c r="AE182" s="98"/>
      <c r="AF182" s="98"/>
      <c r="AG182" s="98"/>
      <c r="AH182" s="98"/>
    </row>
    <row r="183" spans="2:34" x14ac:dyDescent="0.25">
      <c r="B183" s="71"/>
      <c r="C183" s="72"/>
      <c r="D183" s="77"/>
      <c r="E183" s="78"/>
      <c r="F183" s="78"/>
      <c r="G183" s="78"/>
      <c r="H183" s="78"/>
      <c r="I183" s="79"/>
      <c r="J183" s="86"/>
      <c r="K183" s="87"/>
      <c r="L183" s="86"/>
      <c r="M183" s="87"/>
      <c r="N183" s="77"/>
      <c r="O183" s="79"/>
      <c r="P183" s="92"/>
      <c r="Q183" s="93"/>
      <c r="S183" s="99"/>
      <c r="T183" s="99"/>
      <c r="U183" s="99"/>
      <c r="V183" s="99"/>
      <c r="W183" s="99"/>
      <c r="X183" s="99"/>
      <c r="Y183" s="99"/>
      <c r="Z183" s="99"/>
      <c r="AA183" s="99"/>
      <c r="AB183" s="99"/>
      <c r="AC183" s="98"/>
      <c r="AD183" s="98"/>
      <c r="AE183" s="98"/>
      <c r="AF183" s="98"/>
      <c r="AG183" s="98"/>
      <c r="AH183" s="98"/>
    </row>
    <row r="184" spans="2:34" x14ac:dyDescent="0.25">
      <c r="B184" s="73"/>
      <c r="C184" s="74"/>
      <c r="D184" s="80"/>
      <c r="E184" s="81"/>
      <c r="F184" s="81"/>
      <c r="G184" s="81"/>
      <c r="H184" s="81"/>
      <c r="I184" s="82"/>
      <c r="J184" s="88"/>
      <c r="K184" s="89"/>
      <c r="L184" s="88"/>
      <c r="M184" s="89"/>
      <c r="N184" s="80"/>
      <c r="O184" s="82"/>
      <c r="P184" s="94"/>
      <c r="Q184" s="95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8"/>
      <c r="AD184" s="98"/>
      <c r="AE184" s="98"/>
      <c r="AF184" s="98"/>
      <c r="AG184" s="98"/>
      <c r="AH184" s="98"/>
    </row>
    <row r="185" spans="2:34" x14ac:dyDescent="0.25">
      <c r="B185" s="75"/>
      <c r="C185" s="76"/>
      <c r="D185" s="83"/>
      <c r="E185" s="84"/>
      <c r="F185" s="84"/>
      <c r="G185" s="84"/>
      <c r="H185" s="84"/>
      <c r="I185" s="85"/>
      <c r="J185" s="90"/>
      <c r="K185" s="91"/>
      <c r="L185" s="90"/>
      <c r="M185" s="91"/>
      <c r="N185" s="83"/>
      <c r="O185" s="85"/>
      <c r="P185" s="96"/>
      <c r="Q185" s="97"/>
      <c r="S185" s="99"/>
      <c r="T185" s="99"/>
      <c r="U185" s="99"/>
      <c r="V185" s="99"/>
      <c r="W185" s="99"/>
      <c r="X185" s="99"/>
      <c r="Y185" s="99"/>
      <c r="Z185" s="99"/>
      <c r="AA185" s="99"/>
      <c r="AB185" s="99"/>
      <c r="AC185" s="98"/>
      <c r="AD185" s="98"/>
      <c r="AE185" s="98"/>
      <c r="AF185" s="98"/>
      <c r="AG185" s="98"/>
      <c r="AH185" s="98"/>
    </row>
    <row r="186" spans="2:34" x14ac:dyDescent="0.25">
      <c r="B186" s="71"/>
      <c r="C186" s="72"/>
      <c r="D186" s="77"/>
      <c r="E186" s="78"/>
      <c r="F186" s="78"/>
      <c r="G186" s="78"/>
      <c r="H186" s="78"/>
      <c r="I186" s="79"/>
      <c r="J186" s="86"/>
      <c r="K186" s="87"/>
      <c r="L186" s="86"/>
      <c r="M186" s="87"/>
      <c r="N186" s="77"/>
      <c r="O186" s="79"/>
      <c r="P186" s="92"/>
      <c r="Q186" s="93"/>
      <c r="S186" s="99"/>
      <c r="T186" s="99"/>
      <c r="U186" s="99"/>
      <c r="V186" s="99"/>
      <c r="W186" s="99"/>
      <c r="X186" s="99"/>
      <c r="Y186" s="99"/>
      <c r="Z186" s="99"/>
      <c r="AA186" s="99"/>
      <c r="AB186" s="99"/>
      <c r="AC186" s="98"/>
      <c r="AD186" s="98"/>
      <c r="AE186" s="98"/>
      <c r="AF186" s="98"/>
      <c r="AG186" s="98"/>
      <c r="AH186" s="98"/>
    </row>
    <row r="187" spans="2:34" x14ac:dyDescent="0.25">
      <c r="B187" s="73"/>
      <c r="C187" s="74"/>
      <c r="D187" s="80"/>
      <c r="E187" s="81"/>
      <c r="F187" s="81"/>
      <c r="G187" s="81"/>
      <c r="H187" s="81"/>
      <c r="I187" s="82"/>
      <c r="J187" s="88"/>
      <c r="K187" s="89"/>
      <c r="L187" s="88"/>
      <c r="M187" s="89"/>
      <c r="N187" s="80"/>
      <c r="O187" s="82"/>
      <c r="P187" s="94"/>
      <c r="Q187" s="95"/>
      <c r="S187" s="99"/>
      <c r="T187" s="99"/>
      <c r="U187" s="99"/>
      <c r="V187" s="99"/>
      <c r="W187" s="99"/>
      <c r="X187" s="99"/>
      <c r="Y187" s="99"/>
      <c r="Z187" s="99"/>
      <c r="AA187" s="99"/>
      <c r="AB187" s="99"/>
      <c r="AC187" s="98"/>
      <c r="AD187" s="98"/>
      <c r="AE187" s="98"/>
      <c r="AF187" s="98"/>
      <c r="AG187" s="98"/>
      <c r="AH187" s="98"/>
    </row>
    <row r="188" spans="2:34" x14ac:dyDescent="0.25">
      <c r="B188" s="75"/>
      <c r="C188" s="76"/>
      <c r="D188" s="83"/>
      <c r="E188" s="84"/>
      <c r="F188" s="84"/>
      <c r="G188" s="84"/>
      <c r="H188" s="84"/>
      <c r="I188" s="85"/>
      <c r="J188" s="90"/>
      <c r="K188" s="91"/>
      <c r="L188" s="90"/>
      <c r="M188" s="91"/>
      <c r="N188" s="83"/>
      <c r="O188" s="85"/>
      <c r="P188" s="96"/>
      <c r="Q188" s="97"/>
      <c r="S188" s="99"/>
      <c r="T188" s="99"/>
      <c r="U188" s="99"/>
      <c r="V188" s="99"/>
      <c r="W188" s="99"/>
      <c r="X188" s="99"/>
      <c r="Y188" s="99"/>
      <c r="Z188" s="99"/>
      <c r="AA188" s="99"/>
      <c r="AB188" s="99"/>
      <c r="AC188" s="98"/>
      <c r="AD188" s="98"/>
      <c r="AE188" s="98"/>
      <c r="AF188" s="98"/>
      <c r="AG188" s="98"/>
      <c r="AH188" s="98"/>
    </row>
    <row r="189" spans="2:34" x14ac:dyDescent="0.25">
      <c r="B189" s="71"/>
      <c r="C189" s="72"/>
      <c r="D189" s="77"/>
      <c r="E189" s="78"/>
      <c r="F189" s="78"/>
      <c r="G189" s="78"/>
      <c r="H189" s="78"/>
      <c r="I189" s="79"/>
      <c r="J189" s="86"/>
      <c r="K189" s="87"/>
      <c r="L189" s="86"/>
      <c r="M189" s="87"/>
      <c r="N189" s="77"/>
      <c r="O189" s="79"/>
      <c r="P189" s="92"/>
      <c r="Q189" s="93"/>
      <c r="S189" s="99"/>
      <c r="T189" s="99"/>
      <c r="U189" s="99"/>
      <c r="V189" s="99"/>
      <c r="W189" s="99"/>
      <c r="X189" s="99"/>
      <c r="Y189" s="99"/>
      <c r="Z189" s="99"/>
      <c r="AA189" s="99"/>
      <c r="AB189" s="99"/>
      <c r="AC189" s="98"/>
      <c r="AD189" s="98"/>
      <c r="AE189" s="98"/>
      <c r="AF189" s="98"/>
      <c r="AG189" s="98"/>
      <c r="AH189" s="98"/>
    </row>
    <row r="190" spans="2:34" x14ac:dyDescent="0.25">
      <c r="B190" s="73"/>
      <c r="C190" s="74"/>
      <c r="D190" s="80"/>
      <c r="E190" s="81"/>
      <c r="F190" s="81"/>
      <c r="G190" s="81"/>
      <c r="H190" s="81"/>
      <c r="I190" s="82"/>
      <c r="J190" s="88"/>
      <c r="K190" s="89"/>
      <c r="L190" s="88"/>
      <c r="M190" s="89"/>
      <c r="N190" s="80"/>
      <c r="O190" s="82"/>
      <c r="P190" s="94"/>
      <c r="Q190" s="95"/>
      <c r="S190" s="99"/>
      <c r="T190" s="99"/>
      <c r="U190" s="99"/>
      <c r="V190" s="99"/>
      <c r="W190" s="99"/>
      <c r="X190" s="99"/>
      <c r="Y190" s="99"/>
      <c r="Z190" s="99"/>
      <c r="AA190" s="99"/>
      <c r="AB190" s="99"/>
      <c r="AC190" s="98"/>
      <c r="AD190" s="98"/>
      <c r="AE190" s="98"/>
      <c r="AF190" s="98"/>
      <c r="AG190" s="98"/>
      <c r="AH190" s="98"/>
    </row>
    <row r="191" spans="2:34" x14ac:dyDescent="0.25">
      <c r="B191" s="75"/>
      <c r="C191" s="76"/>
      <c r="D191" s="83"/>
      <c r="E191" s="84"/>
      <c r="F191" s="84"/>
      <c r="G191" s="84"/>
      <c r="H191" s="84"/>
      <c r="I191" s="85"/>
      <c r="J191" s="90"/>
      <c r="K191" s="91"/>
      <c r="L191" s="90"/>
      <c r="M191" s="91"/>
      <c r="N191" s="83"/>
      <c r="O191" s="85"/>
      <c r="P191" s="96"/>
      <c r="Q191" s="97"/>
      <c r="S191" s="99"/>
      <c r="T191" s="99"/>
      <c r="U191" s="99"/>
      <c r="V191" s="99"/>
      <c r="W191" s="99"/>
      <c r="X191" s="99"/>
      <c r="Y191" s="99"/>
      <c r="Z191" s="99"/>
      <c r="AA191" s="99"/>
      <c r="AB191" s="99"/>
      <c r="AC191" s="98"/>
      <c r="AD191" s="98"/>
      <c r="AE191" s="98"/>
      <c r="AF191" s="98"/>
      <c r="AG191" s="98"/>
      <c r="AH191" s="98"/>
    </row>
    <row r="192" spans="2:34" x14ac:dyDescent="0.25">
      <c r="B192" s="71"/>
      <c r="C192" s="72"/>
      <c r="D192" s="77"/>
      <c r="E192" s="78"/>
      <c r="F192" s="78"/>
      <c r="G192" s="78"/>
      <c r="H192" s="78"/>
      <c r="I192" s="79"/>
      <c r="J192" s="86"/>
      <c r="K192" s="87"/>
      <c r="L192" s="86"/>
      <c r="M192" s="87"/>
      <c r="N192" s="77"/>
      <c r="O192" s="79"/>
      <c r="P192" s="92"/>
      <c r="Q192" s="93"/>
      <c r="S192" s="99"/>
      <c r="T192" s="99"/>
      <c r="U192" s="99"/>
      <c r="V192" s="99"/>
      <c r="W192" s="99"/>
      <c r="X192" s="99"/>
      <c r="Y192" s="99"/>
      <c r="Z192" s="99"/>
      <c r="AA192" s="99"/>
      <c r="AB192" s="99"/>
      <c r="AC192" s="98"/>
      <c r="AD192" s="98"/>
      <c r="AE192" s="98"/>
      <c r="AF192" s="98"/>
      <c r="AG192" s="98"/>
      <c r="AH192" s="98"/>
    </row>
    <row r="193" spans="2:34" x14ac:dyDescent="0.25">
      <c r="B193" s="73"/>
      <c r="C193" s="74"/>
      <c r="D193" s="80"/>
      <c r="E193" s="81"/>
      <c r="F193" s="81"/>
      <c r="G193" s="81"/>
      <c r="H193" s="81"/>
      <c r="I193" s="82"/>
      <c r="J193" s="88"/>
      <c r="K193" s="89"/>
      <c r="L193" s="88"/>
      <c r="M193" s="89"/>
      <c r="N193" s="80"/>
      <c r="O193" s="82"/>
      <c r="P193" s="94"/>
      <c r="Q193" s="95"/>
      <c r="S193" s="99"/>
      <c r="T193" s="99"/>
      <c r="U193" s="99"/>
      <c r="V193" s="99"/>
      <c r="W193" s="99"/>
      <c r="X193" s="99"/>
      <c r="Y193" s="99"/>
      <c r="Z193" s="99"/>
      <c r="AA193" s="99"/>
      <c r="AB193" s="99"/>
      <c r="AC193" s="98"/>
      <c r="AD193" s="98"/>
      <c r="AE193" s="98"/>
      <c r="AF193" s="98"/>
      <c r="AG193" s="98"/>
      <c r="AH193" s="98"/>
    </row>
    <row r="194" spans="2:34" x14ac:dyDescent="0.25">
      <c r="B194" s="75"/>
      <c r="C194" s="76"/>
      <c r="D194" s="83"/>
      <c r="E194" s="84"/>
      <c r="F194" s="84"/>
      <c r="G194" s="84"/>
      <c r="H194" s="84"/>
      <c r="I194" s="85"/>
      <c r="J194" s="90"/>
      <c r="K194" s="91"/>
      <c r="L194" s="90"/>
      <c r="M194" s="91"/>
      <c r="N194" s="83"/>
      <c r="O194" s="85"/>
      <c r="P194" s="96"/>
      <c r="Q194" s="97"/>
      <c r="S194" s="99"/>
      <c r="T194" s="99"/>
      <c r="U194" s="99"/>
      <c r="V194" s="99"/>
      <c r="W194" s="99"/>
      <c r="X194" s="99"/>
      <c r="Y194" s="99"/>
      <c r="Z194" s="99"/>
      <c r="AA194" s="99"/>
      <c r="AB194" s="99"/>
      <c r="AC194" s="98"/>
      <c r="AD194" s="98"/>
      <c r="AE194" s="98"/>
      <c r="AF194" s="98"/>
      <c r="AG194" s="98"/>
      <c r="AH194" s="98"/>
    </row>
    <row r="195" spans="2:34" x14ac:dyDescent="0.25">
      <c r="B195" s="71"/>
      <c r="C195" s="72"/>
      <c r="D195" s="77"/>
      <c r="E195" s="78"/>
      <c r="F195" s="78"/>
      <c r="G195" s="78"/>
      <c r="H195" s="78"/>
      <c r="I195" s="79"/>
      <c r="J195" s="86"/>
      <c r="K195" s="87"/>
      <c r="L195" s="86"/>
      <c r="M195" s="87"/>
      <c r="N195" s="77"/>
      <c r="O195" s="79"/>
      <c r="P195" s="92"/>
      <c r="Q195" s="93"/>
      <c r="S195" s="99"/>
      <c r="T195" s="99"/>
      <c r="U195" s="99"/>
      <c r="V195" s="99"/>
      <c r="W195" s="99"/>
      <c r="X195" s="99"/>
      <c r="Y195" s="99"/>
      <c r="Z195" s="99"/>
      <c r="AA195" s="99"/>
      <c r="AB195" s="99"/>
      <c r="AC195" s="98"/>
      <c r="AD195" s="98"/>
      <c r="AE195" s="98"/>
      <c r="AF195" s="98"/>
      <c r="AG195" s="98"/>
      <c r="AH195" s="98"/>
    </row>
    <row r="196" spans="2:34" x14ac:dyDescent="0.25">
      <c r="B196" s="73"/>
      <c r="C196" s="74"/>
      <c r="D196" s="80"/>
      <c r="E196" s="81"/>
      <c r="F196" s="81"/>
      <c r="G196" s="81"/>
      <c r="H196" s="81"/>
      <c r="I196" s="82"/>
      <c r="J196" s="88"/>
      <c r="K196" s="89"/>
      <c r="L196" s="88"/>
      <c r="M196" s="89"/>
      <c r="N196" s="80"/>
      <c r="O196" s="82"/>
      <c r="P196" s="94"/>
      <c r="Q196" s="95"/>
      <c r="S196" s="99"/>
      <c r="T196" s="99"/>
      <c r="U196" s="99"/>
      <c r="V196" s="99"/>
      <c r="W196" s="99"/>
      <c r="X196" s="99"/>
      <c r="Y196" s="99"/>
      <c r="Z196" s="99"/>
      <c r="AA196" s="99"/>
      <c r="AB196" s="99"/>
      <c r="AC196" s="98"/>
      <c r="AD196" s="98"/>
      <c r="AE196" s="98"/>
      <c r="AF196" s="98"/>
      <c r="AG196" s="98"/>
      <c r="AH196" s="98"/>
    </row>
    <row r="197" spans="2:34" x14ac:dyDescent="0.25">
      <c r="B197" s="75"/>
      <c r="C197" s="76"/>
      <c r="D197" s="83"/>
      <c r="E197" s="84"/>
      <c r="F197" s="84"/>
      <c r="G197" s="84"/>
      <c r="H197" s="84"/>
      <c r="I197" s="85"/>
      <c r="J197" s="90"/>
      <c r="K197" s="91"/>
      <c r="L197" s="90"/>
      <c r="M197" s="91"/>
      <c r="N197" s="83"/>
      <c r="O197" s="85"/>
      <c r="P197" s="96"/>
      <c r="Q197" s="97"/>
      <c r="S197" s="99"/>
      <c r="T197" s="99"/>
      <c r="U197" s="99"/>
      <c r="V197" s="99"/>
      <c r="W197" s="99"/>
      <c r="X197" s="99"/>
      <c r="Y197" s="99"/>
      <c r="Z197" s="99"/>
      <c r="AA197" s="99"/>
      <c r="AB197" s="99"/>
      <c r="AC197" s="98"/>
      <c r="AD197" s="98"/>
      <c r="AE197" s="98"/>
      <c r="AF197" s="98"/>
      <c r="AG197" s="98"/>
      <c r="AH197" s="98"/>
    </row>
    <row r="198" spans="2:34" x14ac:dyDescent="0.25">
      <c r="B198" s="71"/>
      <c r="C198" s="72"/>
      <c r="D198" s="77"/>
      <c r="E198" s="78"/>
      <c r="F198" s="78"/>
      <c r="G198" s="78"/>
      <c r="H198" s="78"/>
      <c r="I198" s="79"/>
      <c r="J198" s="86"/>
      <c r="K198" s="87"/>
      <c r="L198" s="86"/>
      <c r="M198" s="87"/>
      <c r="N198" s="77"/>
      <c r="O198" s="79"/>
      <c r="P198" s="92"/>
      <c r="Q198" s="93"/>
      <c r="S198" s="99"/>
      <c r="T198" s="99"/>
      <c r="U198" s="99"/>
      <c r="V198" s="99"/>
      <c r="W198" s="99"/>
      <c r="X198" s="99"/>
      <c r="Y198" s="99"/>
      <c r="Z198" s="99"/>
      <c r="AA198" s="99"/>
      <c r="AB198" s="99"/>
      <c r="AC198" s="98"/>
      <c r="AD198" s="98"/>
      <c r="AE198" s="98"/>
      <c r="AF198" s="98"/>
      <c r="AG198" s="98"/>
      <c r="AH198" s="98"/>
    </row>
    <row r="199" spans="2:34" x14ac:dyDescent="0.25">
      <c r="B199" s="73"/>
      <c r="C199" s="74"/>
      <c r="D199" s="80"/>
      <c r="E199" s="81"/>
      <c r="F199" s="81"/>
      <c r="G199" s="81"/>
      <c r="H199" s="81"/>
      <c r="I199" s="82"/>
      <c r="J199" s="88"/>
      <c r="K199" s="89"/>
      <c r="L199" s="88"/>
      <c r="M199" s="89"/>
      <c r="N199" s="80"/>
      <c r="O199" s="82"/>
      <c r="P199" s="94"/>
      <c r="Q199" s="95"/>
      <c r="S199" s="99"/>
      <c r="T199" s="99"/>
      <c r="U199" s="99"/>
      <c r="V199" s="99"/>
      <c r="W199" s="99"/>
      <c r="X199" s="99"/>
      <c r="Y199" s="99"/>
      <c r="Z199" s="99"/>
      <c r="AA199" s="99"/>
      <c r="AB199" s="99"/>
      <c r="AC199" s="98"/>
      <c r="AD199" s="98"/>
      <c r="AE199" s="98"/>
      <c r="AF199" s="98"/>
      <c r="AG199" s="98"/>
      <c r="AH199" s="98"/>
    </row>
    <row r="200" spans="2:34" x14ac:dyDescent="0.25">
      <c r="B200" s="75"/>
      <c r="C200" s="76"/>
      <c r="D200" s="83"/>
      <c r="E200" s="84"/>
      <c r="F200" s="84"/>
      <c r="G200" s="84"/>
      <c r="H200" s="84"/>
      <c r="I200" s="85"/>
      <c r="J200" s="90"/>
      <c r="K200" s="91"/>
      <c r="L200" s="90"/>
      <c r="M200" s="91"/>
      <c r="N200" s="83"/>
      <c r="O200" s="85"/>
      <c r="P200" s="96"/>
      <c r="Q200" s="97"/>
      <c r="S200" s="99"/>
      <c r="T200" s="99"/>
      <c r="U200" s="99"/>
      <c r="V200" s="99"/>
      <c r="W200" s="99"/>
      <c r="X200" s="99"/>
      <c r="Y200" s="99"/>
      <c r="Z200" s="99"/>
      <c r="AA200" s="99"/>
      <c r="AB200" s="99"/>
      <c r="AC200" s="98"/>
      <c r="AD200" s="98"/>
      <c r="AE200" s="98"/>
      <c r="AF200" s="98"/>
      <c r="AG200" s="98"/>
      <c r="AH200" s="98"/>
    </row>
    <row r="201" spans="2:34" x14ac:dyDescent="0.25">
      <c r="B201" s="71"/>
      <c r="C201" s="72"/>
      <c r="D201" s="77"/>
      <c r="E201" s="78"/>
      <c r="F201" s="78"/>
      <c r="G201" s="78"/>
      <c r="H201" s="78"/>
      <c r="I201" s="79"/>
      <c r="J201" s="86"/>
      <c r="K201" s="87"/>
      <c r="L201" s="86"/>
      <c r="M201" s="87"/>
      <c r="N201" s="77"/>
      <c r="O201" s="79"/>
      <c r="P201" s="92"/>
      <c r="Q201" s="93"/>
      <c r="S201" s="99"/>
      <c r="T201" s="99"/>
      <c r="U201" s="99"/>
      <c r="V201" s="99"/>
      <c r="W201" s="99"/>
      <c r="X201" s="99"/>
      <c r="Y201" s="99"/>
      <c r="Z201" s="99"/>
      <c r="AA201" s="99"/>
      <c r="AB201" s="99"/>
      <c r="AC201" s="98"/>
      <c r="AD201" s="98"/>
      <c r="AE201" s="98"/>
      <c r="AF201" s="98"/>
      <c r="AG201" s="98"/>
      <c r="AH201" s="98"/>
    </row>
    <row r="202" spans="2:34" x14ac:dyDescent="0.25">
      <c r="B202" s="73"/>
      <c r="C202" s="74"/>
      <c r="D202" s="80"/>
      <c r="E202" s="81"/>
      <c r="F202" s="81"/>
      <c r="G202" s="81"/>
      <c r="H202" s="81"/>
      <c r="I202" s="82"/>
      <c r="J202" s="88"/>
      <c r="K202" s="89"/>
      <c r="L202" s="88"/>
      <c r="M202" s="89"/>
      <c r="N202" s="80"/>
      <c r="O202" s="82"/>
      <c r="P202" s="94"/>
      <c r="Q202" s="95"/>
      <c r="S202" s="99"/>
      <c r="T202" s="99"/>
      <c r="U202" s="99"/>
      <c r="V202" s="99"/>
      <c r="W202" s="99"/>
      <c r="X202" s="99"/>
      <c r="Y202" s="99"/>
      <c r="Z202" s="99"/>
      <c r="AA202" s="99"/>
      <c r="AB202" s="99"/>
      <c r="AC202" s="98"/>
      <c r="AD202" s="98"/>
      <c r="AE202" s="98"/>
      <c r="AF202" s="98"/>
      <c r="AG202" s="98"/>
      <c r="AH202" s="98"/>
    </row>
    <row r="203" spans="2:34" x14ac:dyDescent="0.25">
      <c r="B203" s="75"/>
      <c r="C203" s="76"/>
      <c r="D203" s="83"/>
      <c r="E203" s="84"/>
      <c r="F203" s="84"/>
      <c r="G203" s="84"/>
      <c r="H203" s="84"/>
      <c r="I203" s="85"/>
      <c r="J203" s="90"/>
      <c r="K203" s="91"/>
      <c r="L203" s="90"/>
      <c r="M203" s="91"/>
      <c r="N203" s="83"/>
      <c r="O203" s="85"/>
      <c r="P203" s="96"/>
      <c r="Q203" s="97"/>
      <c r="S203" s="99"/>
      <c r="T203" s="99"/>
      <c r="U203" s="99"/>
      <c r="V203" s="99"/>
      <c r="W203" s="99"/>
      <c r="X203" s="99"/>
      <c r="Y203" s="99"/>
      <c r="Z203" s="99"/>
      <c r="AA203" s="99"/>
      <c r="AB203" s="99"/>
      <c r="AC203" s="98"/>
      <c r="AD203" s="98"/>
      <c r="AE203" s="98"/>
      <c r="AF203" s="98"/>
      <c r="AG203" s="98"/>
      <c r="AH203" s="98"/>
    </row>
    <row r="204" spans="2:34" x14ac:dyDescent="0.25">
      <c r="B204" s="71"/>
      <c r="C204" s="72"/>
      <c r="D204" s="77"/>
      <c r="E204" s="78"/>
      <c r="F204" s="78"/>
      <c r="G204" s="78"/>
      <c r="H204" s="78"/>
      <c r="I204" s="79"/>
      <c r="J204" s="86"/>
      <c r="K204" s="87"/>
      <c r="L204" s="86"/>
      <c r="M204" s="87"/>
      <c r="N204" s="77"/>
      <c r="O204" s="79"/>
      <c r="P204" s="92"/>
      <c r="Q204" s="93"/>
      <c r="S204" s="99"/>
      <c r="T204" s="99"/>
      <c r="U204" s="99"/>
      <c r="V204" s="99"/>
      <c r="W204" s="99"/>
      <c r="X204" s="99"/>
      <c r="Y204" s="99"/>
      <c r="Z204" s="99"/>
      <c r="AA204" s="99"/>
      <c r="AB204" s="99"/>
      <c r="AC204" s="98"/>
      <c r="AD204" s="98"/>
      <c r="AE204" s="98"/>
      <c r="AF204" s="98"/>
      <c r="AG204" s="98"/>
      <c r="AH204" s="98"/>
    </row>
    <row r="205" spans="2:34" x14ac:dyDescent="0.25">
      <c r="B205" s="73"/>
      <c r="C205" s="74"/>
      <c r="D205" s="80"/>
      <c r="E205" s="81"/>
      <c r="F205" s="81"/>
      <c r="G205" s="81"/>
      <c r="H205" s="81"/>
      <c r="I205" s="82"/>
      <c r="J205" s="88"/>
      <c r="K205" s="89"/>
      <c r="L205" s="88"/>
      <c r="M205" s="89"/>
      <c r="N205" s="80"/>
      <c r="O205" s="82"/>
      <c r="P205" s="94"/>
      <c r="Q205" s="95"/>
      <c r="S205" s="99"/>
      <c r="T205" s="99"/>
      <c r="U205" s="99"/>
      <c r="V205" s="99"/>
      <c r="W205" s="99"/>
      <c r="X205" s="99"/>
      <c r="Y205" s="99"/>
      <c r="Z205" s="99"/>
      <c r="AA205" s="99"/>
      <c r="AB205" s="99"/>
      <c r="AC205" s="98"/>
      <c r="AD205" s="98"/>
      <c r="AE205" s="98"/>
      <c r="AF205" s="98"/>
      <c r="AG205" s="98"/>
      <c r="AH205" s="98"/>
    </row>
    <row r="206" spans="2:34" x14ac:dyDescent="0.25">
      <c r="B206" s="75"/>
      <c r="C206" s="76"/>
      <c r="D206" s="83"/>
      <c r="E206" s="84"/>
      <c r="F206" s="84"/>
      <c r="G206" s="84"/>
      <c r="H206" s="84"/>
      <c r="I206" s="85"/>
      <c r="J206" s="90"/>
      <c r="K206" s="91"/>
      <c r="L206" s="90"/>
      <c r="M206" s="91"/>
      <c r="N206" s="83"/>
      <c r="O206" s="85"/>
      <c r="P206" s="96"/>
      <c r="Q206" s="97"/>
      <c r="S206" s="99"/>
      <c r="T206" s="99"/>
      <c r="U206" s="99"/>
      <c r="V206" s="99"/>
      <c r="W206" s="99"/>
      <c r="X206" s="99"/>
      <c r="Y206" s="99"/>
      <c r="Z206" s="99"/>
      <c r="AA206" s="99"/>
      <c r="AB206" s="99"/>
      <c r="AC206" s="98"/>
      <c r="AD206" s="98"/>
      <c r="AE206" s="98"/>
      <c r="AF206" s="98"/>
      <c r="AG206" s="98"/>
      <c r="AH206" s="98"/>
    </row>
    <row r="207" spans="2:34" x14ac:dyDescent="0.25">
      <c r="B207" s="71"/>
      <c r="C207" s="72"/>
      <c r="D207" s="77"/>
      <c r="E207" s="78"/>
      <c r="F207" s="78"/>
      <c r="G207" s="78"/>
      <c r="H207" s="78"/>
      <c r="I207" s="79"/>
      <c r="J207" s="86"/>
      <c r="K207" s="87"/>
      <c r="L207" s="86"/>
      <c r="M207" s="87"/>
      <c r="N207" s="77"/>
      <c r="O207" s="79"/>
      <c r="P207" s="92"/>
      <c r="Q207" s="93"/>
      <c r="S207" s="99"/>
      <c r="T207" s="99"/>
      <c r="U207" s="99"/>
      <c r="V207" s="99"/>
      <c r="W207" s="99"/>
      <c r="X207" s="99"/>
      <c r="Y207" s="99"/>
      <c r="Z207" s="99"/>
      <c r="AA207" s="99"/>
      <c r="AB207" s="99"/>
      <c r="AC207" s="98"/>
      <c r="AD207" s="98"/>
      <c r="AE207" s="98"/>
      <c r="AF207" s="98"/>
      <c r="AG207" s="98"/>
      <c r="AH207" s="98"/>
    </row>
    <row r="208" spans="2:34" x14ac:dyDescent="0.25">
      <c r="B208" s="73"/>
      <c r="C208" s="74"/>
      <c r="D208" s="80"/>
      <c r="E208" s="81"/>
      <c r="F208" s="81"/>
      <c r="G208" s="81"/>
      <c r="H208" s="81"/>
      <c r="I208" s="82"/>
      <c r="J208" s="88"/>
      <c r="K208" s="89"/>
      <c r="L208" s="88"/>
      <c r="M208" s="89"/>
      <c r="N208" s="80"/>
      <c r="O208" s="82"/>
      <c r="P208" s="94"/>
      <c r="Q208" s="95"/>
      <c r="S208" s="99"/>
      <c r="T208" s="99"/>
      <c r="U208" s="99"/>
      <c r="V208" s="99"/>
      <c r="W208" s="99"/>
      <c r="X208" s="99"/>
      <c r="Y208" s="99"/>
      <c r="Z208" s="99"/>
      <c r="AA208" s="99"/>
      <c r="AB208" s="99"/>
      <c r="AC208" s="98"/>
      <c r="AD208" s="98"/>
      <c r="AE208" s="98"/>
      <c r="AF208" s="98"/>
      <c r="AG208" s="98"/>
      <c r="AH208" s="98"/>
    </row>
    <row r="209" spans="2:34" x14ac:dyDescent="0.25">
      <c r="B209" s="75"/>
      <c r="C209" s="76"/>
      <c r="D209" s="83"/>
      <c r="E209" s="84"/>
      <c r="F209" s="84"/>
      <c r="G209" s="84"/>
      <c r="H209" s="84"/>
      <c r="I209" s="85"/>
      <c r="J209" s="90"/>
      <c r="K209" s="91"/>
      <c r="L209" s="90"/>
      <c r="M209" s="91"/>
      <c r="N209" s="83"/>
      <c r="O209" s="85"/>
      <c r="P209" s="96"/>
      <c r="Q209" s="97"/>
      <c r="S209" s="99"/>
      <c r="T209" s="99"/>
      <c r="U209" s="99"/>
      <c r="V209" s="99"/>
      <c r="W209" s="99"/>
      <c r="X209" s="99"/>
      <c r="Y209" s="99"/>
      <c r="Z209" s="99"/>
      <c r="AA209" s="99"/>
      <c r="AB209" s="99"/>
      <c r="AC209" s="98"/>
      <c r="AD209" s="98"/>
      <c r="AE209" s="98"/>
      <c r="AF209" s="98"/>
      <c r="AG209" s="98"/>
      <c r="AH209" s="98"/>
    </row>
    <row r="210" spans="2:34" x14ac:dyDescent="0.25">
      <c r="B210" s="71"/>
      <c r="C210" s="72"/>
      <c r="D210" s="77"/>
      <c r="E210" s="78"/>
      <c r="F210" s="78"/>
      <c r="G210" s="78"/>
      <c r="H210" s="78"/>
      <c r="I210" s="79"/>
      <c r="J210" s="86"/>
      <c r="K210" s="87"/>
      <c r="L210" s="86"/>
      <c r="M210" s="87"/>
      <c r="N210" s="77"/>
      <c r="O210" s="79"/>
      <c r="P210" s="92"/>
      <c r="Q210" s="93"/>
      <c r="S210" s="99"/>
      <c r="T210" s="99"/>
      <c r="U210" s="99"/>
      <c r="V210" s="99"/>
      <c r="W210" s="99"/>
      <c r="X210" s="99"/>
      <c r="Y210" s="99"/>
      <c r="Z210" s="99"/>
      <c r="AA210" s="99"/>
      <c r="AB210" s="99"/>
      <c r="AC210" s="98"/>
      <c r="AD210" s="98"/>
      <c r="AE210" s="98"/>
      <c r="AF210" s="98"/>
      <c r="AG210" s="98"/>
      <c r="AH210" s="98"/>
    </row>
    <row r="211" spans="2:34" x14ac:dyDescent="0.25">
      <c r="B211" s="73"/>
      <c r="C211" s="74"/>
      <c r="D211" s="80"/>
      <c r="E211" s="81"/>
      <c r="F211" s="81"/>
      <c r="G211" s="81"/>
      <c r="H211" s="81"/>
      <c r="I211" s="82"/>
      <c r="J211" s="88"/>
      <c r="K211" s="89"/>
      <c r="L211" s="88"/>
      <c r="M211" s="89"/>
      <c r="N211" s="80"/>
      <c r="O211" s="82"/>
      <c r="P211" s="94"/>
      <c r="Q211" s="95"/>
      <c r="S211" s="99"/>
      <c r="T211" s="99"/>
      <c r="U211" s="99"/>
      <c r="V211" s="99"/>
      <c r="W211" s="99"/>
      <c r="X211" s="99"/>
      <c r="Y211" s="99"/>
      <c r="Z211" s="99"/>
      <c r="AA211" s="99"/>
      <c r="AB211" s="99"/>
      <c r="AC211" s="98"/>
      <c r="AD211" s="98"/>
      <c r="AE211" s="98"/>
      <c r="AF211" s="98"/>
      <c r="AG211" s="98"/>
      <c r="AH211" s="98"/>
    </row>
    <row r="212" spans="2:34" x14ac:dyDescent="0.25">
      <c r="B212" s="75"/>
      <c r="C212" s="76"/>
      <c r="D212" s="83"/>
      <c r="E212" s="84"/>
      <c r="F212" s="84"/>
      <c r="G212" s="84"/>
      <c r="H212" s="84"/>
      <c r="I212" s="85"/>
      <c r="J212" s="90"/>
      <c r="K212" s="91"/>
      <c r="L212" s="90"/>
      <c r="M212" s="91"/>
      <c r="N212" s="83"/>
      <c r="O212" s="85"/>
      <c r="P212" s="96"/>
      <c r="Q212" s="97"/>
      <c r="S212" s="99"/>
      <c r="T212" s="99"/>
      <c r="U212" s="99"/>
      <c r="V212" s="99"/>
      <c r="W212" s="99"/>
      <c r="X212" s="99"/>
      <c r="Y212" s="99"/>
      <c r="Z212" s="99"/>
      <c r="AA212" s="99"/>
      <c r="AB212" s="99"/>
      <c r="AC212" s="98"/>
      <c r="AD212" s="98"/>
      <c r="AE212" s="98"/>
      <c r="AF212" s="98"/>
      <c r="AG212" s="98"/>
      <c r="AH212" s="98"/>
    </row>
    <row r="213" spans="2:34" x14ac:dyDescent="0.25">
      <c r="B213" s="71"/>
      <c r="C213" s="72"/>
      <c r="D213" s="77"/>
      <c r="E213" s="78"/>
      <c r="F213" s="78"/>
      <c r="G213" s="78"/>
      <c r="H213" s="78"/>
      <c r="I213" s="79"/>
      <c r="J213" s="86"/>
      <c r="K213" s="87"/>
      <c r="L213" s="86"/>
      <c r="M213" s="87"/>
      <c r="N213" s="77"/>
      <c r="O213" s="79"/>
      <c r="P213" s="92"/>
      <c r="Q213" s="93"/>
      <c r="S213" s="99"/>
      <c r="T213" s="99"/>
      <c r="U213" s="99"/>
      <c r="V213" s="99"/>
      <c r="W213" s="99"/>
      <c r="X213" s="99"/>
      <c r="Y213" s="99"/>
      <c r="Z213" s="99"/>
      <c r="AA213" s="99"/>
      <c r="AB213" s="99"/>
      <c r="AC213" s="98"/>
      <c r="AD213" s="98"/>
      <c r="AE213" s="98"/>
      <c r="AF213" s="98"/>
      <c r="AG213" s="98"/>
      <c r="AH213" s="98"/>
    </row>
    <row r="214" spans="2:34" x14ac:dyDescent="0.25">
      <c r="B214" s="73"/>
      <c r="C214" s="74"/>
      <c r="D214" s="80"/>
      <c r="E214" s="81"/>
      <c r="F214" s="81"/>
      <c r="G214" s="81"/>
      <c r="H214" s="81"/>
      <c r="I214" s="82"/>
      <c r="J214" s="88"/>
      <c r="K214" s="89"/>
      <c r="L214" s="88"/>
      <c r="M214" s="89"/>
      <c r="N214" s="80"/>
      <c r="O214" s="82"/>
      <c r="P214" s="94"/>
      <c r="Q214" s="95"/>
      <c r="S214" s="99"/>
      <c r="T214" s="99"/>
      <c r="U214" s="99"/>
      <c r="V214" s="99"/>
      <c r="W214" s="99"/>
      <c r="X214" s="99"/>
      <c r="Y214" s="99"/>
      <c r="Z214" s="99"/>
      <c r="AA214" s="99"/>
      <c r="AB214" s="99"/>
      <c r="AC214" s="98"/>
      <c r="AD214" s="98"/>
      <c r="AE214" s="98"/>
      <c r="AF214" s="98"/>
      <c r="AG214" s="98"/>
      <c r="AH214" s="98"/>
    </row>
    <row r="215" spans="2:34" x14ac:dyDescent="0.25">
      <c r="B215" s="75"/>
      <c r="C215" s="76"/>
      <c r="D215" s="83"/>
      <c r="E215" s="84"/>
      <c r="F215" s="84"/>
      <c r="G215" s="84"/>
      <c r="H215" s="84"/>
      <c r="I215" s="85"/>
      <c r="J215" s="90"/>
      <c r="K215" s="91"/>
      <c r="L215" s="90"/>
      <c r="M215" s="91"/>
      <c r="N215" s="83"/>
      <c r="O215" s="85"/>
      <c r="P215" s="96"/>
      <c r="Q215" s="97"/>
      <c r="S215" s="99"/>
      <c r="T215" s="99"/>
      <c r="U215" s="99"/>
      <c r="V215" s="99"/>
      <c r="W215" s="99"/>
      <c r="X215" s="99"/>
      <c r="Y215" s="99"/>
      <c r="Z215" s="99"/>
      <c r="AA215" s="99"/>
      <c r="AB215" s="99"/>
      <c r="AC215" s="98"/>
      <c r="AD215" s="98"/>
      <c r="AE215" s="98"/>
      <c r="AF215" s="98"/>
      <c r="AG215" s="98"/>
      <c r="AH215" s="98"/>
    </row>
    <row r="216" spans="2:34" x14ac:dyDescent="0.25">
      <c r="B216" s="71"/>
      <c r="C216" s="72"/>
      <c r="D216" s="77"/>
      <c r="E216" s="78"/>
      <c r="F216" s="78"/>
      <c r="G216" s="78"/>
      <c r="H216" s="78"/>
      <c r="I216" s="79"/>
      <c r="J216" s="86"/>
      <c r="K216" s="87"/>
      <c r="L216" s="86"/>
      <c r="M216" s="87"/>
      <c r="N216" s="77"/>
      <c r="O216" s="79"/>
      <c r="P216" s="92"/>
      <c r="Q216" s="93"/>
      <c r="S216" s="99"/>
      <c r="T216" s="99"/>
      <c r="U216" s="99"/>
      <c r="V216" s="99"/>
      <c r="W216" s="99"/>
      <c r="X216" s="99"/>
      <c r="Y216" s="99"/>
      <c r="Z216" s="99"/>
      <c r="AA216" s="99"/>
      <c r="AB216" s="99"/>
      <c r="AC216" s="98"/>
      <c r="AD216" s="98"/>
      <c r="AE216" s="98"/>
      <c r="AF216" s="98"/>
      <c r="AG216" s="98"/>
      <c r="AH216" s="98"/>
    </row>
    <row r="217" spans="2:34" x14ac:dyDescent="0.25">
      <c r="B217" s="73"/>
      <c r="C217" s="74"/>
      <c r="D217" s="80"/>
      <c r="E217" s="81"/>
      <c r="F217" s="81"/>
      <c r="G217" s="81"/>
      <c r="H217" s="81"/>
      <c r="I217" s="82"/>
      <c r="J217" s="88"/>
      <c r="K217" s="89"/>
      <c r="L217" s="88"/>
      <c r="M217" s="89"/>
      <c r="N217" s="80"/>
      <c r="O217" s="82"/>
      <c r="P217" s="94"/>
      <c r="Q217" s="95"/>
      <c r="S217" s="99"/>
      <c r="T217" s="99"/>
      <c r="U217" s="99"/>
      <c r="V217" s="99"/>
      <c r="W217" s="99"/>
      <c r="X217" s="99"/>
      <c r="Y217" s="99"/>
      <c r="Z217" s="99"/>
      <c r="AA217" s="99"/>
      <c r="AB217" s="99"/>
      <c r="AC217" s="98"/>
      <c r="AD217" s="98"/>
      <c r="AE217" s="98"/>
      <c r="AF217" s="98"/>
      <c r="AG217" s="98"/>
      <c r="AH217" s="98"/>
    </row>
    <row r="218" spans="2:34" x14ac:dyDescent="0.25">
      <c r="B218" s="75"/>
      <c r="C218" s="76"/>
      <c r="D218" s="83"/>
      <c r="E218" s="84"/>
      <c r="F218" s="84"/>
      <c r="G218" s="84"/>
      <c r="H218" s="84"/>
      <c r="I218" s="85"/>
      <c r="J218" s="90"/>
      <c r="K218" s="91"/>
      <c r="L218" s="90"/>
      <c r="M218" s="91"/>
      <c r="N218" s="83"/>
      <c r="O218" s="85"/>
      <c r="P218" s="96"/>
      <c r="Q218" s="97"/>
      <c r="S218" s="99"/>
      <c r="T218" s="99"/>
      <c r="U218" s="99"/>
      <c r="V218" s="99"/>
      <c r="W218" s="99"/>
      <c r="X218" s="99"/>
      <c r="Y218" s="99"/>
      <c r="Z218" s="99"/>
      <c r="AA218" s="99"/>
      <c r="AB218" s="99"/>
      <c r="AC218" s="98"/>
      <c r="AD218" s="98"/>
      <c r="AE218" s="98"/>
      <c r="AF218" s="98"/>
      <c r="AG218" s="98"/>
      <c r="AH218" s="98"/>
    </row>
    <row r="219" spans="2:34" x14ac:dyDescent="0.25">
      <c r="B219" s="71"/>
      <c r="C219" s="72"/>
      <c r="D219" s="77"/>
      <c r="E219" s="78"/>
      <c r="F219" s="78"/>
      <c r="G219" s="78"/>
      <c r="H219" s="78"/>
      <c r="I219" s="79"/>
      <c r="J219" s="86"/>
      <c r="K219" s="87"/>
      <c r="L219" s="86"/>
      <c r="M219" s="87"/>
      <c r="N219" s="77"/>
      <c r="O219" s="79"/>
      <c r="P219" s="92"/>
      <c r="Q219" s="93"/>
      <c r="S219" s="99"/>
      <c r="T219" s="99"/>
      <c r="U219" s="99"/>
      <c r="V219" s="99"/>
      <c r="W219" s="99"/>
      <c r="X219" s="99"/>
      <c r="Y219" s="99"/>
      <c r="Z219" s="99"/>
      <c r="AA219" s="99"/>
      <c r="AB219" s="99"/>
      <c r="AC219" s="98"/>
      <c r="AD219" s="98"/>
      <c r="AE219" s="98"/>
      <c r="AF219" s="98"/>
      <c r="AG219" s="98"/>
      <c r="AH219" s="98"/>
    </row>
    <row r="220" spans="2:34" x14ac:dyDescent="0.25">
      <c r="B220" s="73"/>
      <c r="C220" s="74"/>
      <c r="D220" s="80"/>
      <c r="E220" s="81"/>
      <c r="F220" s="81"/>
      <c r="G220" s="81"/>
      <c r="H220" s="81"/>
      <c r="I220" s="82"/>
      <c r="J220" s="88"/>
      <c r="K220" s="89"/>
      <c r="L220" s="88"/>
      <c r="M220" s="89"/>
      <c r="N220" s="80"/>
      <c r="O220" s="82"/>
      <c r="P220" s="94"/>
      <c r="Q220" s="95"/>
      <c r="S220" s="99"/>
      <c r="T220" s="99"/>
      <c r="U220" s="99"/>
      <c r="V220" s="99"/>
      <c r="W220" s="99"/>
      <c r="X220" s="99"/>
      <c r="Y220" s="99"/>
      <c r="Z220" s="99"/>
      <c r="AA220" s="99"/>
      <c r="AB220" s="99"/>
      <c r="AC220" s="98"/>
      <c r="AD220" s="98"/>
      <c r="AE220" s="98"/>
      <c r="AF220" s="98"/>
      <c r="AG220" s="98"/>
      <c r="AH220" s="98"/>
    </row>
    <row r="221" spans="2:34" x14ac:dyDescent="0.25">
      <c r="B221" s="75"/>
      <c r="C221" s="76"/>
      <c r="D221" s="83"/>
      <c r="E221" s="84"/>
      <c r="F221" s="84"/>
      <c r="G221" s="84"/>
      <c r="H221" s="84"/>
      <c r="I221" s="85"/>
      <c r="J221" s="90"/>
      <c r="K221" s="91"/>
      <c r="L221" s="90"/>
      <c r="M221" s="91"/>
      <c r="N221" s="83"/>
      <c r="O221" s="85"/>
      <c r="P221" s="96"/>
      <c r="Q221" s="97"/>
      <c r="S221" s="99"/>
      <c r="T221" s="99"/>
      <c r="U221" s="99"/>
      <c r="V221" s="99"/>
      <c r="W221" s="99"/>
      <c r="X221" s="99"/>
      <c r="Y221" s="99"/>
      <c r="Z221" s="99"/>
      <c r="AA221" s="99"/>
      <c r="AB221" s="99"/>
      <c r="AC221" s="98"/>
      <c r="AD221" s="98"/>
      <c r="AE221" s="98"/>
      <c r="AF221" s="98"/>
      <c r="AG221" s="98"/>
      <c r="AH221" s="98"/>
    </row>
    <row r="222" spans="2:34" x14ac:dyDescent="0.25">
      <c r="B222" s="71"/>
      <c r="C222" s="72"/>
      <c r="D222" s="77"/>
      <c r="E222" s="78"/>
      <c r="F222" s="78"/>
      <c r="G222" s="78"/>
      <c r="H222" s="78"/>
      <c r="I222" s="79"/>
      <c r="J222" s="86"/>
      <c r="K222" s="87"/>
      <c r="L222" s="86"/>
      <c r="M222" s="87"/>
      <c r="N222" s="77"/>
      <c r="O222" s="79"/>
      <c r="P222" s="92"/>
      <c r="Q222" s="93"/>
      <c r="S222" s="99"/>
      <c r="T222" s="99"/>
      <c r="U222" s="99"/>
      <c r="V222" s="99"/>
      <c r="W222" s="99"/>
      <c r="X222" s="99"/>
      <c r="Y222" s="99"/>
      <c r="Z222" s="99"/>
      <c r="AA222" s="99"/>
      <c r="AB222" s="99"/>
      <c r="AC222" s="98"/>
      <c r="AD222" s="98"/>
      <c r="AE222" s="98"/>
      <c r="AF222" s="98"/>
      <c r="AG222" s="98"/>
      <c r="AH222" s="98"/>
    </row>
    <row r="223" spans="2:34" x14ac:dyDescent="0.25">
      <c r="B223" s="73"/>
      <c r="C223" s="74"/>
      <c r="D223" s="80"/>
      <c r="E223" s="81"/>
      <c r="F223" s="81"/>
      <c r="G223" s="81"/>
      <c r="H223" s="81"/>
      <c r="I223" s="82"/>
      <c r="J223" s="88"/>
      <c r="K223" s="89"/>
      <c r="L223" s="88"/>
      <c r="M223" s="89"/>
      <c r="N223" s="80"/>
      <c r="O223" s="82"/>
      <c r="P223" s="94"/>
      <c r="Q223" s="95"/>
      <c r="S223" s="99"/>
      <c r="T223" s="99"/>
      <c r="U223" s="99"/>
      <c r="V223" s="99"/>
      <c r="W223" s="99"/>
      <c r="X223" s="99"/>
      <c r="Y223" s="99"/>
      <c r="Z223" s="99"/>
      <c r="AA223" s="99"/>
      <c r="AB223" s="99"/>
      <c r="AC223" s="98"/>
      <c r="AD223" s="98"/>
      <c r="AE223" s="98"/>
      <c r="AF223" s="98"/>
      <c r="AG223" s="98"/>
      <c r="AH223" s="98"/>
    </row>
    <row r="224" spans="2:34" x14ac:dyDescent="0.25">
      <c r="B224" s="75"/>
      <c r="C224" s="76"/>
      <c r="D224" s="83"/>
      <c r="E224" s="84"/>
      <c r="F224" s="84"/>
      <c r="G224" s="84"/>
      <c r="H224" s="84"/>
      <c r="I224" s="85"/>
      <c r="J224" s="90"/>
      <c r="K224" s="91"/>
      <c r="L224" s="90"/>
      <c r="M224" s="91"/>
      <c r="N224" s="83"/>
      <c r="O224" s="85"/>
      <c r="P224" s="96"/>
      <c r="Q224" s="97"/>
      <c r="S224" s="99"/>
      <c r="T224" s="99"/>
      <c r="U224" s="99"/>
      <c r="V224" s="99"/>
      <c r="W224" s="99"/>
      <c r="X224" s="99"/>
      <c r="Y224" s="99"/>
      <c r="Z224" s="99"/>
      <c r="AA224" s="99"/>
      <c r="AB224" s="99"/>
      <c r="AC224" s="98"/>
      <c r="AD224" s="98"/>
      <c r="AE224" s="98"/>
      <c r="AF224" s="98"/>
      <c r="AG224" s="98"/>
      <c r="AH224" s="98"/>
    </row>
    <row r="225" spans="2:34" x14ac:dyDescent="0.25">
      <c r="B225" s="71"/>
      <c r="C225" s="72"/>
      <c r="D225" s="77"/>
      <c r="E225" s="78"/>
      <c r="F225" s="78"/>
      <c r="G225" s="78"/>
      <c r="H225" s="78"/>
      <c r="I225" s="79"/>
      <c r="J225" s="86"/>
      <c r="K225" s="87"/>
      <c r="L225" s="86"/>
      <c r="M225" s="87"/>
      <c r="N225" s="77"/>
      <c r="O225" s="79"/>
      <c r="P225" s="92"/>
      <c r="Q225" s="93"/>
      <c r="S225" s="99"/>
      <c r="T225" s="99"/>
      <c r="U225" s="99"/>
      <c r="V225" s="99"/>
      <c r="W225" s="99"/>
      <c r="X225" s="99"/>
      <c r="Y225" s="99"/>
      <c r="Z225" s="99"/>
      <c r="AA225" s="99"/>
      <c r="AB225" s="99"/>
      <c r="AC225" s="98"/>
      <c r="AD225" s="98"/>
      <c r="AE225" s="98"/>
      <c r="AF225" s="98"/>
      <c r="AG225" s="98"/>
      <c r="AH225" s="98"/>
    </row>
    <row r="226" spans="2:34" x14ac:dyDescent="0.25">
      <c r="B226" s="73"/>
      <c r="C226" s="74"/>
      <c r="D226" s="80"/>
      <c r="E226" s="81"/>
      <c r="F226" s="81"/>
      <c r="G226" s="81"/>
      <c r="H226" s="81"/>
      <c r="I226" s="82"/>
      <c r="J226" s="88"/>
      <c r="K226" s="89"/>
      <c r="L226" s="88"/>
      <c r="M226" s="89"/>
      <c r="N226" s="80"/>
      <c r="O226" s="82"/>
      <c r="P226" s="94"/>
      <c r="Q226" s="95"/>
      <c r="S226" s="99"/>
      <c r="T226" s="99"/>
      <c r="U226" s="99"/>
      <c r="V226" s="99"/>
      <c r="W226" s="99"/>
      <c r="X226" s="99"/>
      <c r="Y226" s="99"/>
      <c r="Z226" s="99"/>
      <c r="AA226" s="99"/>
      <c r="AB226" s="99"/>
      <c r="AC226" s="98"/>
      <c r="AD226" s="98"/>
      <c r="AE226" s="98"/>
      <c r="AF226" s="98"/>
      <c r="AG226" s="98"/>
      <c r="AH226" s="98"/>
    </row>
    <row r="227" spans="2:34" x14ac:dyDescent="0.25">
      <c r="B227" s="75"/>
      <c r="C227" s="76"/>
      <c r="D227" s="83"/>
      <c r="E227" s="84"/>
      <c r="F227" s="84"/>
      <c r="G227" s="84"/>
      <c r="H227" s="84"/>
      <c r="I227" s="85"/>
      <c r="J227" s="90"/>
      <c r="K227" s="91"/>
      <c r="L227" s="90"/>
      <c r="M227" s="91"/>
      <c r="N227" s="83"/>
      <c r="O227" s="85"/>
      <c r="P227" s="96"/>
      <c r="Q227" s="97"/>
      <c r="S227" s="99"/>
      <c r="T227" s="99"/>
      <c r="U227" s="99"/>
      <c r="V227" s="99"/>
      <c r="W227" s="99"/>
      <c r="X227" s="99"/>
      <c r="Y227" s="99"/>
      <c r="Z227" s="99"/>
      <c r="AA227" s="99"/>
      <c r="AB227" s="99"/>
      <c r="AC227" s="98"/>
      <c r="AD227" s="98"/>
      <c r="AE227" s="98"/>
      <c r="AF227" s="98"/>
      <c r="AG227" s="98"/>
      <c r="AH227" s="98"/>
    </row>
    <row r="228" spans="2:34" x14ac:dyDescent="0.25">
      <c r="B228" s="71"/>
      <c r="C228" s="72"/>
      <c r="D228" s="77"/>
      <c r="E228" s="78"/>
      <c r="F228" s="78"/>
      <c r="G228" s="78"/>
      <c r="H228" s="78"/>
      <c r="I228" s="79"/>
      <c r="J228" s="86"/>
      <c r="K228" s="87"/>
      <c r="L228" s="86"/>
      <c r="M228" s="87"/>
      <c r="N228" s="77"/>
      <c r="O228" s="79"/>
      <c r="P228" s="92"/>
      <c r="Q228" s="93"/>
      <c r="S228" s="99"/>
      <c r="T228" s="99"/>
      <c r="U228" s="99"/>
      <c r="V228" s="99"/>
      <c r="W228" s="99"/>
      <c r="X228" s="99"/>
      <c r="Y228" s="99"/>
      <c r="Z228" s="99"/>
      <c r="AA228" s="99"/>
      <c r="AB228" s="99"/>
      <c r="AC228" s="98"/>
      <c r="AD228" s="98"/>
      <c r="AE228" s="98"/>
      <c r="AF228" s="98"/>
      <c r="AG228" s="98"/>
      <c r="AH228" s="98"/>
    </row>
    <row r="229" spans="2:34" x14ac:dyDescent="0.25">
      <c r="B229" s="73"/>
      <c r="C229" s="74"/>
      <c r="D229" s="80"/>
      <c r="E229" s="81"/>
      <c r="F229" s="81"/>
      <c r="G229" s="81"/>
      <c r="H229" s="81"/>
      <c r="I229" s="82"/>
      <c r="J229" s="88"/>
      <c r="K229" s="89"/>
      <c r="L229" s="88"/>
      <c r="M229" s="89"/>
      <c r="N229" s="80"/>
      <c r="O229" s="82"/>
      <c r="P229" s="94"/>
      <c r="Q229" s="95"/>
      <c r="S229" s="99"/>
      <c r="T229" s="99"/>
      <c r="U229" s="99"/>
      <c r="V229" s="99"/>
      <c r="W229" s="99"/>
      <c r="X229" s="99"/>
      <c r="Y229" s="99"/>
      <c r="Z229" s="99"/>
      <c r="AA229" s="99"/>
      <c r="AB229" s="99"/>
      <c r="AC229" s="98"/>
      <c r="AD229" s="98"/>
      <c r="AE229" s="98"/>
      <c r="AF229" s="98"/>
      <c r="AG229" s="98"/>
      <c r="AH229" s="98"/>
    </row>
    <row r="230" spans="2:34" x14ac:dyDescent="0.25">
      <c r="B230" s="75"/>
      <c r="C230" s="76"/>
      <c r="D230" s="83"/>
      <c r="E230" s="84"/>
      <c r="F230" s="84"/>
      <c r="G230" s="84"/>
      <c r="H230" s="84"/>
      <c r="I230" s="85"/>
      <c r="J230" s="90"/>
      <c r="K230" s="91"/>
      <c r="L230" s="90"/>
      <c r="M230" s="91"/>
      <c r="N230" s="83"/>
      <c r="O230" s="85"/>
      <c r="P230" s="96"/>
      <c r="Q230" s="97"/>
      <c r="S230" s="99"/>
      <c r="T230" s="99"/>
      <c r="U230" s="99"/>
      <c r="V230" s="99"/>
      <c r="W230" s="99"/>
      <c r="X230" s="99"/>
      <c r="Y230" s="99"/>
      <c r="Z230" s="99"/>
      <c r="AA230" s="99"/>
      <c r="AB230" s="99"/>
      <c r="AC230" s="98"/>
      <c r="AD230" s="98"/>
      <c r="AE230" s="98"/>
      <c r="AF230" s="98"/>
      <c r="AG230" s="98"/>
      <c r="AH230" s="98"/>
    </row>
    <row r="231" spans="2:34" x14ac:dyDescent="0.25">
      <c r="B231" s="71"/>
      <c r="C231" s="72"/>
      <c r="D231" s="77"/>
      <c r="E231" s="78"/>
      <c r="F231" s="78"/>
      <c r="G231" s="78"/>
      <c r="H231" s="78"/>
      <c r="I231" s="79"/>
      <c r="J231" s="86"/>
      <c r="K231" s="87"/>
      <c r="L231" s="86"/>
      <c r="M231" s="87"/>
      <c r="N231" s="77"/>
      <c r="O231" s="79"/>
      <c r="P231" s="92"/>
      <c r="Q231" s="93"/>
      <c r="S231" s="99"/>
      <c r="T231" s="99"/>
      <c r="U231" s="99"/>
      <c r="V231" s="99"/>
      <c r="W231" s="99"/>
      <c r="X231" s="99"/>
      <c r="Y231" s="99"/>
      <c r="Z231" s="99"/>
      <c r="AA231" s="99"/>
      <c r="AB231" s="99"/>
      <c r="AC231" s="98"/>
      <c r="AD231" s="98"/>
      <c r="AE231" s="98"/>
      <c r="AF231" s="98"/>
      <c r="AG231" s="98"/>
      <c r="AH231" s="98"/>
    </row>
    <row r="232" spans="2:34" x14ac:dyDescent="0.25">
      <c r="B232" s="73"/>
      <c r="C232" s="74"/>
      <c r="D232" s="80"/>
      <c r="E232" s="81"/>
      <c r="F232" s="81"/>
      <c r="G232" s="81"/>
      <c r="H232" s="81"/>
      <c r="I232" s="82"/>
      <c r="J232" s="88"/>
      <c r="K232" s="89"/>
      <c r="L232" s="88"/>
      <c r="M232" s="89"/>
      <c r="N232" s="80"/>
      <c r="O232" s="82"/>
      <c r="P232" s="94"/>
      <c r="Q232" s="95"/>
      <c r="S232" s="99"/>
      <c r="T232" s="99"/>
      <c r="U232" s="99"/>
      <c r="V232" s="99"/>
      <c r="W232" s="99"/>
      <c r="X232" s="99"/>
      <c r="Y232" s="99"/>
      <c r="Z232" s="99"/>
      <c r="AA232" s="99"/>
      <c r="AB232" s="99"/>
      <c r="AC232" s="98"/>
      <c r="AD232" s="98"/>
      <c r="AE232" s="98"/>
      <c r="AF232" s="98"/>
      <c r="AG232" s="98"/>
      <c r="AH232" s="98"/>
    </row>
    <row r="233" spans="2:34" x14ac:dyDescent="0.25">
      <c r="B233" s="75"/>
      <c r="C233" s="76"/>
      <c r="D233" s="83"/>
      <c r="E233" s="84"/>
      <c r="F233" s="84"/>
      <c r="G233" s="84"/>
      <c r="H233" s="84"/>
      <c r="I233" s="85"/>
      <c r="J233" s="90"/>
      <c r="K233" s="91"/>
      <c r="L233" s="90"/>
      <c r="M233" s="91"/>
      <c r="N233" s="83"/>
      <c r="O233" s="85"/>
      <c r="P233" s="96"/>
      <c r="Q233" s="97"/>
      <c r="S233" s="99"/>
      <c r="T233" s="99"/>
      <c r="U233" s="99"/>
      <c r="V233" s="99"/>
      <c r="W233" s="99"/>
      <c r="X233" s="99"/>
      <c r="Y233" s="99"/>
      <c r="Z233" s="99"/>
      <c r="AA233" s="99"/>
      <c r="AB233" s="99"/>
      <c r="AC233" s="98"/>
      <c r="AD233" s="98"/>
      <c r="AE233" s="98"/>
      <c r="AF233" s="98"/>
      <c r="AG233" s="98"/>
      <c r="AH233" s="98"/>
    </row>
    <row r="234" spans="2:34" x14ac:dyDescent="0.25">
      <c r="B234" s="71"/>
      <c r="C234" s="72"/>
      <c r="D234" s="77"/>
      <c r="E234" s="78"/>
      <c r="F234" s="78"/>
      <c r="G234" s="78"/>
      <c r="H234" s="78"/>
      <c r="I234" s="79"/>
      <c r="J234" s="86"/>
      <c r="K234" s="87"/>
      <c r="L234" s="86"/>
      <c r="M234" s="87"/>
      <c r="N234" s="77"/>
      <c r="O234" s="79"/>
      <c r="P234" s="92"/>
      <c r="Q234" s="93"/>
      <c r="S234" s="99"/>
      <c r="T234" s="99"/>
      <c r="U234" s="99"/>
      <c r="V234" s="99"/>
      <c r="W234" s="99"/>
      <c r="X234" s="99"/>
      <c r="Y234" s="99"/>
      <c r="Z234" s="99"/>
      <c r="AA234" s="99"/>
      <c r="AB234" s="99"/>
      <c r="AC234" s="98"/>
      <c r="AD234" s="98"/>
      <c r="AE234" s="98"/>
      <c r="AF234" s="98"/>
      <c r="AG234" s="98"/>
      <c r="AH234" s="98"/>
    </row>
    <row r="235" spans="2:34" x14ac:dyDescent="0.25">
      <c r="B235" s="73"/>
      <c r="C235" s="74"/>
      <c r="D235" s="80"/>
      <c r="E235" s="81"/>
      <c r="F235" s="81"/>
      <c r="G235" s="81"/>
      <c r="H235" s="81"/>
      <c r="I235" s="82"/>
      <c r="J235" s="88"/>
      <c r="K235" s="89"/>
      <c r="L235" s="88"/>
      <c r="M235" s="89"/>
      <c r="N235" s="80"/>
      <c r="O235" s="82"/>
      <c r="P235" s="94"/>
      <c r="Q235" s="95"/>
      <c r="S235" s="99"/>
      <c r="T235" s="99"/>
      <c r="U235" s="99"/>
      <c r="V235" s="99"/>
      <c r="W235" s="99"/>
      <c r="X235" s="99"/>
      <c r="Y235" s="99"/>
      <c r="Z235" s="99"/>
      <c r="AA235" s="99"/>
      <c r="AB235" s="99"/>
      <c r="AC235" s="98"/>
      <c r="AD235" s="98"/>
      <c r="AE235" s="98"/>
      <c r="AF235" s="98"/>
      <c r="AG235" s="98"/>
      <c r="AH235" s="98"/>
    </row>
    <row r="236" spans="2:34" x14ac:dyDescent="0.25">
      <c r="B236" s="75"/>
      <c r="C236" s="76"/>
      <c r="D236" s="83"/>
      <c r="E236" s="84"/>
      <c r="F236" s="84"/>
      <c r="G236" s="84"/>
      <c r="H236" s="84"/>
      <c r="I236" s="85"/>
      <c r="J236" s="90"/>
      <c r="K236" s="91"/>
      <c r="L236" s="90"/>
      <c r="M236" s="91"/>
      <c r="N236" s="83"/>
      <c r="O236" s="85"/>
      <c r="P236" s="96"/>
      <c r="Q236" s="97"/>
      <c r="S236" s="99"/>
      <c r="T236" s="99"/>
      <c r="U236" s="99"/>
      <c r="V236" s="99"/>
      <c r="W236" s="99"/>
      <c r="X236" s="99"/>
      <c r="Y236" s="99"/>
      <c r="Z236" s="99"/>
      <c r="AA236" s="99"/>
      <c r="AB236" s="99"/>
      <c r="AC236" s="98"/>
      <c r="AD236" s="98"/>
      <c r="AE236" s="98"/>
      <c r="AF236" s="98"/>
      <c r="AG236" s="98"/>
      <c r="AH236" s="98"/>
    </row>
    <row r="237" spans="2:34" x14ac:dyDescent="0.25">
      <c r="B237" s="71"/>
      <c r="C237" s="72"/>
      <c r="D237" s="77"/>
      <c r="E237" s="78"/>
      <c r="F237" s="78"/>
      <c r="G237" s="78"/>
      <c r="H237" s="78"/>
      <c r="I237" s="79"/>
      <c r="J237" s="86"/>
      <c r="K237" s="87"/>
      <c r="L237" s="86"/>
      <c r="M237" s="87"/>
      <c r="N237" s="77"/>
      <c r="O237" s="79"/>
      <c r="P237" s="92"/>
      <c r="Q237" s="93"/>
      <c r="S237" s="99"/>
      <c r="T237" s="99"/>
      <c r="U237" s="99"/>
      <c r="V237" s="99"/>
      <c r="W237" s="99"/>
      <c r="X237" s="99"/>
      <c r="Y237" s="99"/>
      <c r="Z237" s="99"/>
      <c r="AA237" s="99"/>
      <c r="AB237" s="99"/>
      <c r="AC237" s="98"/>
      <c r="AD237" s="98"/>
      <c r="AE237" s="98"/>
      <c r="AF237" s="98"/>
      <c r="AG237" s="98"/>
      <c r="AH237" s="98"/>
    </row>
    <row r="238" spans="2:34" x14ac:dyDescent="0.25">
      <c r="B238" s="73"/>
      <c r="C238" s="74"/>
      <c r="D238" s="80"/>
      <c r="E238" s="81"/>
      <c r="F238" s="81"/>
      <c r="G238" s="81"/>
      <c r="H238" s="81"/>
      <c r="I238" s="82"/>
      <c r="J238" s="88"/>
      <c r="K238" s="89"/>
      <c r="L238" s="88"/>
      <c r="M238" s="89"/>
      <c r="N238" s="80"/>
      <c r="O238" s="82"/>
      <c r="P238" s="94"/>
      <c r="Q238" s="95"/>
      <c r="S238" s="99"/>
      <c r="T238" s="99"/>
      <c r="U238" s="99"/>
      <c r="V238" s="99"/>
      <c r="W238" s="99"/>
      <c r="X238" s="99"/>
      <c r="Y238" s="99"/>
      <c r="Z238" s="99"/>
      <c r="AA238" s="99"/>
      <c r="AB238" s="99"/>
      <c r="AC238" s="98"/>
      <c r="AD238" s="98"/>
      <c r="AE238" s="98"/>
      <c r="AF238" s="98"/>
      <c r="AG238" s="98"/>
      <c r="AH238" s="98"/>
    </row>
    <row r="239" spans="2:34" x14ac:dyDescent="0.25">
      <c r="B239" s="75"/>
      <c r="C239" s="76"/>
      <c r="D239" s="83"/>
      <c r="E239" s="84"/>
      <c r="F239" s="84"/>
      <c r="G239" s="84"/>
      <c r="H239" s="84"/>
      <c r="I239" s="85"/>
      <c r="J239" s="90"/>
      <c r="K239" s="91"/>
      <c r="L239" s="90"/>
      <c r="M239" s="91"/>
      <c r="N239" s="83"/>
      <c r="O239" s="85"/>
      <c r="P239" s="96"/>
      <c r="Q239" s="97"/>
      <c r="S239" s="99"/>
      <c r="T239" s="99"/>
      <c r="U239" s="99"/>
      <c r="V239" s="99"/>
      <c r="W239" s="99"/>
      <c r="X239" s="99"/>
      <c r="Y239" s="99"/>
      <c r="Z239" s="99"/>
      <c r="AA239" s="99"/>
      <c r="AB239" s="99"/>
      <c r="AC239" s="98"/>
      <c r="AD239" s="98"/>
      <c r="AE239" s="98"/>
      <c r="AF239" s="98"/>
      <c r="AG239" s="98"/>
      <c r="AH239" s="98"/>
    </row>
    <row r="240" spans="2:34" x14ac:dyDescent="0.25">
      <c r="B240" s="71"/>
      <c r="C240" s="72"/>
      <c r="D240" s="77"/>
      <c r="E240" s="78"/>
      <c r="F240" s="78"/>
      <c r="G240" s="78"/>
      <c r="H240" s="78"/>
      <c r="I240" s="79"/>
      <c r="J240" s="86"/>
      <c r="K240" s="87"/>
      <c r="L240" s="86"/>
      <c r="M240" s="87"/>
      <c r="N240" s="77"/>
      <c r="O240" s="79"/>
      <c r="P240" s="92"/>
      <c r="Q240" s="93"/>
      <c r="S240" s="99"/>
      <c r="T240" s="99"/>
      <c r="U240" s="99"/>
      <c r="V240" s="99"/>
      <c r="W240" s="99"/>
      <c r="X240" s="99"/>
      <c r="Y240" s="99"/>
      <c r="Z240" s="99"/>
      <c r="AA240" s="99"/>
      <c r="AB240" s="99"/>
      <c r="AC240" s="98"/>
      <c r="AD240" s="98"/>
      <c r="AE240" s="98"/>
      <c r="AF240" s="98"/>
      <c r="AG240" s="98"/>
      <c r="AH240" s="98"/>
    </row>
    <row r="241" spans="2:34" x14ac:dyDescent="0.25">
      <c r="B241" s="73"/>
      <c r="C241" s="74"/>
      <c r="D241" s="80"/>
      <c r="E241" s="81"/>
      <c r="F241" s="81"/>
      <c r="G241" s="81"/>
      <c r="H241" s="81"/>
      <c r="I241" s="82"/>
      <c r="J241" s="88"/>
      <c r="K241" s="89"/>
      <c r="L241" s="88"/>
      <c r="M241" s="89"/>
      <c r="N241" s="80"/>
      <c r="O241" s="82"/>
      <c r="P241" s="94"/>
      <c r="Q241" s="95"/>
      <c r="S241" s="99"/>
      <c r="T241" s="99"/>
      <c r="U241" s="99"/>
      <c r="V241" s="99"/>
      <c r="W241" s="99"/>
      <c r="X241" s="99"/>
      <c r="Y241" s="99"/>
      <c r="Z241" s="99"/>
      <c r="AA241" s="99"/>
      <c r="AB241" s="99"/>
      <c r="AC241" s="98"/>
      <c r="AD241" s="98"/>
      <c r="AE241" s="98"/>
      <c r="AF241" s="98"/>
      <c r="AG241" s="98"/>
      <c r="AH241" s="98"/>
    </row>
    <row r="242" spans="2:34" x14ac:dyDescent="0.25">
      <c r="B242" s="75"/>
      <c r="C242" s="76"/>
      <c r="D242" s="83"/>
      <c r="E242" s="84"/>
      <c r="F242" s="84"/>
      <c r="G242" s="84"/>
      <c r="H242" s="84"/>
      <c r="I242" s="85"/>
      <c r="J242" s="90"/>
      <c r="K242" s="91"/>
      <c r="L242" s="90"/>
      <c r="M242" s="91"/>
      <c r="N242" s="83"/>
      <c r="O242" s="85"/>
      <c r="P242" s="96"/>
      <c r="Q242" s="97"/>
      <c r="S242" s="99"/>
      <c r="T242" s="99"/>
      <c r="U242" s="99"/>
      <c r="V242" s="99"/>
      <c r="W242" s="99"/>
      <c r="X242" s="99"/>
      <c r="Y242" s="99"/>
      <c r="Z242" s="99"/>
      <c r="AA242" s="99"/>
      <c r="AB242" s="99"/>
      <c r="AC242" s="98"/>
      <c r="AD242" s="98"/>
      <c r="AE242" s="98"/>
      <c r="AF242" s="98"/>
      <c r="AG242" s="98"/>
      <c r="AH242" s="98"/>
    </row>
    <row r="243" spans="2:34" x14ac:dyDescent="0.25">
      <c r="B243" s="71"/>
      <c r="C243" s="72"/>
      <c r="D243" s="77"/>
      <c r="E243" s="78"/>
      <c r="F243" s="78"/>
      <c r="G243" s="78"/>
      <c r="H243" s="78"/>
      <c r="I243" s="79"/>
      <c r="J243" s="86"/>
      <c r="K243" s="87"/>
      <c r="L243" s="86"/>
      <c r="M243" s="87"/>
      <c r="N243" s="77"/>
      <c r="O243" s="79"/>
      <c r="P243" s="92"/>
      <c r="Q243" s="93"/>
      <c r="S243" s="99"/>
      <c r="T243" s="99"/>
      <c r="U243" s="99"/>
      <c r="V243" s="99"/>
      <c r="W243" s="99"/>
      <c r="X243" s="99"/>
      <c r="Y243" s="99"/>
      <c r="Z243" s="99"/>
      <c r="AA243" s="99"/>
      <c r="AB243" s="99"/>
      <c r="AC243" s="98"/>
      <c r="AD243" s="98"/>
      <c r="AE243" s="98"/>
      <c r="AF243" s="98"/>
      <c r="AG243" s="98"/>
      <c r="AH243" s="98"/>
    </row>
    <row r="244" spans="2:34" x14ac:dyDescent="0.25">
      <c r="B244" s="73"/>
      <c r="C244" s="74"/>
      <c r="D244" s="80"/>
      <c r="E244" s="81"/>
      <c r="F244" s="81"/>
      <c r="G244" s="81"/>
      <c r="H244" s="81"/>
      <c r="I244" s="82"/>
      <c r="J244" s="88"/>
      <c r="K244" s="89"/>
      <c r="L244" s="88"/>
      <c r="M244" s="89"/>
      <c r="N244" s="80"/>
      <c r="O244" s="82"/>
      <c r="P244" s="94"/>
      <c r="Q244" s="95"/>
      <c r="S244" s="99"/>
      <c r="T244" s="99"/>
      <c r="U244" s="99"/>
      <c r="V244" s="99"/>
      <c r="W244" s="99"/>
      <c r="X244" s="99"/>
      <c r="Y244" s="99"/>
      <c r="Z244" s="99"/>
      <c r="AA244" s="99"/>
      <c r="AB244" s="99"/>
      <c r="AC244" s="98"/>
      <c r="AD244" s="98"/>
      <c r="AE244" s="98"/>
      <c r="AF244" s="98"/>
      <c r="AG244" s="98"/>
      <c r="AH244" s="98"/>
    </row>
    <row r="245" spans="2:34" x14ac:dyDescent="0.25">
      <c r="B245" s="75"/>
      <c r="C245" s="76"/>
      <c r="D245" s="83"/>
      <c r="E245" s="84"/>
      <c r="F245" s="84"/>
      <c r="G245" s="84"/>
      <c r="H245" s="84"/>
      <c r="I245" s="85"/>
      <c r="J245" s="90"/>
      <c r="K245" s="91"/>
      <c r="L245" s="90"/>
      <c r="M245" s="91"/>
      <c r="N245" s="83"/>
      <c r="O245" s="85"/>
      <c r="P245" s="96"/>
      <c r="Q245" s="97"/>
      <c r="S245" s="99"/>
      <c r="T245" s="99"/>
      <c r="U245" s="99"/>
      <c r="V245" s="99"/>
      <c r="W245" s="99"/>
      <c r="X245" s="99"/>
      <c r="Y245" s="99"/>
      <c r="Z245" s="99"/>
      <c r="AA245" s="99"/>
      <c r="AB245" s="99"/>
      <c r="AC245" s="98"/>
      <c r="AD245" s="98"/>
      <c r="AE245" s="98"/>
      <c r="AF245" s="98"/>
      <c r="AG245" s="98"/>
      <c r="AH245" s="98"/>
    </row>
    <row r="246" spans="2:34" x14ac:dyDescent="0.25">
      <c r="B246" s="71"/>
      <c r="C246" s="72"/>
      <c r="D246" s="77"/>
      <c r="E246" s="78"/>
      <c r="F246" s="78"/>
      <c r="G246" s="78"/>
      <c r="H246" s="78"/>
      <c r="I246" s="79"/>
      <c r="J246" s="86"/>
      <c r="K246" s="87"/>
      <c r="L246" s="86"/>
      <c r="M246" s="87"/>
      <c r="N246" s="77"/>
      <c r="O246" s="79"/>
      <c r="P246" s="92"/>
      <c r="Q246" s="93"/>
      <c r="S246" s="99"/>
      <c r="T246" s="99"/>
      <c r="U246" s="99"/>
      <c r="V246" s="99"/>
      <c r="W246" s="99"/>
      <c r="X246" s="99"/>
      <c r="Y246" s="99"/>
      <c r="Z246" s="99"/>
      <c r="AA246" s="99"/>
      <c r="AB246" s="99"/>
      <c r="AC246" s="98"/>
      <c r="AD246" s="98"/>
      <c r="AE246" s="98"/>
      <c r="AF246" s="98"/>
      <c r="AG246" s="98"/>
      <c r="AH246" s="98"/>
    </row>
    <row r="247" spans="2:34" x14ac:dyDescent="0.25">
      <c r="B247" s="73"/>
      <c r="C247" s="74"/>
      <c r="D247" s="80"/>
      <c r="E247" s="81"/>
      <c r="F247" s="81"/>
      <c r="G247" s="81"/>
      <c r="H247" s="81"/>
      <c r="I247" s="82"/>
      <c r="J247" s="88"/>
      <c r="K247" s="89"/>
      <c r="L247" s="88"/>
      <c r="M247" s="89"/>
      <c r="N247" s="80"/>
      <c r="O247" s="82"/>
      <c r="P247" s="94"/>
      <c r="Q247" s="95"/>
      <c r="S247" s="99"/>
      <c r="T247" s="99"/>
      <c r="U247" s="99"/>
      <c r="V247" s="99"/>
      <c r="W247" s="99"/>
      <c r="X247" s="99"/>
      <c r="Y247" s="99"/>
      <c r="Z247" s="99"/>
      <c r="AA247" s="99"/>
      <c r="AB247" s="99"/>
      <c r="AC247" s="98"/>
      <c r="AD247" s="98"/>
      <c r="AE247" s="98"/>
      <c r="AF247" s="98"/>
      <c r="AG247" s="98"/>
      <c r="AH247" s="98"/>
    </row>
    <row r="248" spans="2:34" x14ac:dyDescent="0.25">
      <c r="B248" s="75"/>
      <c r="C248" s="76"/>
      <c r="D248" s="83"/>
      <c r="E248" s="84"/>
      <c r="F248" s="84"/>
      <c r="G248" s="84"/>
      <c r="H248" s="84"/>
      <c r="I248" s="85"/>
      <c r="J248" s="90"/>
      <c r="K248" s="91"/>
      <c r="L248" s="90"/>
      <c r="M248" s="91"/>
      <c r="N248" s="83"/>
      <c r="O248" s="85"/>
      <c r="P248" s="96"/>
      <c r="Q248" s="97"/>
      <c r="S248" s="99"/>
      <c r="T248" s="99"/>
      <c r="U248" s="99"/>
      <c r="V248" s="99"/>
      <c r="W248" s="99"/>
      <c r="X248" s="99"/>
      <c r="Y248" s="99"/>
      <c r="Z248" s="99"/>
      <c r="AA248" s="99"/>
      <c r="AB248" s="99"/>
      <c r="AC248" s="98"/>
      <c r="AD248" s="98"/>
      <c r="AE248" s="98"/>
      <c r="AF248" s="98"/>
      <c r="AG248" s="98"/>
      <c r="AH248" s="98"/>
    </row>
    <row r="249" spans="2:34" x14ac:dyDescent="0.25">
      <c r="B249" s="71"/>
      <c r="C249" s="72"/>
      <c r="D249" s="77"/>
      <c r="E249" s="78"/>
      <c r="F249" s="78"/>
      <c r="G249" s="78"/>
      <c r="H249" s="78"/>
      <c r="I249" s="79"/>
      <c r="J249" s="86"/>
      <c r="K249" s="87"/>
      <c r="L249" s="86"/>
      <c r="M249" s="87"/>
      <c r="N249" s="77"/>
      <c r="O249" s="79"/>
      <c r="P249" s="92"/>
      <c r="Q249" s="93"/>
      <c r="S249" s="99"/>
      <c r="T249" s="99"/>
      <c r="U249" s="99"/>
      <c r="V249" s="99"/>
      <c r="W249" s="99"/>
      <c r="X249" s="99"/>
      <c r="Y249" s="99"/>
      <c r="Z249" s="99"/>
      <c r="AA249" s="99"/>
      <c r="AB249" s="99"/>
      <c r="AC249" s="98"/>
      <c r="AD249" s="98"/>
      <c r="AE249" s="98"/>
      <c r="AF249" s="98"/>
      <c r="AG249" s="98"/>
      <c r="AH249" s="98"/>
    </row>
    <row r="250" spans="2:34" x14ac:dyDescent="0.25">
      <c r="B250" s="73"/>
      <c r="C250" s="74"/>
      <c r="D250" s="80"/>
      <c r="E250" s="81"/>
      <c r="F250" s="81"/>
      <c r="G250" s="81"/>
      <c r="H250" s="81"/>
      <c r="I250" s="82"/>
      <c r="J250" s="88"/>
      <c r="K250" s="89"/>
      <c r="L250" s="88"/>
      <c r="M250" s="89"/>
      <c r="N250" s="80"/>
      <c r="O250" s="82"/>
      <c r="P250" s="94"/>
      <c r="Q250" s="95"/>
      <c r="S250" s="99"/>
      <c r="T250" s="99"/>
      <c r="U250" s="99"/>
      <c r="V250" s="99"/>
      <c r="W250" s="99"/>
      <c r="X250" s="99"/>
      <c r="Y250" s="99"/>
      <c r="Z250" s="99"/>
      <c r="AA250" s="99"/>
      <c r="AB250" s="99"/>
      <c r="AC250" s="98"/>
      <c r="AD250" s="98"/>
      <c r="AE250" s="98"/>
      <c r="AF250" s="98"/>
      <c r="AG250" s="98"/>
      <c r="AH250" s="98"/>
    </row>
    <row r="251" spans="2:34" x14ac:dyDescent="0.25">
      <c r="B251" s="75"/>
      <c r="C251" s="76"/>
      <c r="D251" s="83"/>
      <c r="E251" s="84"/>
      <c r="F251" s="84"/>
      <c r="G251" s="84"/>
      <c r="H251" s="84"/>
      <c r="I251" s="85"/>
      <c r="J251" s="90"/>
      <c r="K251" s="91"/>
      <c r="L251" s="90"/>
      <c r="M251" s="91"/>
      <c r="N251" s="83"/>
      <c r="O251" s="85"/>
      <c r="P251" s="96"/>
      <c r="Q251" s="97"/>
      <c r="S251" s="99"/>
      <c r="T251" s="99"/>
      <c r="U251" s="99"/>
      <c r="V251" s="99"/>
      <c r="W251" s="99"/>
      <c r="X251" s="99"/>
      <c r="Y251" s="99"/>
      <c r="Z251" s="99"/>
      <c r="AA251" s="99"/>
      <c r="AB251" s="99"/>
      <c r="AC251" s="98"/>
      <c r="AD251" s="98"/>
      <c r="AE251" s="98"/>
      <c r="AF251" s="98"/>
      <c r="AG251" s="98"/>
      <c r="AH251" s="98"/>
    </row>
    <row r="252" spans="2:34" x14ac:dyDescent="0.25">
      <c r="B252" s="71"/>
      <c r="C252" s="72"/>
      <c r="D252" s="77"/>
      <c r="E252" s="78"/>
      <c r="F252" s="78"/>
      <c r="G252" s="78"/>
      <c r="H252" s="78"/>
      <c r="I252" s="79"/>
      <c r="J252" s="86"/>
      <c r="K252" s="87"/>
      <c r="L252" s="86"/>
      <c r="M252" s="87"/>
      <c r="N252" s="77"/>
      <c r="O252" s="79"/>
      <c r="P252" s="92"/>
      <c r="Q252" s="93"/>
      <c r="S252" s="99"/>
      <c r="T252" s="99"/>
      <c r="U252" s="99"/>
      <c r="V252" s="99"/>
      <c r="W252" s="99"/>
      <c r="X252" s="99"/>
      <c r="Y252" s="99"/>
      <c r="Z252" s="99"/>
      <c r="AA252" s="99"/>
      <c r="AB252" s="99"/>
      <c r="AC252" s="98"/>
      <c r="AD252" s="98"/>
      <c r="AE252" s="98"/>
      <c r="AF252" s="98"/>
      <c r="AG252" s="98"/>
      <c r="AH252" s="98"/>
    </row>
    <row r="253" spans="2:34" x14ac:dyDescent="0.25">
      <c r="B253" s="73"/>
      <c r="C253" s="74"/>
      <c r="D253" s="80"/>
      <c r="E253" s="81"/>
      <c r="F253" s="81"/>
      <c r="G253" s="81"/>
      <c r="H253" s="81"/>
      <c r="I253" s="82"/>
      <c r="J253" s="88"/>
      <c r="K253" s="89"/>
      <c r="L253" s="88"/>
      <c r="M253" s="89"/>
      <c r="N253" s="80"/>
      <c r="O253" s="82"/>
      <c r="P253" s="94"/>
      <c r="Q253" s="95"/>
      <c r="S253" s="99"/>
      <c r="T253" s="99"/>
      <c r="U253" s="99"/>
      <c r="V253" s="99"/>
      <c r="W253" s="99"/>
      <c r="X253" s="99"/>
      <c r="Y253" s="99"/>
      <c r="Z253" s="99"/>
      <c r="AA253" s="99"/>
      <c r="AB253" s="99"/>
      <c r="AC253" s="98"/>
      <c r="AD253" s="98"/>
      <c r="AE253" s="98"/>
      <c r="AF253" s="98"/>
      <c r="AG253" s="98"/>
      <c r="AH253" s="98"/>
    </row>
    <row r="254" spans="2:34" x14ac:dyDescent="0.25">
      <c r="B254" s="75"/>
      <c r="C254" s="76"/>
      <c r="D254" s="83"/>
      <c r="E254" s="84"/>
      <c r="F254" s="84"/>
      <c r="G254" s="84"/>
      <c r="H254" s="84"/>
      <c r="I254" s="85"/>
      <c r="J254" s="90"/>
      <c r="K254" s="91"/>
      <c r="L254" s="90"/>
      <c r="M254" s="91"/>
      <c r="N254" s="83"/>
      <c r="O254" s="85"/>
      <c r="P254" s="96"/>
      <c r="Q254" s="97"/>
      <c r="S254" s="99"/>
      <c r="T254" s="99"/>
      <c r="U254" s="99"/>
      <c r="V254" s="99"/>
      <c r="W254" s="99"/>
      <c r="X254" s="99"/>
      <c r="Y254" s="99"/>
      <c r="Z254" s="99"/>
      <c r="AA254" s="99"/>
      <c r="AB254" s="99"/>
      <c r="AC254" s="98"/>
      <c r="AD254" s="98"/>
      <c r="AE254" s="98"/>
      <c r="AF254" s="98"/>
      <c r="AG254" s="98"/>
      <c r="AH254" s="98"/>
    </row>
    <row r="255" spans="2:34" x14ac:dyDescent="0.25">
      <c r="B255" s="71"/>
      <c r="C255" s="72"/>
      <c r="D255" s="77"/>
      <c r="E255" s="78"/>
      <c r="F255" s="78"/>
      <c r="G255" s="78"/>
      <c r="H255" s="78"/>
      <c r="I255" s="79"/>
      <c r="J255" s="86"/>
      <c r="K255" s="87"/>
      <c r="L255" s="86"/>
      <c r="M255" s="87"/>
      <c r="N255" s="77"/>
      <c r="O255" s="79"/>
      <c r="P255" s="92"/>
      <c r="Q255" s="93"/>
      <c r="S255" s="99"/>
      <c r="T255" s="99"/>
      <c r="U255" s="99"/>
      <c r="V255" s="99"/>
      <c r="W255" s="99"/>
      <c r="X255" s="99"/>
      <c r="Y255" s="99"/>
      <c r="Z255" s="99"/>
      <c r="AA255" s="99"/>
      <c r="AB255" s="99"/>
      <c r="AC255" s="98"/>
      <c r="AD255" s="98"/>
      <c r="AE255" s="98"/>
      <c r="AF255" s="98"/>
      <c r="AG255" s="98"/>
      <c r="AH255" s="98"/>
    </row>
    <row r="256" spans="2:34" x14ac:dyDescent="0.25">
      <c r="B256" s="73"/>
      <c r="C256" s="74"/>
      <c r="D256" s="80"/>
      <c r="E256" s="81"/>
      <c r="F256" s="81"/>
      <c r="G256" s="81"/>
      <c r="H256" s="81"/>
      <c r="I256" s="82"/>
      <c r="J256" s="88"/>
      <c r="K256" s="89"/>
      <c r="L256" s="88"/>
      <c r="M256" s="89"/>
      <c r="N256" s="80"/>
      <c r="O256" s="82"/>
      <c r="P256" s="94"/>
      <c r="Q256" s="95"/>
      <c r="S256" s="99"/>
      <c r="T256" s="99"/>
      <c r="U256" s="99"/>
      <c r="V256" s="99"/>
      <c r="W256" s="99"/>
      <c r="X256" s="99"/>
      <c r="Y256" s="99"/>
      <c r="Z256" s="99"/>
      <c r="AA256" s="99"/>
      <c r="AB256" s="99"/>
      <c r="AC256" s="98"/>
      <c r="AD256" s="98"/>
      <c r="AE256" s="98"/>
      <c r="AF256" s="98"/>
      <c r="AG256" s="98"/>
      <c r="AH256" s="98"/>
    </row>
    <row r="257" spans="2:34" x14ac:dyDescent="0.25">
      <c r="B257" s="75"/>
      <c r="C257" s="76"/>
      <c r="D257" s="83"/>
      <c r="E257" s="84"/>
      <c r="F257" s="84"/>
      <c r="G257" s="84"/>
      <c r="H257" s="84"/>
      <c r="I257" s="85"/>
      <c r="J257" s="90"/>
      <c r="K257" s="91"/>
      <c r="L257" s="90"/>
      <c r="M257" s="91"/>
      <c r="N257" s="83"/>
      <c r="O257" s="85"/>
      <c r="P257" s="96"/>
      <c r="Q257" s="97"/>
      <c r="S257" s="99"/>
      <c r="T257" s="99"/>
      <c r="U257" s="99"/>
      <c r="V257" s="99"/>
      <c r="W257" s="99"/>
      <c r="X257" s="99"/>
      <c r="Y257" s="99"/>
      <c r="Z257" s="99"/>
      <c r="AA257" s="99"/>
      <c r="AB257" s="99"/>
      <c r="AC257" s="98"/>
      <c r="AD257" s="98"/>
      <c r="AE257" s="98"/>
      <c r="AF257" s="98"/>
      <c r="AG257" s="98"/>
      <c r="AH257" s="98"/>
    </row>
    <row r="258" spans="2:34" x14ac:dyDescent="0.25">
      <c r="B258" s="71"/>
      <c r="C258" s="72"/>
      <c r="D258" s="77"/>
      <c r="E258" s="78"/>
      <c r="F258" s="78"/>
      <c r="G258" s="78"/>
      <c r="H258" s="78"/>
      <c r="I258" s="79"/>
      <c r="J258" s="86"/>
      <c r="K258" s="87"/>
      <c r="L258" s="86"/>
      <c r="M258" s="87"/>
      <c r="N258" s="77"/>
      <c r="O258" s="79"/>
      <c r="P258" s="92"/>
      <c r="Q258" s="93"/>
      <c r="S258" s="99"/>
      <c r="T258" s="99"/>
      <c r="U258" s="99"/>
      <c r="V258" s="99"/>
      <c r="W258" s="99"/>
      <c r="X258" s="99"/>
      <c r="Y258" s="99"/>
      <c r="Z258" s="99"/>
      <c r="AA258" s="99"/>
      <c r="AB258" s="99"/>
      <c r="AC258" s="98"/>
      <c r="AD258" s="98"/>
      <c r="AE258" s="98"/>
      <c r="AF258" s="98"/>
      <c r="AG258" s="98"/>
      <c r="AH258" s="98"/>
    </row>
    <row r="259" spans="2:34" x14ac:dyDescent="0.25">
      <c r="B259" s="73"/>
      <c r="C259" s="74"/>
      <c r="D259" s="80"/>
      <c r="E259" s="81"/>
      <c r="F259" s="81"/>
      <c r="G259" s="81"/>
      <c r="H259" s="81"/>
      <c r="I259" s="82"/>
      <c r="J259" s="88"/>
      <c r="K259" s="89"/>
      <c r="L259" s="88"/>
      <c r="M259" s="89"/>
      <c r="N259" s="80"/>
      <c r="O259" s="82"/>
      <c r="P259" s="94"/>
      <c r="Q259" s="95"/>
      <c r="S259" s="99"/>
      <c r="T259" s="99"/>
      <c r="U259" s="99"/>
      <c r="V259" s="99"/>
      <c r="W259" s="99"/>
      <c r="X259" s="99"/>
      <c r="Y259" s="99"/>
      <c r="Z259" s="99"/>
      <c r="AA259" s="99"/>
      <c r="AB259" s="99"/>
      <c r="AC259" s="98"/>
      <c r="AD259" s="98"/>
      <c r="AE259" s="98"/>
      <c r="AF259" s="98"/>
      <c r="AG259" s="98"/>
      <c r="AH259" s="98"/>
    </row>
    <row r="260" spans="2:34" x14ac:dyDescent="0.25">
      <c r="B260" s="75"/>
      <c r="C260" s="76"/>
      <c r="D260" s="83"/>
      <c r="E260" s="84"/>
      <c r="F260" s="84"/>
      <c r="G260" s="84"/>
      <c r="H260" s="84"/>
      <c r="I260" s="85"/>
      <c r="J260" s="90"/>
      <c r="K260" s="91"/>
      <c r="L260" s="90"/>
      <c r="M260" s="91"/>
      <c r="N260" s="83"/>
      <c r="O260" s="85"/>
      <c r="P260" s="96"/>
      <c r="Q260" s="97"/>
      <c r="S260" s="99"/>
      <c r="T260" s="99"/>
      <c r="U260" s="99"/>
      <c r="V260" s="99"/>
      <c r="W260" s="99"/>
      <c r="X260" s="99"/>
      <c r="Y260" s="99"/>
      <c r="Z260" s="99"/>
      <c r="AA260" s="99"/>
      <c r="AB260" s="99"/>
      <c r="AC260" s="98"/>
      <c r="AD260" s="98"/>
      <c r="AE260" s="98"/>
      <c r="AF260" s="98"/>
      <c r="AG260" s="98"/>
      <c r="AH260" s="98"/>
    </row>
    <row r="261" spans="2:34" x14ac:dyDescent="0.25">
      <c r="B261" s="71"/>
      <c r="C261" s="72"/>
      <c r="D261" s="77"/>
      <c r="E261" s="78"/>
      <c r="F261" s="78"/>
      <c r="G261" s="78"/>
      <c r="H261" s="78"/>
      <c r="I261" s="79"/>
      <c r="J261" s="86"/>
      <c r="K261" s="87"/>
      <c r="L261" s="86"/>
      <c r="M261" s="87"/>
      <c r="N261" s="77"/>
      <c r="O261" s="79"/>
      <c r="P261" s="92"/>
      <c r="Q261" s="93"/>
      <c r="S261" s="99"/>
      <c r="T261" s="99"/>
      <c r="U261" s="99"/>
      <c r="V261" s="99"/>
      <c r="W261" s="99"/>
      <c r="X261" s="99"/>
      <c r="Y261" s="99"/>
      <c r="Z261" s="99"/>
      <c r="AA261" s="99"/>
      <c r="AB261" s="99"/>
      <c r="AC261" s="98"/>
      <c r="AD261" s="98"/>
      <c r="AE261" s="98"/>
      <c r="AF261" s="98"/>
      <c r="AG261" s="98"/>
      <c r="AH261" s="98"/>
    </row>
    <row r="262" spans="2:34" x14ac:dyDescent="0.25">
      <c r="B262" s="73"/>
      <c r="C262" s="74"/>
      <c r="D262" s="80"/>
      <c r="E262" s="81"/>
      <c r="F262" s="81"/>
      <c r="G262" s="81"/>
      <c r="H262" s="81"/>
      <c r="I262" s="82"/>
      <c r="J262" s="88"/>
      <c r="K262" s="89"/>
      <c r="L262" s="88"/>
      <c r="M262" s="89"/>
      <c r="N262" s="80"/>
      <c r="O262" s="82"/>
      <c r="P262" s="94"/>
      <c r="Q262" s="95"/>
      <c r="S262" s="99"/>
      <c r="T262" s="99"/>
      <c r="U262" s="99"/>
      <c r="V262" s="99"/>
      <c r="W262" s="99"/>
      <c r="X262" s="99"/>
      <c r="Y262" s="99"/>
      <c r="Z262" s="99"/>
      <c r="AA262" s="99"/>
      <c r="AB262" s="99"/>
      <c r="AC262" s="98"/>
      <c r="AD262" s="98"/>
      <c r="AE262" s="98"/>
      <c r="AF262" s="98"/>
      <c r="AG262" s="98"/>
      <c r="AH262" s="98"/>
    </row>
    <row r="263" spans="2:34" x14ac:dyDescent="0.25">
      <c r="B263" s="75"/>
      <c r="C263" s="76"/>
      <c r="D263" s="83"/>
      <c r="E263" s="84"/>
      <c r="F263" s="84"/>
      <c r="G263" s="84"/>
      <c r="H263" s="84"/>
      <c r="I263" s="85"/>
      <c r="J263" s="90"/>
      <c r="K263" s="91"/>
      <c r="L263" s="90"/>
      <c r="M263" s="91"/>
      <c r="N263" s="83"/>
      <c r="O263" s="85"/>
      <c r="P263" s="96"/>
      <c r="Q263" s="97"/>
      <c r="S263" s="99"/>
      <c r="T263" s="99"/>
      <c r="U263" s="99"/>
      <c r="V263" s="99"/>
      <c r="W263" s="99"/>
      <c r="X263" s="99"/>
      <c r="Y263" s="99"/>
      <c r="Z263" s="99"/>
      <c r="AA263" s="99"/>
      <c r="AB263" s="99"/>
      <c r="AC263" s="98"/>
      <c r="AD263" s="98"/>
      <c r="AE263" s="98"/>
      <c r="AF263" s="98"/>
      <c r="AG263" s="98"/>
      <c r="AH263" s="98"/>
    </row>
    <row r="264" spans="2:34" x14ac:dyDescent="0.25">
      <c r="B264" s="71"/>
      <c r="C264" s="72"/>
      <c r="D264" s="77"/>
      <c r="E264" s="78"/>
      <c r="F264" s="78"/>
      <c r="G264" s="78"/>
      <c r="H264" s="78"/>
      <c r="I264" s="79"/>
      <c r="J264" s="86"/>
      <c r="K264" s="87"/>
      <c r="L264" s="86"/>
      <c r="M264" s="87"/>
      <c r="N264" s="77"/>
      <c r="O264" s="79"/>
      <c r="P264" s="92"/>
      <c r="Q264" s="93"/>
      <c r="S264" s="99"/>
      <c r="T264" s="99"/>
      <c r="U264" s="99"/>
      <c r="V264" s="99"/>
      <c r="W264" s="99"/>
      <c r="X264" s="99"/>
      <c r="Y264" s="99"/>
      <c r="Z264" s="99"/>
      <c r="AA264" s="99"/>
      <c r="AB264" s="99"/>
      <c r="AC264" s="98"/>
      <c r="AD264" s="98"/>
      <c r="AE264" s="98"/>
      <c r="AF264" s="98"/>
      <c r="AG264" s="98"/>
      <c r="AH264" s="98"/>
    </row>
    <row r="265" spans="2:34" x14ac:dyDescent="0.25">
      <c r="B265" s="73"/>
      <c r="C265" s="74"/>
      <c r="D265" s="80"/>
      <c r="E265" s="81"/>
      <c r="F265" s="81"/>
      <c r="G265" s="81"/>
      <c r="H265" s="81"/>
      <c r="I265" s="82"/>
      <c r="J265" s="88"/>
      <c r="K265" s="89"/>
      <c r="L265" s="88"/>
      <c r="M265" s="89"/>
      <c r="N265" s="80"/>
      <c r="O265" s="82"/>
      <c r="P265" s="94"/>
      <c r="Q265" s="95"/>
      <c r="S265" s="99"/>
      <c r="T265" s="99"/>
      <c r="U265" s="99"/>
      <c r="V265" s="99"/>
      <c r="W265" s="99"/>
      <c r="X265" s="99"/>
      <c r="Y265" s="99"/>
      <c r="Z265" s="99"/>
      <c r="AA265" s="99"/>
      <c r="AB265" s="99"/>
      <c r="AC265" s="98"/>
      <c r="AD265" s="98"/>
      <c r="AE265" s="98"/>
      <c r="AF265" s="98"/>
      <c r="AG265" s="98"/>
      <c r="AH265" s="98"/>
    </row>
    <row r="266" spans="2:34" x14ac:dyDescent="0.25">
      <c r="B266" s="75"/>
      <c r="C266" s="76"/>
      <c r="D266" s="83"/>
      <c r="E266" s="84"/>
      <c r="F266" s="84"/>
      <c r="G266" s="84"/>
      <c r="H266" s="84"/>
      <c r="I266" s="85"/>
      <c r="J266" s="90"/>
      <c r="K266" s="91"/>
      <c r="L266" s="90"/>
      <c r="M266" s="91"/>
      <c r="N266" s="83"/>
      <c r="O266" s="85"/>
      <c r="P266" s="96"/>
      <c r="Q266" s="97"/>
      <c r="S266" s="99"/>
      <c r="T266" s="99"/>
      <c r="U266" s="99"/>
      <c r="V266" s="99"/>
      <c r="W266" s="99"/>
      <c r="X266" s="99"/>
      <c r="Y266" s="99"/>
      <c r="Z266" s="99"/>
      <c r="AA266" s="99"/>
      <c r="AB266" s="99"/>
      <c r="AC266" s="98"/>
      <c r="AD266" s="98"/>
      <c r="AE266" s="98"/>
      <c r="AF266" s="98"/>
      <c r="AG266" s="98"/>
      <c r="AH266" s="98"/>
    </row>
    <row r="267" spans="2:34" x14ac:dyDescent="0.25">
      <c r="B267" s="71"/>
      <c r="C267" s="72"/>
      <c r="D267" s="77"/>
      <c r="E267" s="78"/>
      <c r="F267" s="78"/>
      <c r="G267" s="78"/>
      <c r="H267" s="78"/>
      <c r="I267" s="79"/>
      <c r="J267" s="86"/>
      <c r="K267" s="87"/>
      <c r="L267" s="86"/>
      <c r="M267" s="87"/>
      <c r="N267" s="77"/>
      <c r="O267" s="79"/>
      <c r="P267" s="92"/>
      <c r="Q267" s="93"/>
      <c r="S267" s="99"/>
      <c r="T267" s="99"/>
      <c r="U267" s="99"/>
      <c r="V267" s="99"/>
      <c r="W267" s="99"/>
      <c r="X267" s="99"/>
      <c r="Y267" s="99"/>
      <c r="Z267" s="99"/>
      <c r="AA267" s="99"/>
      <c r="AB267" s="99"/>
      <c r="AC267" s="98"/>
      <c r="AD267" s="98"/>
      <c r="AE267" s="98"/>
      <c r="AF267" s="98"/>
      <c r="AG267" s="98"/>
      <c r="AH267" s="98"/>
    </row>
    <row r="268" spans="2:34" x14ac:dyDescent="0.25">
      <c r="B268" s="73"/>
      <c r="C268" s="74"/>
      <c r="D268" s="80"/>
      <c r="E268" s="81"/>
      <c r="F268" s="81"/>
      <c r="G268" s="81"/>
      <c r="H268" s="81"/>
      <c r="I268" s="82"/>
      <c r="J268" s="88"/>
      <c r="K268" s="89"/>
      <c r="L268" s="88"/>
      <c r="M268" s="89"/>
      <c r="N268" s="80"/>
      <c r="O268" s="82"/>
      <c r="P268" s="94"/>
      <c r="Q268" s="95"/>
      <c r="S268" s="99"/>
      <c r="T268" s="99"/>
      <c r="U268" s="99"/>
      <c r="V268" s="99"/>
      <c r="W268" s="99"/>
      <c r="X268" s="99"/>
      <c r="Y268" s="99"/>
      <c r="Z268" s="99"/>
      <c r="AA268" s="99"/>
      <c r="AB268" s="99"/>
      <c r="AC268" s="98"/>
      <c r="AD268" s="98"/>
      <c r="AE268" s="98"/>
      <c r="AF268" s="98"/>
      <c r="AG268" s="98"/>
      <c r="AH268" s="98"/>
    </row>
    <row r="269" spans="2:34" x14ac:dyDescent="0.25">
      <c r="B269" s="75"/>
      <c r="C269" s="76"/>
      <c r="D269" s="83"/>
      <c r="E269" s="84"/>
      <c r="F269" s="84"/>
      <c r="G269" s="84"/>
      <c r="H269" s="84"/>
      <c r="I269" s="85"/>
      <c r="J269" s="90"/>
      <c r="K269" s="91"/>
      <c r="L269" s="90"/>
      <c r="M269" s="91"/>
      <c r="N269" s="83"/>
      <c r="O269" s="85"/>
      <c r="P269" s="96"/>
      <c r="Q269" s="97"/>
      <c r="S269" s="99"/>
      <c r="T269" s="99"/>
      <c r="U269" s="99"/>
      <c r="V269" s="99"/>
      <c r="W269" s="99"/>
      <c r="X269" s="99"/>
      <c r="Y269" s="99"/>
      <c r="Z269" s="99"/>
      <c r="AA269" s="99"/>
      <c r="AB269" s="99"/>
      <c r="AC269" s="98"/>
      <c r="AD269" s="98"/>
      <c r="AE269" s="98"/>
      <c r="AF269" s="98"/>
      <c r="AG269" s="98"/>
      <c r="AH269" s="98"/>
    </row>
    <row r="270" spans="2:34" x14ac:dyDescent="0.25">
      <c r="B270" s="71"/>
      <c r="C270" s="72"/>
      <c r="D270" s="77"/>
      <c r="E270" s="78"/>
      <c r="F270" s="78"/>
      <c r="G270" s="78"/>
      <c r="H270" s="78"/>
      <c r="I270" s="79"/>
      <c r="J270" s="86"/>
      <c r="K270" s="87"/>
      <c r="L270" s="86"/>
      <c r="M270" s="87"/>
      <c r="N270" s="77"/>
      <c r="O270" s="79"/>
      <c r="P270" s="92"/>
      <c r="Q270" s="93"/>
      <c r="S270" s="99"/>
      <c r="T270" s="99"/>
      <c r="U270" s="99"/>
      <c r="V270" s="99"/>
      <c r="W270" s="99"/>
      <c r="X270" s="99"/>
      <c r="Y270" s="99"/>
      <c r="Z270" s="99"/>
      <c r="AA270" s="99"/>
      <c r="AB270" s="99"/>
      <c r="AC270" s="98"/>
      <c r="AD270" s="98"/>
      <c r="AE270" s="98"/>
      <c r="AF270" s="98"/>
      <c r="AG270" s="98"/>
      <c r="AH270" s="98"/>
    </row>
    <row r="271" spans="2:34" x14ac:dyDescent="0.25">
      <c r="B271" s="73"/>
      <c r="C271" s="74"/>
      <c r="D271" s="80"/>
      <c r="E271" s="81"/>
      <c r="F271" s="81"/>
      <c r="G271" s="81"/>
      <c r="H271" s="81"/>
      <c r="I271" s="82"/>
      <c r="J271" s="88"/>
      <c r="K271" s="89"/>
      <c r="L271" s="88"/>
      <c r="M271" s="89"/>
      <c r="N271" s="80"/>
      <c r="O271" s="82"/>
      <c r="P271" s="94"/>
      <c r="Q271" s="95"/>
      <c r="S271" s="99"/>
      <c r="T271" s="99"/>
      <c r="U271" s="99"/>
      <c r="V271" s="99"/>
      <c r="W271" s="99"/>
      <c r="X271" s="99"/>
      <c r="Y271" s="99"/>
      <c r="Z271" s="99"/>
      <c r="AA271" s="99"/>
      <c r="AB271" s="99"/>
      <c r="AC271" s="98"/>
      <c r="AD271" s="98"/>
      <c r="AE271" s="98"/>
      <c r="AF271" s="98"/>
      <c r="AG271" s="98"/>
      <c r="AH271" s="98"/>
    </row>
    <row r="272" spans="2:34" x14ac:dyDescent="0.25">
      <c r="B272" s="75"/>
      <c r="C272" s="76"/>
      <c r="D272" s="83"/>
      <c r="E272" s="84"/>
      <c r="F272" s="84"/>
      <c r="G272" s="84"/>
      <c r="H272" s="84"/>
      <c r="I272" s="85"/>
      <c r="J272" s="90"/>
      <c r="K272" s="91"/>
      <c r="L272" s="90"/>
      <c r="M272" s="91"/>
      <c r="N272" s="83"/>
      <c r="O272" s="85"/>
      <c r="P272" s="96"/>
      <c r="Q272" s="97"/>
      <c r="S272" s="99"/>
      <c r="T272" s="99"/>
      <c r="U272" s="99"/>
      <c r="V272" s="99"/>
      <c r="W272" s="99"/>
      <c r="X272" s="99"/>
      <c r="Y272" s="99"/>
      <c r="Z272" s="99"/>
      <c r="AA272" s="99"/>
      <c r="AB272" s="99"/>
      <c r="AC272" s="98"/>
      <c r="AD272" s="98"/>
      <c r="AE272" s="98"/>
      <c r="AF272" s="98"/>
      <c r="AG272" s="98"/>
      <c r="AH272" s="98"/>
    </row>
    <row r="273" spans="2:34" x14ac:dyDescent="0.25">
      <c r="B273" s="71"/>
      <c r="C273" s="72"/>
      <c r="D273" s="77"/>
      <c r="E273" s="78"/>
      <c r="F273" s="78"/>
      <c r="G273" s="78"/>
      <c r="H273" s="78"/>
      <c r="I273" s="79"/>
      <c r="J273" s="86"/>
      <c r="K273" s="87"/>
      <c r="L273" s="86"/>
      <c r="M273" s="87"/>
      <c r="N273" s="77"/>
      <c r="O273" s="79"/>
      <c r="P273" s="92"/>
      <c r="Q273" s="93"/>
      <c r="S273" s="99"/>
      <c r="T273" s="99"/>
      <c r="U273" s="99"/>
      <c r="V273" s="99"/>
      <c r="W273" s="99"/>
      <c r="X273" s="99"/>
      <c r="Y273" s="99"/>
      <c r="Z273" s="99"/>
      <c r="AA273" s="99"/>
      <c r="AB273" s="99"/>
      <c r="AC273" s="98"/>
      <c r="AD273" s="98"/>
      <c r="AE273" s="98"/>
      <c r="AF273" s="98"/>
      <c r="AG273" s="98"/>
      <c r="AH273" s="98"/>
    </row>
    <row r="274" spans="2:34" x14ac:dyDescent="0.25">
      <c r="B274" s="73"/>
      <c r="C274" s="74"/>
      <c r="D274" s="80"/>
      <c r="E274" s="81"/>
      <c r="F274" s="81"/>
      <c r="G274" s="81"/>
      <c r="H274" s="81"/>
      <c r="I274" s="82"/>
      <c r="J274" s="88"/>
      <c r="K274" s="89"/>
      <c r="L274" s="88"/>
      <c r="M274" s="89"/>
      <c r="N274" s="80"/>
      <c r="O274" s="82"/>
      <c r="P274" s="94"/>
      <c r="Q274" s="95"/>
      <c r="S274" s="99"/>
      <c r="T274" s="99"/>
      <c r="U274" s="99"/>
      <c r="V274" s="99"/>
      <c r="W274" s="99"/>
      <c r="X274" s="99"/>
      <c r="Y274" s="99"/>
      <c r="Z274" s="99"/>
      <c r="AA274" s="99"/>
      <c r="AB274" s="99"/>
      <c r="AC274" s="98"/>
      <c r="AD274" s="98"/>
      <c r="AE274" s="98"/>
      <c r="AF274" s="98"/>
      <c r="AG274" s="98"/>
      <c r="AH274" s="98"/>
    </row>
    <row r="275" spans="2:34" x14ac:dyDescent="0.25">
      <c r="B275" s="75"/>
      <c r="C275" s="76"/>
      <c r="D275" s="83"/>
      <c r="E275" s="84"/>
      <c r="F275" s="84"/>
      <c r="G275" s="84"/>
      <c r="H275" s="84"/>
      <c r="I275" s="85"/>
      <c r="J275" s="90"/>
      <c r="K275" s="91"/>
      <c r="L275" s="90"/>
      <c r="M275" s="91"/>
      <c r="N275" s="83"/>
      <c r="O275" s="85"/>
      <c r="P275" s="96"/>
      <c r="Q275" s="97"/>
      <c r="S275" s="99"/>
      <c r="T275" s="99"/>
      <c r="U275" s="99"/>
      <c r="V275" s="99"/>
      <c r="W275" s="99"/>
      <c r="X275" s="99"/>
      <c r="Y275" s="99"/>
      <c r="Z275" s="99"/>
      <c r="AA275" s="99"/>
      <c r="AB275" s="99"/>
      <c r="AC275" s="98"/>
      <c r="AD275" s="98"/>
      <c r="AE275" s="98"/>
      <c r="AF275" s="98"/>
      <c r="AG275" s="98"/>
      <c r="AH275" s="98"/>
    </row>
    <row r="276" spans="2:34" x14ac:dyDescent="0.25">
      <c r="B276" s="71"/>
      <c r="C276" s="72"/>
      <c r="D276" s="77"/>
      <c r="E276" s="78"/>
      <c r="F276" s="78"/>
      <c r="G276" s="78"/>
      <c r="H276" s="78"/>
      <c r="I276" s="79"/>
      <c r="J276" s="86"/>
      <c r="K276" s="87"/>
      <c r="L276" s="86"/>
      <c r="M276" s="87"/>
      <c r="N276" s="77"/>
      <c r="O276" s="79"/>
      <c r="P276" s="92"/>
      <c r="Q276" s="93"/>
      <c r="S276" s="99"/>
      <c r="T276" s="99"/>
      <c r="U276" s="99"/>
      <c r="V276" s="99"/>
      <c r="W276" s="99"/>
      <c r="X276" s="99"/>
      <c r="Y276" s="99"/>
      <c r="Z276" s="99"/>
      <c r="AA276" s="99"/>
      <c r="AB276" s="99"/>
      <c r="AC276" s="98"/>
      <c r="AD276" s="98"/>
      <c r="AE276" s="98"/>
      <c r="AF276" s="98"/>
      <c r="AG276" s="98"/>
      <c r="AH276" s="98"/>
    </row>
    <row r="277" spans="2:34" x14ac:dyDescent="0.25">
      <c r="B277" s="73"/>
      <c r="C277" s="74"/>
      <c r="D277" s="80"/>
      <c r="E277" s="81"/>
      <c r="F277" s="81"/>
      <c r="G277" s="81"/>
      <c r="H277" s="81"/>
      <c r="I277" s="82"/>
      <c r="J277" s="88"/>
      <c r="K277" s="89"/>
      <c r="L277" s="88"/>
      <c r="M277" s="89"/>
      <c r="N277" s="80"/>
      <c r="O277" s="82"/>
      <c r="P277" s="94"/>
      <c r="Q277" s="95"/>
      <c r="S277" s="99"/>
      <c r="T277" s="99"/>
      <c r="U277" s="99"/>
      <c r="V277" s="99"/>
      <c r="W277" s="99"/>
      <c r="X277" s="99"/>
      <c r="Y277" s="99"/>
      <c r="Z277" s="99"/>
      <c r="AA277" s="99"/>
      <c r="AB277" s="99"/>
      <c r="AC277" s="98"/>
      <c r="AD277" s="98"/>
      <c r="AE277" s="98"/>
      <c r="AF277" s="98"/>
      <c r="AG277" s="98"/>
      <c r="AH277" s="98"/>
    </row>
    <row r="278" spans="2:34" x14ac:dyDescent="0.25">
      <c r="B278" s="75"/>
      <c r="C278" s="76"/>
      <c r="D278" s="83"/>
      <c r="E278" s="84"/>
      <c r="F278" s="84"/>
      <c r="G278" s="84"/>
      <c r="H278" s="84"/>
      <c r="I278" s="85"/>
      <c r="J278" s="90"/>
      <c r="K278" s="91"/>
      <c r="L278" s="90"/>
      <c r="M278" s="91"/>
      <c r="N278" s="83"/>
      <c r="O278" s="85"/>
      <c r="P278" s="96"/>
      <c r="Q278" s="97"/>
      <c r="S278" s="99"/>
      <c r="T278" s="99"/>
      <c r="U278" s="99"/>
      <c r="V278" s="99"/>
      <c r="W278" s="99"/>
      <c r="X278" s="99"/>
      <c r="Y278" s="99"/>
      <c r="Z278" s="99"/>
      <c r="AA278" s="99"/>
      <c r="AB278" s="99"/>
      <c r="AC278" s="98"/>
      <c r="AD278" s="98"/>
      <c r="AE278" s="98"/>
      <c r="AF278" s="98"/>
      <c r="AG278" s="98"/>
      <c r="AH278" s="98"/>
    </row>
    <row r="279" spans="2:34" x14ac:dyDescent="0.25">
      <c r="B279" s="71"/>
      <c r="C279" s="72"/>
      <c r="D279" s="77"/>
      <c r="E279" s="78"/>
      <c r="F279" s="78"/>
      <c r="G279" s="78"/>
      <c r="H279" s="78"/>
      <c r="I279" s="79"/>
      <c r="J279" s="86"/>
      <c r="K279" s="87"/>
      <c r="L279" s="86"/>
      <c r="M279" s="87"/>
      <c r="N279" s="77"/>
      <c r="O279" s="79"/>
      <c r="P279" s="92"/>
      <c r="Q279" s="93"/>
      <c r="S279" s="99"/>
      <c r="T279" s="99"/>
      <c r="U279" s="99"/>
      <c r="V279" s="99"/>
      <c r="W279" s="99"/>
      <c r="X279" s="99"/>
      <c r="Y279" s="99"/>
      <c r="Z279" s="99"/>
      <c r="AA279" s="99"/>
      <c r="AB279" s="99"/>
      <c r="AC279" s="98"/>
      <c r="AD279" s="98"/>
      <c r="AE279" s="98"/>
      <c r="AF279" s="98"/>
      <c r="AG279" s="98"/>
      <c r="AH279" s="98"/>
    </row>
    <row r="280" spans="2:34" x14ac:dyDescent="0.25">
      <c r="B280" s="73"/>
      <c r="C280" s="74"/>
      <c r="D280" s="80"/>
      <c r="E280" s="81"/>
      <c r="F280" s="81"/>
      <c r="G280" s="81"/>
      <c r="H280" s="81"/>
      <c r="I280" s="82"/>
      <c r="J280" s="88"/>
      <c r="K280" s="89"/>
      <c r="L280" s="88"/>
      <c r="M280" s="89"/>
      <c r="N280" s="80"/>
      <c r="O280" s="82"/>
      <c r="P280" s="94"/>
      <c r="Q280" s="95"/>
      <c r="S280" s="99"/>
      <c r="T280" s="99"/>
      <c r="U280" s="99"/>
      <c r="V280" s="99"/>
      <c r="W280" s="99"/>
      <c r="X280" s="99"/>
      <c r="Y280" s="99"/>
      <c r="Z280" s="99"/>
      <c r="AA280" s="99"/>
      <c r="AB280" s="99"/>
      <c r="AC280" s="98"/>
      <c r="AD280" s="98"/>
      <c r="AE280" s="98"/>
      <c r="AF280" s="98"/>
      <c r="AG280" s="98"/>
      <c r="AH280" s="98"/>
    </row>
    <row r="281" spans="2:34" x14ac:dyDescent="0.25">
      <c r="B281" s="75"/>
      <c r="C281" s="76"/>
      <c r="D281" s="83"/>
      <c r="E281" s="84"/>
      <c r="F281" s="84"/>
      <c r="G281" s="84"/>
      <c r="H281" s="84"/>
      <c r="I281" s="85"/>
      <c r="J281" s="90"/>
      <c r="K281" s="91"/>
      <c r="L281" s="90"/>
      <c r="M281" s="91"/>
      <c r="N281" s="83"/>
      <c r="O281" s="85"/>
      <c r="P281" s="96"/>
      <c r="Q281" s="97"/>
      <c r="S281" s="99"/>
      <c r="T281" s="99"/>
      <c r="U281" s="99"/>
      <c r="V281" s="99"/>
      <c r="W281" s="99"/>
      <c r="X281" s="99"/>
      <c r="Y281" s="99"/>
      <c r="Z281" s="99"/>
      <c r="AA281" s="99"/>
      <c r="AB281" s="99"/>
      <c r="AC281" s="98"/>
      <c r="AD281" s="98"/>
      <c r="AE281" s="98"/>
      <c r="AF281" s="98"/>
      <c r="AG281" s="98"/>
      <c r="AH281" s="98"/>
    </row>
    <row r="282" spans="2:34" x14ac:dyDescent="0.25">
      <c r="B282" s="71"/>
      <c r="C282" s="72"/>
      <c r="D282" s="77"/>
      <c r="E282" s="78"/>
      <c r="F282" s="78"/>
      <c r="G282" s="78"/>
      <c r="H282" s="78"/>
      <c r="I282" s="79"/>
      <c r="J282" s="86"/>
      <c r="K282" s="87"/>
      <c r="L282" s="86"/>
      <c r="M282" s="87"/>
      <c r="N282" s="77"/>
      <c r="O282" s="79"/>
      <c r="P282" s="92"/>
      <c r="Q282" s="93"/>
      <c r="S282" s="99"/>
      <c r="T282" s="99"/>
      <c r="U282" s="99"/>
      <c r="V282" s="99"/>
      <c r="W282" s="99"/>
      <c r="X282" s="99"/>
      <c r="Y282" s="99"/>
      <c r="Z282" s="99"/>
      <c r="AA282" s="99"/>
      <c r="AB282" s="99"/>
      <c r="AC282" s="98"/>
      <c r="AD282" s="98"/>
      <c r="AE282" s="98"/>
      <c r="AF282" s="98"/>
      <c r="AG282" s="98"/>
      <c r="AH282" s="98"/>
    </row>
    <row r="283" spans="2:34" x14ac:dyDescent="0.25">
      <c r="B283" s="73"/>
      <c r="C283" s="74"/>
      <c r="D283" s="80"/>
      <c r="E283" s="81"/>
      <c r="F283" s="81"/>
      <c r="G283" s="81"/>
      <c r="H283" s="81"/>
      <c r="I283" s="82"/>
      <c r="J283" s="88"/>
      <c r="K283" s="89"/>
      <c r="L283" s="88"/>
      <c r="M283" s="89"/>
      <c r="N283" s="80"/>
      <c r="O283" s="82"/>
      <c r="P283" s="94"/>
      <c r="Q283" s="95"/>
      <c r="S283" s="99"/>
      <c r="T283" s="99"/>
      <c r="U283" s="99"/>
      <c r="V283" s="99"/>
      <c r="W283" s="99"/>
      <c r="X283" s="99"/>
      <c r="Y283" s="99"/>
      <c r="Z283" s="99"/>
      <c r="AA283" s="99"/>
      <c r="AB283" s="99"/>
      <c r="AC283" s="98"/>
      <c r="AD283" s="98"/>
      <c r="AE283" s="98"/>
      <c r="AF283" s="98"/>
      <c r="AG283" s="98"/>
      <c r="AH283" s="98"/>
    </row>
    <row r="284" spans="2:34" x14ac:dyDescent="0.25">
      <c r="B284" s="75"/>
      <c r="C284" s="76"/>
      <c r="D284" s="83"/>
      <c r="E284" s="84"/>
      <c r="F284" s="84"/>
      <c r="G284" s="84"/>
      <c r="H284" s="84"/>
      <c r="I284" s="85"/>
      <c r="J284" s="90"/>
      <c r="K284" s="91"/>
      <c r="L284" s="90"/>
      <c r="M284" s="91"/>
      <c r="N284" s="83"/>
      <c r="O284" s="85"/>
      <c r="P284" s="96"/>
      <c r="Q284" s="97"/>
      <c r="S284" s="99"/>
      <c r="T284" s="99"/>
      <c r="U284" s="99"/>
      <c r="V284" s="99"/>
      <c r="W284" s="99"/>
      <c r="X284" s="99"/>
      <c r="Y284" s="99"/>
      <c r="Z284" s="99"/>
      <c r="AA284" s="99"/>
      <c r="AB284" s="99"/>
      <c r="AC284" s="98"/>
      <c r="AD284" s="98"/>
      <c r="AE284" s="98"/>
      <c r="AF284" s="98"/>
      <c r="AG284" s="98"/>
      <c r="AH284" s="98"/>
    </row>
    <row r="285" spans="2:34" x14ac:dyDescent="0.25">
      <c r="B285" s="71"/>
      <c r="C285" s="72"/>
      <c r="D285" s="77"/>
      <c r="E285" s="78"/>
      <c r="F285" s="78"/>
      <c r="G285" s="78"/>
      <c r="H285" s="78"/>
      <c r="I285" s="79"/>
      <c r="J285" s="86"/>
      <c r="K285" s="87"/>
      <c r="L285" s="86"/>
      <c r="M285" s="87"/>
      <c r="N285" s="77"/>
      <c r="O285" s="79"/>
      <c r="P285" s="92"/>
      <c r="Q285" s="93"/>
      <c r="S285" s="99"/>
      <c r="T285" s="99"/>
      <c r="U285" s="99"/>
      <c r="V285" s="99"/>
      <c r="W285" s="99"/>
      <c r="X285" s="99"/>
      <c r="Y285" s="99"/>
      <c r="Z285" s="99"/>
      <c r="AA285" s="99"/>
      <c r="AB285" s="99"/>
      <c r="AC285" s="98"/>
      <c r="AD285" s="98"/>
      <c r="AE285" s="98"/>
      <c r="AF285" s="98"/>
      <c r="AG285" s="98"/>
      <c r="AH285" s="98"/>
    </row>
    <row r="286" spans="2:34" x14ac:dyDescent="0.25">
      <c r="B286" s="73"/>
      <c r="C286" s="74"/>
      <c r="D286" s="80"/>
      <c r="E286" s="81"/>
      <c r="F286" s="81"/>
      <c r="G286" s="81"/>
      <c r="H286" s="81"/>
      <c r="I286" s="82"/>
      <c r="J286" s="88"/>
      <c r="K286" s="89"/>
      <c r="L286" s="88"/>
      <c r="M286" s="89"/>
      <c r="N286" s="80"/>
      <c r="O286" s="82"/>
      <c r="P286" s="94"/>
      <c r="Q286" s="95"/>
      <c r="S286" s="99"/>
      <c r="T286" s="99"/>
      <c r="U286" s="99"/>
      <c r="V286" s="99"/>
      <c r="W286" s="99"/>
      <c r="X286" s="99"/>
      <c r="Y286" s="99"/>
      <c r="Z286" s="99"/>
      <c r="AA286" s="99"/>
      <c r="AB286" s="99"/>
      <c r="AC286" s="98"/>
      <c r="AD286" s="98"/>
      <c r="AE286" s="98"/>
      <c r="AF286" s="98"/>
      <c r="AG286" s="98"/>
      <c r="AH286" s="98"/>
    </row>
    <row r="287" spans="2:34" x14ac:dyDescent="0.25">
      <c r="B287" s="75"/>
      <c r="C287" s="76"/>
      <c r="D287" s="83"/>
      <c r="E287" s="84"/>
      <c r="F287" s="84"/>
      <c r="G287" s="84"/>
      <c r="H287" s="84"/>
      <c r="I287" s="85"/>
      <c r="J287" s="90"/>
      <c r="K287" s="91"/>
      <c r="L287" s="90"/>
      <c r="M287" s="91"/>
      <c r="N287" s="83"/>
      <c r="O287" s="85"/>
      <c r="P287" s="96"/>
      <c r="Q287" s="97"/>
      <c r="S287" s="99"/>
      <c r="T287" s="99"/>
      <c r="U287" s="99"/>
      <c r="V287" s="99"/>
      <c r="W287" s="99"/>
      <c r="X287" s="99"/>
      <c r="Y287" s="99"/>
      <c r="Z287" s="99"/>
      <c r="AA287" s="99"/>
      <c r="AB287" s="99"/>
      <c r="AC287" s="98"/>
      <c r="AD287" s="98"/>
      <c r="AE287" s="98"/>
      <c r="AF287" s="98"/>
      <c r="AG287" s="98"/>
      <c r="AH287" s="98"/>
    </row>
    <row r="288" spans="2:34" x14ac:dyDescent="0.25">
      <c r="B288" s="71"/>
      <c r="C288" s="72"/>
      <c r="D288" s="77"/>
      <c r="E288" s="78"/>
      <c r="F288" s="78"/>
      <c r="G288" s="78"/>
      <c r="H288" s="78"/>
      <c r="I288" s="79"/>
      <c r="J288" s="86"/>
      <c r="K288" s="87"/>
      <c r="L288" s="86"/>
      <c r="M288" s="87"/>
      <c r="N288" s="77"/>
      <c r="O288" s="79"/>
      <c r="P288" s="92"/>
      <c r="Q288" s="93"/>
      <c r="S288" s="99"/>
      <c r="T288" s="99"/>
      <c r="U288" s="99"/>
      <c r="V288" s="99"/>
      <c r="W288" s="99"/>
      <c r="X288" s="99"/>
      <c r="Y288" s="99"/>
      <c r="Z288" s="99"/>
      <c r="AA288" s="99"/>
      <c r="AB288" s="99"/>
      <c r="AC288" s="98"/>
      <c r="AD288" s="98"/>
      <c r="AE288" s="98"/>
      <c r="AF288" s="98"/>
      <c r="AG288" s="98"/>
      <c r="AH288" s="98"/>
    </row>
    <row r="289" spans="2:34" x14ac:dyDescent="0.25">
      <c r="B289" s="73"/>
      <c r="C289" s="74"/>
      <c r="D289" s="80"/>
      <c r="E289" s="81"/>
      <c r="F289" s="81"/>
      <c r="G289" s="81"/>
      <c r="H289" s="81"/>
      <c r="I289" s="82"/>
      <c r="J289" s="88"/>
      <c r="K289" s="89"/>
      <c r="L289" s="88"/>
      <c r="M289" s="89"/>
      <c r="N289" s="80"/>
      <c r="O289" s="82"/>
      <c r="P289" s="94"/>
      <c r="Q289" s="95"/>
      <c r="S289" s="99"/>
      <c r="T289" s="99"/>
      <c r="U289" s="99"/>
      <c r="V289" s="99"/>
      <c r="W289" s="99"/>
      <c r="X289" s="99"/>
      <c r="Y289" s="99"/>
      <c r="Z289" s="99"/>
      <c r="AA289" s="99"/>
      <c r="AB289" s="99"/>
      <c r="AC289" s="98"/>
      <c r="AD289" s="98"/>
      <c r="AE289" s="98"/>
      <c r="AF289" s="98"/>
      <c r="AG289" s="98"/>
      <c r="AH289" s="98"/>
    </row>
    <row r="290" spans="2:34" x14ac:dyDescent="0.25">
      <c r="B290" s="75"/>
      <c r="C290" s="76"/>
      <c r="D290" s="83"/>
      <c r="E290" s="84"/>
      <c r="F290" s="84"/>
      <c r="G290" s="84"/>
      <c r="H290" s="84"/>
      <c r="I290" s="85"/>
      <c r="J290" s="90"/>
      <c r="K290" s="91"/>
      <c r="L290" s="90"/>
      <c r="M290" s="91"/>
      <c r="N290" s="83"/>
      <c r="O290" s="85"/>
      <c r="P290" s="96"/>
      <c r="Q290" s="97"/>
      <c r="S290" s="99"/>
      <c r="T290" s="99"/>
      <c r="U290" s="99"/>
      <c r="V290" s="99"/>
      <c r="W290" s="99"/>
      <c r="X290" s="99"/>
      <c r="Y290" s="99"/>
      <c r="Z290" s="99"/>
      <c r="AA290" s="99"/>
      <c r="AB290" s="99"/>
      <c r="AC290" s="98"/>
      <c r="AD290" s="98"/>
      <c r="AE290" s="98"/>
      <c r="AF290" s="98"/>
      <c r="AG290" s="98"/>
      <c r="AH290" s="98"/>
    </row>
    <row r="291" spans="2:34" x14ac:dyDescent="0.25">
      <c r="B291" s="71"/>
      <c r="C291" s="72"/>
      <c r="D291" s="77"/>
      <c r="E291" s="78"/>
      <c r="F291" s="78"/>
      <c r="G291" s="78"/>
      <c r="H291" s="78"/>
      <c r="I291" s="79"/>
      <c r="J291" s="86"/>
      <c r="K291" s="87"/>
      <c r="L291" s="86"/>
      <c r="M291" s="87"/>
      <c r="N291" s="77"/>
      <c r="O291" s="79"/>
      <c r="P291" s="92"/>
      <c r="Q291" s="93"/>
      <c r="S291" s="99"/>
      <c r="T291" s="99"/>
      <c r="U291" s="99"/>
      <c r="V291" s="99"/>
      <c r="W291" s="99"/>
      <c r="X291" s="99"/>
      <c r="Y291" s="99"/>
      <c r="Z291" s="99"/>
      <c r="AA291" s="99"/>
      <c r="AB291" s="99"/>
      <c r="AC291" s="98"/>
      <c r="AD291" s="98"/>
      <c r="AE291" s="98"/>
      <c r="AF291" s="98"/>
      <c r="AG291" s="98"/>
      <c r="AH291" s="98"/>
    </row>
    <row r="292" spans="2:34" x14ac:dyDescent="0.25">
      <c r="B292" s="73"/>
      <c r="C292" s="74"/>
      <c r="D292" s="80"/>
      <c r="E292" s="81"/>
      <c r="F292" s="81"/>
      <c r="G292" s="81"/>
      <c r="H292" s="81"/>
      <c r="I292" s="82"/>
      <c r="J292" s="88"/>
      <c r="K292" s="89"/>
      <c r="L292" s="88"/>
      <c r="M292" s="89"/>
      <c r="N292" s="80"/>
      <c r="O292" s="82"/>
      <c r="P292" s="94"/>
      <c r="Q292" s="95"/>
      <c r="S292" s="99"/>
      <c r="T292" s="99"/>
      <c r="U292" s="99"/>
      <c r="V292" s="99"/>
      <c r="W292" s="99"/>
      <c r="X292" s="99"/>
      <c r="Y292" s="99"/>
      <c r="Z292" s="99"/>
      <c r="AA292" s="99"/>
      <c r="AB292" s="99"/>
      <c r="AC292" s="98"/>
      <c r="AD292" s="98"/>
      <c r="AE292" s="98"/>
      <c r="AF292" s="98"/>
      <c r="AG292" s="98"/>
      <c r="AH292" s="98"/>
    </row>
    <row r="293" spans="2:34" x14ac:dyDescent="0.25">
      <c r="B293" s="75"/>
      <c r="C293" s="76"/>
      <c r="D293" s="83"/>
      <c r="E293" s="84"/>
      <c r="F293" s="84"/>
      <c r="G293" s="84"/>
      <c r="H293" s="84"/>
      <c r="I293" s="85"/>
      <c r="J293" s="90"/>
      <c r="K293" s="91"/>
      <c r="L293" s="90"/>
      <c r="M293" s="91"/>
      <c r="N293" s="83"/>
      <c r="O293" s="85"/>
      <c r="P293" s="96"/>
      <c r="Q293" s="97"/>
      <c r="S293" s="99"/>
      <c r="T293" s="99"/>
      <c r="U293" s="99"/>
      <c r="V293" s="99"/>
      <c r="W293" s="99"/>
      <c r="X293" s="99"/>
      <c r="Y293" s="99"/>
      <c r="Z293" s="99"/>
      <c r="AA293" s="99"/>
      <c r="AB293" s="99"/>
      <c r="AC293" s="98"/>
      <c r="AD293" s="98"/>
      <c r="AE293" s="98"/>
      <c r="AF293" s="98"/>
      <c r="AG293" s="98"/>
      <c r="AH293" s="98"/>
    </row>
    <row r="294" spans="2:34" x14ac:dyDescent="0.25">
      <c r="B294" s="71"/>
      <c r="C294" s="72"/>
      <c r="D294" s="77"/>
      <c r="E294" s="78"/>
      <c r="F294" s="78"/>
      <c r="G294" s="78"/>
      <c r="H294" s="78"/>
      <c r="I294" s="79"/>
      <c r="J294" s="86"/>
      <c r="K294" s="87"/>
      <c r="L294" s="86"/>
      <c r="M294" s="87"/>
      <c r="N294" s="77"/>
      <c r="O294" s="79"/>
      <c r="P294" s="92"/>
      <c r="Q294" s="93"/>
      <c r="S294" s="99"/>
      <c r="T294" s="99"/>
      <c r="U294" s="99"/>
      <c r="V294" s="99"/>
      <c r="W294" s="99"/>
      <c r="X294" s="99"/>
      <c r="Y294" s="99"/>
      <c r="Z294" s="99"/>
      <c r="AA294" s="99"/>
      <c r="AB294" s="99"/>
      <c r="AC294" s="98"/>
      <c r="AD294" s="98"/>
      <c r="AE294" s="98"/>
      <c r="AF294" s="98"/>
      <c r="AG294" s="98"/>
      <c r="AH294" s="98"/>
    </row>
    <row r="295" spans="2:34" x14ac:dyDescent="0.25">
      <c r="B295" s="73"/>
      <c r="C295" s="74"/>
      <c r="D295" s="80"/>
      <c r="E295" s="81"/>
      <c r="F295" s="81"/>
      <c r="G295" s="81"/>
      <c r="H295" s="81"/>
      <c r="I295" s="82"/>
      <c r="J295" s="88"/>
      <c r="K295" s="89"/>
      <c r="L295" s="88"/>
      <c r="M295" s="89"/>
      <c r="N295" s="80"/>
      <c r="O295" s="82"/>
      <c r="P295" s="94"/>
      <c r="Q295" s="95"/>
      <c r="S295" s="99"/>
      <c r="T295" s="99"/>
      <c r="U295" s="99"/>
      <c r="V295" s="99"/>
      <c r="W295" s="99"/>
      <c r="X295" s="99"/>
      <c r="Y295" s="99"/>
      <c r="Z295" s="99"/>
      <c r="AA295" s="99"/>
      <c r="AB295" s="99"/>
      <c r="AC295" s="98"/>
      <c r="AD295" s="98"/>
      <c r="AE295" s="98"/>
      <c r="AF295" s="98"/>
      <c r="AG295" s="98"/>
      <c r="AH295" s="98"/>
    </row>
    <row r="296" spans="2:34" x14ac:dyDescent="0.25">
      <c r="B296" s="75"/>
      <c r="C296" s="76"/>
      <c r="D296" s="83"/>
      <c r="E296" s="84"/>
      <c r="F296" s="84"/>
      <c r="G296" s="84"/>
      <c r="H296" s="84"/>
      <c r="I296" s="85"/>
      <c r="J296" s="90"/>
      <c r="K296" s="91"/>
      <c r="L296" s="90"/>
      <c r="M296" s="91"/>
      <c r="N296" s="83"/>
      <c r="O296" s="85"/>
      <c r="P296" s="96"/>
      <c r="Q296" s="97"/>
      <c r="S296" s="99"/>
      <c r="T296" s="99"/>
      <c r="U296" s="99"/>
      <c r="V296" s="99"/>
      <c r="W296" s="99"/>
      <c r="X296" s="99"/>
      <c r="Y296" s="99"/>
      <c r="Z296" s="99"/>
      <c r="AA296" s="99"/>
      <c r="AB296" s="99"/>
      <c r="AC296" s="98"/>
      <c r="AD296" s="98"/>
      <c r="AE296" s="98"/>
      <c r="AF296" s="98"/>
      <c r="AG296" s="98"/>
      <c r="AH296" s="98"/>
    </row>
    <row r="297" spans="2:34" x14ac:dyDescent="0.25">
      <c r="B297" s="71"/>
      <c r="C297" s="72"/>
      <c r="D297" s="77"/>
      <c r="E297" s="78"/>
      <c r="F297" s="78"/>
      <c r="G297" s="78"/>
      <c r="H297" s="78"/>
      <c r="I297" s="79"/>
      <c r="J297" s="86"/>
      <c r="K297" s="87"/>
      <c r="L297" s="86"/>
      <c r="M297" s="87"/>
      <c r="N297" s="77"/>
      <c r="O297" s="79"/>
      <c r="P297" s="92"/>
      <c r="Q297" s="93"/>
      <c r="S297" s="99"/>
      <c r="T297" s="99"/>
      <c r="U297" s="99"/>
      <c r="V297" s="99"/>
      <c r="W297" s="99"/>
      <c r="X297" s="99"/>
      <c r="Y297" s="99"/>
      <c r="Z297" s="99"/>
      <c r="AA297" s="99"/>
      <c r="AB297" s="99"/>
      <c r="AC297" s="98"/>
      <c r="AD297" s="98"/>
      <c r="AE297" s="98"/>
      <c r="AF297" s="98"/>
      <c r="AG297" s="98"/>
      <c r="AH297" s="98"/>
    </row>
    <row r="298" spans="2:34" x14ac:dyDescent="0.25">
      <c r="B298" s="73"/>
      <c r="C298" s="74"/>
      <c r="D298" s="80"/>
      <c r="E298" s="81"/>
      <c r="F298" s="81"/>
      <c r="G298" s="81"/>
      <c r="H298" s="81"/>
      <c r="I298" s="82"/>
      <c r="J298" s="88"/>
      <c r="K298" s="89"/>
      <c r="L298" s="88"/>
      <c r="M298" s="89"/>
      <c r="N298" s="80"/>
      <c r="O298" s="82"/>
      <c r="P298" s="94"/>
      <c r="Q298" s="95"/>
      <c r="S298" s="99"/>
      <c r="T298" s="99"/>
      <c r="U298" s="99"/>
      <c r="V298" s="99"/>
      <c r="W298" s="99"/>
      <c r="X298" s="99"/>
      <c r="Y298" s="99"/>
      <c r="Z298" s="99"/>
      <c r="AA298" s="99"/>
      <c r="AB298" s="99"/>
      <c r="AC298" s="98"/>
      <c r="AD298" s="98"/>
      <c r="AE298" s="98"/>
      <c r="AF298" s="98"/>
      <c r="AG298" s="98"/>
      <c r="AH298" s="98"/>
    </row>
    <row r="299" spans="2:34" x14ac:dyDescent="0.25">
      <c r="B299" s="75"/>
      <c r="C299" s="76"/>
      <c r="D299" s="83"/>
      <c r="E299" s="84"/>
      <c r="F299" s="84"/>
      <c r="G299" s="84"/>
      <c r="H299" s="84"/>
      <c r="I299" s="85"/>
      <c r="J299" s="90"/>
      <c r="K299" s="91"/>
      <c r="L299" s="90"/>
      <c r="M299" s="91"/>
      <c r="N299" s="83"/>
      <c r="O299" s="85"/>
      <c r="P299" s="96"/>
      <c r="Q299" s="97"/>
      <c r="S299" s="99"/>
      <c r="T299" s="99"/>
      <c r="U299" s="99"/>
      <c r="V299" s="99"/>
      <c r="W299" s="99"/>
      <c r="X299" s="99"/>
      <c r="Y299" s="99"/>
      <c r="Z299" s="99"/>
      <c r="AA299" s="99"/>
      <c r="AB299" s="99"/>
      <c r="AC299" s="98"/>
      <c r="AD299" s="98"/>
      <c r="AE299" s="98"/>
      <c r="AF299" s="98"/>
      <c r="AG299" s="98"/>
      <c r="AH299" s="98"/>
    </row>
    <row r="300" spans="2:34" x14ac:dyDescent="0.25">
      <c r="B300" s="71"/>
      <c r="C300" s="72"/>
      <c r="D300" s="77"/>
      <c r="E300" s="78"/>
      <c r="F300" s="78"/>
      <c r="G300" s="78"/>
      <c r="H300" s="78"/>
      <c r="I300" s="79"/>
      <c r="J300" s="86"/>
      <c r="K300" s="87"/>
      <c r="L300" s="86"/>
      <c r="M300" s="87"/>
      <c r="N300" s="77"/>
      <c r="O300" s="79"/>
      <c r="P300" s="92"/>
      <c r="Q300" s="93"/>
      <c r="S300" s="99"/>
      <c r="T300" s="99"/>
      <c r="U300" s="99"/>
      <c r="V300" s="99"/>
      <c r="W300" s="99"/>
      <c r="X300" s="99"/>
      <c r="Y300" s="99"/>
      <c r="Z300" s="99"/>
      <c r="AA300" s="99"/>
      <c r="AB300" s="99"/>
      <c r="AC300" s="98"/>
      <c r="AD300" s="98"/>
      <c r="AE300" s="98"/>
      <c r="AF300" s="98"/>
      <c r="AG300" s="98"/>
      <c r="AH300" s="98"/>
    </row>
    <row r="301" spans="2:34" x14ac:dyDescent="0.25">
      <c r="B301" s="73"/>
      <c r="C301" s="74"/>
      <c r="D301" s="80"/>
      <c r="E301" s="81"/>
      <c r="F301" s="81"/>
      <c r="G301" s="81"/>
      <c r="H301" s="81"/>
      <c r="I301" s="82"/>
      <c r="J301" s="88"/>
      <c r="K301" s="89"/>
      <c r="L301" s="88"/>
      <c r="M301" s="89"/>
      <c r="N301" s="80"/>
      <c r="O301" s="82"/>
      <c r="P301" s="94"/>
      <c r="Q301" s="95"/>
      <c r="S301" s="99"/>
      <c r="T301" s="99"/>
      <c r="U301" s="99"/>
      <c r="V301" s="99"/>
      <c r="W301" s="99"/>
      <c r="X301" s="99"/>
      <c r="Y301" s="99"/>
      <c r="Z301" s="99"/>
      <c r="AA301" s="99"/>
      <c r="AB301" s="99"/>
      <c r="AC301" s="98"/>
      <c r="AD301" s="98"/>
      <c r="AE301" s="98"/>
      <c r="AF301" s="98"/>
      <c r="AG301" s="98"/>
      <c r="AH301" s="98"/>
    </row>
    <row r="302" spans="2:34" x14ac:dyDescent="0.25">
      <c r="B302" s="75"/>
      <c r="C302" s="76"/>
      <c r="D302" s="83"/>
      <c r="E302" s="84"/>
      <c r="F302" s="84"/>
      <c r="G302" s="84"/>
      <c r="H302" s="84"/>
      <c r="I302" s="85"/>
      <c r="J302" s="90"/>
      <c r="K302" s="91"/>
      <c r="L302" s="90"/>
      <c r="M302" s="91"/>
      <c r="N302" s="83"/>
      <c r="O302" s="85"/>
      <c r="P302" s="96"/>
      <c r="Q302" s="97"/>
      <c r="S302" s="99"/>
      <c r="T302" s="99"/>
      <c r="U302" s="99"/>
      <c r="V302" s="99"/>
      <c r="W302" s="99"/>
      <c r="X302" s="99"/>
      <c r="Y302" s="99"/>
      <c r="Z302" s="99"/>
      <c r="AA302" s="99"/>
      <c r="AB302" s="99"/>
      <c r="AC302" s="98"/>
      <c r="AD302" s="98"/>
      <c r="AE302" s="98"/>
      <c r="AF302" s="98"/>
      <c r="AG302" s="98"/>
      <c r="AH302" s="98"/>
    </row>
    <row r="303" spans="2:34" x14ac:dyDescent="0.25">
      <c r="B303" s="71"/>
      <c r="C303" s="72"/>
      <c r="D303" s="77"/>
      <c r="E303" s="78"/>
      <c r="F303" s="78"/>
      <c r="G303" s="78"/>
      <c r="H303" s="78"/>
      <c r="I303" s="79"/>
      <c r="J303" s="86"/>
      <c r="K303" s="87"/>
      <c r="L303" s="86"/>
      <c r="M303" s="87"/>
      <c r="N303" s="77"/>
      <c r="O303" s="79"/>
      <c r="P303" s="92"/>
      <c r="Q303" s="93"/>
      <c r="S303" s="99"/>
      <c r="T303" s="99"/>
      <c r="U303" s="99"/>
      <c r="V303" s="99"/>
      <c r="W303" s="99"/>
      <c r="X303" s="99"/>
      <c r="Y303" s="99"/>
      <c r="Z303" s="99"/>
      <c r="AA303" s="99"/>
      <c r="AB303" s="99"/>
      <c r="AC303" s="98"/>
      <c r="AD303" s="98"/>
      <c r="AE303" s="98"/>
      <c r="AF303" s="98"/>
      <c r="AG303" s="98"/>
      <c r="AH303" s="98"/>
    </row>
    <row r="304" spans="2:34" x14ac:dyDescent="0.25">
      <c r="B304" s="73"/>
      <c r="C304" s="74"/>
      <c r="D304" s="80"/>
      <c r="E304" s="81"/>
      <c r="F304" s="81"/>
      <c r="G304" s="81"/>
      <c r="H304" s="81"/>
      <c r="I304" s="82"/>
      <c r="J304" s="88"/>
      <c r="K304" s="89"/>
      <c r="L304" s="88"/>
      <c r="M304" s="89"/>
      <c r="N304" s="80"/>
      <c r="O304" s="82"/>
      <c r="P304" s="94"/>
      <c r="Q304" s="95"/>
      <c r="S304" s="99"/>
      <c r="T304" s="99"/>
      <c r="U304" s="99"/>
      <c r="V304" s="99"/>
      <c r="W304" s="99"/>
      <c r="X304" s="99"/>
      <c r="Y304" s="99"/>
      <c r="Z304" s="99"/>
      <c r="AA304" s="99"/>
      <c r="AB304" s="99"/>
      <c r="AC304" s="98"/>
      <c r="AD304" s="98"/>
      <c r="AE304" s="98"/>
      <c r="AF304" s="98"/>
      <c r="AG304" s="98"/>
      <c r="AH304" s="98"/>
    </row>
    <row r="305" spans="2:34" x14ac:dyDescent="0.25">
      <c r="B305" s="75"/>
      <c r="C305" s="76"/>
      <c r="D305" s="83"/>
      <c r="E305" s="84"/>
      <c r="F305" s="84"/>
      <c r="G305" s="84"/>
      <c r="H305" s="84"/>
      <c r="I305" s="85"/>
      <c r="J305" s="90"/>
      <c r="K305" s="91"/>
      <c r="L305" s="90"/>
      <c r="M305" s="91"/>
      <c r="N305" s="83"/>
      <c r="O305" s="85"/>
      <c r="P305" s="96"/>
      <c r="Q305" s="97"/>
      <c r="S305" s="99"/>
      <c r="T305" s="99"/>
      <c r="U305" s="99"/>
      <c r="V305" s="99"/>
      <c r="W305" s="99"/>
      <c r="X305" s="99"/>
      <c r="Y305" s="99"/>
      <c r="Z305" s="99"/>
      <c r="AA305" s="99"/>
      <c r="AB305" s="99"/>
      <c r="AC305" s="98"/>
      <c r="AD305" s="98"/>
      <c r="AE305" s="98"/>
      <c r="AF305" s="98"/>
      <c r="AG305" s="98"/>
      <c r="AH305" s="98"/>
    </row>
    <row r="306" spans="2:34" x14ac:dyDescent="0.25">
      <c r="B306" s="71"/>
      <c r="C306" s="72"/>
      <c r="D306" s="77"/>
      <c r="E306" s="78"/>
      <c r="F306" s="78"/>
      <c r="G306" s="78"/>
      <c r="H306" s="78"/>
      <c r="I306" s="79"/>
      <c r="J306" s="86"/>
      <c r="K306" s="87"/>
      <c r="L306" s="86"/>
      <c r="M306" s="87"/>
      <c r="N306" s="77"/>
      <c r="O306" s="79"/>
      <c r="P306" s="92"/>
      <c r="Q306" s="93"/>
      <c r="S306" s="99"/>
      <c r="T306" s="99"/>
      <c r="U306" s="99"/>
      <c r="V306" s="99"/>
      <c r="W306" s="99"/>
      <c r="X306" s="99"/>
      <c r="Y306" s="99"/>
      <c r="Z306" s="99"/>
      <c r="AA306" s="99"/>
      <c r="AB306" s="99"/>
      <c r="AC306" s="98"/>
      <c r="AD306" s="98"/>
      <c r="AE306" s="98"/>
      <c r="AF306" s="98"/>
      <c r="AG306" s="98"/>
      <c r="AH306" s="98"/>
    </row>
    <row r="307" spans="2:34" x14ac:dyDescent="0.25">
      <c r="B307" s="73"/>
      <c r="C307" s="74"/>
      <c r="D307" s="80"/>
      <c r="E307" s="81"/>
      <c r="F307" s="81"/>
      <c r="G307" s="81"/>
      <c r="H307" s="81"/>
      <c r="I307" s="82"/>
      <c r="J307" s="88"/>
      <c r="K307" s="89"/>
      <c r="L307" s="88"/>
      <c r="M307" s="89"/>
      <c r="N307" s="80"/>
      <c r="O307" s="82"/>
      <c r="P307" s="94"/>
      <c r="Q307" s="95"/>
      <c r="S307" s="99"/>
      <c r="T307" s="99"/>
      <c r="U307" s="99"/>
      <c r="V307" s="99"/>
      <c r="W307" s="99"/>
      <c r="X307" s="99"/>
      <c r="Y307" s="99"/>
      <c r="Z307" s="99"/>
      <c r="AA307" s="99"/>
      <c r="AB307" s="99"/>
      <c r="AC307" s="98"/>
      <c r="AD307" s="98"/>
      <c r="AE307" s="98"/>
      <c r="AF307" s="98"/>
      <c r="AG307" s="98"/>
      <c r="AH307" s="98"/>
    </row>
    <row r="308" spans="2:34" x14ac:dyDescent="0.25">
      <c r="B308" s="75"/>
      <c r="C308" s="76"/>
      <c r="D308" s="83"/>
      <c r="E308" s="84"/>
      <c r="F308" s="84"/>
      <c r="G308" s="84"/>
      <c r="H308" s="84"/>
      <c r="I308" s="85"/>
      <c r="J308" s="90"/>
      <c r="K308" s="91"/>
      <c r="L308" s="90"/>
      <c r="M308" s="91"/>
      <c r="N308" s="83"/>
      <c r="O308" s="85"/>
      <c r="P308" s="96"/>
      <c r="Q308" s="97"/>
      <c r="S308" s="99"/>
      <c r="T308" s="99"/>
      <c r="U308" s="99"/>
      <c r="V308" s="99"/>
      <c r="W308" s="99"/>
      <c r="X308" s="99"/>
      <c r="Y308" s="99"/>
      <c r="Z308" s="99"/>
      <c r="AA308" s="99"/>
      <c r="AB308" s="99"/>
      <c r="AC308" s="98"/>
      <c r="AD308" s="98"/>
      <c r="AE308" s="98"/>
      <c r="AF308" s="98"/>
      <c r="AG308" s="98"/>
      <c r="AH308" s="98"/>
    </row>
    <row r="309" spans="2:34" x14ac:dyDescent="0.25">
      <c r="B309" s="71"/>
      <c r="C309" s="72"/>
      <c r="D309" s="77"/>
      <c r="E309" s="78"/>
      <c r="F309" s="78"/>
      <c r="G309" s="78"/>
      <c r="H309" s="78"/>
      <c r="I309" s="79"/>
      <c r="J309" s="86"/>
      <c r="K309" s="87"/>
      <c r="L309" s="86"/>
      <c r="M309" s="87"/>
      <c r="N309" s="77"/>
      <c r="O309" s="79"/>
      <c r="P309" s="92"/>
      <c r="Q309" s="93"/>
      <c r="S309" s="99"/>
      <c r="T309" s="99"/>
      <c r="U309" s="99"/>
      <c r="V309" s="99"/>
      <c r="W309" s="99"/>
      <c r="X309" s="99"/>
      <c r="Y309" s="99"/>
      <c r="Z309" s="99"/>
      <c r="AA309" s="99"/>
      <c r="AB309" s="99"/>
      <c r="AC309" s="98"/>
      <c r="AD309" s="98"/>
      <c r="AE309" s="98"/>
      <c r="AF309" s="98"/>
      <c r="AG309" s="98"/>
      <c r="AH309" s="98"/>
    </row>
    <row r="310" spans="2:34" x14ac:dyDescent="0.25">
      <c r="B310" s="73"/>
      <c r="C310" s="74"/>
      <c r="D310" s="80"/>
      <c r="E310" s="81"/>
      <c r="F310" s="81"/>
      <c r="G310" s="81"/>
      <c r="H310" s="81"/>
      <c r="I310" s="82"/>
      <c r="J310" s="88"/>
      <c r="K310" s="89"/>
      <c r="L310" s="88"/>
      <c r="M310" s="89"/>
      <c r="N310" s="80"/>
      <c r="O310" s="82"/>
      <c r="P310" s="94"/>
      <c r="Q310" s="95"/>
      <c r="S310" s="99"/>
      <c r="T310" s="99"/>
      <c r="U310" s="99"/>
      <c r="V310" s="99"/>
      <c r="W310" s="99"/>
      <c r="X310" s="99"/>
      <c r="Y310" s="99"/>
      <c r="Z310" s="99"/>
      <c r="AA310" s="99"/>
      <c r="AB310" s="99"/>
      <c r="AC310" s="98"/>
      <c r="AD310" s="98"/>
      <c r="AE310" s="98"/>
      <c r="AF310" s="98"/>
      <c r="AG310" s="98"/>
      <c r="AH310" s="98"/>
    </row>
    <row r="311" spans="2:34" x14ac:dyDescent="0.25">
      <c r="B311" s="75"/>
      <c r="C311" s="76"/>
      <c r="D311" s="83"/>
      <c r="E311" s="84"/>
      <c r="F311" s="84"/>
      <c r="G311" s="84"/>
      <c r="H311" s="84"/>
      <c r="I311" s="85"/>
      <c r="J311" s="90"/>
      <c r="K311" s="91"/>
      <c r="L311" s="90"/>
      <c r="M311" s="91"/>
      <c r="N311" s="83"/>
      <c r="O311" s="85"/>
      <c r="P311" s="96"/>
      <c r="Q311" s="97"/>
      <c r="S311" s="99"/>
      <c r="T311" s="99"/>
      <c r="U311" s="99"/>
      <c r="V311" s="99"/>
      <c r="W311" s="99"/>
      <c r="X311" s="99"/>
      <c r="Y311" s="99"/>
      <c r="Z311" s="99"/>
      <c r="AA311" s="99"/>
      <c r="AB311" s="99"/>
      <c r="AC311" s="98"/>
      <c r="AD311" s="98"/>
      <c r="AE311" s="98"/>
      <c r="AF311" s="98"/>
      <c r="AG311" s="98"/>
      <c r="AH311" s="98"/>
    </row>
    <row r="312" spans="2:34" x14ac:dyDescent="0.25">
      <c r="B312" s="71"/>
      <c r="C312" s="72"/>
      <c r="D312" s="77"/>
      <c r="E312" s="78"/>
      <c r="F312" s="78"/>
      <c r="G312" s="78"/>
      <c r="H312" s="78"/>
      <c r="I312" s="79"/>
      <c r="J312" s="86"/>
      <c r="K312" s="87"/>
      <c r="L312" s="86"/>
      <c r="M312" s="87"/>
      <c r="N312" s="77"/>
      <c r="O312" s="79"/>
      <c r="P312" s="92"/>
      <c r="Q312" s="93"/>
      <c r="S312" s="99"/>
      <c r="T312" s="99"/>
      <c r="U312" s="99"/>
      <c r="V312" s="99"/>
      <c r="W312" s="99"/>
      <c r="X312" s="99"/>
      <c r="Y312" s="99"/>
      <c r="Z312" s="99"/>
      <c r="AA312" s="99"/>
      <c r="AB312" s="99"/>
      <c r="AC312" s="98"/>
      <c r="AD312" s="98"/>
      <c r="AE312" s="98"/>
      <c r="AF312" s="98"/>
      <c r="AG312" s="98"/>
      <c r="AH312" s="98"/>
    </row>
    <row r="313" spans="2:34" x14ac:dyDescent="0.25">
      <c r="B313" s="73"/>
      <c r="C313" s="74"/>
      <c r="D313" s="80"/>
      <c r="E313" s="81"/>
      <c r="F313" s="81"/>
      <c r="G313" s="81"/>
      <c r="H313" s="81"/>
      <c r="I313" s="82"/>
      <c r="J313" s="88"/>
      <c r="K313" s="89"/>
      <c r="L313" s="88"/>
      <c r="M313" s="89"/>
      <c r="N313" s="80"/>
      <c r="O313" s="82"/>
      <c r="P313" s="94"/>
      <c r="Q313" s="95"/>
      <c r="S313" s="99"/>
      <c r="T313" s="99"/>
      <c r="U313" s="99"/>
      <c r="V313" s="99"/>
      <c r="W313" s="99"/>
      <c r="X313" s="99"/>
      <c r="Y313" s="99"/>
      <c r="Z313" s="99"/>
      <c r="AA313" s="99"/>
      <c r="AB313" s="99"/>
      <c r="AC313" s="98"/>
      <c r="AD313" s="98"/>
      <c r="AE313" s="98"/>
      <c r="AF313" s="98"/>
      <c r="AG313" s="98"/>
      <c r="AH313" s="98"/>
    </row>
    <row r="314" spans="2:34" x14ac:dyDescent="0.25">
      <c r="B314" s="75"/>
      <c r="C314" s="76"/>
      <c r="D314" s="83"/>
      <c r="E314" s="84"/>
      <c r="F314" s="84"/>
      <c r="G314" s="84"/>
      <c r="H314" s="84"/>
      <c r="I314" s="85"/>
      <c r="J314" s="90"/>
      <c r="K314" s="91"/>
      <c r="L314" s="90"/>
      <c r="M314" s="91"/>
      <c r="N314" s="83"/>
      <c r="O314" s="85"/>
      <c r="P314" s="96"/>
      <c r="Q314" s="97"/>
      <c r="S314" s="99"/>
      <c r="T314" s="99"/>
      <c r="U314" s="99"/>
      <c r="V314" s="99"/>
      <c r="W314" s="99"/>
      <c r="X314" s="99"/>
      <c r="Y314" s="99"/>
      <c r="Z314" s="99"/>
      <c r="AA314" s="99"/>
      <c r="AB314" s="99"/>
      <c r="AC314" s="98"/>
      <c r="AD314" s="98"/>
      <c r="AE314" s="98"/>
      <c r="AF314" s="98"/>
      <c r="AG314" s="98"/>
      <c r="AH314" s="98"/>
    </row>
    <row r="315" spans="2:34" x14ac:dyDescent="0.25">
      <c r="B315" s="71"/>
      <c r="C315" s="72"/>
      <c r="D315" s="77"/>
      <c r="E315" s="78"/>
      <c r="F315" s="78"/>
      <c r="G315" s="78"/>
      <c r="H315" s="78"/>
      <c r="I315" s="79"/>
      <c r="J315" s="86"/>
      <c r="K315" s="87"/>
      <c r="L315" s="86"/>
      <c r="M315" s="87"/>
      <c r="N315" s="77"/>
      <c r="O315" s="79"/>
      <c r="P315" s="92"/>
      <c r="Q315" s="93"/>
      <c r="S315" s="99"/>
      <c r="T315" s="99"/>
      <c r="U315" s="99"/>
      <c r="V315" s="99"/>
      <c r="W315" s="99"/>
      <c r="X315" s="99"/>
      <c r="Y315" s="99"/>
      <c r="Z315" s="99"/>
      <c r="AA315" s="99"/>
      <c r="AB315" s="99"/>
      <c r="AC315" s="98"/>
      <c r="AD315" s="98"/>
      <c r="AE315" s="98"/>
      <c r="AF315" s="98"/>
      <c r="AG315" s="98"/>
      <c r="AH315" s="98"/>
    </row>
    <row r="316" spans="2:34" x14ac:dyDescent="0.25">
      <c r="B316" s="73"/>
      <c r="C316" s="74"/>
      <c r="D316" s="80"/>
      <c r="E316" s="81"/>
      <c r="F316" s="81"/>
      <c r="G316" s="81"/>
      <c r="H316" s="81"/>
      <c r="I316" s="82"/>
      <c r="J316" s="88"/>
      <c r="K316" s="89"/>
      <c r="L316" s="88"/>
      <c r="M316" s="89"/>
      <c r="N316" s="80"/>
      <c r="O316" s="82"/>
      <c r="P316" s="94"/>
      <c r="Q316" s="95"/>
      <c r="S316" s="99"/>
      <c r="T316" s="99"/>
      <c r="U316" s="99"/>
      <c r="V316" s="99"/>
      <c r="W316" s="99"/>
      <c r="X316" s="99"/>
      <c r="Y316" s="99"/>
      <c r="Z316" s="99"/>
      <c r="AA316" s="99"/>
      <c r="AB316" s="99"/>
      <c r="AC316" s="98"/>
      <c r="AD316" s="98"/>
      <c r="AE316" s="98"/>
      <c r="AF316" s="98"/>
      <c r="AG316" s="98"/>
      <c r="AH316" s="98"/>
    </row>
    <row r="317" spans="2:34" x14ac:dyDescent="0.25">
      <c r="B317" s="75"/>
      <c r="C317" s="76"/>
      <c r="D317" s="83"/>
      <c r="E317" s="84"/>
      <c r="F317" s="84"/>
      <c r="G317" s="84"/>
      <c r="H317" s="84"/>
      <c r="I317" s="85"/>
      <c r="J317" s="90"/>
      <c r="K317" s="91"/>
      <c r="L317" s="90"/>
      <c r="M317" s="91"/>
      <c r="N317" s="83"/>
      <c r="O317" s="85"/>
      <c r="P317" s="96"/>
      <c r="Q317" s="97"/>
      <c r="S317" s="99"/>
      <c r="T317" s="99"/>
      <c r="U317" s="99"/>
      <c r="V317" s="99"/>
      <c r="W317" s="99"/>
      <c r="X317" s="99"/>
      <c r="Y317" s="99"/>
      <c r="Z317" s="99"/>
      <c r="AA317" s="99"/>
      <c r="AB317" s="99"/>
      <c r="AC317" s="98"/>
      <c r="AD317" s="98"/>
      <c r="AE317" s="98"/>
      <c r="AF317" s="98"/>
      <c r="AG317" s="98"/>
      <c r="AH317" s="98"/>
    </row>
    <row r="318" spans="2:34" x14ac:dyDescent="0.25">
      <c r="B318" s="71"/>
      <c r="C318" s="72"/>
      <c r="D318" s="77"/>
      <c r="E318" s="78"/>
      <c r="F318" s="78"/>
      <c r="G318" s="78"/>
      <c r="H318" s="78"/>
      <c r="I318" s="79"/>
      <c r="J318" s="86"/>
      <c r="K318" s="87"/>
      <c r="L318" s="86"/>
      <c r="M318" s="87"/>
      <c r="N318" s="77"/>
      <c r="O318" s="79"/>
      <c r="P318" s="92"/>
      <c r="Q318" s="93"/>
      <c r="S318" s="99"/>
      <c r="T318" s="99"/>
      <c r="U318" s="99"/>
      <c r="V318" s="99"/>
      <c r="W318" s="99"/>
      <c r="X318" s="99"/>
      <c r="Y318" s="99"/>
      <c r="Z318" s="99"/>
      <c r="AA318" s="99"/>
      <c r="AB318" s="99"/>
      <c r="AC318" s="98"/>
      <c r="AD318" s="98"/>
      <c r="AE318" s="98"/>
      <c r="AF318" s="98"/>
      <c r="AG318" s="98"/>
      <c r="AH318" s="98"/>
    </row>
    <row r="319" spans="2:34" x14ac:dyDescent="0.25">
      <c r="B319" s="73"/>
      <c r="C319" s="74"/>
      <c r="D319" s="80"/>
      <c r="E319" s="81"/>
      <c r="F319" s="81"/>
      <c r="G319" s="81"/>
      <c r="H319" s="81"/>
      <c r="I319" s="82"/>
      <c r="J319" s="88"/>
      <c r="K319" s="89"/>
      <c r="L319" s="88"/>
      <c r="M319" s="89"/>
      <c r="N319" s="80"/>
      <c r="O319" s="82"/>
      <c r="P319" s="94"/>
      <c r="Q319" s="95"/>
      <c r="S319" s="99"/>
      <c r="T319" s="99"/>
      <c r="U319" s="99"/>
      <c r="V319" s="99"/>
      <c r="W319" s="99"/>
      <c r="X319" s="99"/>
      <c r="Y319" s="99"/>
      <c r="Z319" s="99"/>
      <c r="AA319" s="99"/>
      <c r="AB319" s="99"/>
      <c r="AC319" s="98"/>
      <c r="AD319" s="98"/>
      <c r="AE319" s="98"/>
      <c r="AF319" s="98"/>
      <c r="AG319" s="98"/>
      <c r="AH319" s="98"/>
    </row>
    <row r="320" spans="2:34" x14ac:dyDescent="0.25">
      <c r="B320" s="75"/>
      <c r="C320" s="76"/>
      <c r="D320" s="83"/>
      <c r="E320" s="84"/>
      <c r="F320" s="84"/>
      <c r="G320" s="84"/>
      <c r="H320" s="84"/>
      <c r="I320" s="85"/>
      <c r="J320" s="90"/>
      <c r="K320" s="91"/>
      <c r="L320" s="90"/>
      <c r="M320" s="91"/>
      <c r="N320" s="83"/>
      <c r="O320" s="85"/>
      <c r="P320" s="96"/>
      <c r="Q320" s="97"/>
      <c r="S320" s="99"/>
      <c r="T320" s="99"/>
      <c r="U320" s="99"/>
      <c r="V320" s="99"/>
      <c r="W320" s="99"/>
      <c r="X320" s="99"/>
      <c r="Y320" s="99"/>
      <c r="Z320" s="99"/>
      <c r="AA320" s="99"/>
      <c r="AB320" s="99"/>
      <c r="AC320" s="98"/>
      <c r="AD320" s="98"/>
      <c r="AE320" s="98"/>
      <c r="AF320" s="98"/>
      <c r="AG320" s="98"/>
      <c r="AH320" s="98"/>
    </row>
    <row r="321" spans="2:34" x14ac:dyDescent="0.25">
      <c r="B321" s="71"/>
      <c r="C321" s="72"/>
      <c r="D321" s="77"/>
      <c r="E321" s="78"/>
      <c r="F321" s="78"/>
      <c r="G321" s="78"/>
      <c r="H321" s="78"/>
      <c r="I321" s="79"/>
      <c r="J321" s="86"/>
      <c r="K321" s="87"/>
      <c r="L321" s="86"/>
      <c r="M321" s="87"/>
      <c r="N321" s="77"/>
      <c r="O321" s="79"/>
      <c r="P321" s="92"/>
      <c r="Q321" s="93"/>
      <c r="S321" s="99"/>
      <c r="T321" s="99"/>
      <c r="U321" s="99"/>
      <c r="V321" s="99"/>
      <c r="W321" s="99"/>
      <c r="X321" s="99"/>
      <c r="Y321" s="99"/>
      <c r="Z321" s="99"/>
      <c r="AA321" s="99"/>
      <c r="AB321" s="99"/>
      <c r="AC321" s="98"/>
      <c r="AD321" s="98"/>
      <c r="AE321" s="98"/>
      <c r="AF321" s="98"/>
      <c r="AG321" s="98"/>
      <c r="AH321" s="98"/>
    </row>
    <row r="322" spans="2:34" x14ac:dyDescent="0.25">
      <c r="B322" s="73"/>
      <c r="C322" s="74"/>
      <c r="D322" s="80"/>
      <c r="E322" s="81"/>
      <c r="F322" s="81"/>
      <c r="G322" s="81"/>
      <c r="H322" s="81"/>
      <c r="I322" s="82"/>
      <c r="J322" s="88"/>
      <c r="K322" s="89"/>
      <c r="L322" s="88"/>
      <c r="M322" s="89"/>
      <c r="N322" s="80"/>
      <c r="O322" s="82"/>
      <c r="P322" s="94"/>
      <c r="Q322" s="95"/>
      <c r="S322" s="99"/>
      <c r="T322" s="99"/>
      <c r="U322" s="99"/>
      <c r="V322" s="99"/>
      <c r="W322" s="99"/>
      <c r="X322" s="99"/>
      <c r="Y322" s="99"/>
      <c r="Z322" s="99"/>
      <c r="AA322" s="99"/>
      <c r="AB322" s="99"/>
      <c r="AC322" s="98"/>
      <c r="AD322" s="98"/>
      <c r="AE322" s="98"/>
      <c r="AF322" s="98"/>
      <c r="AG322" s="98"/>
      <c r="AH322" s="98"/>
    </row>
    <row r="323" spans="2:34" x14ac:dyDescent="0.25">
      <c r="B323" s="75"/>
      <c r="C323" s="76"/>
      <c r="D323" s="83"/>
      <c r="E323" s="84"/>
      <c r="F323" s="84"/>
      <c r="G323" s="84"/>
      <c r="H323" s="84"/>
      <c r="I323" s="85"/>
      <c r="J323" s="90"/>
      <c r="K323" s="91"/>
      <c r="L323" s="90"/>
      <c r="M323" s="91"/>
      <c r="N323" s="83"/>
      <c r="O323" s="85"/>
      <c r="P323" s="96"/>
      <c r="Q323" s="97"/>
      <c r="S323" s="99"/>
      <c r="T323" s="99"/>
      <c r="U323" s="99"/>
      <c r="V323" s="99"/>
      <c r="W323" s="99"/>
      <c r="X323" s="99"/>
      <c r="Y323" s="99"/>
      <c r="Z323" s="99"/>
      <c r="AA323" s="99"/>
      <c r="AB323" s="99"/>
      <c r="AC323" s="98"/>
      <c r="AD323" s="98"/>
      <c r="AE323" s="98"/>
      <c r="AF323" s="98"/>
      <c r="AG323" s="98"/>
      <c r="AH323" s="98"/>
    </row>
    <row r="324" spans="2:34" x14ac:dyDescent="0.25">
      <c r="B324" s="71"/>
      <c r="C324" s="72"/>
      <c r="D324" s="77"/>
      <c r="E324" s="78"/>
      <c r="F324" s="78"/>
      <c r="G324" s="78"/>
      <c r="H324" s="78"/>
      <c r="I324" s="79"/>
      <c r="J324" s="86"/>
      <c r="K324" s="87"/>
      <c r="L324" s="86"/>
      <c r="M324" s="87"/>
      <c r="N324" s="77"/>
      <c r="O324" s="79"/>
      <c r="P324" s="92"/>
      <c r="Q324" s="93"/>
      <c r="S324" s="99"/>
      <c r="T324" s="99"/>
      <c r="U324" s="99"/>
      <c r="V324" s="99"/>
      <c r="W324" s="99"/>
      <c r="X324" s="99"/>
      <c r="Y324" s="99"/>
      <c r="Z324" s="99"/>
      <c r="AA324" s="99"/>
      <c r="AB324" s="99"/>
      <c r="AC324" s="98"/>
      <c r="AD324" s="98"/>
      <c r="AE324" s="98"/>
      <c r="AF324" s="98"/>
      <c r="AG324" s="98"/>
      <c r="AH324" s="98"/>
    </row>
    <row r="325" spans="2:34" x14ac:dyDescent="0.25">
      <c r="B325" s="73"/>
      <c r="C325" s="74"/>
      <c r="D325" s="80"/>
      <c r="E325" s="81"/>
      <c r="F325" s="81"/>
      <c r="G325" s="81"/>
      <c r="H325" s="81"/>
      <c r="I325" s="82"/>
      <c r="J325" s="88"/>
      <c r="K325" s="89"/>
      <c r="L325" s="88"/>
      <c r="M325" s="89"/>
      <c r="N325" s="80"/>
      <c r="O325" s="82"/>
      <c r="P325" s="94"/>
      <c r="Q325" s="95"/>
      <c r="S325" s="99"/>
      <c r="T325" s="99"/>
      <c r="U325" s="99"/>
      <c r="V325" s="99"/>
      <c r="W325" s="99"/>
      <c r="X325" s="99"/>
      <c r="Y325" s="99"/>
      <c r="Z325" s="99"/>
      <c r="AA325" s="99"/>
      <c r="AB325" s="99"/>
      <c r="AC325" s="98"/>
      <c r="AD325" s="98"/>
      <c r="AE325" s="98"/>
      <c r="AF325" s="98"/>
      <c r="AG325" s="98"/>
      <c r="AH325" s="98"/>
    </row>
    <row r="326" spans="2:34" x14ac:dyDescent="0.25">
      <c r="B326" s="75"/>
      <c r="C326" s="76"/>
      <c r="D326" s="83"/>
      <c r="E326" s="84"/>
      <c r="F326" s="84"/>
      <c r="G326" s="84"/>
      <c r="H326" s="84"/>
      <c r="I326" s="85"/>
      <c r="J326" s="90"/>
      <c r="K326" s="91"/>
      <c r="L326" s="90"/>
      <c r="M326" s="91"/>
      <c r="N326" s="83"/>
      <c r="O326" s="85"/>
      <c r="P326" s="96"/>
      <c r="Q326" s="97"/>
      <c r="S326" s="99"/>
      <c r="T326" s="99"/>
      <c r="U326" s="99"/>
      <c r="V326" s="99"/>
      <c r="W326" s="99"/>
      <c r="X326" s="99"/>
      <c r="Y326" s="99"/>
      <c r="Z326" s="99"/>
      <c r="AA326" s="99"/>
      <c r="AB326" s="99"/>
      <c r="AC326" s="98"/>
      <c r="AD326" s="98"/>
      <c r="AE326" s="98"/>
      <c r="AF326" s="98"/>
      <c r="AG326" s="98"/>
      <c r="AH326" s="98"/>
    </row>
    <row r="327" spans="2:34" x14ac:dyDescent="0.25">
      <c r="B327" s="71"/>
      <c r="C327" s="72"/>
      <c r="D327" s="77"/>
      <c r="E327" s="78"/>
      <c r="F327" s="78"/>
      <c r="G327" s="78"/>
      <c r="H327" s="78"/>
      <c r="I327" s="79"/>
      <c r="J327" s="86"/>
      <c r="K327" s="87"/>
      <c r="L327" s="86"/>
      <c r="M327" s="87"/>
      <c r="N327" s="77"/>
      <c r="O327" s="79"/>
      <c r="P327" s="92"/>
      <c r="Q327" s="93"/>
      <c r="S327" s="99"/>
      <c r="T327" s="99"/>
      <c r="U327" s="99"/>
      <c r="V327" s="99"/>
      <c r="W327" s="99"/>
      <c r="X327" s="99"/>
      <c r="Y327" s="99"/>
      <c r="Z327" s="99"/>
      <c r="AA327" s="99"/>
      <c r="AB327" s="99"/>
      <c r="AC327" s="98"/>
      <c r="AD327" s="98"/>
      <c r="AE327" s="98"/>
      <c r="AF327" s="98"/>
      <c r="AG327" s="98"/>
      <c r="AH327" s="98"/>
    </row>
    <row r="328" spans="2:34" x14ac:dyDescent="0.25">
      <c r="B328" s="73"/>
      <c r="C328" s="74"/>
      <c r="D328" s="80"/>
      <c r="E328" s="81"/>
      <c r="F328" s="81"/>
      <c r="G328" s="81"/>
      <c r="H328" s="81"/>
      <c r="I328" s="82"/>
      <c r="J328" s="88"/>
      <c r="K328" s="89"/>
      <c r="L328" s="88"/>
      <c r="M328" s="89"/>
      <c r="N328" s="80"/>
      <c r="O328" s="82"/>
      <c r="P328" s="94"/>
      <c r="Q328" s="95"/>
      <c r="S328" s="99"/>
      <c r="T328" s="99"/>
      <c r="U328" s="99"/>
      <c r="V328" s="99"/>
      <c r="W328" s="99"/>
      <c r="X328" s="99"/>
      <c r="Y328" s="99"/>
      <c r="Z328" s="99"/>
      <c r="AA328" s="99"/>
      <c r="AB328" s="99"/>
      <c r="AC328" s="98"/>
      <c r="AD328" s="98"/>
      <c r="AE328" s="98"/>
      <c r="AF328" s="98"/>
      <c r="AG328" s="98"/>
      <c r="AH328" s="98"/>
    </row>
    <row r="329" spans="2:34" x14ac:dyDescent="0.25">
      <c r="B329" s="75"/>
      <c r="C329" s="76"/>
      <c r="D329" s="83"/>
      <c r="E329" s="84"/>
      <c r="F329" s="84"/>
      <c r="G329" s="84"/>
      <c r="H329" s="84"/>
      <c r="I329" s="85"/>
      <c r="J329" s="90"/>
      <c r="K329" s="91"/>
      <c r="L329" s="90"/>
      <c r="M329" s="91"/>
      <c r="N329" s="83"/>
      <c r="O329" s="85"/>
      <c r="P329" s="96"/>
      <c r="Q329" s="97"/>
      <c r="S329" s="99"/>
      <c r="T329" s="99"/>
      <c r="U329" s="99"/>
      <c r="V329" s="99"/>
      <c r="W329" s="99"/>
      <c r="X329" s="99"/>
      <c r="Y329" s="99"/>
      <c r="Z329" s="99"/>
      <c r="AA329" s="99"/>
      <c r="AB329" s="99"/>
      <c r="AC329" s="98"/>
      <c r="AD329" s="98"/>
      <c r="AE329" s="98"/>
      <c r="AF329" s="98"/>
      <c r="AG329" s="98"/>
      <c r="AH329" s="98"/>
    </row>
    <row r="330" spans="2:34" x14ac:dyDescent="0.25">
      <c r="B330" s="71"/>
      <c r="C330" s="72"/>
      <c r="D330" s="77"/>
      <c r="E330" s="78"/>
      <c r="F330" s="78"/>
      <c r="G330" s="78"/>
      <c r="H330" s="78"/>
      <c r="I330" s="79"/>
      <c r="J330" s="86"/>
      <c r="K330" s="87"/>
      <c r="L330" s="86"/>
      <c r="M330" s="87"/>
      <c r="N330" s="77"/>
      <c r="O330" s="79"/>
      <c r="P330" s="92"/>
      <c r="Q330" s="93"/>
      <c r="S330" s="99"/>
      <c r="T330" s="99"/>
      <c r="U330" s="99"/>
      <c r="V330" s="99"/>
      <c r="W330" s="99"/>
      <c r="X330" s="99"/>
      <c r="Y330" s="99"/>
      <c r="Z330" s="99"/>
      <c r="AA330" s="99"/>
      <c r="AB330" s="99"/>
      <c r="AC330" s="98"/>
      <c r="AD330" s="98"/>
      <c r="AE330" s="98"/>
      <c r="AF330" s="98"/>
      <c r="AG330" s="98"/>
      <c r="AH330" s="98"/>
    </row>
    <row r="331" spans="2:34" x14ac:dyDescent="0.25">
      <c r="B331" s="73"/>
      <c r="C331" s="74"/>
      <c r="D331" s="80"/>
      <c r="E331" s="81"/>
      <c r="F331" s="81"/>
      <c r="G331" s="81"/>
      <c r="H331" s="81"/>
      <c r="I331" s="82"/>
      <c r="J331" s="88"/>
      <c r="K331" s="89"/>
      <c r="L331" s="88"/>
      <c r="M331" s="89"/>
      <c r="N331" s="80"/>
      <c r="O331" s="82"/>
      <c r="P331" s="94"/>
      <c r="Q331" s="95"/>
      <c r="S331" s="99"/>
      <c r="T331" s="99"/>
      <c r="U331" s="99"/>
      <c r="V331" s="99"/>
      <c r="W331" s="99"/>
      <c r="X331" s="99"/>
      <c r="Y331" s="99"/>
      <c r="Z331" s="99"/>
      <c r="AA331" s="99"/>
      <c r="AB331" s="99"/>
      <c r="AC331" s="98"/>
      <c r="AD331" s="98"/>
      <c r="AE331" s="98"/>
      <c r="AF331" s="98"/>
      <c r="AG331" s="98"/>
      <c r="AH331" s="98"/>
    </row>
    <row r="332" spans="2:34" x14ac:dyDescent="0.25">
      <c r="B332" s="75"/>
      <c r="C332" s="76"/>
      <c r="D332" s="83"/>
      <c r="E332" s="84"/>
      <c r="F332" s="84"/>
      <c r="G332" s="84"/>
      <c r="H332" s="84"/>
      <c r="I332" s="85"/>
      <c r="J332" s="90"/>
      <c r="K332" s="91"/>
      <c r="L332" s="90"/>
      <c r="M332" s="91"/>
      <c r="N332" s="83"/>
      <c r="O332" s="85"/>
      <c r="P332" s="96"/>
      <c r="Q332" s="97"/>
      <c r="S332" s="99"/>
      <c r="T332" s="99"/>
      <c r="U332" s="99"/>
      <c r="V332" s="99"/>
      <c r="W332" s="99"/>
      <c r="X332" s="99"/>
      <c r="Y332" s="99"/>
      <c r="Z332" s="99"/>
      <c r="AA332" s="99"/>
      <c r="AB332" s="99"/>
      <c r="AC332" s="98"/>
      <c r="AD332" s="98"/>
      <c r="AE332" s="98"/>
      <c r="AF332" s="98"/>
      <c r="AG332" s="98"/>
      <c r="AH332" s="98"/>
    </row>
    <row r="333" spans="2:34" x14ac:dyDescent="0.25">
      <c r="B333" s="71"/>
      <c r="C333" s="72"/>
      <c r="D333" s="77"/>
      <c r="E333" s="78"/>
      <c r="F333" s="78"/>
      <c r="G333" s="78"/>
      <c r="H333" s="78"/>
      <c r="I333" s="79"/>
      <c r="J333" s="86"/>
      <c r="K333" s="87"/>
      <c r="L333" s="86"/>
      <c r="M333" s="87"/>
      <c r="N333" s="77"/>
      <c r="O333" s="79"/>
      <c r="P333" s="92"/>
      <c r="Q333" s="93"/>
      <c r="S333" s="99"/>
      <c r="T333" s="99"/>
      <c r="U333" s="99"/>
      <c r="V333" s="99"/>
      <c r="W333" s="99"/>
      <c r="X333" s="99"/>
      <c r="Y333" s="99"/>
      <c r="Z333" s="99"/>
      <c r="AA333" s="99"/>
      <c r="AB333" s="99"/>
      <c r="AC333" s="98"/>
      <c r="AD333" s="98"/>
      <c r="AE333" s="98"/>
      <c r="AF333" s="98"/>
      <c r="AG333" s="98"/>
      <c r="AH333" s="98"/>
    </row>
    <row r="334" spans="2:34" x14ac:dyDescent="0.25">
      <c r="B334" s="73"/>
      <c r="C334" s="74"/>
      <c r="D334" s="80"/>
      <c r="E334" s="81"/>
      <c r="F334" s="81"/>
      <c r="G334" s="81"/>
      <c r="H334" s="81"/>
      <c r="I334" s="82"/>
      <c r="J334" s="88"/>
      <c r="K334" s="89"/>
      <c r="L334" s="88"/>
      <c r="M334" s="89"/>
      <c r="N334" s="80"/>
      <c r="O334" s="82"/>
      <c r="P334" s="94"/>
      <c r="Q334" s="95"/>
      <c r="S334" s="99"/>
      <c r="T334" s="99"/>
      <c r="U334" s="99"/>
      <c r="V334" s="99"/>
      <c r="W334" s="99"/>
      <c r="X334" s="99"/>
      <c r="Y334" s="99"/>
      <c r="Z334" s="99"/>
      <c r="AA334" s="99"/>
      <c r="AB334" s="99"/>
      <c r="AC334" s="98"/>
      <c r="AD334" s="98"/>
      <c r="AE334" s="98"/>
      <c r="AF334" s="98"/>
      <c r="AG334" s="98"/>
      <c r="AH334" s="98"/>
    </row>
    <row r="335" spans="2:34" x14ac:dyDescent="0.25">
      <c r="B335" s="75"/>
      <c r="C335" s="76"/>
      <c r="D335" s="83"/>
      <c r="E335" s="84"/>
      <c r="F335" s="84"/>
      <c r="G335" s="84"/>
      <c r="H335" s="84"/>
      <c r="I335" s="85"/>
      <c r="J335" s="90"/>
      <c r="K335" s="91"/>
      <c r="L335" s="90"/>
      <c r="M335" s="91"/>
      <c r="N335" s="83"/>
      <c r="O335" s="85"/>
      <c r="P335" s="96"/>
      <c r="Q335" s="97"/>
      <c r="S335" s="99"/>
      <c r="T335" s="99"/>
      <c r="U335" s="99"/>
      <c r="V335" s="99"/>
      <c r="W335" s="99"/>
      <c r="X335" s="99"/>
      <c r="Y335" s="99"/>
      <c r="Z335" s="99"/>
      <c r="AA335" s="99"/>
      <c r="AB335" s="99"/>
      <c r="AC335" s="98"/>
      <c r="AD335" s="98"/>
      <c r="AE335" s="98"/>
      <c r="AF335" s="98"/>
      <c r="AG335" s="98"/>
      <c r="AH335" s="98"/>
    </row>
    <row r="336" spans="2:34" x14ac:dyDescent="0.25">
      <c r="B336" s="71"/>
      <c r="C336" s="72"/>
      <c r="D336" s="77"/>
      <c r="E336" s="78"/>
      <c r="F336" s="78"/>
      <c r="G336" s="78"/>
      <c r="H336" s="78"/>
      <c r="I336" s="79"/>
      <c r="J336" s="86"/>
      <c r="K336" s="87"/>
      <c r="L336" s="86"/>
      <c r="M336" s="87"/>
      <c r="N336" s="77"/>
      <c r="O336" s="79"/>
      <c r="P336" s="92"/>
      <c r="Q336" s="93"/>
      <c r="S336" s="99"/>
      <c r="T336" s="99"/>
      <c r="U336" s="99"/>
      <c r="V336" s="99"/>
      <c r="W336" s="99"/>
      <c r="X336" s="99"/>
      <c r="Y336" s="99"/>
      <c r="Z336" s="99"/>
      <c r="AA336" s="99"/>
      <c r="AB336" s="99"/>
      <c r="AC336" s="98"/>
      <c r="AD336" s="98"/>
      <c r="AE336" s="98"/>
      <c r="AF336" s="98"/>
      <c r="AG336" s="98"/>
      <c r="AH336" s="98"/>
    </row>
    <row r="337" spans="2:34" x14ac:dyDescent="0.25">
      <c r="B337" s="73"/>
      <c r="C337" s="74"/>
      <c r="D337" s="80"/>
      <c r="E337" s="81"/>
      <c r="F337" s="81"/>
      <c r="G337" s="81"/>
      <c r="H337" s="81"/>
      <c r="I337" s="82"/>
      <c r="J337" s="88"/>
      <c r="K337" s="89"/>
      <c r="L337" s="88"/>
      <c r="M337" s="89"/>
      <c r="N337" s="80"/>
      <c r="O337" s="82"/>
      <c r="P337" s="94"/>
      <c r="Q337" s="95"/>
      <c r="S337" s="99"/>
      <c r="T337" s="99"/>
      <c r="U337" s="99"/>
      <c r="V337" s="99"/>
      <c r="W337" s="99"/>
      <c r="X337" s="99"/>
      <c r="Y337" s="99"/>
      <c r="Z337" s="99"/>
      <c r="AA337" s="99"/>
      <c r="AB337" s="99"/>
      <c r="AC337" s="98"/>
      <c r="AD337" s="98"/>
      <c r="AE337" s="98"/>
      <c r="AF337" s="98"/>
      <c r="AG337" s="98"/>
      <c r="AH337" s="98"/>
    </row>
    <row r="338" spans="2:34" x14ac:dyDescent="0.25">
      <c r="B338" s="75"/>
      <c r="C338" s="76"/>
      <c r="D338" s="83"/>
      <c r="E338" s="84"/>
      <c r="F338" s="84"/>
      <c r="G338" s="84"/>
      <c r="H338" s="84"/>
      <c r="I338" s="85"/>
      <c r="J338" s="90"/>
      <c r="K338" s="91"/>
      <c r="L338" s="90"/>
      <c r="M338" s="91"/>
      <c r="N338" s="83"/>
      <c r="O338" s="85"/>
      <c r="P338" s="96"/>
      <c r="Q338" s="97"/>
      <c r="S338" s="99"/>
      <c r="T338" s="99"/>
      <c r="U338" s="99"/>
      <c r="V338" s="99"/>
      <c r="W338" s="99"/>
      <c r="X338" s="99"/>
      <c r="Y338" s="99"/>
      <c r="Z338" s="99"/>
      <c r="AA338" s="99"/>
      <c r="AB338" s="99"/>
      <c r="AC338" s="98"/>
      <c r="AD338" s="98"/>
      <c r="AE338" s="98"/>
      <c r="AF338" s="98"/>
      <c r="AG338" s="98"/>
      <c r="AH338" s="98"/>
    </row>
    <row r="339" spans="2:34" x14ac:dyDescent="0.25">
      <c r="B339" s="71"/>
      <c r="C339" s="72"/>
      <c r="D339" s="77"/>
      <c r="E339" s="78"/>
      <c r="F339" s="78"/>
      <c r="G339" s="78"/>
      <c r="H339" s="78"/>
      <c r="I339" s="79"/>
      <c r="J339" s="86"/>
      <c r="K339" s="87"/>
      <c r="L339" s="86"/>
      <c r="M339" s="87"/>
      <c r="N339" s="77"/>
      <c r="O339" s="79"/>
      <c r="P339" s="92"/>
      <c r="Q339" s="93"/>
      <c r="S339" s="99"/>
      <c r="T339" s="99"/>
      <c r="U339" s="99"/>
      <c r="V339" s="99"/>
      <c r="W339" s="99"/>
      <c r="X339" s="99"/>
      <c r="Y339" s="99"/>
      <c r="Z339" s="99"/>
      <c r="AA339" s="99"/>
      <c r="AB339" s="99"/>
      <c r="AC339" s="98"/>
      <c r="AD339" s="98"/>
      <c r="AE339" s="98"/>
      <c r="AF339" s="98"/>
      <c r="AG339" s="98"/>
      <c r="AH339" s="98"/>
    </row>
    <row r="340" spans="2:34" x14ac:dyDescent="0.25">
      <c r="B340" s="73"/>
      <c r="C340" s="74"/>
      <c r="D340" s="80"/>
      <c r="E340" s="81"/>
      <c r="F340" s="81"/>
      <c r="G340" s="81"/>
      <c r="H340" s="81"/>
      <c r="I340" s="82"/>
      <c r="J340" s="88"/>
      <c r="K340" s="89"/>
      <c r="L340" s="88"/>
      <c r="M340" s="89"/>
      <c r="N340" s="80"/>
      <c r="O340" s="82"/>
      <c r="P340" s="94"/>
      <c r="Q340" s="95"/>
      <c r="S340" s="99"/>
      <c r="T340" s="99"/>
      <c r="U340" s="99"/>
      <c r="V340" s="99"/>
      <c r="W340" s="99"/>
      <c r="X340" s="99"/>
      <c r="Y340" s="99"/>
      <c r="Z340" s="99"/>
      <c r="AA340" s="99"/>
      <c r="AB340" s="99"/>
      <c r="AC340" s="98"/>
      <c r="AD340" s="98"/>
      <c r="AE340" s="98"/>
      <c r="AF340" s="98"/>
      <c r="AG340" s="98"/>
      <c r="AH340" s="98"/>
    </row>
    <row r="341" spans="2:34" x14ac:dyDescent="0.25">
      <c r="B341" s="75"/>
      <c r="C341" s="76"/>
      <c r="D341" s="83"/>
      <c r="E341" s="84"/>
      <c r="F341" s="84"/>
      <c r="G341" s="84"/>
      <c r="H341" s="84"/>
      <c r="I341" s="85"/>
      <c r="J341" s="90"/>
      <c r="K341" s="91"/>
      <c r="L341" s="90"/>
      <c r="M341" s="91"/>
      <c r="N341" s="83"/>
      <c r="O341" s="85"/>
      <c r="P341" s="96"/>
      <c r="Q341" s="97"/>
      <c r="S341" s="99"/>
      <c r="T341" s="99"/>
      <c r="U341" s="99"/>
      <c r="V341" s="99"/>
      <c r="W341" s="99"/>
      <c r="X341" s="99"/>
      <c r="Y341" s="99"/>
      <c r="Z341" s="99"/>
      <c r="AA341" s="99"/>
      <c r="AB341" s="99"/>
      <c r="AC341" s="98"/>
      <c r="AD341" s="98"/>
      <c r="AE341" s="98"/>
      <c r="AF341" s="98"/>
      <c r="AG341" s="98"/>
      <c r="AH341" s="98"/>
    </row>
    <row r="342" spans="2:34" x14ac:dyDescent="0.25">
      <c r="B342" s="71"/>
      <c r="C342" s="72"/>
      <c r="D342" s="77"/>
      <c r="E342" s="78"/>
      <c r="F342" s="78"/>
      <c r="G342" s="78"/>
      <c r="H342" s="78"/>
      <c r="I342" s="79"/>
      <c r="J342" s="86"/>
      <c r="K342" s="87"/>
      <c r="L342" s="86"/>
      <c r="M342" s="87"/>
      <c r="N342" s="77"/>
      <c r="O342" s="79"/>
      <c r="P342" s="92"/>
      <c r="Q342" s="93"/>
      <c r="S342" s="99"/>
      <c r="T342" s="99"/>
      <c r="U342" s="99"/>
      <c r="V342" s="99"/>
      <c r="W342" s="99"/>
      <c r="X342" s="99"/>
      <c r="Y342" s="99"/>
      <c r="Z342" s="99"/>
      <c r="AA342" s="99"/>
      <c r="AB342" s="99"/>
      <c r="AC342" s="98"/>
      <c r="AD342" s="98"/>
      <c r="AE342" s="98"/>
      <c r="AF342" s="98"/>
      <c r="AG342" s="98"/>
      <c r="AH342" s="98"/>
    </row>
    <row r="343" spans="2:34" x14ac:dyDescent="0.25">
      <c r="B343" s="73"/>
      <c r="C343" s="74"/>
      <c r="D343" s="80"/>
      <c r="E343" s="81"/>
      <c r="F343" s="81"/>
      <c r="G343" s="81"/>
      <c r="H343" s="81"/>
      <c r="I343" s="82"/>
      <c r="J343" s="88"/>
      <c r="K343" s="89"/>
      <c r="L343" s="88"/>
      <c r="M343" s="89"/>
      <c r="N343" s="80"/>
      <c r="O343" s="82"/>
      <c r="P343" s="94"/>
      <c r="Q343" s="95"/>
      <c r="S343" s="99"/>
      <c r="T343" s="99"/>
      <c r="U343" s="99"/>
      <c r="V343" s="99"/>
      <c r="W343" s="99"/>
      <c r="X343" s="99"/>
      <c r="Y343" s="99"/>
      <c r="Z343" s="99"/>
      <c r="AA343" s="99"/>
      <c r="AB343" s="99"/>
      <c r="AC343" s="98"/>
      <c r="AD343" s="98"/>
      <c r="AE343" s="98"/>
      <c r="AF343" s="98"/>
      <c r="AG343" s="98"/>
      <c r="AH343" s="98"/>
    </row>
    <row r="344" spans="2:34" x14ac:dyDescent="0.25">
      <c r="B344" s="75"/>
      <c r="C344" s="76"/>
      <c r="D344" s="83"/>
      <c r="E344" s="84"/>
      <c r="F344" s="84"/>
      <c r="G344" s="84"/>
      <c r="H344" s="84"/>
      <c r="I344" s="85"/>
      <c r="J344" s="90"/>
      <c r="K344" s="91"/>
      <c r="L344" s="90"/>
      <c r="M344" s="91"/>
      <c r="N344" s="83"/>
      <c r="O344" s="85"/>
      <c r="P344" s="96"/>
      <c r="Q344" s="97"/>
      <c r="S344" s="99"/>
      <c r="T344" s="99"/>
      <c r="U344" s="99"/>
      <c r="V344" s="99"/>
      <c r="W344" s="99"/>
      <c r="X344" s="99"/>
      <c r="Y344" s="99"/>
      <c r="Z344" s="99"/>
      <c r="AA344" s="99"/>
      <c r="AB344" s="99"/>
      <c r="AC344" s="98"/>
      <c r="AD344" s="98"/>
      <c r="AE344" s="98"/>
      <c r="AF344" s="98"/>
      <c r="AG344" s="98"/>
      <c r="AH344" s="98"/>
    </row>
    <row r="345" spans="2:34" x14ac:dyDescent="0.25">
      <c r="B345" s="71"/>
      <c r="C345" s="72"/>
      <c r="D345" s="77"/>
      <c r="E345" s="78"/>
      <c r="F345" s="78"/>
      <c r="G345" s="78"/>
      <c r="H345" s="78"/>
      <c r="I345" s="79"/>
      <c r="J345" s="86"/>
      <c r="K345" s="87"/>
      <c r="L345" s="86"/>
      <c r="M345" s="87"/>
      <c r="N345" s="77"/>
      <c r="O345" s="79"/>
      <c r="P345" s="92"/>
      <c r="Q345" s="93"/>
      <c r="S345" s="99"/>
      <c r="T345" s="99"/>
      <c r="U345" s="99"/>
      <c r="V345" s="99"/>
      <c r="W345" s="99"/>
      <c r="X345" s="99"/>
      <c r="Y345" s="99"/>
      <c r="Z345" s="99"/>
      <c r="AA345" s="99"/>
      <c r="AB345" s="99"/>
      <c r="AC345" s="98"/>
      <c r="AD345" s="98"/>
      <c r="AE345" s="98"/>
      <c r="AF345" s="98"/>
      <c r="AG345" s="98"/>
      <c r="AH345" s="98"/>
    </row>
    <row r="346" spans="2:34" x14ac:dyDescent="0.25">
      <c r="B346" s="73"/>
      <c r="C346" s="74"/>
      <c r="D346" s="80"/>
      <c r="E346" s="81"/>
      <c r="F346" s="81"/>
      <c r="G346" s="81"/>
      <c r="H346" s="81"/>
      <c r="I346" s="82"/>
      <c r="J346" s="88"/>
      <c r="K346" s="89"/>
      <c r="L346" s="88"/>
      <c r="M346" s="89"/>
      <c r="N346" s="80"/>
      <c r="O346" s="82"/>
      <c r="P346" s="94"/>
      <c r="Q346" s="95"/>
      <c r="S346" s="99"/>
      <c r="T346" s="99"/>
      <c r="U346" s="99"/>
      <c r="V346" s="99"/>
      <c r="W346" s="99"/>
      <c r="X346" s="99"/>
      <c r="Y346" s="99"/>
      <c r="Z346" s="99"/>
      <c r="AA346" s="99"/>
      <c r="AB346" s="99"/>
      <c r="AC346" s="98"/>
      <c r="AD346" s="98"/>
      <c r="AE346" s="98"/>
      <c r="AF346" s="98"/>
      <c r="AG346" s="98"/>
      <c r="AH346" s="98"/>
    </row>
    <row r="347" spans="2:34" x14ac:dyDescent="0.25">
      <c r="B347" s="75"/>
      <c r="C347" s="76"/>
      <c r="D347" s="83"/>
      <c r="E347" s="84"/>
      <c r="F347" s="84"/>
      <c r="G347" s="84"/>
      <c r="H347" s="84"/>
      <c r="I347" s="85"/>
      <c r="J347" s="90"/>
      <c r="K347" s="91"/>
      <c r="L347" s="90"/>
      <c r="M347" s="91"/>
      <c r="N347" s="83"/>
      <c r="O347" s="85"/>
      <c r="P347" s="96"/>
      <c r="Q347" s="97"/>
      <c r="S347" s="99"/>
      <c r="T347" s="99"/>
      <c r="U347" s="99"/>
      <c r="V347" s="99"/>
      <c r="W347" s="99"/>
      <c r="X347" s="99"/>
      <c r="Y347" s="99"/>
      <c r="Z347" s="99"/>
      <c r="AA347" s="99"/>
      <c r="AB347" s="99"/>
      <c r="AC347" s="98"/>
      <c r="AD347" s="98"/>
      <c r="AE347" s="98"/>
      <c r="AF347" s="98"/>
      <c r="AG347" s="98"/>
      <c r="AH347" s="98"/>
    </row>
    <row r="348" spans="2:34" x14ac:dyDescent="0.25">
      <c r="B348" s="71"/>
      <c r="C348" s="72"/>
      <c r="D348" s="77"/>
      <c r="E348" s="78"/>
      <c r="F348" s="78"/>
      <c r="G348" s="78"/>
      <c r="H348" s="78"/>
      <c r="I348" s="79"/>
      <c r="J348" s="86"/>
      <c r="K348" s="87"/>
      <c r="L348" s="86"/>
      <c r="M348" s="87"/>
      <c r="N348" s="77"/>
      <c r="O348" s="79"/>
      <c r="P348" s="92"/>
      <c r="Q348" s="93"/>
      <c r="S348" s="99"/>
      <c r="T348" s="99"/>
      <c r="U348" s="99"/>
      <c r="V348" s="99"/>
      <c r="W348" s="99"/>
      <c r="X348" s="99"/>
      <c r="Y348" s="99"/>
      <c r="Z348" s="99"/>
      <c r="AA348" s="99"/>
      <c r="AB348" s="99"/>
      <c r="AC348" s="98"/>
      <c r="AD348" s="98"/>
      <c r="AE348" s="98"/>
      <c r="AF348" s="98"/>
      <c r="AG348" s="98"/>
      <c r="AH348" s="98"/>
    </row>
    <row r="349" spans="2:34" x14ac:dyDescent="0.25">
      <c r="B349" s="73"/>
      <c r="C349" s="74"/>
      <c r="D349" s="80"/>
      <c r="E349" s="81"/>
      <c r="F349" s="81"/>
      <c r="G349" s="81"/>
      <c r="H349" s="81"/>
      <c r="I349" s="82"/>
      <c r="J349" s="88"/>
      <c r="K349" s="89"/>
      <c r="L349" s="88"/>
      <c r="M349" s="89"/>
      <c r="N349" s="80"/>
      <c r="O349" s="82"/>
      <c r="P349" s="94"/>
      <c r="Q349" s="95"/>
      <c r="S349" s="99"/>
      <c r="T349" s="99"/>
      <c r="U349" s="99"/>
      <c r="V349" s="99"/>
      <c r="W349" s="99"/>
      <c r="X349" s="99"/>
      <c r="Y349" s="99"/>
      <c r="Z349" s="99"/>
      <c r="AA349" s="99"/>
      <c r="AB349" s="99"/>
      <c r="AC349" s="98"/>
      <c r="AD349" s="98"/>
      <c r="AE349" s="98"/>
      <c r="AF349" s="98"/>
      <c r="AG349" s="98"/>
      <c r="AH349" s="98"/>
    </row>
    <row r="350" spans="2:34" x14ac:dyDescent="0.25">
      <c r="B350" s="75"/>
      <c r="C350" s="76"/>
      <c r="D350" s="83"/>
      <c r="E350" s="84"/>
      <c r="F350" s="84"/>
      <c r="G350" s="84"/>
      <c r="H350" s="84"/>
      <c r="I350" s="85"/>
      <c r="J350" s="90"/>
      <c r="K350" s="91"/>
      <c r="L350" s="90"/>
      <c r="M350" s="91"/>
      <c r="N350" s="83"/>
      <c r="O350" s="85"/>
      <c r="P350" s="96"/>
      <c r="Q350" s="97"/>
      <c r="S350" s="99"/>
      <c r="T350" s="99"/>
      <c r="U350" s="99"/>
      <c r="V350" s="99"/>
      <c r="W350" s="99"/>
      <c r="X350" s="99"/>
      <c r="Y350" s="99"/>
      <c r="Z350" s="99"/>
      <c r="AA350" s="99"/>
      <c r="AB350" s="99"/>
      <c r="AC350" s="98"/>
      <c r="AD350" s="98"/>
      <c r="AE350" s="98"/>
      <c r="AF350" s="98"/>
      <c r="AG350" s="98"/>
      <c r="AH350" s="98"/>
    </row>
    <row r="351" spans="2:34" x14ac:dyDescent="0.25">
      <c r="B351" s="71"/>
      <c r="C351" s="72"/>
      <c r="D351" s="77"/>
      <c r="E351" s="78"/>
      <c r="F351" s="78"/>
      <c r="G351" s="78"/>
      <c r="H351" s="78"/>
      <c r="I351" s="79"/>
      <c r="J351" s="86"/>
      <c r="K351" s="87"/>
      <c r="L351" s="86"/>
      <c r="M351" s="87"/>
      <c r="N351" s="77"/>
      <c r="O351" s="79"/>
      <c r="P351" s="92"/>
      <c r="Q351" s="93"/>
      <c r="S351" s="99"/>
      <c r="T351" s="99"/>
      <c r="U351" s="99"/>
      <c r="V351" s="99"/>
      <c r="W351" s="99"/>
      <c r="X351" s="99"/>
      <c r="Y351" s="99"/>
      <c r="Z351" s="99"/>
      <c r="AA351" s="99"/>
      <c r="AB351" s="99"/>
      <c r="AC351" s="98"/>
      <c r="AD351" s="98"/>
      <c r="AE351" s="98"/>
      <c r="AF351" s="98"/>
      <c r="AG351" s="98"/>
      <c r="AH351" s="98"/>
    </row>
    <row r="352" spans="2:34" x14ac:dyDescent="0.25">
      <c r="B352" s="73"/>
      <c r="C352" s="74"/>
      <c r="D352" s="80"/>
      <c r="E352" s="81"/>
      <c r="F352" s="81"/>
      <c r="G352" s="81"/>
      <c r="H352" s="81"/>
      <c r="I352" s="82"/>
      <c r="J352" s="88"/>
      <c r="K352" s="89"/>
      <c r="L352" s="88"/>
      <c r="M352" s="89"/>
      <c r="N352" s="80"/>
      <c r="O352" s="82"/>
      <c r="P352" s="94"/>
      <c r="Q352" s="95"/>
      <c r="S352" s="99"/>
      <c r="T352" s="99"/>
      <c r="U352" s="99"/>
      <c r="V352" s="99"/>
      <c r="W352" s="99"/>
      <c r="X352" s="99"/>
      <c r="Y352" s="99"/>
      <c r="Z352" s="99"/>
      <c r="AA352" s="99"/>
      <c r="AB352" s="99"/>
      <c r="AC352" s="98"/>
      <c r="AD352" s="98"/>
      <c r="AE352" s="98"/>
      <c r="AF352" s="98"/>
      <c r="AG352" s="98"/>
      <c r="AH352" s="98"/>
    </row>
    <row r="353" spans="2:34" x14ac:dyDescent="0.25">
      <c r="B353" s="75"/>
      <c r="C353" s="76"/>
      <c r="D353" s="83"/>
      <c r="E353" s="84"/>
      <c r="F353" s="84"/>
      <c r="G353" s="84"/>
      <c r="H353" s="84"/>
      <c r="I353" s="85"/>
      <c r="J353" s="90"/>
      <c r="K353" s="91"/>
      <c r="L353" s="90"/>
      <c r="M353" s="91"/>
      <c r="N353" s="83"/>
      <c r="O353" s="85"/>
      <c r="P353" s="96"/>
      <c r="Q353" s="97"/>
      <c r="S353" s="99"/>
      <c r="T353" s="99"/>
      <c r="U353" s="99"/>
      <c r="V353" s="99"/>
      <c r="W353" s="99"/>
      <c r="X353" s="99"/>
      <c r="Y353" s="99"/>
      <c r="Z353" s="99"/>
      <c r="AA353" s="99"/>
      <c r="AB353" s="99"/>
      <c r="AC353" s="98"/>
      <c r="AD353" s="98"/>
      <c r="AE353" s="98"/>
      <c r="AF353" s="98"/>
      <c r="AG353" s="98"/>
      <c r="AH353" s="98"/>
    </row>
    <row r="354" spans="2:34" x14ac:dyDescent="0.25">
      <c r="B354" s="71"/>
      <c r="C354" s="72"/>
      <c r="D354" s="77"/>
      <c r="E354" s="78"/>
      <c r="F354" s="78"/>
      <c r="G354" s="78"/>
      <c r="H354" s="78"/>
      <c r="I354" s="79"/>
      <c r="J354" s="86"/>
      <c r="K354" s="87"/>
      <c r="L354" s="86"/>
      <c r="M354" s="87"/>
      <c r="N354" s="77"/>
      <c r="O354" s="79"/>
      <c r="P354" s="92"/>
      <c r="Q354" s="93"/>
      <c r="S354" s="99"/>
      <c r="T354" s="99"/>
      <c r="U354" s="99"/>
      <c r="V354" s="99"/>
      <c r="W354" s="99"/>
      <c r="X354" s="99"/>
      <c r="Y354" s="99"/>
      <c r="Z354" s="99"/>
      <c r="AA354" s="99"/>
      <c r="AB354" s="99"/>
      <c r="AC354" s="98"/>
      <c r="AD354" s="98"/>
      <c r="AE354" s="98"/>
      <c r="AF354" s="98"/>
      <c r="AG354" s="98"/>
      <c r="AH354" s="98"/>
    </row>
    <row r="355" spans="2:34" x14ac:dyDescent="0.25">
      <c r="B355" s="73"/>
      <c r="C355" s="74"/>
      <c r="D355" s="80"/>
      <c r="E355" s="81"/>
      <c r="F355" s="81"/>
      <c r="G355" s="81"/>
      <c r="H355" s="81"/>
      <c r="I355" s="82"/>
      <c r="J355" s="88"/>
      <c r="K355" s="89"/>
      <c r="L355" s="88"/>
      <c r="M355" s="89"/>
      <c r="N355" s="80"/>
      <c r="O355" s="82"/>
      <c r="P355" s="94"/>
      <c r="Q355" s="95"/>
      <c r="S355" s="99"/>
      <c r="T355" s="99"/>
      <c r="U355" s="99"/>
      <c r="V355" s="99"/>
      <c r="W355" s="99"/>
      <c r="X355" s="99"/>
      <c r="Y355" s="99"/>
      <c r="Z355" s="99"/>
      <c r="AA355" s="99"/>
      <c r="AB355" s="99"/>
      <c r="AC355" s="98"/>
      <c r="AD355" s="98"/>
      <c r="AE355" s="98"/>
      <c r="AF355" s="98"/>
      <c r="AG355" s="98"/>
      <c r="AH355" s="98"/>
    </row>
    <row r="356" spans="2:34" x14ac:dyDescent="0.25">
      <c r="B356" s="75"/>
      <c r="C356" s="76"/>
      <c r="D356" s="83"/>
      <c r="E356" s="84"/>
      <c r="F356" s="84"/>
      <c r="G356" s="84"/>
      <c r="H356" s="84"/>
      <c r="I356" s="85"/>
      <c r="J356" s="90"/>
      <c r="K356" s="91"/>
      <c r="L356" s="90"/>
      <c r="M356" s="91"/>
      <c r="N356" s="83"/>
      <c r="O356" s="85"/>
      <c r="P356" s="96"/>
      <c r="Q356" s="97"/>
      <c r="S356" s="99"/>
      <c r="T356" s="99"/>
      <c r="U356" s="99"/>
      <c r="V356" s="99"/>
      <c r="W356" s="99"/>
      <c r="X356" s="99"/>
      <c r="Y356" s="99"/>
      <c r="Z356" s="99"/>
      <c r="AA356" s="99"/>
      <c r="AB356" s="99"/>
      <c r="AC356" s="98"/>
      <c r="AD356" s="98"/>
      <c r="AE356" s="98"/>
      <c r="AF356" s="98"/>
      <c r="AG356" s="98"/>
      <c r="AH356" s="98"/>
    </row>
    <row r="357" spans="2:34" x14ac:dyDescent="0.25">
      <c r="B357" s="71"/>
      <c r="C357" s="72"/>
      <c r="D357" s="77"/>
      <c r="E357" s="78"/>
      <c r="F357" s="78"/>
      <c r="G357" s="78"/>
      <c r="H357" s="78"/>
      <c r="I357" s="79"/>
      <c r="J357" s="86"/>
      <c r="K357" s="87"/>
      <c r="L357" s="86"/>
      <c r="M357" s="87"/>
      <c r="N357" s="77"/>
      <c r="O357" s="79"/>
      <c r="P357" s="92"/>
      <c r="Q357" s="93"/>
      <c r="S357" s="99"/>
      <c r="T357" s="99"/>
      <c r="U357" s="99"/>
      <c r="V357" s="99"/>
      <c r="W357" s="99"/>
      <c r="X357" s="99"/>
      <c r="Y357" s="99"/>
      <c r="Z357" s="99"/>
      <c r="AA357" s="99"/>
      <c r="AB357" s="99"/>
      <c r="AC357" s="98"/>
      <c r="AD357" s="98"/>
      <c r="AE357" s="98"/>
      <c r="AF357" s="98"/>
      <c r="AG357" s="98"/>
      <c r="AH357" s="98"/>
    </row>
    <row r="358" spans="2:34" x14ac:dyDescent="0.25">
      <c r="B358" s="73"/>
      <c r="C358" s="74"/>
      <c r="D358" s="80"/>
      <c r="E358" s="81"/>
      <c r="F358" s="81"/>
      <c r="G358" s="81"/>
      <c r="H358" s="81"/>
      <c r="I358" s="82"/>
      <c r="J358" s="88"/>
      <c r="K358" s="89"/>
      <c r="L358" s="88"/>
      <c r="M358" s="89"/>
      <c r="N358" s="80"/>
      <c r="O358" s="82"/>
      <c r="P358" s="94"/>
      <c r="Q358" s="95"/>
      <c r="S358" s="99"/>
      <c r="T358" s="99"/>
      <c r="U358" s="99"/>
      <c r="V358" s="99"/>
      <c r="W358" s="99"/>
      <c r="X358" s="99"/>
      <c r="Y358" s="99"/>
      <c r="Z358" s="99"/>
      <c r="AA358" s="99"/>
      <c r="AB358" s="99"/>
      <c r="AC358" s="98"/>
      <c r="AD358" s="98"/>
      <c r="AE358" s="98"/>
      <c r="AF358" s="98"/>
      <c r="AG358" s="98"/>
      <c r="AH358" s="98"/>
    </row>
    <row r="359" spans="2:34" x14ac:dyDescent="0.25">
      <c r="B359" s="75"/>
      <c r="C359" s="76"/>
      <c r="D359" s="83"/>
      <c r="E359" s="84"/>
      <c r="F359" s="84"/>
      <c r="G359" s="84"/>
      <c r="H359" s="84"/>
      <c r="I359" s="85"/>
      <c r="J359" s="90"/>
      <c r="K359" s="91"/>
      <c r="L359" s="90"/>
      <c r="M359" s="91"/>
      <c r="N359" s="83"/>
      <c r="O359" s="85"/>
      <c r="P359" s="96"/>
      <c r="Q359" s="97"/>
      <c r="S359" s="99"/>
      <c r="T359" s="99"/>
      <c r="U359" s="99"/>
      <c r="V359" s="99"/>
      <c r="W359" s="99"/>
      <c r="X359" s="99"/>
      <c r="Y359" s="99"/>
      <c r="Z359" s="99"/>
      <c r="AA359" s="99"/>
      <c r="AB359" s="99"/>
      <c r="AC359" s="98"/>
      <c r="AD359" s="98"/>
      <c r="AE359" s="98"/>
      <c r="AF359" s="98"/>
      <c r="AG359" s="98"/>
      <c r="AH359" s="98"/>
    </row>
    <row r="360" spans="2:34" x14ac:dyDescent="0.25">
      <c r="B360" s="71"/>
      <c r="C360" s="72"/>
      <c r="D360" s="77"/>
      <c r="E360" s="78"/>
      <c r="F360" s="78"/>
      <c r="G360" s="78"/>
      <c r="H360" s="78"/>
      <c r="I360" s="79"/>
      <c r="J360" s="86"/>
      <c r="K360" s="87"/>
      <c r="L360" s="86"/>
      <c r="M360" s="87"/>
      <c r="N360" s="77"/>
      <c r="O360" s="79"/>
      <c r="P360" s="92"/>
      <c r="Q360" s="93"/>
      <c r="S360" s="99"/>
      <c r="T360" s="99"/>
      <c r="U360" s="99"/>
      <c r="V360" s="99"/>
      <c r="W360" s="99"/>
      <c r="X360" s="99"/>
      <c r="Y360" s="99"/>
      <c r="Z360" s="99"/>
      <c r="AA360" s="99"/>
      <c r="AB360" s="99"/>
      <c r="AC360" s="98"/>
      <c r="AD360" s="98"/>
      <c r="AE360" s="98"/>
      <c r="AF360" s="98"/>
      <c r="AG360" s="98"/>
      <c r="AH360" s="98"/>
    </row>
    <row r="361" spans="2:34" x14ac:dyDescent="0.25">
      <c r="B361" s="73"/>
      <c r="C361" s="74"/>
      <c r="D361" s="80"/>
      <c r="E361" s="81"/>
      <c r="F361" s="81"/>
      <c r="G361" s="81"/>
      <c r="H361" s="81"/>
      <c r="I361" s="82"/>
      <c r="J361" s="88"/>
      <c r="K361" s="89"/>
      <c r="L361" s="88"/>
      <c r="M361" s="89"/>
      <c r="N361" s="80"/>
      <c r="O361" s="82"/>
      <c r="P361" s="94"/>
      <c r="Q361" s="95"/>
      <c r="S361" s="99"/>
      <c r="T361" s="99"/>
      <c r="U361" s="99"/>
      <c r="V361" s="99"/>
      <c r="W361" s="99"/>
      <c r="X361" s="99"/>
      <c r="Y361" s="99"/>
      <c r="Z361" s="99"/>
      <c r="AA361" s="99"/>
      <c r="AB361" s="99"/>
      <c r="AC361" s="98"/>
      <c r="AD361" s="98"/>
      <c r="AE361" s="98"/>
      <c r="AF361" s="98"/>
      <c r="AG361" s="98"/>
      <c r="AH361" s="98"/>
    </row>
    <row r="362" spans="2:34" x14ac:dyDescent="0.25">
      <c r="B362" s="75"/>
      <c r="C362" s="76"/>
      <c r="D362" s="83"/>
      <c r="E362" s="84"/>
      <c r="F362" s="84"/>
      <c r="G362" s="84"/>
      <c r="H362" s="84"/>
      <c r="I362" s="85"/>
      <c r="J362" s="90"/>
      <c r="K362" s="91"/>
      <c r="L362" s="90"/>
      <c r="M362" s="91"/>
      <c r="N362" s="83"/>
      <c r="O362" s="85"/>
      <c r="P362" s="96"/>
      <c r="Q362" s="97"/>
      <c r="S362" s="99"/>
      <c r="T362" s="99"/>
      <c r="U362" s="99"/>
      <c r="V362" s="99"/>
      <c r="W362" s="99"/>
      <c r="X362" s="99"/>
      <c r="Y362" s="99"/>
      <c r="Z362" s="99"/>
      <c r="AA362" s="99"/>
      <c r="AB362" s="99"/>
      <c r="AC362" s="98"/>
      <c r="AD362" s="98"/>
      <c r="AE362" s="98"/>
      <c r="AF362" s="98"/>
      <c r="AG362" s="98"/>
      <c r="AH362" s="98"/>
    </row>
    <row r="363" spans="2:34" x14ac:dyDescent="0.25">
      <c r="B363" s="71"/>
      <c r="C363" s="72"/>
      <c r="D363" s="77"/>
      <c r="E363" s="78"/>
      <c r="F363" s="78"/>
      <c r="G363" s="78"/>
      <c r="H363" s="78"/>
      <c r="I363" s="79"/>
      <c r="J363" s="86"/>
      <c r="K363" s="87"/>
      <c r="L363" s="86"/>
      <c r="M363" s="87"/>
      <c r="N363" s="77"/>
      <c r="O363" s="79"/>
      <c r="P363" s="92"/>
      <c r="Q363" s="93"/>
      <c r="S363" s="99"/>
      <c r="T363" s="99"/>
      <c r="U363" s="99"/>
      <c r="V363" s="99"/>
      <c r="W363" s="99"/>
      <c r="X363" s="99"/>
      <c r="Y363" s="99"/>
      <c r="Z363" s="99"/>
      <c r="AA363" s="99"/>
      <c r="AB363" s="99"/>
      <c r="AC363" s="98"/>
      <c r="AD363" s="98"/>
      <c r="AE363" s="98"/>
      <c r="AF363" s="98"/>
      <c r="AG363" s="98"/>
      <c r="AH363" s="98"/>
    </row>
    <row r="364" spans="2:34" x14ac:dyDescent="0.25">
      <c r="B364" s="73"/>
      <c r="C364" s="74"/>
      <c r="D364" s="80"/>
      <c r="E364" s="81"/>
      <c r="F364" s="81"/>
      <c r="G364" s="81"/>
      <c r="H364" s="81"/>
      <c r="I364" s="82"/>
      <c r="J364" s="88"/>
      <c r="K364" s="89"/>
      <c r="L364" s="88"/>
      <c r="M364" s="89"/>
      <c r="N364" s="80"/>
      <c r="O364" s="82"/>
      <c r="P364" s="94"/>
      <c r="Q364" s="95"/>
      <c r="S364" s="99"/>
      <c r="T364" s="99"/>
      <c r="U364" s="99"/>
      <c r="V364" s="99"/>
      <c r="W364" s="99"/>
      <c r="X364" s="99"/>
      <c r="Y364" s="99"/>
      <c r="Z364" s="99"/>
      <c r="AA364" s="99"/>
      <c r="AB364" s="99"/>
      <c r="AC364" s="98"/>
      <c r="AD364" s="98"/>
      <c r="AE364" s="98"/>
      <c r="AF364" s="98"/>
      <c r="AG364" s="98"/>
      <c r="AH364" s="98"/>
    </row>
    <row r="365" spans="2:34" x14ac:dyDescent="0.25">
      <c r="B365" s="75"/>
      <c r="C365" s="76"/>
      <c r="D365" s="83"/>
      <c r="E365" s="84"/>
      <c r="F365" s="84"/>
      <c r="G365" s="84"/>
      <c r="H365" s="84"/>
      <c r="I365" s="85"/>
      <c r="J365" s="90"/>
      <c r="K365" s="91"/>
      <c r="L365" s="90"/>
      <c r="M365" s="91"/>
      <c r="N365" s="83"/>
      <c r="O365" s="85"/>
      <c r="P365" s="96"/>
      <c r="Q365" s="97"/>
      <c r="S365" s="99"/>
      <c r="T365" s="99"/>
      <c r="U365" s="99"/>
      <c r="V365" s="99"/>
      <c r="W365" s="99"/>
      <c r="X365" s="99"/>
      <c r="Y365" s="99"/>
      <c r="Z365" s="99"/>
      <c r="AA365" s="99"/>
      <c r="AB365" s="99"/>
      <c r="AC365" s="98"/>
      <c r="AD365" s="98"/>
      <c r="AE365" s="98"/>
      <c r="AF365" s="98"/>
      <c r="AG365" s="98"/>
      <c r="AH365" s="98"/>
    </row>
    <row r="366" spans="2:34" x14ac:dyDescent="0.25">
      <c r="B366" s="71"/>
      <c r="C366" s="72"/>
      <c r="D366" s="77"/>
      <c r="E366" s="78"/>
      <c r="F366" s="78"/>
      <c r="G366" s="78"/>
      <c r="H366" s="78"/>
      <c r="I366" s="79"/>
      <c r="J366" s="86"/>
      <c r="K366" s="87"/>
      <c r="L366" s="86"/>
      <c r="M366" s="87"/>
      <c r="N366" s="77"/>
      <c r="O366" s="79"/>
      <c r="P366" s="92"/>
      <c r="Q366" s="93"/>
      <c r="S366" s="99"/>
      <c r="T366" s="99"/>
      <c r="U366" s="99"/>
      <c r="V366" s="99"/>
      <c r="W366" s="99"/>
      <c r="X366" s="99"/>
      <c r="Y366" s="99"/>
      <c r="Z366" s="99"/>
      <c r="AA366" s="99"/>
      <c r="AB366" s="99"/>
      <c r="AC366" s="98"/>
      <c r="AD366" s="98"/>
      <c r="AE366" s="98"/>
      <c r="AF366" s="98"/>
      <c r="AG366" s="98"/>
      <c r="AH366" s="98"/>
    </row>
    <row r="367" spans="2:34" x14ac:dyDescent="0.25">
      <c r="B367" s="73"/>
      <c r="C367" s="74"/>
      <c r="D367" s="80"/>
      <c r="E367" s="81"/>
      <c r="F367" s="81"/>
      <c r="G367" s="81"/>
      <c r="H367" s="81"/>
      <c r="I367" s="82"/>
      <c r="J367" s="88"/>
      <c r="K367" s="89"/>
      <c r="L367" s="88"/>
      <c r="M367" s="89"/>
      <c r="N367" s="80"/>
      <c r="O367" s="82"/>
      <c r="P367" s="94"/>
      <c r="Q367" s="95"/>
      <c r="S367" s="99"/>
      <c r="T367" s="99"/>
      <c r="U367" s="99"/>
      <c r="V367" s="99"/>
      <c r="W367" s="99"/>
      <c r="X367" s="99"/>
      <c r="Y367" s="99"/>
      <c r="Z367" s="99"/>
      <c r="AA367" s="99"/>
      <c r="AB367" s="99"/>
      <c r="AC367" s="98"/>
      <c r="AD367" s="98"/>
      <c r="AE367" s="98"/>
      <c r="AF367" s="98"/>
      <c r="AG367" s="98"/>
      <c r="AH367" s="98"/>
    </row>
    <row r="368" spans="2:34" x14ac:dyDescent="0.25">
      <c r="B368" s="75"/>
      <c r="C368" s="76"/>
      <c r="D368" s="83"/>
      <c r="E368" s="84"/>
      <c r="F368" s="84"/>
      <c r="G368" s="84"/>
      <c r="H368" s="84"/>
      <c r="I368" s="85"/>
      <c r="J368" s="90"/>
      <c r="K368" s="91"/>
      <c r="L368" s="90"/>
      <c r="M368" s="91"/>
      <c r="N368" s="83"/>
      <c r="O368" s="85"/>
      <c r="P368" s="96"/>
      <c r="Q368" s="97"/>
      <c r="S368" s="99"/>
      <c r="T368" s="99"/>
      <c r="U368" s="99"/>
      <c r="V368" s="99"/>
      <c r="W368" s="99"/>
      <c r="X368" s="99"/>
      <c r="Y368" s="99"/>
      <c r="Z368" s="99"/>
      <c r="AA368" s="99"/>
      <c r="AB368" s="99"/>
      <c r="AC368" s="98"/>
      <c r="AD368" s="98"/>
      <c r="AE368" s="98"/>
      <c r="AF368" s="98"/>
      <c r="AG368" s="98"/>
      <c r="AH368" s="98"/>
    </row>
    <row r="369" spans="2:34" x14ac:dyDescent="0.25">
      <c r="B369" s="71"/>
      <c r="C369" s="72"/>
      <c r="D369" s="77"/>
      <c r="E369" s="78"/>
      <c r="F369" s="78"/>
      <c r="G369" s="78"/>
      <c r="H369" s="78"/>
      <c r="I369" s="79"/>
      <c r="J369" s="86"/>
      <c r="K369" s="87"/>
      <c r="L369" s="86"/>
      <c r="M369" s="87"/>
      <c r="N369" s="77"/>
      <c r="O369" s="79"/>
      <c r="P369" s="92"/>
      <c r="Q369" s="93"/>
      <c r="S369" s="99"/>
      <c r="T369" s="99"/>
      <c r="U369" s="99"/>
      <c r="V369" s="99"/>
      <c r="W369" s="99"/>
      <c r="X369" s="99"/>
      <c r="Y369" s="99"/>
      <c r="Z369" s="99"/>
      <c r="AA369" s="99"/>
      <c r="AB369" s="99"/>
      <c r="AC369" s="98"/>
      <c r="AD369" s="98"/>
      <c r="AE369" s="98"/>
      <c r="AF369" s="98"/>
      <c r="AG369" s="98"/>
      <c r="AH369" s="98"/>
    </row>
    <row r="370" spans="2:34" x14ac:dyDescent="0.25">
      <c r="B370" s="73"/>
      <c r="C370" s="74"/>
      <c r="D370" s="80"/>
      <c r="E370" s="81"/>
      <c r="F370" s="81"/>
      <c r="G370" s="81"/>
      <c r="H370" s="81"/>
      <c r="I370" s="82"/>
      <c r="J370" s="88"/>
      <c r="K370" s="89"/>
      <c r="L370" s="88"/>
      <c r="M370" s="89"/>
      <c r="N370" s="80"/>
      <c r="O370" s="82"/>
      <c r="P370" s="94"/>
      <c r="Q370" s="95"/>
      <c r="S370" s="99"/>
      <c r="T370" s="99"/>
      <c r="U370" s="99"/>
      <c r="V370" s="99"/>
      <c r="W370" s="99"/>
      <c r="X370" s="99"/>
      <c r="Y370" s="99"/>
      <c r="Z370" s="99"/>
      <c r="AA370" s="99"/>
      <c r="AB370" s="99"/>
      <c r="AC370" s="98"/>
      <c r="AD370" s="98"/>
      <c r="AE370" s="98"/>
      <c r="AF370" s="98"/>
      <c r="AG370" s="98"/>
      <c r="AH370" s="98"/>
    </row>
    <row r="371" spans="2:34" x14ac:dyDescent="0.25">
      <c r="B371" s="75"/>
      <c r="C371" s="76"/>
      <c r="D371" s="83"/>
      <c r="E371" s="84"/>
      <c r="F371" s="84"/>
      <c r="G371" s="84"/>
      <c r="H371" s="84"/>
      <c r="I371" s="85"/>
      <c r="J371" s="90"/>
      <c r="K371" s="91"/>
      <c r="L371" s="90"/>
      <c r="M371" s="91"/>
      <c r="N371" s="83"/>
      <c r="O371" s="85"/>
      <c r="P371" s="96"/>
      <c r="Q371" s="97"/>
      <c r="S371" s="99"/>
      <c r="T371" s="99"/>
      <c r="U371" s="99"/>
      <c r="V371" s="99"/>
      <c r="W371" s="99"/>
      <c r="X371" s="99"/>
      <c r="Y371" s="99"/>
      <c r="Z371" s="99"/>
      <c r="AA371" s="99"/>
      <c r="AB371" s="99"/>
      <c r="AC371" s="98"/>
      <c r="AD371" s="98"/>
      <c r="AE371" s="98"/>
      <c r="AF371" s="98"/>
      <c r="AG371" s="98"/>
      <c r="AH371" s="98"/>
    </row>
    <row r="372" spans="2:34" x14ac:dyDescent="0.25">
      <c r="B372" s="71"/>
      <c r="C372" s="72"/>
      <c r="D372" s="77"/>
      <c r="E372" s="78"/>
      <c r="F372" s="78"/>
      <c r="G372" s="78"/>
      <c r="H372" s="78"/>
      <c r="I372" s="79"/>
      <c r="J372" s="86"/>
      <c r="K372" s="87"/>
      <c r="L372" s="86"/>
      <c r="M372" s="87"/>
      <c r="N372" s="77"/>
      <c r="O372" s="79"/>
      <c r="P372" s="92"/>
      <c r="Q372" s="93"/>
      <c r="S372" s="99"/>
      <c r="T372" s="99"/>
      <c r="U372" s="99"/>
      <c r="V372" s="99"/>
      <c r="W372" s="99"/>
      <c r="X372" s="99"/>
      <c r="Y372" s="99"/>
      <c r="Z372" s="99"/>
      <c r="AA372" s="99"/>
      <c r="AB372" s="99"/>
      <c r="AC372" s="98"/>
      <c r="AD372" s="98"/>
      <c r="AE372" s="98"/>
      <c r="AF372" s="98"/>
      <c r="AG372" s="98"/>
      <c r="AH372" s="98"/>
    </row>
    <row r="373" spans="2:34" x14ac:dyDescent="0.25">
      <c r="B373" s="73"/>
      <c r="C373" s="74"/>
      <c r="D373" s="80"/>
      <c r="E373" s="81"/>
      <c r="F373" s="81"/>
      <c r="G373" s="81"/>
      <c r="H373" s="81"/>
      <c r="I373" s="82"/>
      <c r="J373" s="88"/>
      <c r="K373" s="89"/>
      <c r="L373" s="88"/>
      <c r="M373" s="89"/>
      <c r="N373" s="80"/>
      <c r="O373" s="82"/>
      <c r="P373" s="94"/>
      <c r="Q373" s="95"/>
      <c r="S373" s="99"/>
      <c r="T373" s="99"/>
      <c r="U373" s="99"/>
      <c r="V373" s="99"/>
      <c r="W373" s="99"/>
      <c r="X373" s="99"/>
      <c r="Y373" s="99"/>
      <c r="Z373" s="99"/>
      <c r="AA373" s="99"/>
      <c r="AB373" s="99"/>
      <c r="AC373" s="98"/>
      <c r="AD373" s="98"/>
      <c r="AE373" s="98"/>
      <c r="AF373" s="98"/>
      <c r="AG373" s="98"/>
      <c r="AH373" s="98"/>
    </row>
    <row r="374" spans="2:34" x14ac:dyDescent="0.25">
      <c r="B374" s="75"/>
      <c r="C374" s="76"/>
      <c r="D374" s="83"/>
      <c r="E374" s="84"/>
      <c r="F374" s="84"/>
      <c r="G374" s="84"/>
      <c r="H374" s="84"/>
      <c r="I374" s="85"/>
      <c r="J374" s="90"/>
      <c r="K374" s="91"/>
      <c r="L374" s="90"/>
      <c r="M374" s="91"/>
      <c r="N374" s="83"/>
      <c r="O374" s="85"/>
      <c r="P374" s="96"/>
      <c r="Q374" s="97"/>
      <c r="S374" s="99"/>
      <c r="T374" s="99"/>
      <c r="U374" s="99"/>
      <c r="V374" s="99"/>
      <c r="W374" s="99"/>
      <c r="X374" s="99"/>
      <c r="Y374" s="99"/>
      <c r="Z374" s="99"/>
      <c r="AA374" s="99"/>
      <c r="AB374" s="99"/>
      <c r="AC374" s="98"/>
      <c r="AD374" s="98"/>
      <c r="AE374" s="98"/>
      <c r="AF374" s="98"/>
      <c r="AG374" s="98"/>
      <c r="AH374" s="98"/>
    </row>
    <row r="375" spans="2:34" x14ac:dyDescent="0.25">
      <c r="B375" s="71"/>
      <c r="C375" s="72"/>
      <c r="D375" s="77"/>
      <c r="E375" s="78"/>
      <c r="F375" s="78"/>
      <c r="G375" s="78"/>
      <c r="H375" s="78"/>
      <c r="I375" s="79"/>
      <c r="J375" s="86"/>
      <c r="K375" s="87"/>
      <c r="L375" s="86"/>
      <c r="M375" s="87"/>
      <c r="N375" s="77"/>
      <c r="O375" s="79"/>
      <c r="P375" s="92"/>
      <c r="Q375" s="93"/>
      <c r="S375" s="99"/>
      <c r="T375" s="99"/>
      <c r="U375" s="99"/>
      <c r="V375" s="99"/>
      <c r="W375" s="99"/>
      <c r="X375" s="99"/>
      <c r="Y375" s="99"/>
      <c r="Z375" s="99"/>
      <c r="AA375" s="99"/>
      <c r="AB375" s="99"/>
      <c r="AC375" s="98"/>
      <c r="AD375" s="98"/>
      <c r="AE375" s="98"/>
      <c r="AF375" s="98"/>
      <c r="AG375" s="98"/>
      <c r="AH375" s="98"/>
    </row>
    <row r="376" spans="2:34" x14ac:dyDescent="0.25">
      <c r="B376" s="73"/>
      <c r="C376" s="74"/>
      <c r="D376" s="80"/>
      <c r="E376" s="81"/>
      <c r="F376" s="81"/>
      <c r="G376" s="81"/>
      <c r="H376" s="81"/>
      <c r="I376" s="82"/>
      <c r="J376" s="88"/>
      <c r="K376" s="89"/>
      <c r="L376" s="88"/>
      <c r="M376" s="89"/>
      <c r="N376" s="80"/>
      <c r="O376" s="82"/>
      <c r="P376" s="94"/>
      <c r="Q376" s="95"/>
      <c r="S376" s="99"/>
      <c r="T376" s="99"/>
      <c r="U376" s="99"/>
      <c r="V376" s="99"/>
      <c r="W376" s="99"/>
      <c r="X376" s="99"/>
      <c r="Y376" s="99"/>
      <c r="Z376" s="99"/>
      <c r="AA376" s="99"/>
      <c r="AB376" s="99"/>
      <c r="AC376" s="98"/>
      <c r="AD376" s="98"/>
      <c r="AE376" s="98"/>
      <c r="AF376" s="98"/>
      <c r="AG376" s="98"/>
      <c r="AH376" s="98"/>
    </row>
    <row r="377" spans="2:34" x14ac:dyDescent="0.25">
      <c r="B377" s="75"/>
      <c r="C377" s="76"/>
      <c r="D377" s="83"/>
      <c r="E377" s="84"/>
      <c r="F377" s="84"/>
      <c r="G377" s="84"/>
      <c r="H377" s="84"/>
      <c r="I377" s="85"/>
      <c r="J377" s="90"/>
      <c r="K377" s="91"/>
      <c r="L377" s="90"/>
      <c r="M377" s="91"/>
      <c r="N377" s="83"/>
      <c r="O377" s="85"/>
      <c r="P377" s="96"/>
      <c r="Q377" s="97"/>
      <c r="S377" s="99"/>
      <c r="T377" s="99"/>
      <c r="U377" s="99"/>
      <c r="V377" s="99"/>
      <c r="W377" s="99"/>
      <c r="X377" s="99"/>
      <c r="Y377" s="99"/>
      <c r="Z377" s="99"/>
      <c r="AA377" s="99"/>
      <c r="AB377" s="99"/>
      <c r="AC377" s="98"/>
      <c r="AD377" s="98"/>
      <c r="AE377" s="98"/>
      <c r="AF377" s="98"/>
      <c r="AG377" s="98"/>
      <c r="AH377" s="98"/>
    </row>
    <row r="378" spans="2:34" x14ac:dyDescent="0.25">
      <c r="B378" s="71"/>
      <c r="C378" s="72"/>
      <c r="D378" s="77"/>
      <c r="E378" s="78"/>
      <c r="F378" s="78"/>
      <c r="G378" s="78"/>
      <c r="H378" s="78"/>
      <c r="I378" s="79"/>
      <c r="J378" s="86"/>
      <c r="K378" s="87"/>
      <c r="L378" s="86"/>
      <c r="M378" s="87"/>
      <c r="N378" s="77"/>
      <c r="O378" s="79"/>
      <c r="P378" s="92"/>
      <c r="Q378" s="93"/>
      <c r="S378" s="99"/>
      <c r="T378" s="99"/>
      <c r="U378" s="99"/>
      <c r="V378" s="99"/>
      <c r="W378" s="99"/>
      <c r="X378" s="99"/>
      <c r="Y378" s="99"/>
      <c r="Z378" s="99"/>
      <c r="AA378" s="99"/>
      <c r="AB378" s="99"/>
      <c r="AC378" s="98"/>
      <c r="AD378" s="98"/>
      <c r="AE378" s="98"/>
      <c r="AF378" s="98"/>
      <c r="AG378" s="98"/>
      <c r="AH378" s="98"/>
    </row>
    <row r="379" spans="2:34" x14ac:dyDescent="0.25">
      <c r="B379" s="73"/>
      <c r="C379" s="74"/>
      <c r="D379" s="80"/>
      <c r="E379" s="81"/>
      <c r="F379" s="81"/>
      <c r="G379" s="81"/>
      <c r="H379" s="81"/>
      <c r="I379" s="82"/>
      <c r="J379" s="88"/>
      <c r="K379" s="89"/>
      <c r="L379" s="88"/>
      <c r="M379" s="89"/>
      <c r="N379" s="80"/>
      <c r="O379" s="82"/>
      <c r="P379" s="94"/>
      <c r="Q379" s="95"/>
      <c r="S379" s="99"/>
      <c r="T379" s="99"/>
      <c r="U379" s="99"/>
      <c r="V379" s="99"/>
      <c r="W379" s="99"/>
      <c r="X379" s="99"/>
      <c r="Y379" s="99"/>
      <c r="Z379" s="99"/>
      <c r="AA379" s="99"/>
      <c r="AB379" s="99"/>
      <c r="AC379" s="98"/>
      <c r="AD379" s="98"/>
      <c r="AE379" s="98"/>
      <c r="AF379" s="98"/>
      <c r="AG379" s="98"/>
      <c r="AH379" s="98"/>
    </row>
    <row r="380" spans="2:34" x14ac:dyDescent="0.25">
      <c r="B380" s="75"/>
      <c r="C380" s="76"/>
      <c r="D380" s="83"/>
      <c r="E380" s="84"/>
      <c r="F380" s="84"/>
      <c r="G380" s="84"/>
      <c r="H380" s="84"/>
      <c r="I380" s="85"/>
      <c r="J380" s="90"/>
      <c r="K380" s="91"/>
      <c r="L380" s="90"/>
      <c r="M380" s="91"/>
      <c r="N380" s="83"/>
      <c r="O380" s="85"/>
      <c r="P380" s="96"/>
      <c r="Q380" s="97"/>
      <c r="S380" s="99"/>
      <c r="T380" s="99"/>
      <c r="U380" s="99"/>
      <c r="V380" s="99"/>
      <c r="W380" s="99"/>
      <c r="X380" s="99"/>
      <c r="Y380" s="99"/>
      <c r="Z380" s="99"/>
      <c r="AA380" s="99"/>
      <c r="AB380" s="99"/>
      <c r="AC380" s="98"/>
      <c r="AD380" s="98"/>
      <c r="AE380" s="98"/>
      <c r="AF380" s="98"/>
      <c r="AG380" s="98"/>
      <c r="AH380" s="98"/>
    </row>
    <row r="381" spans="2:34" x14ac:dyDescent="0.25">
      <c r="B381" s="71"/>
      <c r="C381" s="72"/>
      <c r="D381" s="77"/>
      <c r="E381" s="78"/>
      <c r="F381" s="78"/>
      <c r="G381" s="78"/>
      <c r="H381" s="78"/>
      <c r="I381" s="79"/>
      <c r="J381" s="86"/>
      <c r="K381" s="87"/>
      <c r="L381" s="86"/>
      <c r="M381" s="87"/>
      <c r="N381" s="77"/>
      <c r="O381" s="79"/>
      <c r="P381" s="92"/>
      <c r="Q381" s="93"/>
      <c r="S381" s="99"/>
      <c r="T381" s="99"/>
      <c r="U381" s="99"/>
      <c r="V381" s="99"/>
      <c r="W381" s="99"/>
      <c r="X381" s="99"/>
      <c r="Y381" s="99"/>
      <c r="Z381" s="99"/>
      <c r="AA381" s="99"/>
      <c r="AB381" s="99"/>
      <c r="AC381" s="98"/>
      <c r="AD381" s="98"/>
      <c r="AE381" s="98"/>
      <c r="AF381" s="98"/>
      <c r="AG381" s="98"/>
      <c r="AH381" s="98"/>
    </row>
    <row r="382" spans="2:34" x14ac:dyDescent="0.25">
      <c r="B382" s="73"/>
      <c r="C382" s="74"/>
      <c r="D382" s="80"/>
      <c r="E382" s="81"/>
      <c r="F382" s="81"/>
      <c r="G382" s="81"/>
      <c r="H382" s="81"/>
      <c r="I382" s="82"/>
      <c r="J382" s="88"/>
      <c r="K382" s="89"/>
      <c r="L382" s="88"/>
      <c r="M382" s="89"/>
      <c r="N382" s="80"/>
      <c r="O382" s="82"/>
      <c r="P382" s="94"/>
      <c r="Q382" s="95"/>
      <c r="S382" s="99"/>
      <c r="T382" s="99"/>
      <c r="U382" s="99"/>
      <c r="V382" s="99"/>
      <c r="W382" s="99"/>
      <c r="X382" s="99"/>
      <c r="Y382" s="99"/>
      <c r="Z382" s="99"/>
      <c r="AA382" s="99"/>
      <c r="AB382" s="99"/>
      <c r="AC382" s="98"/>
      <c r="AD382" s="98"/>
      <c r="AE382" s="98"/>
      <c r="AF382" s="98"/>
      <c r="AG382" s="98"/>
      <c r="AH382" s="98"/>
    </row>
    <row r="383" spans="2:34" x14ac:dyDescent="0.25">
      <c r="B383" s="75"/>
      <c r="C383" s="76"/>
      <c r="D383" s="83"/>
      <c r="E383" s="84"/>
      <c r="F383" s="84"/>
      <c r="G383" s="84"/>
      <c r="H383" s="84"/>
      <c r="I383" s="85"/>
      <c r="J383" s="90"/>
      <c r="K383" s="91"/>
      <c r="L383" s="90"/>
      <c r="M383" s="91"/>
      <c r="N383" s="83"/>
      <c r="O383" s="85"/>
      <c r="P383" s="96"/>
      <c r="Q383" s="97"/>
      <c r="S383" s="99"/>
      <c r="T383" s="99"/>
      <c r="U383" s="99"/>
      <c r="V383" s="99"/>
      <c r="W383" s="99"/>
      <c r="X383" s="99"/>
      <c r="Y383" s="99"/>
      <c r="Z383" s="99"/>
      <c r="AA383" s="99"/>
      <c r="AB383" s="99"/>
      <c r="AC383" s="98"/>
      <c r="AD383" s="98"/>
      <c r="AE383" s="98"/>
      <c r="AF383" s="98"/>
      <c r="AG383" s="98"/>
      <c r="AH383" s="98"/>
    </row>
    <row r="384" spans="2:34" x14ac:dyDescent="0.25">
      <c r="B384" s="71"/>
      <c r="C384" s="72"/>
      <c r="D384" s="77"/>
      <c r="E384" s="78"/>
      <c r="F384" s="78"/>
      <c r="G384" s="78"/>
      <c r="H384" s="78"/>
      <c r="I384" s="79"/>
      <c r="J384" s="86"/>
      <c r="K384" s="87"/>
      <c r="L384" s="86"/>
      <c r="M384" s="87"/>
      <c r="N384" s="77"/>
      <c r="O384" s="79"/>
      <c r="P384" s="92"/>
      <c r="Q384" s="93"/>
      <c r="S384" s="99"/>
      <c r="T384" s="99"/>
      <c r="U384" s="99"/>
      <c r="V384" s="99"/>
      <c r="W384" s="99"/>
      <c r="X384" s="99"/>
      <c r="Y384" s="99"/>
      <c r="Z384" s="99"/>
      <c r="AA384" s="99"/>
      <c r="AB384" s="99"/>
      <c r="AC384" s="98"/>
      <c r="AD384" s="98"/>
      <c r="AE384" s="98"/>
      <c r="AF384" s="98"/>
      <c r="AG384" s="98"/>
      <c r="AH384" s="98"/>
    </row>
    <row r="385" spans="2:34" x14ac:dyDescent="0.25">
      <c r="B385" s="73"/>
      <c r="C385" s="74"/>
      <c r="D385" s="80"/>
      <c r="E385" s="81"/>
      <c r="F385" s="81"/>
      <c r="G385" s="81"/>
      <c r="H385" s="81"/>
      <c r="I385" s="82"/>
      <c r="J385" s="88"/>
      <c r="K385" s="89"/>
      <c r="L385" s="88"/>
      <c r="M385" s="89"/>
      <c r="N385" s="80"/>
      <c r="O385" s="82"/>
      <c r="P385" s="94"/>
      <c r="Q385" s="95"/>
      <c r="S385" s="99"/>
      <c r="T385" s="99"/>
      <c r="U385" s="99"/>
      <c r="V385" s="99"/>
      <c r="W385" s="99"/>
      <c r="X385" s="99"/>
      <c r="Y385" s="99"/>
      <c r="Z385" s="99"/>
      <c r="AA385" s="99"/>
      <c r="AB385" s="99"/>
      <c r="AC385" s="98"/>
      <c r="AD385" s="98"/>
      <c r="AE385" s="98"/>
      <c r="AF385" s="98"/>
      <c r="AG385" s="98"/>
      <c r="AH385" s="98"/>
    </row>
    <row r="386" spans="2:34" x14ac:dyDescent="0.25">
      <c r="B386" s="75"/>
      <c r="C386" s="76"/>
      <c r="D386" s="83"/>
      <c r="E386" s="84"/>
      <c r="F386" s="84"/>
      <c r="G386" s="84"/>
      <c r="H386" s="84"/>
      <c r="I386" s="85"/>
      <c r="J386" s="90"/>
      <c r="K386" s="91"/>
      <c r="L386" s="90"/>
      <c r="M386" s="91"/>
      <c r="N386" s="83"/>
      <c r="O386" s="85"/>
      <c r="P386" s="96"/>
      <c r="Q386" s="97"/>
      <c r="S386" s="99"/>
      <c r="T386" s="99"/>
      <c r="U386" s="99"/>
      <c r="V386" s="99"/>
      <c r="W386" s="99"/>
      <c r="X386" s="99"/>
      <c r="Y386" s="99"/>
      <c r="Z386" s="99"/>
      <c r="AA386" s="99"/>
      <c r="AB386" s="99"/>
      <c r="AC386" s="98"/>
      <c r="AD386" s="98"/>
      <c r="AE386" s="98"/>
      <c r="AF386" s="98"/>
      <c r="AG386" s="98"/>
      <c r="AH386" s="98"/>
    </row>
    <row r="387" spans="2:34" x14ac:dyDescent="0.25">
      <c r="B387" s="71"/>
      <c r="C387" s="72"/>
      <c r="D387" s="77"/>
      <c r="E387" s="78"/>
      <c r="F387" s="78"/>
      <c r="G387" s="78"/>
      <c r="H387" s="78"/>
      <c r="I387" s="79"/>
      <c r="J387" s="86"/>
      <c r="K387" s="87"/>
      <c r="L387" s="86"/>
      <c r="M387" s="87"/>
      <c r="N387" s="77"/>
      <c r="O387" s="79"/>
      <c r="P387" s="92"/>
      <c r="Q387" s="93"/>
      <c r="S387" s="99"/>
      <c r="T387" s="99"/>
      <c r="U387" s="99"/>
      <c r="V387" s="99"/>
      <c r="W387" s="99"/>
      <c r="X387" s="99"/>
      <c r="Y387" s="99"/>
      <c r="Z387" s="99"/>
      <c r="AA387" s="99"/>
      <c r="AB387" s="99"/>
      <c r="AC387" s="98"/>
      <c r="AD387" s="98"/>
      <c r="AE387" s="98"/>
      <c r="AF387" s="98"/>
      <c r="AG387" s="98"/>
      <c r="AH387" s="98"/>
    </row>
    <row r="388" spans="2:34" x14ac:dyDescent="0.25">
      <c r="B388" s="73"/>
      <c r="C388" s="74"/>
      <c r="D388" s="80"/>
      <c r="E388" s="81"/>
      <c r="F388" s="81"/>
      <c r="G388" s="81"/>
      <c r="H388" s="81"/>
      <c r="I388" s="82"/>
      <c r="J388" s="88"/>
      <c r="K388" s="89"/>
      <c r="L388" s="88"/>
      <c r="M388" s="89"/>
      <c r="N388" s="80"/>
      <c r="O388" s="82"/>
      <c r="P388" s="94"/>
      <c r="Q388" s="95"/>
      <c r="S388" s="99"/>
      <c r="T388" s="99"/>
      <c r="U388" s="99"/>
      <c r="V388" s="99"/>
      <c r="W388" s="99"/>
      <c r="X388" s="99"/>
      <c r="Y388" s="99"/>
      <c r="Z388" s="99"/>
      <c r="AA388" s="99"/>
      <c r="AB388" s="99"/>
      <c r="AC388" s="98"/>
      <c r="AD388" s="98"/>
      <c r="AE388" s="98"/>
      <c r="AF388" s="98"/>
      <c r="AG388" s="98"/>
      <c r="AH388" s="98"/>
    </row>
    <row r="389" spans="2:34" x14ac:dyDescent="0.25">
      <c r="B389" s="75"/>
      <c r="C389" s="76"/>
      <c r="D389" s="83"/>
      <c r="E389" s="84"/>
      <c r="F389" s="84"/>
      <c r="G389" s="84"/>
      <c r="H389" s="84"/>
      <c r="I389" s="85"/>
      <c r="J389" s="90"/>
      <c r="K389" s="91"/>
      <c r="L389" s="90"/>
      <c r="M389" s="91"/>
      <c r="N389" s="83"/>
      <c r="O389" s="85"/>
      <c r="P389" s="96"/>
      <c r="Q389" s="97"/>
      <c r="S389" s="99"/>
      <c r="T389" s="99"/>
      <c r="U389" s="99"/>
      <c r="V389" s="99"/>
      <c r="W389" s="99"/>
      <c r="X389" s="99"/>
      <c r="Y389" s="99"/>
      <c r="Z389" s="99"/>
      <c r="AA389" s="99"/>
      <c r="AB389" s="99"/>
      <c r="AC389" s="98"/>
      <c r="AD389" s="98"/>
      <c r="AE389" s="98"/>
      <c r="AF389" s="98"/>
      <c r="AG389" s="98"/>
      <c r="AH389" s="98"/>
    </row>
    <row r="390" spans="2:34" x14ac:dyDescent="0.25">
      <c r="B390" s="71"/>
      <c r="C390" s="72"/>
      <c r="D390" s="77"/>
      <c r="E390" s="78"/>
      <c r="F390" s="78"/>
      <c r="G390" s="78"/>
      <c r="H390" s="78"/>
      <c r="I390" s="79"/>
      <c r="J390" s="86"/>
      <c r="K390" s="87"/>
      <c r="L390" s="86"/>
      <c r="M390" s="87"/>
      <c r="N390" s="77"/>
      <c r="O390" s="79"/>
      <c r="P390" s="92"/>
      <c r="Q390" s="93"/>
      <c r="S390" s="99"/>
      <c r="T390" s="99"/>
      <c r="U390" s="99"/>
      <c r="V390" s="99"/>
      <c r="W390" s="99"/>
      <c r="X390" s="99"/>
      <c r="Y390" s="99"/>
      <c r="Z390" s="99"/>
      <c r="AA390" s="99"/>
      <c r="AB390" s="99"/>
      <c r="AC390" s="98"/>
      <c r="AD390" s="98"/>
      <c r="AE390" s="98"/>
      <c r="AF390" s="98"/>
      <c r="AG390" s="98"/>
      <c r="AH390" s="98"/>
    </row>
    <row r="391" spans="2:34" x14ac:dyDescent="0.25">
      <c r="B391" s="73"/>
      <c r="C391" s="74"/>
      <c r="D391" s="80"/>
      <c r="E391" s="81"/>
      <c r="F391" s="81"/>
      <c r="G391" s="81"/>
      <c r="H391" s="81"/>
      <c r="I391" s="82"/>
      <c r="J391" s="88"/>
      <c r="K391" s="89"/>
      <c r="L391" s="88"/>
      <c r="M391" s="89"/>
      <c r="N391" s="80"/>
      <c r="O391" s="82"/>
      <c r="P391" s="94"/>
      <c r="Q391" s="95"/>
      <c r="S391" s="99"/>
      <c r="T391" s="99"/>
      <c r="U391" s="99"/>
      <c r="V391" s="99"/>
      <c r="W391" s="99"/>
      <c r="X391" s="99"/>
      <c r="Y391" s="99"/>
      <c r="Z391" s="99"/>
      <c r="AA391" s="99"/>
      <c r="AB391" s="99"/>
      <c r="AC391" s="98"/>
      <c r="AD391" s="98"/>
      <c r="AE391" s="98"/>
      <c r="AF391" s="98"/>
      <c r="AG391" s="98"/>
      <c r="AH391" s="98"/>
    </row>
    <row r="392" spans="2:34" x14ac:dyDescent="0.25">
      <c r="B392" s="75"/>
      <c r="C392" s="76"/>
      <c r="D392" s="83"/>
      <c r="E392" s="84"/>
      <c r="F392" s="84"/>
      <c r="G392" s="84"/>
      <c r="H392" s="84"/>
      <c r="I392" s="85"/>
      <c r="J392" s="90"/>
      <c r="K392" s="91"/>
      <c r="L392" s="90"/>
      <c r="M392" s="91"/>
      <c r="N392" s="83"/>
      <c r="O392" s="85"/>
      <c r="P392" s="96"/>
      <c r="Q392" s="97"/>
      <c r="S392" s="99"/>
      <c r="T392" s="99"/>
      <c r="U392" s="99"/>
      <c r="V392" s="99"/>
      <c r="W392" s="99"/>
      <c r="X392" s="99"/>
      <c r="Y392" s="99"/>
      <c r="Z392" s="99"/>
      <c r="AA392" s="99"/>
      <c r="AB392" s="99"/>
      <c r="AC392" s="98"/>
      <c r="AD392" s="98"/>
      <c r="AE392" s="98"/>
      <c r="AF392" s="98"/>
      <c r="AG392" s="98"/>
      <c r="AH392" s="98"/>
    </row>
    <row r="393" spans="2:34" x14ac:dyDescent="0.25">
      <c r="B393" s="71"/>
      <c r="C393" s="72"/>
      <c r="D393" s="77"/>
      <c r="E393" s="78"/>
      <c r="F393" s="78"/>
      <c r="G393" s="78"/>
      <c r="H393" s="78"/>
      <c r="I393" s="79"/>
      <c r="J393" s="86"/>
      <c r="K393" s="87"/>
      <c r="L393" s="86"/>
      <c r="M393" s="87"/>
      <c r="N393" s="77"/>
      <c r="O393" s="79"/>
      <c r="P393" s="92"/>
      <c r="Q393" s="93"/>
      <c r="S393" s="99"/>
      <c r="T393" s="99"/>
      <c r="U393" s="99"/>
      <c r="V393" s="99"/>
      <c r="W393" s="99"/>
      <c r="X393" s="99"/>
      <c r="Y393" s="99"/>
      <c r="Z393" s="99"/>
      <c r="AA393" s="99"/>
      <c r="AB393" s="99"/>
      <c r="AC393" s="98"/>
      <c r="AD393" s="98"/>
      <c r="AE393" s="98"/>
      <c r="AF393" s="98"/>
      <c r="AG393" s="98"/>
      <c r="AH393" s="98"/>
    </row>
    <row r="394" spans="2:34" x14ac:dyDescent="0.25">
      <c r="B394" s="73"/>
      <c r="C394" s="74"/>
      <c r="D394" s="80"/>
      <c r="E394" s="81"/>
      <c r="F394" s="81"/>
      <c r="G394" s="81"/>
      <c r="H394" s="81"/>
      <c r="I394" s="82"/>
      <c r="J394" s="88"/>
      <c r="K394" s="89"/>
      <c r="L394" s="88"/>
      <c r="M394" s="89"/>
      <c r="N394" s="80"/>
      <c r="O394" s="82"/>
      <c r="P394" s="94"/>
      <c r="Q394" s="95"/>
      <c r="S394" s="99"/>
      <c r="T394" s="99"/>
      <c r="U394" s="99"/>
      <c r="V394" s="99"/>
      <c r="W394" s="99"/>
      <c r="X394" s="99"/>
      <c r="Y394" s="99"/>
      <c r="Z394" s="99"/>
      <c r="AA394" s="99"/>
      <c r="AB394" s="99"/>
      <c r="AC394" s="98"/>
      <c r="AD394" s="98"/>
      <c r="AE394" s="98"/>
      <c r="AF394" s="98"/>
      <c r="AG394" s="98"/>
      <c r="AH394" s="98"/>
    </row>
    <row r="395" spans="2:34" x14ac:dyDescent="0.25">
      <c r="B395" s="75"/>
      <c r="C395" s="76"/>
      <c r="D395" s="83"/>
      <c r="E395" s="84"/>
      <c r="F395" s="84"/>
      <c r="G395" s="84"/>
      <c r="H395" s="84"/>
      <c r="I395" s="85"/>
      <c r="J395" s="90"/>
      <c r="K395" s="91"/>
      <c r="L395" s="90"/>
      <c r="M395" s="91"/>
      <c r="N395" s="83"/>
      <c r="O395" s="85"/>
      <c r="P395" s="96"/>
      <c r="Q395" s="97"/>
      <c r="S395" s="99"/>
      <c r="T395" s="99"/>
      <c r="U395" s="99"/>
      <c r="V395" s="99"/>
      <c r="W395" s="99"/>
      <c r="X395" s="99"/>
      <c r="Y395" s="99"/>
      <c r="Z395" s="99"/>
      <c r="AA395" s="99"/>
      <c r="AB395" s="99"/>
      <c r="AC395" s="98"/>
      <c r="AD395" s="98"/>
      <c r="AE395" s="98"/>
      <c r="AF395" s="98"/>
      <c r="AG395" s="98"/>
      <c r="AH395" s="98"/>
    </row>
    <row r="396" spans="2:34" x14ac:dyDescent="0.25">
      <c r="B396" s="71"/>
      <c r="C396" s="72"/>
      <c r="D396" s="77"/>
      <c r="E396" s="78"/>
      <c r="F396" s="78"/>
      <c r="G396" s="78"/>
      <c r="H396" s="78"/>
      <c r="I396" s="79"/>
      <c r="J396" s="86"/>
      <c r="K396" s="87"/>
      <c r="L396" s="86"/>
      <c r="M396" s="87"/>
      <c r="N396" s="77"/>
      <c r="O396" s="79"/>
      <c r="P396" s="92"/>
      <c r="Q396" s="93"/>
      <c r="S396" s="99"/>
      <c r="T396" s="99"/>
      <c r="U396" s="99"/>
      <c r="V396" s="99"/>
      <c r="W396" s="99"/>
      <c r="X396" s="99"/>
      <c r="Y396" s="99"/>
      <c r="Z396" s="99"/>
      <c r="AA396" s="99"/>
      <c r="AB396" s="99"/>
      <c r="AC396" s="98"/>
      <c r="AD396" s="98"/>
      <c r="AE396" s="98"/>
      <c r="AF396" s="98"/>
      <c r="AG396" s="98"/>
      <c r="AH396" s="98"/>
    </row>
    <row r="397" spans="2:34" x14ac:dyDescent="0.25">
      <c r="B397" s="73"/>
      <c r="C397" s="74"/>
      <c r="D397" s="80"/>
      <c r="E397" s="81"/>
      <c r="F397" s="81"/>
      <c r="G397" s="81"/>
      <c r="H397" s="81"/>
      <c r="I397" s="82"/>
      <c r="J397" s="88"/>
      <c r="K397" s="89"/>
      <c r="L397" s="88"/>
      <c r="M397" s="89"/>
      <c r="N397" s="80"/>
      <c r="O397" s="82"/>
      <c r="P397" s="94"/>
      <c r="Q397" s="95"/>
      <c r="S397" s="99"/>
      <c r="T397" s="99"/>
      <c r="U397" s="99"/>
      <c r="V397" s="99"/>
      <c r="W397" s="99"/>
      <c r="X397" s="99"/>
      <c r="Y397" s="99"/>
      <c r="Z397" s="99"/>
      <c r="AA397" s="99"/>
      <c r="AB397" s="99"/>
      <c r="AC397" s="98"/>
      <c r="AD397" s="98"/>
      <c r="AE397" s="98"/>
      <c r="AF397" s="98"/>
      <c r="AG397" s="98"/>
      <c r="AH397" s="98"/>
    </row>
    <row r="398" spans="2:34" x14ac:dyDescent="0.25">
      <c r="B398" s="75"/>
      <c r="C398" s="76"/>
      <c r="D398" s="83"/>
      <c r="E398" s="84"/>
      <c r="F398" s="84"/>
      <c r="G398" s="84"/>
      <c r="H398" s="84"/>
      <c r="I398" s="85"/>
      <c r="J398" s="90"/>
      <c r="K398" s="91"/>
      <c r="L398" s="90"/>
      <c r="M398" s="91"/>
      <c r="N398" s="83"/>
      <c r="O398" s="85"/>
      <c r="P398" s="96"/>
      <c r="Q398" s="97"/>
      <c r="S398" s="99"/>
      <c r="T398" s="99"/>
      <c r="U398" s="99"/>
      <c r="V398" s="99"/>
      <c r="W398" s="99"/>
      <c r="X398" s="99"/>
      <c r="Y398" s="99"/>
      <c r="Z398" s="99"/>
      <c r="AA398" s="99"/>
      <c r="AB398" s="99"/>
      <c r="AC398" s="98"/>
      <c r="AD398" s="98"/>
      <c r="AE398" s="98"/>
      <c r="AF398" s="98"/>
      <c r="AG398" s="98"/>
      <c r="AH398" s="98"/>
    </row>
    <row r="399" spans="2:34" x14ac:dyDescent="0.25">
      <c r="B399" s="71"/>
      <c r="C399" s="72"/>
      <c r="D399" s="77"/>
      <c r="E399" s="78"/>
      <c r="F399" s="78"/>
      <c r="G399" s="78"/>
      <c r="H399" s="78"/>
      <c r="I399" s="79"/>
      <c r="J399" s="86"/>
      <c r="K399" s="87"/>
      <c r="L399" s="86"/>
      <c r="M399" s="87"/>
      <c r="N399" s="77"/>
      <c r="O399" s="79"/>
      <c r="P399" s="92"/>
      <c r="Q399" s="93"/>
      <c r="S399" s="99"/>
      <c r="T399" s="99"/>
      <c r="U399" s="99"/>
      <c r="V399" s="99"/>
      <c r="W399" s="99"/>
      <c r="X399" s="99"/>
      <c r="Y399" s="99"/>
      <c r="Z399" s="99"/>
      <c r="AA399" s="99"/>
      <c r="AB399" s="99"/>
      <c r="AC399" s="98"/>
      <c r="AD399" s="98"/>
      <c r="AE399" s="98"/>
      <c r="AF399" s="98"/>
      <c r="AG399" s="98"/>
      <c r="AH399" s="98"/>
    </row>
    <row r="400" spans="2:34" x14ac:dyDescent="0.25">
      <c r="B400" s="73"/>
      <c r="C400" s="74"/>
      <c r="D400" s="80"/>
      <c r="E400" s="81"/>
      <c r="F400" s="81"/>
      <c r="G400" s="81"/>
      <c r="H400" s="81"/>
      <c r="I400" s="82"/>
      <c r="J400" s="88"/>
      <c r="K400" s="89"/>
      <c r="L400" s="88"/>
      <c r="M400" s="89"/>
      <c r="N400" s="80"/>
      <c r="O400" s="82"/>
      <c r="P400" s="94"/>
      <c r="Q400" s="95"/>
      <c r="S400" s="99"/>
      <c r="T400" s="99"/>
      <c r="U400" s="99"/>
      <c r="V400" s="99"/>
      <c r="W400" s="99"/>
      <c r="X400" s="99"/>
      <c r="Y400" s="99"/>
      <c r="Z400" s="99"/>
      <c r="AA400" s="99"/>
      <c r="AB400" s="99"/>
      <c r="AC400" s="98"/>
      <c r="AD400" s="98"/>
      <c r="AE400" s="98"/>
      <c r="AF400" s="98"/>
      <c r="AG400" s="98"/>
      <c r="AH400" s="98"/>
    </row>
    <row r="401" spans="2:34" x14ac:dyDescent="0.25">
      <c r="B401" s="75"/>
      <c r="C401" s="76"/>
      <c r="D401" s="83"/>
      <c r="E401" s="84"/>
      <c r="F401" s="84"/>
      <c r="G401" s="84"/>
      <c r="H401" s="84"/>
      <c r="I401" s="85"/>
      <c r="J401" s="90"/>
      <c r="K401" s="91"/>
      <c r="L401" s="90"/>
      <c r="M401" s="91"/>
      <c r="N401" s="83"/>
      <c r="O401" s="85"/>
      <c r="P401" s="96"/>
      <c r="Q401" s="97"/>
      <c r="S401" s="99"/>
      <c r="T401" s="99"/>
      <c r="U401" s="99"/>
      <c r="V401" s="99"/>
      <c r="W401" s="99"/>
      <c r="X401" s="99"/>
      <c r="Y401" s="99"/>
      <c r="Z401" s="99"/>
      <c r="AA401" s="99"/>
      <c r="AB401" s="99"/>
      <c r="AC401" s="98"/>
      <c r="AD401" s="98"/>
      <c r="AE401" s="98"/>
      <c r="AF401" s="98"/>
      <c r="AG401" s="98"/>
      <c r="AH401" s="98"/>
    </row>
    <row r="402" spans="2:34" x14ac:dyDescent="0.25">
      <c r="B402" s="71"/>
      <c r="C402" s="72"/>
      <c r="D402" s="77"/>
      <c r="E402" s="78"/>
      <c r="F402" s="78"/>
      <c r="G402" s="78"/>
      <c r="H402" s="78"/>
      <c r="I402" s="79"/>
      <c r="J402" s="86"/>
      <c r="K402" s="87"/>
      <c r="L402" s="86"/>
      <c r="M402" s="87"/>
      <c r="N402" s="77"/>
      <c r="O402" s="79"/>
      <c r="P402" s="92"/>
      <c r="Q402" s="93"/>
      <c r="S402" s="99"/>
      <c r="T402" s="99"/>
      <c r="U402" s="99"/>
      <c r="V402" s="99"/>
      <c r="W402" s="99"/>
      <c r="X402" s="99"/>
      <c r="Y402" s="99"/>
      <c r="Z402" s="99"/>
      <c r="AA402" s="99"/>
      <c r="AB402" s="99"/>
      <c r="AC402" s="98"/>
      <c r="AD402" s="98"/>
      <c r="AE402" s="98"/>
      <c r="AF402" s="98"/>
      <c r="AG402" s="98"/>
      <c r="AH402" s="98"/>
    </row>
    <row r="403" spans="2:34" x14ac:dyDescent="0.25">
      <c r="B403" s="73"/>
      <c r="C403" s="74"/>
      <c r="D403" s="80"/>
      <c r="E403" s="81"/>
      <c r="F403" s="81"/>
      <c r="G403" s="81"/>
      <c r="H403" s="81"/>
      <c r="I403" s="82"/>
      <c r="J403" s="88"/>
      <c r="K403" s="89"/>
      <c r="L403" s="88"/>
      <c r="M403" s="89"/>
      <c r="N403" s="80"/>
      <c r="O403" s="82"/>
      <c r="P403" s="94"/>
      <c r="Q403" s="95"/>
      <c r="S403" s="99"/>
      <c r="T403" s="99"/>
      <c r="U403" s="99"/>
      <c r="V403" s="99"/>
      <c r="W403" s="99"/>
      <c r="X403" s="99"/>
      <c r="Y403" s="99"/>
      <c r="Z403" s="99"/>
      <c r="AA403" s="99"/>
      <c r="AB403" s="99"/>
      <c r="AC403" s="98"/>
      <c r="AD403" s="98"/>
      <c r="AE403" s="98"/>
      <c r="AF403" s="98"/>
      <c r="AG403" s="98"/>
      <c r="AH403" s="98"/>
    </row>
    <row r="404" spans="2:34" x14ac:dyDescent="0.25">
      <c r="B404" s="75"/>
      <c r="C404" s="76"/>
      <c r="D404" s="83"/>
      <c r="E404" s="84"/>
      <c r="F404" s="84"/>
      <c r="G404" s="84"/>
      <c r="H404" s="84"/>
      <c r="I404" s="85"/>
      <c r="J404" s="90"/>
      <c r="K404" s="91"/>
      <c r="L404" s="90"/>
      <c r="M404" s="91"/>
      <c r="N404" s="83"/>
      <c r="O404" s="85"/>
      <c r="P404" s="96"/>
      <c r="Q404" s="97"/>
      <c r="S404" s="99"/>
      <c r="T404" s="99"/>
      <c r="U404" s="99"/>
      <c r="V404" s="99"/>
      <c r="W404" s="99"/>
      <c r="X404" s="99"/>
      <c r="Y404" s="99"/>
      <c r="Z404" s="99"/>
      <c r="AA404" s="99"/>
      <c r="AB404" s="99"/>
      <c r="AC404" s="98"/>
      <c r="AD404" s="98"/>
      <c r="AE404" s="98"/>
      <c r="AF404" s="98"/>
      <c r="AG404" s="98"/>
      <c r="AH404" s="98"/>
    </row>
    <row r="405" spans="2:34" x14ac:dyDescent="0.25">
      <c r="B405" s="71"/>
      <c r="C405" s="72"/>
      <c r="D405" s="77"/>
      <c r="E405" s="78"/>
      <c r="F405" s="78"/>
      <c r="G405" s="78"/>
      <c r="H405" s="78"/>
      <c r="I405" s="79"/>
      <c r="J405" s="86"/>
      <c r="K405" s="87"/>
      <c r="L405" s="86"/>
      <c r="M405" s="87"/>
      <c r="N405" s="77"/>
      <c r="O405" s="79"/>
      <c r="P405" s="92"/>
      <c r="Q405" s="93"/>
      <c r="S405" s="99"/>
      <c r="T405" s="99"/>
      <c r="U405" s="99"/>
      <c r="V405" s="99"/>
      <c r="W405" s="99"/>
      <c r="X405" s="99"/>
      <c r="Y405" s="99"/>
      <c r="Z405" s="99"/>
      <c r="AA405" s="99"/>
      <c r="AB405" s="99"/>
      <c r="AC405" s="98"/>
      <c r="AD405" s="98"/>
      <c r="AE405" s="98"/>
      <c r="AF405" s="98"/>
      <c r="AG405" s="98"/>
      <c r="AH405" s="98"/>
    </row>
    <row r="406" spans="2:34" x14ac:dyDescent="0.25">
      <c r="B406" s="73"/>
      <c r="C406" s="74"/>
      <c r="D406" s="80"/>
      <c r="E406" s="81"/>
      <c r="F406" s="81"/>
      <c r="G406" s="81"/>
      <c r="H406" s="81"/>
      <c r="I406" s="82"/>
      <c r="J406" s="88"/>
      <c r="K406" s="89"/>
      <c r="L406" s="88"/>
      <c r="M406" s="89"/>
      <c r="N406" s="80"/>
      <c r="O406" s="82"/>
      <c r="P406" s="94"/>
      <c r="Q406" s="95"/>
      <c r="S406" s="99"/>
      <c r="T406" s="99"/>
      <c r="U406" s="99"/>
      <c r="V406" s="99"/>
      <c r="W406" s="99"/>
      <c r="X406" s="99"/>
      <c r="Y406" s="99"/>
      <c r="Z406" s="99"/>
      <c r="AA406" s="99"/>
      <c r="AB406" s="99"/>
      <c r="AC406" s="98"/>
      <c r="AD406" s="98"/>
      <c r="AE406" s="98"/>
      <c r="AF406" s="98"/>
      <c r="AG406" s="98"/>
      <c r="AH406" s="98"/>
    </row>
    <row r="407" spans="2:34" x14ac:dyDescent="0.25">
      <c r="B407" s="75"/>
      <c r="C407" s="76"/>
      <c r="D407" s="83"/>
      <c r="E407" s="84"/>
      <c r="F407" s="84"/>
      <c r="G407" s="84"/>
      <c r="H407" s="84"/>
      <c r="I407" s="85"/>
      <c r="J407" s="90"/>
      <c r="K407" s="91"/>
      <c r="L407" s="90"/>
      <c r="M407" s="91"/>
      <c r="N407" s="83"/>
      <c r="O407" s="85"/>
      <c r="P407" s="96"/>
      <c r="Q407" s="97"/>
      <c r="S407" s="99"/>
      <c r="T407" s="99"/>
      <c r="U407" s="99"/>
      <c r="V407" s="99"/>
      <c r="W407" s="99"/>
      <c r="X407" s="99"/>
      <c r="Y407" s="99"/>
      <c r="Z407" s="99"/>
      <c r="AA407" s="99"/>
      <c r="AB407" s="99"/>
      <c r="AC407" s="98"/>
      <c r="AD407" s="98"/>
      <c r="AE407" s="98"/>
      <c r="AF407" s="98"/>
      <c r="AG407" s="98"/>
      <c r="AH407" s="98"/>
    </row>
    <row r="408" spans="2:34" x14ac:dyDescent="0.25">
      <c r="B408" s="71"/>
      <c r="C408" s="72"/>
      <c r="D408" s="77"/>
      <c r="E408" s="78"/>
      <c r="F408" s="78"/>
      <c r="G408" s="78"/>
      <c r="H408" s="78"/>
      <c r="I408" s="79"/>
      <c r="J408" s="86"/>
      <c r="K408" s="87"/>
      <c r="L408" s="86"/>
      <c r="M408" s="87"/>
      <c r="N408" s="77"/>
      <c r="O408" s="79"/>
      <c r="P408" s="92"/>
      <c r="Q408" s="93"/>
      <c r="S408" s="99"/>
      <c r="T408" s="99"/>
      <c r="U408" s="99"/>
      <c r="V408" s="99"/>
      <c r="W408" s="99"/>
      <c r="X408" s="99"/>
      <c r="Y408" s="99"/>
      <c r="Z408" s="99"/>
      <c r="AA408" s="99"/>
      <c r="AB408" s="99"/>
      <c r="AC408" s="98"/>
      <c r="AD408" s="98"/>
      <c r="AE408" s="98"/>
      <c r="AF408" s="98"/>
      <c r="AG408" s="98"/>
      <c r="AH408" s="98"/>
    </row>
    <row r="409" spans="2:34" x14ac:dyDescent="0.25">
      <c r="B409" s="73"/>
      <c r="C409" s="74"/>
      <c r="D409" s="80"/>
      <c r="E409" s="81"/>
      <c r="F409" s="81"/>
      <c r="G409" s="81"/>
      <c r="H409" s="81"/>
      <c r="I409" s="82"/>
      <c r="J409" s="88"/>
      <c r="K409" s="89"/>
      <c r="L409" s="88"/>
      <c r="M409" s="89"/>
      <c r="N409" s="80"/>
      <c r="O409" s="82"/>
      <c r="P409" s="94"/>
      <c r="Q409" s="95"/>
      <c r="S409" s="99"/>
      <c r="T409" s="99"/>
      <c r="U409" s="99"/>
      <c r="V409" s="99"/>
      <c r="W409" s="99"/>
      <c r="X409" s="99"/>
      <c r="Y409" s="99"/>
      <c r="Z409" s="99"/>
      <c r="AA409" s="99"/>
      <c r="AB409" s="99"/>
      <c r="AC409" s="98"/>
      <c r="AD409" s="98"/>
      <c r="AE409" s="98"/>
      <c r="AF409" s="98"/>
      <c r="AG409" s="98"/>
      <c r="AH409" s="98"/>
    </row>
    <row r="410" spans="2:34" x14ac:dyDescent="0.25">
      <c r="B410" s="75"/>
      <c r="C410" s="76"/>
      <c r="D410" s="83"/>
      <c r="E410" s="84"/>
      <c r="F410" s="84"/>
      <c r="G410" s="84"/>
      <c r="H410" s="84"/>
      <c r="I410" s="85"/>
      <c r="J410" s="90"/>
      <c r="K410" s="91"/>
      <c r="L410" s="90"/>
      <c r="M410" s="91"/>
      <c r="N410" s="83"/>
      <c r="O410" s="85"/>
      <c r="P410" s="96"/>
      <c r="Q410" s="97"/>
      <c r="S410" s="99"/>
      <c r="T410" s="99"/>
      <c r="U410" s="99"/>
      <c r="V410" s="99"/>
      <c r="W410" s="99"/>
      <c r="X410" s="99"/>
      <c r="Y410" s="99"/>
      <c r="Z410" s="99"/>
      <c r="AA410" s="99"/>
      <c r="AB410" s="99"/>
      <c r="AC410" s="98"/>
      <c r="AD410" s="98"/>
      <c r="AE410" s="98"/>
      <c r="AF410" s="98"/>
      <c r="AG410" s="98"/>
      <c r="AH410" s="98"/>
    </row>
    <row r="411" spans="2:34" x14ac:dyDescent="0.25">
      <c r="B411" s="71"/>
      <c r="C411" s="72"/>
      <c r="D411" s="77"/>
      <c r="E411" s="78"/>
      <c r="F411" s="78"/>
      <c r="G411" s="78"/>
      <c r="H411" s="78"/>
      <c r="I411" s="79"/>
      <c r="J411" s="86"/>
      <c r="K411" s="87"/>
      <c r="L411" s="86"/>
      <c r="M411" s="87"/>
      <c r="N411" s="77"/>
      <c r="O411" s="79"/>
      <c r="P411" s="92"/>
      <c r="Q411" s="93"/>
      <c r="S411" s="99"/>
      <c r="T411" s="99"/>
      <c r="U411" s="99"/>
      <c r="V411" s="99"/>
      <c r="W411" s="99"/>
      <c r="X411" s="99"/>
      <c r="Y411" s="99"/>
      <c r="Z411" s="99"/>
      <c r="AA411" s="99"/>
      <c r="AB411" s="99"/>
      <c r="AC411" s="98"/>
      <c r="AD411" s="98"/>
      <c r="AE411" s="98"/>
      <c r="AF411" s="98"/>
      <c r="AG411" s="98"/>
      <c r="AH411" s="98"/>
    </row>
    <row r="412" spans="2:34" x14ac:dyDescent="0.25">
      <c r="B412" s="73"/>
      <c r="C412" s="74"/>
      <c r="D412" s="80"/>
      <c r="E412" s="81"/>
      <c r="F412" s="81"/>
      <c r="G412" s="81"/>
      <c r="H412" s="81"/>
      <c r="I412" s="82"/>
      <c r="J412" s="88"/>
      <c r="K412" s="89"/>
      <c r="L412" s="88"/>
      <c r="M412" s="89"/>
      <c r="N412" s="80"/>
      <c r="O412" s="82"/>
      <c r="P412" s="94"/>
      <c r="Q412" s="95"/>
      <c r="S412" s="99"/>
      <c r="T412" s="99"/>
      <c r="U412" s="99"/>
      <c r="V412" s="99"/>
      <c r="W412" s="99"/>
      <c r="X412" s="99"/>
      <c r="Y412" s="99"/>
      <c r="Z412" s="99"/>
      <c r="AA412" s="99"/>
      <c r="AB412" s="99"/>
      <c r="AC412" s="98"/>
      <c r="AD412" s="98"/>
      <c r="AE412" s="98"/>
      <c r="AF412" s="98"/>
      <c r="AG412" s="98"/>
      <c r="AH412" s="98"/>
    </row>
    <row r="413" spans="2:34" x14ac:dyDescent="0.25">
      <c r="B413" s="75"/>
      <c r="C413" s="76"/>
      <c r="D413" s="83"/>
      <c r="E413" s="84"/>
      <c r="F413" s="84"/>
      <c r="G413" s="84"/>
      <c r="H413" s="84"/>
      <c r="I413" s="85"/>
      <c r="J413" s="90"/>
      <c r="K413" s="91"/>
      <c r="L413" s="90"/>
      <c r="M413" s="91"/>
      <c r="N413" s="83"/>
      <c r="O413" s="85"/>
      <c r="P413" s="96"/>
      <c r="Q413" s="97"/>
      <c r="S413" s="99"/>
      <c r="T413" s="99"/>
      <c r="U413" s="99"/>
      <c r="V413" s="99"/>
      <c r="W413" s="99"/>
      <c r="X413" s="99"/>
      <c r="Y413" s="99"/>
      <c r="Z413" s="99"/>
      <c r="AA413" s="99"/>
      <c r="AB413" s="99"/>
      <c r="AC413" s="98"/>
      <c r="AD413" s="98"/>
      <c r="AE413" s="98"/>
      <c r="AF413" s="98"/>
      <c r="AG413" s="98"/>
      <c r="AH413" s="98"/>
    </row>
    <row r="414" spans="2:34" x14ac:dyDescent="0.25">
      <c r="B414" s="71"/>
      <c r="C414" s="72"/>
      <c r="D414" s="77"/>
      <c r="E414" s="78"/>
      <c r="F414" s="78"/>
      <c r="G414" s="78"/>
      <c r="H414" s="78"/>
      <c r="I414" s="79"/>
      <c r="J414" s="86"/>
      <c r="K414" s="87"/>
      <c r="L414" s="86"/>
      <c r="M414" s="87"/>
      <c r="N414" s="77"/>
      <c r="O414" s="79"/>
      <c r="P414" s="92"/>
      <c r="Q414" s="93"/>
      <c r="S414" s="99"/>
      <c r="T414" s="99"/>
      <c r="U414" s="99"/>
      <c r="V414" s="99"/>
      <c r="W414" s="99"/>
      <c r="X414" s="99"/>
      <c r="Y414" s="99"/>
      <c r="Z414" s="99"/>
      <c r="AA414" s="99"/>
      <c r="AB414" s="99"/>
      <c r="AC414" s="98"/>
      <c r="AD414" s="98"/>
      <c r="AE414" s="98"/>
      <c r="AF414" s="98"/>
      <c r="AG414" s="98"/>
      <c r="AH414" s="98"/>
    </row>
    <row r="415" spans="2:34" x14ac:dyDescent="0.25">
      <c r="B415" s="73"/>
      <c r="C415" s="74"/>
      <c r="D415" s="80"/>
      <c r="E415" s="81"/>
      <c r="F415" s="81"/>
      <c r="G415" s="81"/>
      <c r="H415" s="81"/>
      <c r="I415" s="82"/>
      <c r="J415" s="88"/>
      <c r="K415" s="89"/>
      <c r="L415" s="88"/>
      <c r="M415" s="89"/>
      <c r="N415" s="80"/>
      <c r="O415" s="82"/>
      <c r="P415" s="94"/>
      <c r="Q415" s="95"/>
      <c r="S415" s="99"/>
      <c r="T415" s="99"/>
      <c r="U415" s="99"/>
      <c r="V415" s="99"/>
      <c r="W415" s="99"/>
      <c r="X415" s="99"/>
      <c r="Y415" s="99"/>
      <c r="Z415" s="99"/>
      <c r="AA415" s="99"/>
      <c r="AB415" s="99"/>
      <c r="AC415" s="98"/>
      <c r="AD415" s="98"/>
      <c r="AE415" s="98"/>
      <c r="AF415" s="98"/>
      <c r="AG415" s="98"/>
      <c r="AH415" s="98"/>
    </row>
    <row r="416" spans="2:34" x14ac:dyDescent="0.25">
      <c r="B416" s="75"/>
      <c r="C416" s="76"/>
      <c r="D416" s="83"/>
      <c r="E416" s="84"/>
      <c r="F416" s="84"/>
      <c r="G416" s="84"/>
      <c r="H416" s="84"/>
      <c r="I416" s="85"/>
      <c r="J416" s="90"/>
      <c r="K416" s="91"/>
      <c r="L416" s="90"/>
      <c r="M416" s="91"/>
      <c r="N416" s="83"/>
      <c r="O416" s="85"/>
      <c r="P416" s="96"/>
      <c r="Q416" s="97"/>
      <c r="S416" s="99"/>
      <c r="T416" s="99"/>
      <c r="U416" s="99"/>
      <c r="V416" s="99"/>
      <c r="W416" s="99"/>
      <c r="X416" s="99"/>
      <c r="Y416" s="99"/>
      <c r="Z416" s="99"/>
      <c r="AA416" s="99"/>
      <c r="AB416" s="99"/>
      <c r="AC416" s="98"/>
      <c r="AD416" s="98"/>
      <c r="AE416" s="98"/>
      <c r="AF416" s="98"/>
      <c r="AG416" s="98"/>
      <c r="AH416" s="98"/>
    </row>
    <row r="417" spans="2:34" x14ac:dyDescent="0.25">
      <c r="B417" s="71"/>
      <c r="C417" s="72"/>
      <c r="D417" s="77"/>
      <c r="E417" s="78"/>
      <c r="F417" s="78"/>
      <c r="G417" s="78"/>
      <c r="H417" s="78"/>
      <c r="I417" s="79"/>
      <c r="J417" s="86"/>
      <c r="K417" s="87"/>
      <c r="L417" s="86"/>
      <c r="M417" s="87"/>
      <c r="N417" s="77"/>
      <c r="O417" s="79"/>
      <c r="P417" s="92"/>
      <c r="Q417" s="93"/>
      <c r="S417" s="99"/>
      <c r="T417" s="99"/>
      <c r="U417" s="99"/>
      <c r="V417" s="99"/>
      <c r="W417" s="99"/>
      <c r="X417" s="99"/>
      <c r="Y417" s="99"/>
      <c r="Z417" s="99"/>
      <c r="AA417" s="99"/>
      <c r="AB417" s="99"/>
      <c r="AC417" s="98"/>
      <c r="AD417" s="98"/>
      <c r="AE417" s="98"/>
      <c r="AF417" s="98"/>
      <c r="AG417" s="98"/>
      <c r="AH417" s="98"/>
    </row>
    <row r="418" spans="2:34" x14ac:dyDescent="0.25">
      <c r="B418" s="73"/>
      <c r="C418" s="74"/>
      <c r="D418" s="80"/>
      <c r="E418" s="81"/>
      <c r="F418" s="81"/>
      <c r="G418" s="81"/>
      <c r="H418" s="81"/>
      <c r="I418" s="82"/>
      <c r="J418" s="88"/>
      <c r="K418" s="89"/>
      <c r="L418" s="88"/>
      <c r="M418" s="89"/>
      <c r="N418" s="80"/>
      <c r="O418" s="82"/>
      <c r="P418" s="94"/>
      <c r="Q418" s="95"/>
      <c r="S418" s="99"/>
      <c r="T418" s="99"/>
      <c r="U418" s="99"/>
      <c r="V418" s="99"/>
      <c r="W418" s="99"/>
      <c r="X418" s="99"/>
      <c r="Y418" s="99"/>
      <c r="Z418" s="99"/>
      <c r="AA418" s="99"/>
      <c r="AB418" s="99"/>
      <c r="AC418" s="98"/>
      <c r="AD418" s="98"/>
      <c r="AE418" s="98"/>
      <c r="AF418" s="98"/>
      <c r="AG418" s="98"/>
      <c r="AH418" s="98"/>
    </row>
    <row r="419" spans="2:34" x14ac:dyDescent="0.25">
      <c r="B419" s="75"/>
      <c r="C419" s="76"/>
      <c r="D419" s="83"/>
      <c r="E419" s="84"/>
      <c r="F419" s="84"/>
      <c r="G419" s="84"/>
      <c r="H419" s="84"/>
      <c r="I419" s="85"/>
      <c r="J419" s="90"/>
      <c r="K419" s="91"/>
      <c r="L419" s="90"/>
      <c r="M419" s="91"/>
      <c r="N419" s="83"/>
      <c r="O419" s="85"/>
      <c r="P419" s="96"/>
      <c r="Q419" s="97"/>
      <c r="S419" s="99"/>
      <c r="T419" s="99"/>
      <c r="U419" s="99"/>
      <c r="V419" s="99"/>
      <c r="W419" s="99"/>
      <c r="X419" s="99"/>
      <c r="Y419" s="99"/>
      <c r="Z419" s="99"/>
      <c r="AA419" s="99"/>
      <c r="AB419" s="99"/>
      <c r="AC419" s="98"/>
      <c r="AD419" s="98"/>
      <c r="AE419" s="98"/>
      <c r="AF419" s="98"/>
      <c r="AG419" s="98"/>
      <c r="AH419" s="98"/>
    </row>
    <row r="420" spans="2:34" x14ac:dyDescent="0.25">
      <c r="B420" s="71"/>
      <c r="C420" s="72"/>
      <c r="D420" s="77"/>
      <c r="E420" s="78"/>
      <c r="F420" s="78"/>
      <c r="G420" s="78"/>
      <c r="H420" s="78"/>
      <c r="I420" s="79"/>
      <c r="J420" s="86"/>
      <c r="K420" s="87"/>
      <c r="L420" s="86"/>
      <c r="M420" s="87"/>
      <c r="N420" s="77"/>
      <c r="O420" s="79"/>
      <c r="P420" s="92"/>
      <c r="Q420" s="93"/>
      <c r="S420" s="99"/>
      <c r="T420" s="99"/>
      <c r="U420" s="99"/>
      <c r="V420" s="99"/>
      <c r="W420" s="99"/>
      <c r="X420" s="99"/>
      <c r="Y420" s="99"/>
      <c r="Z420" s="99"/>
      <c r="AA420" s="99"/>
      <c r="AB420" s="99"/>
      <c r="AC420" s="98"/>
      <c r="AD420" s="98"/>
      <c r="AE420" s="98"/>
      <c r="AF420" s="98"/>
      <c r="AG420" s="98"/>
      <c r="AH420" s="98"/>
    </row>
    <row r="421" spans="2:34" x14ac:dyDescent="0.25">
      <c r="B421" s="73"/>
      <c r="C421" s="74"/>
      <c r="D421" s="80"/>
      <c r="E421" s="81"/>
      <c r="F421" s="81"/>
      <c r="G421" s="81"/>
      <c r="H421" s="81"/>
      <c r="I421" s="82"/>
      <c r="J421" s="88"/>
      <c r="K421" s="89"/>
      <c r="L421" s="88"/>
      <c r="M421" s="89"/>
      <c r="N421" s="80"/>
      <c r="O421" s="82"/>
      <c r="P421" s="94"/>
      <c r="Q421" s="95"/>
      <c r="S421" s="99"/>
      <c r="T421" s="99"/>
      <c r="U421" s="99"/>
      <c r="V421" s="99"/>
      <c r="W421" s="99"/>
      <c r="X421" s="99"/>
      <c r="Y421" s="99"/>
      <c r="Z421" s="99"/>
      <c r="AA421" s="99"/>
      <c r="AB421" s="99"/>
      <c r="AC421" s="98"/>
      <c r="AD421" s="98"/>
      <c r="AE421" s="98"/>
      <c r="AF421" s="98"/>
      <c r="AG421" s="98"/>
      <c r="AH421" s="98"/>
    </row>
    <row r="422" spans="2:34" x14ac:dyDescent="0.25">
      <c r="B422" s="75"/>
      <c r="C422" s="76"/>
      <c r="D422" s="83"/>
      <c r="E422" s="84"/>
      <c r="F422" s="84"/>
      <c r="G422" s="84"/>
      <c r="H422" s="84"/>
      <c r="I422" s="85"/>
      <c r="J422" s="90"/>
      <c r="K422" s="91"/>
      <c r="L422" s="90"/>
      <c r="M422" s="91"/>
      <c r="N422" s="83"/>
      <c r="O422" s="85"/>
      <c r="P422" s="96"/>
      <c r="Q422" s="97"/>
      <c r="S422" s="99"/>
      <c r="T422" s="99"/>
      <c r="U422" s="99"/>
      <c r="V422" s="99"/>
      <c r="W422" s="99"/>
      <c r="X422" s="99"/>
      <c r="Y422" s="99"/>
      <c r="Z422" s="99"/>
      <c r="AA422" s="99"/>
      <c r="AB422" s="99"/>
      <c r="AC422" s="98"/>
      <c r="AD422" s="98"/>
      <c r="AE422" s="98"/>
      <c r="AF422" s="98"/>
      <c r="AG422" s="98"/>
      <c r="AH422" s="98"/>
    </row>
    <row r="423" spans="2:34" x14ac:dyDescent="0.25">
      <c r="B423" s="71"/>
      <c r="C423" s="72"/>
      <c r="D423" s="77"/>
      <c r="E423" s="78"/>
      <c r="F423" s="78"/>
      <c r="G423" s="78"/>
      <c r="H423" s="78"/>
      <c r="I423" s="79"/>
      <c r="J423" s="86"/>
      <c r="K423" s="87"/>
      <c r="L423" s="86"/>
      <c r="M423" s="87"/>
      <c r="N423" s="77"/>
      <c r="O423" s="79"/>
      <c r="P423" s="92"/>
      <c r="Q423" s="93"/>
      <c r="S423" s="99"/>
      <c r="T423" s="99"/>
      <c r="U423" s="99"/>
      <c r="V423" s="99"/>
      <c r="W423" s="99"/>
      <c r="X423" s="99"/>
      <c r="Y423" s="99"/>
      <c r="Z423" s="99"/>
      <c r="AA423" s="99"/>
      <c r="AB423" s="99"/>
      <c r="AC423" s="98"/>
      <c r="AD423" s="98"/>
      <c r="AE423" s="98"/>
      <c r="AF423" s="98"/>
      <c r="AG423" s="98"/>
      <c r="AH423" s="98"/>
    </row>
    <row r="424" spans="2:34" x14ac:dyDescent="0.25">
      <c r="B424" s="73"/>
      <c r="C424" s="74"/>
      <c r="D424" s="80"/>
      <c r="E424" s="81"/>
      <c r="F424" s="81"/>
      <c r="G424" s="81"/>
      <c r="H424" s="81"/>
      <c r="I424" s="82"/>
      <c r="J424" s="88"/>
      <c r="K424" s="89"/>
      <c r="L424" s="88"/>
      <c r="M424" s="89"/>
      <c r="N424" s="80"/>
      <c r="O424" s="82"/>
      <c r="P424" s="94"/>
      <c r="Q424" s="95"/>
      <c r="S424" s="99"/>
      <c r="T424" s="99"/>
      <c r="U424" s="99"/>
      <c r="V424" s="99"/>
      <c r="W424" s="99"/>
      <c r="X424" s="99"/>
      <c r="Y424" s="99"/>
      <c r="Z424" s="99"/>
      <c r="AA424" s="99"/>
      <c r="AB424" s="99"/>
      <c r="AC424" s="98"/>
      <c r="AD424" s="98"/>
      <c r="AE424" s="98"/>
      <c r="AF424" s="98"/>
      <c r="AG424" s="98"/>
      <c r="AH424" s="98"/>
    </row>
    <row r="425" spans="2:34" x14ac:dyDescent="0.25">
      <c r="B425" s="75"/>
      <c r="C425" s="76"/>
      <c r="D425" s="83"/>
      <c r="E425" s="84"/>
      <c r="F425" s="84"/>
      <c r="G425" s="84"/>
      <c r="H425" s="84"/>
      <c r="I425" s="85"/>
      <c r="J425" s="90"/>
      <c r="K425" s="91"/>
      <c r="L425" s="90"/>
      <c r="M425" s="91"/>
      <c r="N425" s="83"/>
      <c r="O425" s="85"/>
      <c r="P425" s="96"/>
      <c r="Q425" s="97"/>
      <c r="S425" s="99"/>
      <c r="T425" s="99"/>
      <c r="U425" s="99"/>
      <c r="V425" s="99"/>
      <c r="W425" s="99"/>
      <c r="X425" s="99"/>
      <c r="Y425" s="99"/>
      <c r="Z425" s="99"/>
      <c r="AA425" s="99"/>
      <c r="AB425" s="99"/>
      <c r="AC425" s="98"/>
      <c r="AD425" s="98"/>
      <c r="AE425" s="98"/>
      <c r="AF425" s="98"/>
      <c r="AG425" s="98"/>
      <c r="AH425" s="98"/>
    </row>
    <row r="426" spans="2:34" x14ac:dyDescent="0.25">
      <c r="B426" s="71"/>
      <c r="C426" s="72"/>
      <c r="D426" s="77"/>
      <c r="E426" s="78"/>
      <c r="F426" s="78"/>
      <c r="G426" s="78"/>
      <c r="H426" s="78"/>
      <c r="I426" s="79"/>
      <c r="J426" s="86"/>
      <c r="K426" s="87"/>
      <c r="L426" s="86"/>
      <c r="M426" s="87"/>
      <c r="N426" s="77"/>
      <c r="O426" s="79"/>
      <c r="P426" s="92"/>
      <c r="Q426" s="93"/>
      <c r="S426" s="99"/>
      <c r="T426" s="99"/>
      <c r="U426" s="99"/>
      <c r="V426" s="99"/>
      <c r="W426" s="99"/>
      <c r="X426" s="99"/>
      <c r="Y426" s="99"/>
      <c r="Z426" s="99"/>
      <c r="AA426" s="99"/>
      <c r="AB426" s="99"/>
      <c r="AC426" s="98"/>
      <c r="AD426" s="98"/>
      <c r="AE426" s="98"/>
      <c r="AF426" s="98"/>
      <c r="AG426" s="98"/>
      <c r="AH426" s="98"/>
    </row>
    <row r="427" spans="2:34" x14ac:dyDescent="0.25">
      <c r="B427" s="73"/>
      <c r="C427" s="74"/>
      <c r="D427" s="80"/>
      <c r="E427" s="81"/>
      <c r="F427" s="81"/>
      <c r="G427" s="81"/>
      <c r="H427" s="81"/>
      <c r="I427" s="82"/>
      <c r="J427" s="88"/>
      <c r="K427" s="89"/>
      <c r="L427" s="88"/>
      <c r="M427" s="89"/>
      <c r="N427" s="80"/>
      <c r="O427" s="82"/>
      <c r="P427" s="94"/>
      <c r="Q427" s="95"/>
      <c r="S427" s="99"/>
      <c r="T427" s="99"/>
      <c r="U427" s="99"/>
      <c r="V427" s="99"/>
      <c r="W427" s="99"/>
      <c r="X427" s="99"/>
      <c r="Y427" s="99"/>
      <c r="Z427" s="99"/>
      <c r="AA427" s="99"/>
      <c r="AB427" s="99"/>
      <c r="AC427" s="98"/>
      <c r="AD427" s="98"/>
      <c r="AE427" s="98"/>
      <c r="AF427" s="98"/>
      <c r="AG427" s="98"/>
      <c r="AH427" s="98"/>
    </row>
    <row r="428" spans="2:34" x14ac:dyDescent="0.25">
      <c r="B428" s="75"/>
      <c r="C428" s="76"/>
      <c r="D428" s="83"/>
      <c r="E428" s="84"/>
      <c r="F428" s="84"/>
      <c r="G428" s="84"/>
      <c r="H428" s="84"/>
      <c r="I428" s="85"/>
      <c r="J428" s="90"/>
      <c r="K428" s="91"/>
      <c r="L428" s="90"/>
      <c r="M428" s="91"/>
      <c r="N428" s="83"/>
      <c r="O428" s="85"/>
      <c r="P428" s="96"/>
      <c r="Q428" s="97"/>
      <c r="S428" s="99"/>
      <c r="T428" s="99"/>
      <c r="U428" s="99"/>
      <c r="V428" s="99"/>
      <c r="W428" s="99"/>
      <c r="X428" s="99"/>
      <c r="Y428" s="99"/>
      <c r="Z428" s="99"/>
      <c r="AA428" s="99"/>
      <c r="AB428" s="99"/>
      <c r="AC428" s="98"/>
      <c r="AD428" s="98"/>
      <c r="AE428" s="98"/>
      <c r="AF428" s="98"/>
      <c r="AG428" s="98"/>
      <c r="AH428" s="98"/>
    </row>
    <row r="429" spans="2:34" x14ac:dyDescent="0.25">
      <c r="B429" s="71"/>
      <c r="C429" s="72"/>
      <c r="D429" s="77"/>
      <c r="E429" s="78"/>
      <c r="F429" s="78"/>
      <c r="G429" s="78"/>
      <c r="H429" s="78"/>
      <c r="I429" s="79"/>
      <c r="J429" s="86"/>
      <c r="K429" s="87"/>
      <c r="L429" s="86"/>
      <c r="M429" s="87"/>
      <c r="N429" s="77"/>
      <c r="O429" s="79"/>
      <c r="P429" s="92"/>
      <c r="Q429" s="93"/>
      <c r="S429" s="99"/>
      <c r="T429" s="99"/>
      <c r="U429" s="99"/>
      <c r="V429" s="99"/>
      <c r="W429" s="99"/>
      <c r="X429" s="99"/>
      <c r="Y429" s="99"/>
      <c r="Z429" s="99"/>
      <c r="AA429" s="99"/>
      <c r="AB429" s="99"/>
      <c r="AC429" s="98"/>
      <c r="AD429" s="98"/>
      <c r="AE429" s="98"/>
      <c r="AF429" s="98"/>
      <c r="AG429" s="98"/>
      <c r="AH429" s="98"/>
    </row>
    <row r="430" spans="2:34" x14ac:dyDescent="0.25">
      <c r="B430" s="73"/>
      <c r="C430" s="74"/>
      <c r="D430" s="80"/>
      <c r="E430" s="81"/>
      <c r="F430" s="81"/>
      <c r="G430" s="81"/>
      <c r="H430" s="81"/>
      <c r="I430" s="82"/>
      <c r="J430" s="88"/>
      <c r="K430" s="89"/>
      <c r="L430" s="88"/>
      <c r="M430" s="89"/>
      <c r="N430" s="80"/>
      <c r="O430" s="82"/>
      <c r="P430" s="94"/>
      <c r="Q430" s="95"/>
      <c r="S430" s="99"/>
      <c r="T430" s="99"/>
      <c r="U430" s="99"/>
      <c r="V430" s="99"/>
      <c r="W430" s="99"/>
      <c r="X430" s="99"/>
      <c r="Y430" s="99"/>
      <c r="Z430" s="99"/>
      <c r="AA430" s="99"/>
      <c r="AB430" s="99"/>
      <c r="AC430" s="98"/>
      <c r="AD430" s="98"/>
      <c r="AE430" s="98"/>
      <c r="AF430" s="98"/>
      <c r="AG430" s="98"/>
      <c r="AH430" s="98"/>
    </row>
    <row r="431" spans="2:34" x14ac:dyDescent="0.25">
      <c r="B431" s="75"/>
      <c r="C431" s="76"/>
      <c r="D431" s="83"/>
      <c r="E431" s="84"/>
      <c r="F431" s="84"/>
      <c r="G431" s="84"/>
      <c r="H431" s="84"/>
      <c r="I431" s="85"/>
      <c r="J431" s="90"/>
      <c r="K431" s="91"/>
      <c r="L431" s="90"/>
      <c r="M431" s="91"/>
      <c r="N431" s="83"/>
      <c r="O431" s="85"/>
      <c r="P431" s="96"/>
      <c r="Q431" s="97"/>
      <c r="S431" s="99"/>
      <c r="T431" s="99"/>
      <c r="U431" s="99"/>
      <c r="V431" s="99"/>
      <c r="W431" s="99"/>
      <c r="X431" s="99"/>
      <c r="Y431" s="99"/>
      <c r="Z431" s="99"/>
      <c r="AA431" s="99"/>
      <c r="AB431" s="99"/>
      <c r="AC431" s="98"/>
      <c r="AD431" s="98"/>
      <c r="AE431" s="98"/>
      <c r="AF431" s="98"/>
      <c r="AG431" s="98"/>
      <c r="AH431" s="98"/>
    </row>
    <row r="432" spans="2:34" x14ac:dyDescent="0.25">
      <c r="B432" s="71"/>
      <c r="C432" s="72"/>
      <c r="D432" s="77"/>
      <c r="E432" s="78"/>
      <c r="F432" s="78"/>
      <c r="G432" s="78"/>
      <c r="H432" s="78"/>
      <c r="I432" s="79"/>
      <c r="J432" s="86"/>
      <c r="K432" s="87"/>
      <c r="L432" s="86"/>
      <c r="M432" s="87"/>
      <c r="N432" s="77"/>
      <c r="O432" s="79"/>
      <c r="P432" s="92"/>
      <c r="Q432" s="93"/>
      <c r="S432" s="99"/>
      <c r="T432" s="99"/>
      <c r="U432" s="99"/>
      <c r="V432" s="99"/>
      <c r="W432" s="99"/>
      <c r="X432" s="99"/>
      <c r="Y432" s="99"/>
      <c r="Z432" s="99"/>
      <c r="AA432" s="99"/>
      <c r="AB432" s="99"/>
      <c r="AC432" s="98"/>
      <c r="AD432" s="98"/>
      <c r="AE432" s="98"/>
      <c r="AF432" s="98"/>
      <c r="AG432" s="98"/>
      <c r="AH432" s="98"/>
    </row>
    <row r="433" spans="2:34" x14ac:dyDescent="0.25">
      <c r="B433" s="73"/>
      <c r="C433" s="74"/>
      <c r="D433" s="80"/>
      <c r="E433" s="81"/>
      <c r="F433" s="81"/>
      <c r="G433" s="81"/>
      <c r="H433" s="81"/>
      <c r="I433" s="82"/>
      <c r="J433" s="88"/>
      <c r="K433" s="89"/>
      <c r="L433" s="88"/>
      <c r="M433" s="89"/>
      <c r="N433" s="80"/>
      <c r="O433" s="82"/>
      <c r="P433" s="94"/>
      <c r="Q433" s="95"/>
      <c r="S433" s="99"/>
      <c r="T433" s="99"/>
      <c r="U433" s="99"/>
      <c r="V433" s="99"/>
      <c r="W433" s="99"/>
      <c r="X433" s="99"/>
      <c r="Y433" s="99"/>
      <c r="Z433" s="99"/>
      <c r="AA433" s="99"/>
      <c r="AB433" s="99"/>
      <c r="AC433" s="98"/>
      <c r="AD433" s="98"/>
      <c r="AE433" s="98"/>
      <c r="AF433" s="98"/>
      <c r="AG433" s="98"/>
      <c r="AH433" s="98"/>
    </row>
    <row r="434" spans="2:34" x14ac:dyDescent="0.25">
      <c r="B434" s="75"/>
      <c r="C434" s="76"/>
      <c r="D434" s="83"/>
      <c r="E434" s="84"/>
      <c r="F434" s="84"/>
      <c r="G434" s="84"/>
      <c r="H434" s="84"/>
      <c r="I434" s="85"/>
      <c r="J434" s="90"/>
      <c r="K434" s="91"/>
      <c r="L434" s="90"/>
      <c r="M434" s="91"/>
      <c r="N434" s="83"/>
      <c r="O434" s="85"/>
      <c r="P434" s="96"/>
      <c r="Q434" s="97"/>
      <c r="S434" s="99"/>
      <c r="T434" s="99"/>
      <c r="U434" s="99"/>
      <c r="V434" s="99"/>
      <c r="W434" s="99"/>
      <c r="X434" s="99"/>
      <c r="Y434" s="99"/>
      <c r="Z434" s="99"/>
      <c r="AA434" s="99"/>
      <c r="AB434" s="99"/>
      <c r="AC434" s="98"/>
      <c r="AD434" s="98"/>
      <c r="AE434" s="98"/>
      <c r="AF434" s="98"/>
      <c r="AG434" s="98"/>
      <c r="AH434" s="98"/>
    </row>
    <row r="435" spans="2:34" x14ac:dyDescent="0.25">
      <c r="B435" s="71"/>
      <c r="C435" s="72"/>
      <c r="D435" s="77"/>
      <c r="E435" s="78"/>
      <c r="F435" s="78"/>
      <c r="G435" s="78"/>
      <c r="H435" s="78"/>
      <c r="I435" s="79"/>
      <c r="J435" s="86"/>
      <c r="K435" s="87"/>
      <c r="L435" s="86"/>
      <c r="M435" s="87"/>
      <c r="N435" s="77"/>
      <c r="O435" s="79"/>
      <c r="P435" s="92"/>
      <c r="Q435" s="93"/>
      <c r="S435" s="99"/>
      <c r="T435" s="99"/>
      <c r="U435" s="99"/>
      <c r="V435" s="99"/>
      <c r="W435" s="99"/>
      <c r="X435" s="99"/>
      <c r="Y435" s="99"/>
      <c r="Z435" s="99"/>
      <c r="AA435" s="99"/>
      <c r="AB435" s="99"/>
      <c r="AC435" s="98"/>
      <c r="AD435" s="98"/>
      <c r="AE435" s="98"/>
      <c r="AF435" s="98"/>
      <c r="AG435" s="98"/>
      <c r="AH435" s="98"/>
    </row>
    <row r="436" spans="2:34" x14ac:dyDescent="0.25">
      <c r="B436" s="73"/>
      <c r="C436" s="74"/>
      <c r="D436" s="80"/>
      <c r="E436" s="81"/>
      <c r="F436" s="81"/>
      <c r="G436" s="81"/>
      <c r="H436" s="81"/>
      <c r="I436" s="82"/>
      <c r="J436" s="88"/>
      <c r="K436" s="89"/>
      <c r="L436" s="88"/>
      <c r="M436" s="89"/>
      <c r="N436" s="80"/>
      <c r="O436" s="82"/>
      <c r="P436" s="94"/>
      <c r="Q436" s="95"/>
      <c r="S436" s="99"/>
      <c r="T436" s="99"/>
      <c r="U436" s="99"/>
      <c r="V436" s="99"/>
      <c r="W436" s="99"/>
      <c r="X436" s="99"/>
      <c r="Y436" s="99"/>
      <c r="Z436" s="99"/>
      <c r="AA436" s="99"/>
      <c r="AB436" s="99"/>
      <c r="AC436" s="98"/>
      <c r="AD436" s="98"/>
      <c r="AE436" s="98"/>
      <c r="AF436" s="98"/>
      <c r="AG436" s="98"/>
      <c r="AH436" s="98"/>
    </row>
    <row r="437" spans="2:34" x14ac:dyDescent="0.25">
      <c r="B437" s="75"/>
      <c r="C437" s="76"/>
      <c r="D437" s="83"/>
      <c r="E437" s="84"/>
      <c r="F437" s="84"/>
      <c r="G437" s="84"/>
      <c r="H437" s="84"/>
      <c r="I437" s="85"/>
      <c r="J437" s="90"/>
      <c r="K437" s="91"/>
      <c r="L437" s="90"/>
      <c r="M437" s="91"/>
      <c r="N437" s="83"/>
      <c r="O437" s="85"/>
      <c r="P437" s="96"/>
      <c r="Q437" s="97"/>
      <c r="S437" s="99"/>
      <c r="T437" s="99"/>
      <c r="U437" s="99"/>
      <c r="V437" s="99"/>
      <c r="W437" s="99"/>
      <c r="X437" s="99"/>
      <c r="Y437" s="99"/>
      <c r="Z437" s="99"/>
      <c r="AA437" s="99"/>
      <c r="AB437" s="99"/>
      <c r="AC437" s="98"/>
      <c r="AD437" s="98"/>
      <c r="AE437" s="98"/>
      <c r="AF437" s="98"/>
      <c r="AG437" s="98"/>
      <c r="AH437" s="98"/>
    </row>
    <row r="438" spans="2:34" x14ac:dyDescent="0.25">
      <c r="B438" s="71"/>
      <c r="C438" s="72"/>
      <c r="D438" s="77"/>
      <c r="E438" s="78"/>
      <c r="F438" s="78"/>
      <c r="G438" s="78"/>
      <c r="H438" s="78"/>
      <c r="I438" s="79"/>
      <c r="J438" s="86"/>
      <c r="K438" s="87"/>
      <c r="L438" s="86"/>
      <c r="M438" s="87"/>
      <c r="N438" s="77"/>
      <c r="O438" s="79"/>
      <c r="P438" s="92"/>
      <c r="Q438" s="93"/>
      <c r="S438" s="99"/>
      <c r="T438" s="99"/>
      <c r="U438" s="99"/>
      <c r="V438" s="99"/>
      <c r="W438" s="99"/>
      <c r="X438" s="99"/>
      <c r="Y438" s="99"/>
      <c r="Z438" s="99"/>
      <c r="AA438" s="99"/>
      <c r="AB438" s="99"/>
      <c r="AC438" s="98"/>
      <c r="AD438" s="98"/>
      <c r="AE438" s="98"/>
      <c r="AF438" s="98"/>
      <c r="AG438" s="98"/>
      <c r="AH438" s="98"/>
    </row>
    <row r="439" spans="2:34" x14ac:dyDescent="0.25">
      <c r="B439" s="73"/>
      <c r="C439" s="74"/>
      <c r="D439" s="80"/>
      <c r="E439" s="81"/>
      <c r="F439" s="81"/>
      <c r="G439" s="81"/>
      <c r="H439" s="81"/>
      <c r="I439" s="82"/>
      <c r="J439" s="88"/>
      <c r="K439" s="89"/>
      <c r="L439" s="88"/>
      <c r="M439" s="89"/>
      <c r="N439" s="80"/>
      <c r="O439" s="82"/>
      <c r="P439" s="94"/>
      <c r="Q439" s="95"/>
      <c r="S439" s="99"/>
      <c r="T439" s="99"/>
      <c r="U439" s="99"/>
      <c r="V439" s="99"/>
      <c r="W439" s="99"/>
      <c r="X439" s="99"/>
      <c r="Y439" s="99"/>
      <c r="Z439" s="99"/>
      <c r="AA439" s="99"/>
      <c r="AB439" s="99"/>
      <c r="AC439" s="98"/>
      <c r="AD439" s="98"/>
      <c r="AE439" s="98"/>
      <c r="AF439" s="98"/>
      <c r="AG439" s="98"/>
      <c r="AH439" s="98"/>
    </row>
    <row r="440" spans="2:34" x14ac:dyDescent="0.25">
      <c r="B440" s="75"/>
      <c r="C440" s="76"/>
      <c r="D440" s="83"/>
      <c r="E440" s="84"/>
      <c r="F440" s="84"/>
      <c r="G440" s="84"/>
      <c r="H440" s="84"/>
      <c r="I440" s="85"/>
      <c r="J440" s="90"/>
      <c r="K440" s="91"/>
      <c r="L440" s="90"/>
      <c r="M440" s="91"/>
      <c r="N440" s="83"/>
      <c r="O440" s="85"/>
      <c r="P440" s="96"/>
      <c r="Q440" s="97"/>
      <c r="S440" s="99"/>
      <c r="T440" s="99"/>
      <c r="U440" s="99"/>
      <c r="V440" s="99"/>
      <c r="W440" s="99"/>
      <c r="X440" s="99"/>
      <c r="Y440" s="99"/>
      <c r="Z440" s="99"/>
      <c r="AA440" s="99"/>
      <c r="AB440" s="99"/>
      <c r="AC440" s="98"/>
      <c r="AD440" s="98"/>
      <c r="AE440" s="98"/>
      <c r="AF440" s="98"/>
      <c r="AG440" s="98"/>
      <c r="AH440" s="98"/>
    </row>
    <row r="441" spans="2:34" x14ac:dyDescent="0.25">
      <c r="B441" s="71"/>
      <c r="C441" s="72"/>
      <c r="D441" s="77"/>
      <c r="E441" s="78"/>
      <c r="F441" s="78"/>
      <c r="G441" s="78"/>
      <c r="H441" s="78"/>
      <c r="I441" s="79"/>
      <c r="J441" s="86"/>
      <c r="K441" s="87"/>
      <c r="L441" s="86"/>
      <c r="M441" s="87"/>
      <c r="N441" s="77"/>
      <c r="O441" s="79"/>
      <c r="P441" s="92"/>
      <c r="Q441" s="93"/>
      <c r="S441" s="99"/>
      <c r="T441" s="99"/>
      <c r="U441" s="99"/>
      <c r="V441" s="99"/>
      <c r="W441" s="99"/>
      <c r="X441" s="99"/>
      <c r="Y441" s="99"/>
      <c r="Z441" s="99"/>
      <c r="AA441" s="99"/>
      <c r="AB441" s="99"/>
      <c r="AC441" s="98"/>
      <c r="AD441" s="98"/>
      <c r="AE441" s="98"/>
      <c r="AF441" s="98"/>
      <c r="AG441" s="98"/>
      <c r="AH441" s="98"/>
    </row>
    <row r="442" spans="2:34" x14ac:dyDescent="0.25">
      <c r="B442" s="73"/>
      <c r="C442" s="74"/>
      <c r="D442" s="80"/>
      <c r="E442" s="81"/>
      <c r="F442" s="81"/>
      <c r="G442" s="81"/>
      <c r="H442" s="81"/>
      <c r="I442" s="82"/>
      <c r="J442" s="88"/>
      <c r="K442" s="89"/>
      <c r="L442" s="88"/>
      <c r="M442" s="89"/>
      <c r="N442" s="80"/>
      <c r="O442" s="82"/>
      <c r="P442" s="94"/>
      <c r="Q442" s="95"/>
      <c r="S442" s="99"/>
      <c r="T442" s="99"/>
      <c r="U442" s="99"/>
      <c r="V442" s="99"/>
      <c r="W442" s="99"/>
      <c r="X442" s="99"/>
      <c r="Y442" s="99"/>
      <c r="Z442" s="99"/>
      <c r="AA442" s="99"/>
      <c r="AB442" s="99"/>
      <c r="AC442" s="98"/>
      <c r="AD442" s="98"/>
      <c r="AE442" s="98"/>
      <c r="AF442" s="98"/>
      <c r="AG442" s="98"/>
      <c r="AH442" s="98"/>
    </row>
    <row r="443" spans="2:34" x14ac:dyDescent="0.25">
      <c r="B443" s="75"/>
      <c r="C443" s="76"/>
      <c r="D443" s="83"/>
      <c r="E443" s="84"/>
      <c r="F443" s="84"/>
      <c r="G443" s="84"/>
      <c r="H443" s="84"/>
      <c r="I443" s="85"/>
      <c r="J443" s="90"/>
      <c r="K443" s="91"/>
      <c r="L443" s="90"/>
      <c r="M443" s="91"/>
      <c r="N443" s="83"/>
      <c r="O443" s="85"/>
      <c r="P443" s="96"/>
      <c r="Q443" s="97"/>
      <c r="S443" s="99"/>
      <c r="T443" s="99"/>
      <c r="U443" s="99"/>
      <c r="V443" s="99"/>
      <c r="W443" s="99"/>
      <c r="X443" s="99"/>
      <c r="Y443" s="99"/>
      <c r="Z443" s="99"/>
      <c r="AA443" s="99"/>
      <c r="AB443" s="99"/>
      <c r="AC443" s="98"/>
      <c r="AD443" s="98"/>
      <c r="AE443" s="98"/>
      <c r="AF443" s="98"/>
      <c r="AG443" s="98"/>
      <c r="AH443" s="98"/>
    </row>
    <row r="444" spans="2:34" x14ac:dyDescent="0.25">
      <c r="B444" s="71"/>
      <c r="C444" s="72"/>
      <c r="D444" s="77"/>
      <c r="E444" s="78"/>
      <c r="F444" s="78"/>
      <c r="G444" s="78"/>
      <c r="H444" s="78"/>
      <c r="I444" s="79"/>
      <c r="J444" s="86"/>
      <c r="K444" s="87"/>
      <c r="L444" s="86"/>
      <c r="M444" s="87"/>
      <c r="N444" s="77"/>
      <c r="O444" s="79"/>
      <c r="P444" s="92"/>
      <c r="Q444" s="93"/>
      <c r="S444" s="99"/>
      <c r="T444" s="99"/>
      <c r="U444" s="99"/>
      <c r="V444" s="99"/>
      <c r="W444" s="99"/>
      <c r="X444" s="99"/>
      <c r="Y444" s="99"/>
      <c r="Z444" s="99"/>
      <c r="AA444" s="99"/>
      <c r="AB444" s="99"/>
      <c r="AC444" s="98"/>
      <c r="AD444" s="98"/>
      <c r="AE444" s="98"/>
      <c r="AF444" s="98"/>
      <c r="AG444" s="98"/>
      <c r="AH444" s="98"/>
    </row>
    <row r="445" spans="2:34" x14ac:dyDescent="0.25">
      <c r="B445" s="73"/>
      <c r="C445" s="74"/>
      <c r="D445" s="80"/>
      <c r="E445" s="81"/>
      <c r="F445" s="81"/>
      <c r="G445" s="81"/>
      <c r="H445" s="81"/>
      <c r="I445" s="82"/>
      <c r="J445" s="88"/>
      <c r="K445" s="89"/>
      <c r="L445" s="88"/>
      <c r="M445" s="89"/>
      <c r="N445" s="80"/>
      <c r="O445" s="82"/>
      <c r="P445" s="94"/>
      <c r="Q445" s="95"/>
      <c r="S445" s="99"/>
      <c r="T445" s="99"/>
      <c r="U445" s="99"/>
      <c r="V445" s="99"/>
      <c r="W445" s="99"/>
      <c r="X445" s="99"/>
      <c r="Y445" s="99"/>
      <c r="Z445" s="99"/>
      <c r="AA445" s="99"/>
      <c r="AB445" s="99"/>
      <c r="AC445" s="98"/>
      <c r="AD445" s="98"/>
      <c r="AE445" s="98"/>
      <c r="AF445" s="98"/>
      <c r="AG445" s="98"/>
      <c r="AH445" s="98"/>
    </row>
    <row r="446" spans="2:34" x14ac:dyDescent="0.25">
      <c r="B446" s="75"/>
      <c r="C446" s="76"/>
      <c r="D446" s="83"/>
      <c r="E446" s="84"/>
      <c r="F446" s="84"/>
      <c r="G446" s="84"/>
      <c r="H446" s="84"/>
      <c r="I446" s="85"/>
      <c r="J446" s="90"/>
      <c r="K446" s="91"/>
      <c r="L446" s="90"/>
      <c r="M446" s="91"/>
      <c r="N446" s="83"/>
      <c r="O446" s="85"/>
      <c r="P446" s="96"/>
      <c r="Q446" s="97"/>
      <c r="S446" s="99"/>
      <c r="T446" s="99"/>
      <c r="U446" s="99"/>
      <c r="V446" s="99"/>
      <c r="W446" s="99"/>
      <c r="X446" s="99"/>
      <c r="Y446" s="99"/>
      <c r="Z446" s="99"/>
      <c r="AA446" s="99"/>
      <c r="AB446" s="99"/>
      <c r="AC446" s="98"/>
      <c r="AD446" s="98"/>
      <c r="AE446" s="98"/>
      <c r="AF446" s="98"/>
      <c r="AG446" s="98"/>
      <c r="AH446" s="98"/>
    </row>
    <row r="447" spans="2:34" x14ac:dyDescent="0.25">
      <c r="B447" s="71"/>
      <c r="C447" s="72"/>
      <c r="D447" s="77"/>
      <c r="E447" s="78"/>
      <c r="F447" s="78"/>
      <c r="G447" s="78"/>
      <c r="H447" s="78"/>
      <c r="I447" s="79"/>
      <c r="J447" s="86"/>
      <c r="K447" s="87"/>
      <c r="L447" s="86"/>
      <c r="M447" s="87"/>
      <c r="N447" s="77"/>
      <c r="O447" s="79"/>
      <c r="P447" s="92"/>
      <c r="Q447" s="93"/>
      <c r="S447" s="99"/>
      <c r="T447" s="99"/>
      <c r="U447" s="99"/>
      <c r="V447" s="99"/>
      <c r="W447" s="99"/>
      <c r="X447" s="99"/>
      <c r="Y447" s="99"/>
      <c r="Z447" s="99"/>
      <c r="AA447" s="99"/>
      <c r="AB447" s="99"/>
      <c r="AC447" s="98"/>
      <c r="AD447" s="98"/>
      <c r="AE447" s="98"/>
      <c r="AF447" s="98"/>
      <c r="AG447" s="98"/>
      <c r="AH447" s="98"/>
    </row>
    <row r="448" spans="2:34" x14ac:dyDescent="0.25">
      <c r="B448" s="73"/>
      <c r="C448" s="74"/>
      <c r="D448" s="80"/>
      <c r="E448" s="81"/>
      <c r="F448" s="81"/>
      <c r="G448" s="81"/>
      <c r="H448" s="81"/>
      <c r="I448" s="82"/>
      <c r="J448" s="88"/>
      <c r="K448" s="89"/>
      <c r="L448" s="88"/>
      <c r="M448" s="89"/>
      <c r="N448" s="80"/>
      <c r="O448" s="82"/>
      <c r="P448" s="94"/>
      <c r="Q448" s="95"/>
      <c r="S448" s="99"/>
      <c r="T448" s="99"/>
      <c r="U448" s="99"/>
      <c r="V448" s="99"/>
      <c r="W448" s="99"/>
      <c r="X448" s="99"/>
      <c r="Y448" s="99"/>
      <c r="Z448" s="99"/>
      <c r="AA448" s="99"/>
      <c r="AB448" s="99"/>
      <c r="AC448" s="98"/>
      <c r="AD448" s="98"/>
      <c r="AE448" s="98"/>
      <c r="AF448" s="98"/>
      <c r="AG448" s="98"/>
      <c r="AH448" s="98"/>
    </row>
    <row r="449" spans="2:34" x14ac:dyDescent="0.25">
      <c r="B449" s="75"/>
      <c r="C449" s="76"/>
      <c r="D449" s="83"/>
      <c r="E449" s="84"/>
      <c r="F449" s="84"/>
      <c r="G449" s="84"/>
      <c r="H449" s="84"/>
      <c r="I449" s="85"/>
      <c r="J449" s="90"/>
      <c r="K449" s="91"/>
      <c r="L449" s="90"/>
      <c r="M449" s="91"/>
      <c r="N449" s="83"/>
      <c r="O449" s="85"/>
      <c r="P449" s="96"/>
      <c r="Q449" s="97"/>
      <c r="S449" s="99"/>
      <c r="T449" s="99"/>
      <c r="U449" s="99"/>
      <c r="V449" s="99"/>
      <c r="W449" s="99"/>
      <c r="X449" s="99"/>
      <c r="Y449" s="99"/>
      <c r="Z449" s="99"/>
      <c r="AA449" s="99"/>
      <c r="AB449" s="99"/>
      <c r="AC449" s="98"/>
      <c r="AD449" s="98"/>
      <c r="AE449" s="98"/>
      <c r="AF449" s="98"/>
      <c r="AG449" s="98"/>
      <c r="AH449" s="98"/>
    </row>
    <row r="450" spans="2:34" x14ac:dyDescent="0.25">
      <c r="B450" s="71"/>
      <c r="C450" s="72"/>
      <c r="D450" s="77"/>
      <c r="E450" s="78"/>
      <c r="F450" s="78"/>
      <c r="G450" s="78"/>
      <c r="H450" s="78"/>
      <c r="I450" s="79"/>
      <c r="J450" s="86"/>
      <c r="K450" s="87"/>
      <c r="L450" s="86"/>
      <c r="M450" s="87"/>
      <c r="N450" s="77"/>
      <c r="O450" s="79"/>
      <c r="P450" s="92"/>
      <c r="Q450" s="93"/>
      <c r="S450" s="99"/>
      <c r="T450" s="99"/>
      <c r="U450" s="99"/>
      <c r="V450" s="99"/>
      <c r="W450" s="99"/>
      <c r="X450" s="99"/>
      <c r="Y450" s="99"/>
      <c r="Z450" s="99"/>
      <c r="AA450" s="99"/>
      <c r="AB450" s="99"/>
      <c r="AC450" s="98"/>
      <c r="AD450" s="98"/>
      <c r="AE450" s="98"/>
      <c r="AF450" s="98"/>
      <c r="AG450" s="98"/>
      <c r="AH450" s="98"/>
    </row>
    <row r="451" spans="2:34" x14ac:dyDescent="0.25">
      <c r="B451" s="73"/>
      <c r="C451" s="74"/>
      <c r="D451" s="80"/>
      <c r="E451" s="81"/>
      <c r="F451" s="81"/>
      <c r="G451" s="81"/>
      <c r="H451" s="81"/>
      <c r="I451" s="82"/>
      <c r="J451" s="88"/>
      <c r="K451" s="89"/>
      <c r="L451" s="88"/>
      <c r="M451" s="89"/>
      <c r="N451" s="80"/>
      <c r="O451" s="82"/>
      <c r="P451" s="94"/>
      <c r="Q451" s="95"/>
      <c r="S451" s="99"/>
      <c r="T451" s="99"/>
      <c r="U451" s="99"/>
      <c r="V451" s="99"/>
      <c r="W451" s="99"/>
      <c r="X451" s="99"/>
      <c r="Y451" s="99"/>
      <c r="Z451" s="99"/>
      <c r="AA451" s="99"/>
      <c r="AB451" s="99"/>
      <c r="AC451" s="98"/>
      <c r="AD451" s="98"/>
      <c r="AE451" s="98"/>
      <c r="AF451" s="98"/>
      <c r="AG451" s="98"/>
      <c r="AH451" s="98"/>
    </row>
    <row r="452" spans="2:34" x14ac:dyDescent="0.25">
      <c r="B452" s="75"/>
      <c r="C452" s="76"/>
      <c r="D452" s="83"/>
      <c r="E452" s="84"/>
      <c r="F452" s="84"/>
      <c r="G452" s="84"/>
      <c r="H452" s="84"/>
      <c r="I452" s="85"/>
      <c r="J452" s="90"/>
      <c r="K452" s="91"/>
      <c r="L452" s="90"/>
      <c r="M452" s="91"/>
      <c r="N452" s="83"/>
      <c r="O452" s="85"/>
      <c r="P452" s="96"/>
      <c r="Q452" s="97"/>
      <c r="S452" s="99"/>
      <c r="T452" s="99"/>
      <c r="U452" s="99"/>
      <c r="V452" s="99"/>
      <c r="W452" s="99"/>
      <c r="X452" s="99"/>
      <c r="Y452" s="99"/>
      <c r="Z452" s="99"/>
      <c r="AA452" s="99"/>
      <c r="AB452" s="99"/>
      <c r="AC452" s="98"/>
      <c r="AD452" s="98"/>
      <c r="AE452" s="98"/>
      <c r="AF452" s="98"/>
      <c r="AG452" s="98"/>
      <c r="AH452" s="98"/>
    </row>
    <row r="453" spans="2:34" x14ac:dyDescent="0.25">
      <c r="B453" s="71"/>
      <c r="C453" s="72"/>
      <c r="D453" s="77"/>
      <c r="E453" s="78"/>
      <c r="F453" s="78"/>
      <c r="G453" s="78"/>
      <c r="H453" s="78"/>
      <c r="I453" s="79"/>
      <c r="J453" s="86"/>
      <c r="K453" s="87"/>
      <c r="L453" s="86"/>
      <c r="M453" s="87"/>
      <c r="N453" s="77"/>
      <c r="O453" s="79"/>
      <c r="P453" s="92"/>
      <c r="Q453" s="93"/>
      <c r="S453" s="99"/>
      <c r="T453" s="99"/>
      <c r="U453" s="99"/>
      <c r="V453" s="99"/>
      <c r="W453" s="99"/>
      <c r="X453" s="99"/>
      <c r="Y453" s="99"/>
      <c r="Z453" s="99"/>
      <c r="AA453" s="99"/>
      <c r="AB453" s="99"/>
      <c r="AC453" s="98"/>
      <c r="AD453" s="98"/>
      <c r="AE453" s="98"/>
      <c r="AF453" s="98"/>
      <c r="AG453" s="98"/>
      <c r="AH453" s="98"/>
    </row>
    <row r="454" spans="2:34" x14ac:dyDescent="0.25">
      <c r="B454" s="73"/>
      <c r="C454" s="74"/>
      <c r="D454" s="80"/>
      <c r="E454" s="81"/>
      <c r="F454" s="81"/>
      <c r="G454" s="81"/>
      <c r="H454" s="81"/>
      <c r="I454" s="82"/>
      <c r="J454" s="88"/>
      <c r="K454" s="89"/>
      <c r="L454" s="88"/>
      <c r="M454" s="89"/>
      <c r="N454" s="80"/>
      <c r="O454" s="82"/>
      <c r="P454" s="94"/>
      <c r="Q454" s="95"/>
      <c r="S454" s="99"/>
      <c r="T454" s="99"/>
      <c r="U454" s="99"/>
      <c r="V454" s="99"/>
      <c r="W454" s="99"/>
      <c r="X454" s="99"/>
      <c r="Y454" s="99"/>
      <c r="Z454" s="99"/>
      <c r="AA454" s="99"/>
      <c r="AB454" s="99"/>
      <c r="AC454" s="98"/>
      <c r="AD454" s="98"/>
      <c r="AE454" s="98"/>
      <c r="AF454" s="98"/>
      <c r="AG454" s="98"/>
      <c r="AH454" s="98"/>
    </row>
    <row r="455" spans="2:34" x14ac:dyDescent="0.25">
      <c r="B455" s="75"/>
      <c r="C455" s="76"/>
      <c r="D455" s="83"/>
      <c r="E455" s="84"/>
      <c r="F455" s="84"/>
      <c r="G455" s="84"/>
      <c r="H455" s="84"/>
      <c r="I455" s="85"/>
      <c r="J455" s="90"/>
      <c r="K455" s="91"/>
      <c r="L455" s="90"/>
      <c r="M455" s="91"/>
      <c r="N455" s="83"/>
      <c r="O455" s="85"/>
      <c r="P455" s="96"/>
      <c r="Q455" s="97"/>
      <c r="S455" s="99"/>
      <c r="T455" s="99"/>
      <c r="U455" s="99"/>
      <c r="V455" s="99"/>
      <c r="W455" s="99"/>
      <c r="X455" s="99"/>
      <c r="Y455" s="99"/>
      <c r="Z455" s="99"/>
      <c r="AA455" s="99"/>
      <c r="AB455" s="99"/>
      <c r="AC455" s="98"/>
      <c r="AD455" s="98"/>
      <c r="AE455" s="98"/>
      <c r="AF455" s="98"/>
      <c r="AG455" s="98"/>
      <c r="AH455" s="98"/>
    </row>
    <row r="456" spans="2:34" x14ac:dyDescent="0.25">
      <c r="B456" s="71"/>
      <c r="C456" s="72"/>
      <c r="D456" s="77"/>
      <c r="E456" s="78"/>
      <c r="F456" s="78"/>
      <c r="G456" s="78"/>
      <c r="H456" s="78"/>
      <c r="I456" s="79"/>
      <c r="J456" s="86"/>
      <c r="K456" s="87"/>
      <c r="L456" s="86"/>
      <c r="M456" s="87"/>
      <c r="N456" s="77"/>
      <c r="O456" s="79"/>
      <c r="P456" s="92"/>
      <c r="Q456" s="93"/>
      <c r="S456" s="99"/>
      <c r="T456" s="99"/>
      <c r="U456" s="99"/>
      <c r="V456" s="99"/>
      <c r="W456" s="99"/>
      <c r="X456" s="99"/>
      <c r="Y456" s="99"/>
      <c r="Z456" s="99"/>
      <c r="AA456" s="99"/>
      <c r="AB456" s="99"/>
      <c r="AC456" s="98"/>
      <c r="AD456" s="98"/>
      <c r="AE456" s="98"/>
      <c r="AF456" s="98"/>
      <c r="AG456" s="98"/>
      <c r="AH456" s="98"/>
    </row>
    <row r="457" spans="2:34" x14ac:dyDescent="0.25">
      <c r="B457" s="73"/>
      <c r="C457" s="74"/>
      <c r="D457" s="80"/>
      <c r="E457" s="81"/>
      <c r="F457" s="81"/>
      <c r="G457" s="81"/>
      <c r="H457" s="81"/>
      <c r="I457" s="82"/>
      <c r="J457" s="88"/>
      <c r="K457" s="89"/>
      <c r="L457" s="88"/>
      <c r="M457" s="89"/>
      <c r="N457" s="80"/>
      <c r="O457" s="82"/>
      <c r="P457" s="94"/>
      <c r="Q457" s="95"/>
      <c r="S457" s="99"/>
      <c r="T457" s="99"/>
      <c r="U457" s="99"/>
      <c r="V457" s="99"/>
      <c r="W457" s="99"/>
      <c r="X457" s="99"/>
      <c r="Y457" s="99"/>
      <c r="Z457" s="99"/>
      <c r="AA457" s="99"/>
      <c r="AB457" s="99"/>
      <c r="AC457" s="98"/>
      <c r="AD457" s="98"/>
      <c r="AE457" s="98"/>
      <c r="AF457" s="98"/>
      <c r="AG457" s="98"/>
      <c r="AH457" s="98"/>
    </row>
    <row r="458" spans="2:34" x14ac:dyDescent="0.25">
      <c r="B458" s="75"/>
      <c r="C458" s="76"/>
      <c r="D458" s="83"/>
      <c r="E458" s="84"/>
      <c r="F458" s="84"/>
      <c r="G458" s="84"/>
      <c r="H458" s="84"/>
      <c r="I458" s="85"/>
      <c r="J458" s="90"/>
      <c r="K458" s="91"/>
      <c r="L458" s="90"/>
      <c r="M458" s="91"/>
      <c r="N458" s="83"/>
      <c r="O458" s="85"/>
      <c r="P458" s="96"/>
      <c r="Q458" s="97"/>
      <c r="S458" s="99"/>
      <c r="T458" s="99"/>
      <c r="U458" s="99"/>
      <c r="V458" s="99"/>
      <c r="W458" s="99"/>
      <c r="X458" s="99"/>
      <c r="Y458" s="99"/>
      <c r="Z458" s="99"/>
      <c r="AA458" s="99"/>
      <c r="AB458" s="99"/>
      <c r="AC458" s="98"/>
      <c r="AD458" s="98"/>
      <c r="AE458" s="98"/>
      <c r="AF458" s="98"/>
      <c r="AG458" s="98"/>
      <c r="AH458" s="98"/>
    </row>
    <row r="459" spans="2:34" x14ac:dyDescent="0.25">
      <c r="B459" s="71"/>
      <c r="C459" s="72"/>
      <c r="D459" s="77"/>
      <c r="E459" s="78"/>
      <c r="F459" s="78"/>
      <c r="G459" s="78"/>
      <c r="H459" s="78"/>
      <c r="I459" s="79"/>
      <c r="J459" s="86"/>
      <c r="K459" s="87"/>
      <c r="L459" s="86"/>
      <c r="M459" s="87"/>
      <c r="N459" s="77"/>
      <c r="O459" s="79"/>
      <c r="P459" s="92"/>
      <c r="Q459" s="93"/>
      <c r="S459" s="99"/>
      <c r="T459" s="99"/>
      <c r="U459" s="99"/>
      <c r="V459" s="99"/>
      <c r="W459" s="99"/>
      <c r="X459" s="99"/>
      <c r="Y459" s="99"/>
      <c r="Z459" s="99"/>
      <c r="AA459" s="99"/>
      <c r="AB459" s="99"/>
      <c r="AC459" s="98"/>
      <c r="AD459" s="98"/>
      <c r="AE459" s="98"/>
      <c r="AF459" s="98"/>
      <c r="AG459" s="98"/>
      <c r="AH459" s="98"/>
    </row>
    <row r="460" spans="2:34" x14ac:dyDescent="0.25">
      <c r="B460" s="73"/>
      <c r="C460" s="74"/>
      <c r="D460" s="80"/>
      <c r="E460" s="81"/>
      <c r="F460" s="81"/>
      <c r="G460" s="81"/>
      <c r="H460" s="81"/>
      <c r="I460" s="82"/>
      <c r="J460" s="88"/>
      <c r="K460" s="89"/>
      <c r="L460" s="88"/>
      <c r="M460" s="89"/>
      <c r="N460" s="80"/>
      <c r="O460" s="82"/>
      <c r="P460" s="94"/>
      <c r="Q460" s="95"/>
      <c r="S460" s="99"/>
      <c r="T460" s="99"/>
      <c r="U460" s="99"/>
      <c r="V460" s="99"/>
      <c r="W460" s="99"/>
      <c r="X460" s="99"/>
      <c r="Y460" s="99"/>
      <c r="Z460" s="99"/>
      <c r="AA460" s="99"/>
      <c r="AB460" s="99"/>
      <c r="AC460" s="98"/>
      <c r="AD460" s="98"/>
      <c r="AE460" s="98"/>
      <c r="AF460" s="98"/>
      <c r="AG460" s="98"/>
      <c r="AH460" s="98"/>
    </row>
    <row r="461" spans="2:34" x14ac:dyDescent="0.25">
      <c r="B461" s="75"/>
      <c r="C461" s="76"/>
      <c r="D461" s="83"/>
      <c r="E461" s="84"/>
      <c r="F461" s="84"/>
      <c r="G461" s="84"/>
      <c r="H461" s="84"/>
      <c r="I461" s="85"/>
      <c r="J461" s="90"/>
      <c r="K461" s="91"/>
      <c r="L461" s="90"/>
      <c r="M461" s="91"/>
      <c r="N461" s="83"/>
      <c r="O461" s="85"/>
      <c r="P461" s="96"/>
      <c r="Q461" s="97"/>
      <c r="S461" s="99"/>
      <c r="T461" s="99"/>
      <c r="U461" s="99"/>
      <c r="V461" s="99"/>
      <c r="W461" s="99"/>
      <c r="X461" s="99"/>
      <c r="Y461" s="99"/>
      <c r="Z461" s="99"/>
      <c r="AA461" s="99"/>
      <c r="AB461" s="99"/>
      <c r="AC461" s="98"/>
      <c r="AD461" s="98"/>
      <c r="AE461" s="98"/>
      <c r="AF461" s="98"/>
      <c r="AG461" s="98"/>
      <c r="AH461" s="98"/>
    </row>
    <row r="462" spans="2:34" x14ac:dyDescent="0.25">
      <c r="B462" s="71"/>
      <c r="C462" s="72"/>
      <c r="D462" s="77"/>
      <c r="E462" s="78"/>
      <c r="F462" s="78"/>
      <c r="G462" s="78"/>
      <c r="H462" s="78"/>
      <c r="I462" s="79"/>
      <c r="J462" s="86"/>
      <c r="K462" s="87"/>
      <c r="L462" s="86"/>
      <c r="M462" s="87"/>
      <c r="N462" s="77"/>
      <c r="O462" s="79"/>
      <c r="P462" s="92"/>
      <c r="Q462" s="93"/>
      <c r="S462" s="99"/>
      <c r="T462" s="99"/>
      <c r="U462" s="99"/>
      <c r="V462" s="99"/>
      <c r="W462" s="99"/>
      <c r="X462" s="99"/>
      <c r="Y462" s="99"/>
      <c r="Z462" s="99"/>
      <c r="AA462" s="99"/>
      <c r="AB462" s="99"/>
      <c r="AC462" s="98"/>
      <c r="AD462" s="98"/>
      <c r="AE462" s="98"/>
      <c r="AF462" s="98"/>
      <c r="AG462" s="98"/>
      <c r="AH462" s="98"/>
    </row>
    <row r="463" spans="2:34" x14ac:dyDescent="0.25">
      <c r="B463" s="73"/>
      <c r="C463" s="74"/>
      <c r="D463" s="80"/>
      <c r="E463" s="81"/>
      <c r="F463" s="81"/>
      <c r="G463" s="81"/>
      <c r="H463" s="81"/>
      <c r="I463" s="82"/>
      <c r="J463" s="88"/>
      <c r="K463" s="89"/>
      <c r="L463" s="88"/>
      <c r="M463" s="89"/>
      <c r="N463" s="80"/>
      <c r="O463" s="82"/>
      <c r="P463" s="94"/>
      <c r="Q463" s="95"/>
      <c r="S463" s="99"/>
      <c r="T463" s="99"/>
      <c r="U463" s="99"/>
      <c r="V463" s="99"/>
      <c r="W463" s="99"/>
      <c r="X463" s="99"/>
      <c r="Y463" s="99"/>
      <c r="Z463" s="99"/>
      <c r="AA463" s="99"/>
      <c r="AB463" s="99"/>
      <c r="AC463" s="98"/>
      <c r="AD463" s="98"/>
      <c r="AE463" s="98"/>
      <c r="AF463" s="98"/>
      <c r="AG463" s="98"/>
      <c r="AH463" s="98"/>
    </row>
    <row r="464" spans="2:34" x14ac:dyDescent="0.25">
      <c r="B464" s="75"/>
      <c r="C464" s="76"/>
      <c r="D464" s="83"/>
      <c r="E464" s="84"/>
      <c r="F464" s="84"/>
      <c r="G464" s="84"/>
      <c r="H464" s="84"/>
      <c r="I464" s="85"/>
      <c r="J464" s="90"/>
      <c r="K464" s="91"/>
      <c r="L464" s="90"/>
      <c r="M464" s="91"/>
      <c r="N464" s="83"/>
      <c r="O464" s="85"/>
      <c r="P464" s="96"/>
      <c r="Q464" s="97"/>
      <c r="S464" s="99"/>
      <c r="T464" s="99"/>
      <c r="U464" s="99"/>
      <c r="V464" s="99"/>
      <c r="W464" s="99"/>
      <c r="X464" s="99"/>
      <c r="Y464" s="99"/>
      <c r="Z464" s="99"/>
      <c r="AA464" s="99"/>
      <c r="AB464" s="99"/>
      <c r="AC464" s="98"/>
      <c r="AD464" s="98"/>
      <c r="AE464" s="98"/>
      <c r="AF464" s="98"/>
      <c r="AG464" s="98"/>
      <c r="AH464" s="98"/>
    </row>
    <row r="465" spans="2:34" x14ac:dyDescent="0.25">
      <c r="B465" s="71"/>
      <c r="C465" s="72"/>
      <c r="D465" s="77"/>
      <c r="E465" s="78"/>
      <c r="F465" s="78"/>
      <c r="G465" s="78"/>
      <c r="H465" s="78"/>
      <c r="I465" s="79"/>
      <c r="J465" s="86"/>
      <c r="K465" s="87"/>
      <c r="L465" s="86"/>
      <c r="M465" s="87"/>
      <c r="N465" s="77"/>
      <c r="O465" s="79"/>
      <c r="P465" s="92"/>
      <c r="Q465" s="93"/>
      <c r="S465" s="99"/>
      <c r="T465" s="99"/>
      <c r="U465" s="99"/>
      <c r="V465" s="99"/>
      <c r="W465" s="99"/>
      <c r="X465" s="99"/>
      <c r="Y465" s="99"/>
      <c r="Z465" s="99"/>
      <c r="AA465" s="99"/>
      <c r="AB465" s="99"/>
      <c r="AC465" s="98"/>
      <c r="AD465" s="98"/>
      <c r="AE465" s="98"/>
      <c r="AF465" s="98"/>
      <c r="AG465" s="98"/>
      <c r="AH465" s="98"/>
    </row>
    <row r="466" spans="2:34" x14ac:dyDescent="0.25">
      <c r="B466" s="73"/>
      <c r="C466" s="74"/>
      <c r="D466" s="80"/>
      <c r="E466" s="81"/>
      <c r="F466" s="81"/>
      <c r="G466" s="81"/>
      <c r="H466" s="81"/>
      <c r="I466" s="82"/>
      <c r="J466" s="88"/>
      <c r="K466" s="89"/>
      <c r="L466" s="88"/>
      <c r="M466" s="89"/>
      <c r="N466" s="80"/>
      <c r="O466" s="82"/>
      <c r="P466" s="94"/>
      <c r="Q466" s="95"/>
      <c r="S466" s="99"/>
      <c r="T466" s="99"/>
      <c r="U466" s="99"/>
      <c r="V466" s="99"/>
      <c r="W466" s="99"/>
      <c r="X466" s="99"/>
      <c r="Y466" s="99"/>
      <c r="Z466" s="99"/>
      <c r="AA466" s="99"/>
      <c r="AB466" s="99"/>
      <c r="AC466" s="98"/>
      <c r="AD466" s="98"/>
      <c r="AE466" s="98"/>
      <c r="AF466" s="98"/>
      <c r="AG466" s="98"/>
      <c r="AH466" s="98"/>
    </row>
    <row r="467" spans="2:34" x14ac:dyDescent="0.25">
      <c r="B467" s="75"/>
      <c r="C467" s="76"/>
      <c r="D467" s="83"/>
      <c r="E467" s="84"/>
      <c r="F467" s="84"/>
      <c r="G467" s="84"/>
      <c r="H467" s="84"/>
      <c r="I467" s="85"/>
      <c r="J467" s="90"/>
      <c r="K467" s="91"/>
      <c r="L467" s="90"/>
      <c r="M467" s="91"/>
      <c r="N467" s="83"/>
      <c r="O467" s="85"/>
      <c r="P467" s="96"/>
      <c r="Q467" s="97"/>
      <c r="S467" s="99"/>
      <c r="T467" s="99"/>
      <c r="U467" s="99"/>
      <c r="V467" s="99"/>
      <c r="W467" s="99"/>
      <c r="X467" s="99"/>
      <c r="Y467" s="99"/>
      <c r="Z467" s="99"/>
      <c r="AA467" s="99"/>
      <c r="AB467" s="99"/>
      <c r="AC467" s="98"/>
      <c r="AD467" s="98"/>
      <c r="AE467" s="98"/>
      <c r="AF467" s="98"/>
      <c r="AG467" s="98"/>
      <c r="AH467" s="98"/>
    </row>
    <row r="468" spans="2:34" x14ac:dyDescent="0.25">
      <c r="B468" s="71"/>
      <c r="C468" s="72"/>
      <c r="D468" s="77"/>
      <c r="E468" s="78"/>
      <c r="F468" s="78"/>
      <c r="G468" s="78"/>
      <c r="H468" s="78"/>
      <c r="I468" s="79"/>
      <c r="J468" s="86"/>
      <c r="K468" s="87"/>
      <c r="L468" s="86"/>
      <c r="M468" s="87"/>
      <c r="N468" s="77"/>
      <c r="O468" s="79"/>
      <c r="P468" s="92"/>
      <c r="Q468" s="93"/>
      <c r="S468" s="99"/>
      <c r="T468" s="99"/>
      <c r="U468" s="99"/>
      <c r="V468" s="99"/>
      <c r="W468" s="99"/>
      <c r="X468" s="99"/>
      <c r="Y468" s="99"/>
      <c r="Z468" s="99"/>
      <c r="AA468" s="99"/>
      <c r="AB468" s="99"/>
      <c r="AC468" s="98"/>
      <c r="AD468" s="98"/>
      <c r="AE468" s="98"/>
      <c r="AF468" s="98"/>
      <c r="AG468" s="98"/>
      <c r="AH468" s="98"/>
    </row>
    <row r="469" spans="2:34" x14ac:dyDescent="0.25">
      <c r="B469" s="73"/>
      <c r="C469" s="74"/>
      <c r="D469" s="80"/>
      <c r="E469" s="81"/>
      <c r="F469" s="81"/>
      <c r="G469" s="81"/>
      <c r="H469" s="81"/>
      <c r="I469" s="82"/>
      <c r="J469" s="88"/>
      <c r="K469" s="89"/>
      <c r="L469" s="88"/>
      <c r="M469" s="89"/>
      <c r="N469" s="80"/>
      <c r="O469" s="82"/>
      <c r="P469" s="94"/>
      <c r="Q469" s="95"/>
      <c r="S469" s="99"/>
      <c r="T469" s="99"/>
      <c r="U469" s="99"/>
      <c r="V469" s="99"/>
      <c r="W469" s="99"/>
      <c r="X469" s="99"/>
      <c r="Y469" s="99"/>
      <c r="Z469" s="99"/>
      <c r="AA469" s="99"/>
      <c r="AB469" s="99"/>
      <c r="AC469" s="98"/>
      <c r="AD469" s="98"/>
      <c r="AE469" s="98"/>
      <c r="AF469" s="98"/>
      <c r="AG469" s="98"/>
      <c r="AH469" s="98"/>
    </row>
    <row r="470" spans="2:34" x14ac:dyDescent="0.25">
      <c r="B470" s="75"/>
      <c r="C470" s="76"/>
      <c r="D470" s="83"/>
      <c r="E470" s="84"/>
      <c r="F470" s="84"/>
      <c r="G470" s="84"/>
      <c r="H470" s="84"/>
      <c r="I470" s="85"/>
      <c r="J470" s="90"/>
      <c r="K470" s="91"/>
      <c r="L470" s="90"/>
      <c r="M470" s="91"/>
      <c r="N470" s="83"/>
      <c r="O470" s="85"/>
      <c r="P470" s="96"/>
      <c r="Q470" s="97"/>
      <c r="S470" s="99"/>
      <c r="T470" s="99"/>
      <c r="U470" s="99"/>
      <c r="V470" s="99"/>
      <c r="W470" s="99"/>
      <c r="X470" s="99"/>
      <c r="Y470" s="99"/>
      <c r="Z470" s="99"/>
      <c r="AA470" s="99"/>
      <c r="AB470" s="99"/>
      <c r="AC470" s="98"/>
      <c r="AD470" s="98"/>
      <c r="AE470" s="98"/>
      <c r="AF470" s="98"/>
      <c r="AG470" s="98"/>
      <c r="AH470" s="98"/>
    </row>
    <row r="471" spans="2:34" x14ac:dyDescent="0.25">
      <c r="B471" s="71"/>
      <c r="C471" s="72"/>
      <c r="D471" s="77"/>
      <c r="E471" s="78"/>
      <c r="F471" s="78"/>
      <c r="G471" s="78"/>
      <c r="H471" s="78"/>
      <c r="I471" s="79"/>
      <c r="J471" s="86"/>
      <c r="K471" s="87"/>
      <c r="L471" s="86"/>
      <c r="M471" s="87"/>
      <c r="N471" s="77"/>
      <c r="O471" s="79"/>
      <c r="P471" s="92"/>
      <c r="Q471" s="93"/>
      <c r="S471" s="99"/>
      <c r="T471" s="99"/>
      <c r="U471" s="99"/>
      <c r="V471" s="99"/>
      <c r="W471" s="99"/>
      <c r="X471" s="99"/>
      <c r="Y471" s="99"/>
      <c r="Z471" s="99"/>
      <c r="AA471" s="99"/>
      <c r="AB471" s="99"/>
      <c r="AC471" s="98"/>
      <c r="AD471" s="98"/>
      <c r="AE471" s="98"/>
      <c r="AF471" s="98"/>
      <c r="AG471" s="98"/>
      <c r="AH471" s="98"/>
    </row>
    <row r="472" spans="2:34" x14ac:dyDescent="0.25">
      <c r="B472" s="73"/>
      <c r="C472" s="74"/>
      <c r="D472" s="80"/>
      <c r="E472" s="81"/>
      <c r="F472" s="81"/>
      <c r="G472" s="81"/>
      <c r="H472" s="81"/>
      <c r="I472" s="82"/>
      <c r="J472" s="88"/>
      <c r="K472" s="89"/>
      <c r="L472" s="88"/>
      <c r="M472" s="89"/>
      <c r="N472" s="80"/>
      <c r="O472" s="82"/>
      <c r="P472" s="94"/>
      <c r="Q472" s="95"/>
      <c r="S472" s="99"/>
      <c r="T472" s="99"/>
      <c r="U472" s="99"/>
      <c r="V472" s="99"/>
      <c r="W472" s="99"/>
      <c r="X472" s="99"/>
      <c r="Y472" s="99"/>
      <c r="Z472" s="99"/>
      <c r="AA472" s="99"/>
      <c r="AB472" s="99"/>
      <c r="AC472" s="98"/>
      <c r="AD472" s="98"/>
      <c r="AE472" s="98"/>
      <c r="AF472" s="98"/>
      <c r="AG472" s="98"/>
      <c r="AH472" s="98"/>
    </row>
    <row r="473" spans="2:34" x14ac:dyDescent="0.25">
      <c r="B473" s="75"/>
      <c r="C473" s="76"/>
      <c r="D473" s="83"/>
      <c r="E473" s="84"/>
      <c r="F473" s="84"/>
      <c r="G473" s="84"/>
      <c r="H473" s="84"/>
      <c r="I473" s="85"/>
      <c r="J473" s="90"/>
      <c r="K473" s="91"/>
      <c r="L473" s="90"/>
      <c r="M473" s="91"/>
      <c r="N473" s="83"/>
      <c r="O473" s="85"/>
      <c r="P473" s="96"/>
      <c r="Q473" s="97"/>
      <c r="S473" s="99"/>
      <c r="T473" s="99"/>
      <c r="U473" s="99"/>
      <c r="V473" s="99"/>
      <c r="W473" s="99"/>
      <c r="X473" s="99"/>
      <c r="Y473" s="99"/>
      <c r="Z473" s="99"/>
      <c r="AA473" s="99"/>
      <c r="AB473" s="99"/>
      <c r="AC473" s="98"/>
      <c r="AD473" s="98"/>
      <c r="AE473" s="98"/>
      <c r="AF473" s="98"/>
      <c r="AG473" s="98"/>
      <c r="AH473" s="98"/>
    </row>
    <row r="474" spans="2:34" x14ac:dyDescent="0.25">
      <c r="B474" s="71"/>
      <c r="C474" s="72"/>
      <c r="D474" s="77"/>
      <c r="E474" s="78"/>
      <c r="F474" s="78"/>
      <c r="G474" s="78"/>
      <c r="H474" s="78"/>
      <c r="I474" s="79"/>
      <c r="J474" s="86"/>
      <c r="K474" s="87"/>
      <c r="L474" s="86"/>
      <c r="M474" s="87"/>
      <c r="N474" s="77"/>
      <c r="O474" s="79"/>
      <c r="P474" s="92"/>
      <c r="Q474" s="93"/>
      <c r="S474" s="99"/>
      <c r="T474" s="99"/>
      <c r="U474" s="99"/>
      <c r="V474" s="99"/>
      <c r="W474" s="99"/>
      <c r="X474" s="99"/>
      <c r="Y474" s="99"/>
      <c r="Z474" s="99"/>
      <c r="AA474" s="99"/>
      <c r="AB474" s="99"/>
      <c r="AC474" s="98"/>
      <c r="AD474" s="98"/>
      <c r="AE474" s="98"/>
      <c r="AF474" s="98"/>
      <c r="AG474" s="98"/>
      <c r="AH474" s="98"/>
    </row>
    <row r="475" spans="2:34" x14ac:dyDescent="0.25">
      <c r="B475" s="73"/>
      <c r="C475" s="74"/>
      <c r="D475" s="80"/>
      <c r="E475" s="81"/>
      <c r="F475" s="81"/>
      <c r="G475" s="81"/>
      <c r="H475" s="81"/>
      <c r="I475" s="82"/>
      <c r="J475" s="88"/>
      <c r="K475" s="89"/>
      <c r="L475" s="88"/>
      <c r="M475" s="89"/>
      <c r="N475" s="80"/>
      <c r="O475" s="82"/>
      <c r="P475" s="94"/>
      <c r="Q475" s="95"/>
      <c r="S475" s="99"/>
      <c r="T475" s="99"/>
      <c r="U475" s="99"/>
      <c r="V475" s="99"/>
      <c r="W475" s="99"/>
      <c r="X475" s="99"/>
      <c r="Y475" s="99"/>
      <c r="Z475" s="99"/>
      <c r="AA475" s="99"/>
      <c r="AB475" s="99"/>
      <c r="AC475" s="98"/>
      <c r="AD475" s="98"/>
      <c r="AE475" s="98"/>
      <c r="AF475" s="98"/>
      <c r="AG475" s="98"/>
      <c r="AH475" s="98"/>
    </row>
    <row r="476" spans="2:34" x14ac:dyDescent="0.25">
      <c r="B476" s="75"/>
      <c r="C476" s="76"/>
      <c r="D476" s="83"/>
      <c r="E476" s="84"/>
      <c r="F476" s="84"/>
      <c r="G476" s="84"/>
      <c r="H476" s="84"/>
      <c r="I476" s="85"/>
      <c r="J476" s="90"/>
      <c r="K476" s="91"/>
      <c r="L476" s="90"/>
      <c r="M476" s="91"/>
      <c r="N476" s="83"/>
      <c r="O476" s="85"/>
      <c r="P476" s="96"/>
      <c r="Q476" s="97"/>
      <c r="S476" s="99"/>
      <c r="T476" s="99"/>
      <c r="U476" s="99"/>
      <c r="V476" s="99"/>
      <c r="W476" s="99"/>
      <c r="X476" s="99"/>
      <c r="Y476" s="99"/>
      <c r="Z476" s="99"/>
      <c r="AA476" s="99"/>
      <c r="AB476" s="99"/>
      <c r="AC476" s="98"/>
      <c r="AD476" s="98"/>
      <c r="AE476" s="98"/>
      <c r="AF476" s="98"/>
      <c r="AG476" s="98"/>
      <c r="AH476" s="98"/>
    </row>
    <row r="477" spans="2:34" x14ac:dyDescent="0.25">
      <c r="B477" s="71"/>
      <c r="C477" s="72"/>
      <c r="D477" s="77"/>
      <c r="E477" s="78"/>
      <c r="F477" s="78"/>
      <c r="G477" s="78"/>
      <c r="H477" s="78"/>
      <c r="I477" s="79"/>
      <c r="J477" s="86"/>
      <c r="K477" s="87"/>
      <c r="L477" s="86"/>
      <c r="M477" s="87"/>
      <c r="N477" s="77"/>
      <c r="O477" s="79"/>
      <c r="P477" s="92"/>
      <c r="Q477" s="93"/>
      <c r="S477" s="99"/>
      <c r="T477" s="99"/>
      <c r="U477" s="99"/>
      <c r="V477" s="99"/>
      <c r="W477" s="99"/>
      <c r="X477" s="99"/>
      <c r="Y477" s="99"/>
      <c r="Z477" s="99"/>
      <c r="AA477" s="99"/>
      <c r="AB477" s="99"/>
      <c r="AC477" s="98"/>
      <c r="AD477" s="98"/>
      <c r="AE477" s="98"/>
      <c r="AF477" s="98"/>
      <c r="AG477" s="98"/>
      <c r="AH477" s="98"/>
    </row>
    <row r="478" spans="2:34" x14ac:dyDescent="0.25">
      <c r="B478" s="73"/>
      <c r="C478" s="74"/>
      <c r="D478" s="80"/>
      <c r="E478" s="81"/>
      <c r="F478" s="81"/>
      <c r="G478" s="81"/>
      <c r="H478" s="81"/>
      <c r="I478" s="82"/>
      <c r="J478" s="88"/>
      <c r="K478" s="89"/>
      <c r="L478" s="88"/>
      <c r="M478" s="89"/>
      <c r="N478" s="80"/>
      <c r="O478" s="82"/>
      <c r="P478" s="94"/>
      <c r="Q478" s="95"/>
      <c r="S478" s="99"/>
      <c r="T478" s="99"/>
      <c r="U478" s="99"/>
      <c r="V478" s="99"/>
      <c r="W478" s="99"/>
      <c r="X478" s="99"/>
      <c r="Y478" s="99"/>
      <c r="Z478" s="99"/>
      <c r="AA478" s="99"/>
      <c r="AB478" s="99"/>
      <c r="AC478" s="98"/>
      <c r="AD478" s="98"/>
      <c r="AE478" s="98"/>
      <c r="AF478" s="98"/>
      <c r="AG478" s="98"/>
      <c r="AH478" s="98"/>
    </row>
    <row r="479" spans="2:34" x14ac:dyDescent="0.25">
      <c r="B479" s="75"/>
      <c r="C479" s="76"/>
      <c r="D479" s="83"/>
      <c r="E479" s="84"/>
      <c r="F479" s="84"/>
      <c r="G479" s="84"/>
      <c r="H479" s="84"/>
      <c r="I479" s="85"/>
      <c r="J479" s="90"/>
      <c r="K479" s="91"/>
      <c r="L479" s="90"/>
      <c r="M479" s="91"/>
      <c r="N479" s="83"/>
      <c r="O479" s="85"/>
      <c r="P479" s="96"/>
      <c r="Q479" s="97"/>
      <c r="S479" s="99"/>
      <c r="T479" s="99"/>
      <c r="U479" s="99"/>
      <c r="V479" s="99"/>
      <c r="W479" s="99"/>
      <c r="X479" s="99"/>
      <c r="Y479" s="99"/>
      <c r="Z479" s="99"/>
      <c r="AA479" s="99"/>
      <c r="AB479" s="99"/>
      <c r="AC479" s="98"/>
      <c r="AD479" s="98"/>
      <c r="AE479" s="98"/>
      <c r="AF479" s="98"/>
      <c r="AG479" s="98"/>
      <c r="AH479" s="98"/>
    </row>
    <row r="480" spans="2:34" x14ac:dyDescent="0.25">
      <c r="B480" s="71"/>
      <c r="C480" s="72"/>
      <c r="D480" s="77"/>
      <c r="E480" s="78"/>
      <c r="F480" s="78"/>
      <c r="G480" s="78"/>
      <c r="H480" s="78"/>
      <c r="I480" s="79"/>
      <c r="J480" s="86"/>
      <c r="K480" s="87"/>
      <c r="L480" s="86"/>
      <c r="M480" s="87"/>
      <c r="N480" s="77"/>
      <c r="O480" s="79"/>
      <c r="P480" s="92"/>
      <c r="Q480" s="93"/>
      <c r="S480" s="99"/>
      <c r="T480" s="99"/>
      <c r="U480" s="99"/>
      <c r="V480" s="99"/>
      <c r="W480" s="99"/>
      <c r="X480" s="99"/>
      <c r="Y480" s="99"/>
      <c r="Z480" s="99"/>
      <c r="AA480" s="99"/>
      <c r="AB480" s="99"/>
      <c r="AC480" s="98"/>
      <c r="AD480" s="98"/>
      <c r="AE480" s="98"/>
      <c r="AF480" s="98"/>
      <c r="AG480" s="98"/>
      <c r="AH480" s="98"/>
    </row>
    <row r="481" spans="2:34" x14ac:dyDescent="0.25">
      <c r="B481" s="73"/>
      <c r="C481" s="74"/>
      <c r="D481" s="80"/>
      <c r="E481" s="81"/>
      <c r="F481" s="81"/>
      <c r="G481" s="81"/>
      <c r="H481" s="81"/>
      <c r="I481" s="82"/>
      <c r="J481" s="88"/>
      <c r="K481" s="89"/>
      <c r="L481" s="88"/>
      <c r="M481" s="89"/>
      <c r="N481" s="80"/>
      <c r="O481" s="82"/>
      <c r="P481" s="94"/>
      <c r="Q481" s="95"/>
      <c r="S481" s="99"/>
      <c r="T481" s="99"/>
      <c r="U481" s="99"/>
      <c r="V481" s="99"/>
      <c r="W481" s="99"/>
      <c r="X481" s="99"/>
      <c r="Y481" s="99"/>
      <c r="Z481" s="99"/>
      <c r="AA481" s="99"/>
      <c r="AB481" s="99"/>
      <c r="AC481" s="98"/>
      <c r="AD481" s="98"/>
      <c r="AE481" s="98"/>
      <c r="AF481" s="98"/>
      <c r="AG481" s="98"/>
      <c r="AH481" s="98"/>
    </row>
    <row r="482" spans="2:34" x14ac:dyDescent="0.25">
      <c r="B482" s="75"/>
      <c r="C482" s="76"/>
      <c r="D482" s="83"/>
      <c r="E482" s="84"/>
      <c r="F482" s="84"/>
      <c r="G482" s="84"/>
      <c r="H482" s="84"/>
      <c r="I482" s="85"/>
      <c r="J482" s="90"/>
      <c r="K482" s="91"/>
      <c r="L482" s="90"/>
      <c r="M482" s="91"/>
      <c r="N482" s="83"/>
      <c r="O482" s="85"/>
      <c r="P482" s="96"/>
      <c r="Q482" s="97"/>
      <c r="S482" s="99"/>
      <c r="T482" s="99"/>
      <c r="U482" s="99"/>
      <c r="V482" s="99"/>
      <c r="W482" s="99"/>
      <c r="X482" s="99"/>
      <c r="Y482" s="99"/>
      <c r="Z482" s="99"/>
      <c r="AA482" s="99"/>
      <c r="AB482" s="99"/>
      <c r="AC482" s="98"/>
      <c r="AD482" s="98"/>
      <c r="AE482" s="98"/>
      <c r="AF482" s="98"/>
      <c r="AG482" s="98"/>
      <c r="AH482" s="98"/>
    </row>
    <row r="483" spans="2:34" x14ac:dyDescent="0.25">
      <c r="B483" s="71"/>
      <c r="C483" s="72"/>
      <c r="D483" s="77"/>
      <c r="E483" s="78"/>
      <c r="F483" s="78"/>
      <c r="G483" s="78"/>
      <c r="H483" s="78"/>
      <c r="I483" s="79"/>
      <c r="J483" s="86"/>
      <c r="K483" s="87"/>
      <c r="L483" s="86"/>
      <c r="M483" s="87"/>
      <c r="N483" s="77"/>
      <c r="O483" s="79"/>
      <c r="P483" s="92"/>
      <c r="Q483" s="93"/>
      <c r="S483" s="99"/>
      <c r="T483" s="99"/>
      <c r="U483" s="99"/>
      <c r="V483" s="99"/>
      <c r="W483" s="99"/>
      <c r="X483" s="99"/>
      <c r="Y483" s="99"/>
      <c r="Z483" s="99"/>
      <c r="AA483" s="99"/>
      <c r="AB483" s="99"/>
      <c r="AC483" s="98"/>
      <c r="AD483" s="98"/>
      <c r="AE483" s="98"/>
      <c r="AF483" s="98"/>
      <c r="AG483" s="98"/>
      <c r="AH483" s="98"/>
    </row>
    <row r="484" spans="2:34" x14ac:dyDescent="0.25">
      <c r="B484" s="73"/>
      <c r="C484" s="74"/>
      <c r="D484" s="80"/>
      <c r="E484" s="81"/>
      <c r="F484" s="81"/>
      <c r="G484" s="81"/>
      <c r="H484" s="81"/>
      <c r="I484" s="82"/>
      <c r="J484" s="88"/>
      <c r="K484" s="89"/>
      <c r="L484" s="88"/>
      <c r="M484" s="89"/>
      <c r="N484" s="80"/>
      <c r="O484" s="82"/>
      <c r="P484" s="94"/>
      <c r="Q484" s="95"/>
      <c r="S484" s="99"/>
      <c r="T484" s="99"/>
      <c r="U484" s="99"/>
      <c r="V484" s="99"/>
      <c r="W484" s="99"/>
      <c r="X484" s="99"/>
      <c r="Y484" s="99"/>
      <c r="Z484" s="99"/>
      <c r="AA484" s="99"/>
      <c r="AB484" s="99"/>
      <c r="AC484" s="98"/>
      <c r="AD484" s="98"/>
      <c r="AE484" s="98"/>
      <c r="AF484" s="98"/>
      <c r="AG484" s="98"/>
      <c r="AH484" s="98"/>
    </row>
    <row r="485" spans="2:34" x14ac:dyDescent="0.25">
      <c r="B485" s="75"/>
      <c r="C485" s="76"/>
      <c r="D485" s="83"/>
      <c r="E485" s="84"/>
      <c r="F485" s="84"/>
      <c r="G485" s="84"/>
      <c r="H485" s="84"/>
      <c r="I485" s="85"/>
      <c r="J485" s="90"/>
      <c r="K485" s="91"/>
      <c r="L485" s="90"/>
      <c r="M485" s="91"/>
      <c r="N485" s="83"/>
      <c r="O485" s="85"/>
      <c r="P485" s="96"/>
      <c r="Q485" s="97"/>
      <c r="S485" s="99"/>
      <c r="T485" s="99"/>
      <c r="U485" s="99"/>
      <c r="V485" s="99"/>
      <c r="W485" s="99"/>
      <c r="X485" s="99"/>
      <c r="Y485" s="99"/>
      <c r="Z485" s="99"/>
      <c r="AA485" s="99"/>
      <c r="AB485" s="99"/>
      <c r="AC485" s="98"/>
      <c r="AD485" s="98"/>
      <c r="AE485" s="98"/>
      <c r="AF485" s="98"/>
      <c r="AG485" s="98"/>
      <c r="AH485" s="98"/>
    </row>
    <row r="486" spans="2:34" x14ac:dyDescent="0.25">
      <c r="B486" s="71"/>
      <c r="C486" s="72"/>
      <c r="D486" s="77"/>
      <c r="E486" s="78"/>
      <c r="F486" s="78"/>
      <c r="G486" s="78"/>
      <c r="H486" s="78"/>
      <c r="I486" s="79"/>
      <c r="J486" s="86"/>
      <c r="K486" s="87"/>
      <c r="L486" s="86"/>
      <c r="M486" s="87"/>
      <c r="N486" s="77"/>
      <c r="O486" s="79"/>
      <c r="P486" s="92"/>
      <c r="Q486" s="93"/>
      <c r="S486" s="99"/>
      <c r="T486" s="99"/>
      <c r="U486" s="99"/>
      <c r="V486" s="99"/>
      <c r="W486" s="99"/>
      <c r="X486" s="99"/>
      <c r="Y486" s="99"/>
      <c r="Z486" s="99"/>
      <c r="AA486" s="99"/>
      <c r="AB486" s="99"/>
      <c r="AC486" s="98"/>
      <c r="AD486" s="98"/>
      <c r="AE486" s="98"/>
      <c r="AF486" s="98"/>
      <c r="AG486" s="98"/>
      <c r="AH486" s="98"/>
    </row>
    <row r="487" spans="2:34" x14ac:dyDescent="0.25">
      <c r="B487" s="73"/>
      <c r="C487" s="74"/>
      <c r="D487" s="80"/>
      <c r="E487" s="81"/>
      <c r="F487" s="81"/>
      <c r="G487" s="81"/>
      <c r="H487" s="81"/>
      <c r="I487" s="82"/>
      <c r="J487" s="88"/>
      <c r="K487" s="89"/>
      <c r="L487" s="88"/>
      <c r="M487" s="89"/>
      <c r="N487" s="80"/>
      <c r="O487" s="82"/>
      <c r="P487" s="94"/>
      <c r="Q487" s="95"/>
      <c r="S487" s="99"/>
      <c r="T487" s="99"/>
      <c r="U487" s="99"/>
      <c r="V487" s="99"/>
      <c r="W487" s="99"/>
      <c r="X487" s="99"/>
      <c r="Y487" s="99"/>
      <c r="Z487" s="99"/>
      <c r="AA487" s="99"/>
      <c r="AB487" s="99"/>
      <c r="AC487" s="98"/>
      <c r="AD487" s="98"/>
      <c r="AE487" s="98"/>
      <c r="AF487" s="98"/>
      <c r="AG487" s="98"/>
      <c r="AH487" s="98"/>
    </row>
    <row r="488" spans="2:34" x14ac:dyDescent="0.25">
      <c r="B488" s="75"/>
      <c r="C488" s="76"/>
      <c r="D488" s="83"/>
      <c r="E488" s="84"/>
      <c r="F488" s="84"/>
      <c r="G488" s="84"/>
      <c r="H488" s="84"/>
      <c r="I488" s="85"/>
      <c r="J488" s="90"/>
      <c r="K488" s="91"/>
      <c r="L488" s="90"/>
      <c r="M488" s="91"/>
      <c r="N488" s="83"/>
      <c r="O488" s="85"/>
      <c r="P488" s="96"/>
      <c r="Q488" s="97"/>
      <c r="S488" s="99"/>
      <c r="T488" s="99"/>
      <c r="U488" s="99"/>
      <c r="V488" s="99"/>
      <c r="W488" s="99"/>
      <c r="X488" s="99"/>
      <c r="Y488" s="99"/>
      <c r="Z488" s="99"/>
      <c r="AA488" s="99"/>
      <c r="AB488" s="99"/>
      <c r="AC488" s="98"/>
      <c r="AD488" s="98"/>
      <c r="AE488" s="98"/>
      <c r="AF488" s="98"/>
      <c r="AG488" s="98"/>
      <c r="AH488" s="98"/>
    </row>
    <row r="489" spans="2:34" x14ac:dyDescent="0.25">
      <c r="B489" s="71"/>
      <c r="C489" s="72"/>
      <c r="D489" s="77"/>
      <c r="E489" s="78"/>
      <c r="F489" s="78"/>
      <c r="G489" s="78"/>
      <c r="H489" s="78"/>
      <c r="I489" s="79"/>
      <c r="J489" s="86"/>
      <c r="K489" s="87"/>
      <c r="L489" s="86"/>
      <c r="M489" s="87"/>
      <c r="N489" s="77"/>
      <c r="O489" s="79"/>
      <c r="P489" s="92"/>
      <c r="Q489" s="93"/>
      <c r="S489" s="99"/>
      <c r="T489" s="99"/>
      <c r="U489" s="99"/>
      <c r="V489" s="99"/>
      <c r="W489" s="99"/>
      <c r="X489" s="99"/>
      <c r="Y489" s="99"/>
      <c r="Z489" s="99"/>
      <c r="AA489" s="99"/>
      <c r="AB489" s="99"/>
      <c r="AC489" s="98"/>
      <c r="AD489" s="98"/>
      <c r="AE489" s="98"/>
      <c r="AF489" s="98"/>
      <c r="AG489" s="98"/>
      <c r="AH489" s="98"/>
    </row>
    <row r="490" spans="2:34" x14ac:dyDescent="0.25">
      <c r="B490" s="73"/>
      <c r="C490" s="74"/>
      <c r="D490" s="80"/>
      <c r="E490" s="81"/>
      <c r="F490" s="81"/>
      <c r="G490" s="81"/>
      <c r="H490" s="81"/>
      <c r="I490" s="82"/>
      <c r="J490" s="88"/>
      <c r="K490" s="89"/>
      <c r="L490" s="88"/>
      <c r="M490" s="89"/>
      <c r="N490" s="80"/>
      <c r="O490" s="82"/>
      <c r="P490" s="94"/>
      <c r="Q490" s="95"/>
      <c r="S490" s="99"/>
      <c r="T490" s="99"/>
      <c r="U490" s="99"/>
      <c r="V490" s="99"/>
      <c r="W490" s="99"/>
      <c r="X490" s="99"/>
      <c r="Y490" s="99"/>
      <c r="Z490" s="99"/>
      <c r="AA490" s="99"/>
      <c r="AB490" s="99"/>
      <c r="AC490" s="98"/>
      <c r="AD490" s="98"/>
      <c r="AE490" s="98"/>
      <c r="AF490" s="98"/>
      <c r="AG490" s="98"/>
      <c r="AH490" s="98"/>
    </row>
    <row r="491" spans="2:34" x14ac:dyDescent="0.25">
      <c r="B491" s="75"/>
      <c r="C491" s="76"/>
      <c r="D491" s="83"/>
      <c r="E491" s="84"/>
      <c r="F491" s="84"/>
      <c r="G491" s="84"/>
      <c r="H491" s="84"/>
      <c r="I491" s="85"/>
      <c r="J491" s="90"/>
      <c r="K491" s="91"/>
      <c r="L491" s="90"/>
      <c r="M491" s="91"/>
      <c r="N491" s="83"/>
      <c r="O491" s="85"/>
      <c r="P491" s="96"/>
      <c r="Q491" s="97"/>
      <c r="S491" s="99"/>
      <c r="T491" s="99"/>
      <c r="U491" s="99"/>
      <c r="V491" s="99"/>
      <c r="W491" s="99"/>
      <c r="X491" s="99"/>
      <c r="Y491" s="99"/>
      <c r="Z491" s="99"/>
      <c r="AA491" s="99"/>
      <c r="AB491" s="99"/>
      <c r="AC491" s="98"/>
      <c r="AD491" s="98"/>
      <c r="AE491" s="98"/>
      <c r="AF491" s="98"/>
      <c r="AG491" s="98"/>
      <c r="AH491" s="98"/>
    </row>
    <row r="492" spans="2:34" x14ac:dyDescent="0.25">
      <c r="B492" s="71"/>
      <c r="C492" s="72"/>
      <c r="D492" s="77"/>
      <c r="E492" s="78"/>
      <c r="F492" s="78"/>
      <c r="G492" s="78"/>
      <c r="H492" s="78"/>
      <c r="I492" s="79"/>
      <c r="J492" s="86"/>
      <c r="K492" s="87"/>
      <c r="L492" s="86"/>
      <c r="M492" s="87"/>
      <c r="N492" s="77"/>
      <c r="O492" s="79"/>
      <c r="P492" s="92"/>
      <c r="Q492" s="93"/>
      <c r="S492" s="99"/>
      <c r="T492" s="99"/>
      <c r="U492" s="99"/>
      <c r="V492" s="99"/>
      <c r="W492" s="99"/>
      <c r="X492" s="99"/>
      <c r="Y492" s="99"/>
      <c r="Z492" s="99"/>
      <c r="AA492" s="99"/>
      <c r="AB492" s="99"/>
      <c r="AC492" s="98"/>
      <c r="AD492" s="98"/>
      <c r="AE492" s="98"/>
      <c r="AF492" s="98"/>
      <c r="AG492" s="98"/>
      <c r="AH492" s="98"/>
    </row>
    <row r="493" spans="2:34" x14ac:dyDescent="0.25">
      <c r="B493" s="73"/>
      <c r="C493" s="74"/>
      <c r="D493" s="80"/>
      <c r="E493" s="81"/>
      <c r="F493" s="81"/>
      <c r="G493" s="81"/>
      <c r="H493" s="81"/>
      <c r="I493" s="82"/>
      <c r="J493" s="88"/>
      <c r="K493" s="89"/>
      <c r="L493" s="88"/>
      <c r="M493" s="89"/>
      <c r="N493" s="80"/>
      <c r="O493" s="82"/>
      <c r="P493" s="94"/>
      <c r="Q493" s="95"/>
      <c r="S493" s="99"/>
      <c r="T493" s="99"/>
      <c r="U493" s="99"/>
      <c r="V493" s="99"/>
      <c r="W493" s="99"/>
      <c r="X493" s="99"/>
      <c r="Y493" s="99"/>
      <c r="Z493" s="99"/>
      <c r="AA493" s="99"/>
      <c r="AB493" s="99"/>
      <c r="AC493" s="98"/>
      <c r="AD493" s="98"/>
      <c r="AE493" s="98"/>
      <c r="AF493" s="98"/>
      <c r="AG493" s="98"/>
      <c r="AH493" s="98"/>
    </row>
    <row r="494" spans="2:34" x14ac:dyDescent="0.25">
      <c r="B494" s="75"/>
      <c r="C494" s="76"/>
      <c r="D494" s="83"/>
      <c r="E494" s="84"/>
      <c r="F494" s="84"/>
      <c r="G494" s="84"/>
      <c r="H494" s="84"/>
      <c r="I494" s="85"/>
      <c r="J494" s="90"/>
      <c r="K494" s="91"/>
      <c r="L494" s="90"/>
      <c r="M494" s="91"/>
      <c r="N494" s="83"/>
      <c r="O494" s="85"/>
      <c r="P494" s="96"/>
      <c r="Q494" s="97"/>
      <c r="S494" s="99"/>
      <c r="T494" s="99"/>
      <c r="U494" s="99"/>
      <c r="V494" s="99"/>
      <c r="W494" s="99"/>
      <c r="X494" s="99"/>
      <c r="Y494" s="99"/>
      <c r="Z494" s="99"/>
      <c r="AA494" s="99"/>
      <c r="AB494" s="99"/>
      <c r="AC494" s="98"/>
      <c r="AD494" s="98"/>
      <c r="AE494" s="98"/>
      <c r="AF494" s="98"/>
      <c r="AG494" s="98"/>
      <c r="AH494" s="98"/>
    </row>
    <row r="495" spans="2:34" x14ac:dyDescent="0.25">
      <c r="B495" s="71"/>
      <c r="C495" s="72"/>
      <c r="D495" s="77"/>
      <c r="E495" s="78"/>
      <c r="F495" s="78"/>
      <c r="G495" s="78"/>
      <c r="H495" s="78"/>
      <c r="I495" s="79"/>
      <c r="J495" s="86"/>
      <c r="K495" s="87"/>
      <c r="L495" s="86"/>
      <c r="M495" s="87"/>
      <c r="N495" s="77"/>
      <c r="O495" s="79"/>
      <c r="P495" s="92"/>
      <c r="Q495" s="93"/>
      <c r="S495" s="99"/>
      <c r="T495" s="99"/>
      <c r="U495" s="99"/>
      <c r="V495" s="99"/>
      <c r="W495" s="99"/>
      <c r="X495" s="99"/>
      <c r="Y495" s="99"/>
      <c r="Z495" s="99"/>
      <c r="AA495" s="99"/>
      <c r="AB495" s="99"/>
      <c r="AC495" s="98"/>
      <c r="AD495" s="98"/>
      <c r="AE495" s="98"/>
      <c r="AF495" s="98"/>
      <c r="AG495" s="98"/>
      <c r="AH495" s="98"/>
    </row>
    <row r="496" spans="2:34" x14ac:dyDescent="0.25">
      <c r="B496" s="73"/>
      <c r="C496" s="74"/>
      <c r="D496" s="80"/>
      <c r="E496" s="81"/>
      <c r="F496" s="81"/>
      <c r="G496" s="81"/>
      <c r="H496" s="81"/>
      <c r="I496" s="82"/>
      <c r="J496" s="88"/>
      <c r="K496" s="89"/>
      <c r="L496" s="88"/>
      <c r="M496" s="89"/>
      <c r="N496" s="80"/>
      <c r="O496" s="82"/>
      <c r="P496" s="94"/>
      <c r="Q496" s="95"/>
      <c r="S496" s="99"/>
      <c r="T496" s="99"/>
      <c r="U496" s="99"/>
      <c r="V496" s="99"/>
      <c r="W496" s="99"/>
      <c r="X496" s="99"/>
      <c r="Y496" s="99"/>
      <c r="Z496" s="99"/>
      <c r="AA496" s="99"/>
      <c r="AB496" s="99"/>
      <c r="AC496" s="98"/>
      <c r="AD496" s="98"/>
      <c r="AE496" s="98"/>
      <c r="AF496" s="98"/>
      <c r="AG496" s="98"/>
      <c r="AH496" s="98"/>
    </row>
    <row r="497" spans="2:34" x14ac:dyDescent="0.25">
      <c r="B497" s="75"/>
      <c r="C497" s="76"/>
      <c r="D497" s="83"/>
      <c r="E497" s="84"/>
      <c r="F497" s="84"/>
      <c r="G497" s="84"/>
      <c r="H497" s="84"/>
      <c r="I497" s="85"/>
      <c r="J497" s="90"/>
      <c r="K497" s="91"/>
      <c r="L497" s="90"/>
      <c r="M497" s="91"/>
      <c r="N497" s="83"/>
      <c r="O497" s="85"/>
      <c r="P497" s="96"/>
      <c r="Q497" s="97"/>
      <c r="S497" s="99"/>
      <c r="T497" s="99"/>
      <c r="U497" s="99"/>
      <c r="V497" s="99"/>
      <c r="W497" s="99"/>
      <c r="X497" s="99"/>
      <c r="Y497" s="99"/>
      <c r="Z497" s="99"/>
      <c r="AA497" s="99"/>
      <c r="AB497" s="99"/>
      <c r="AC497" s="98"/>
      <c r="AD497" s="98"/>
      <c r="AE497" s="98"/>
      <c r="AF497" s="98"/>
      <c r="AG497" s="98"/>
      <c r="AH497" s="98"/>
    </row>
    <row r="498" spans="2:34" x14ac:dyDescent="0.25">
      <c r="B498" s="71"/>
      <c r="C498" s="72"/>
      <c r="D498" s="77"/>
      <c r="E498" s="78"/>
      <c r="F498" s="78"/>
      <c r="G498" s="78"/>
      <c r="H498" s="78"/>
      <c r="I498" s="79"/>
      <c r="J498" s="86"/>
      <c r="K498" s="87"/>
      <c r="L498" s="86"/>
      <c r="M498" s="87"/>
      <c r="N498" s="77"/>
      <c r="O498" s="79"/>
      <c r="P498" s="92"/>
      <c r="Q498" s="93"/>
      <c r="S498" s="99"/>
      <c r="T498" s="99"/>
      <c r="U498" s="99"/>
      <c r="V498" s="99"/>
      <c r="W498" s="99"/>
      <c r="X498" s="99"/>
      <c r="Y498" s="99"/>
      <c r="Z498" s="99"/>
      <c r="AA498" s="99"/>
      <c r="AB498" s="99"/>
      <c r="AC498" s="98"/>
      <c r="AD498" s="98"/>
      <c r="AE498" s="98"/>
      <c r="AF498" s="98"/>
      <c r="AG498" s="98"/>
      <c r="AH498" s="98"/>
    </row>
    <row r="499" spans="2:34" x14ac:dyDescent="0.25">
      <c r="B499" s="73"/>
      <c r="C499" s="74"/>
      <c r="D499" s="80"/>
      <c r="E499" s="81"/>
      <c r="F499" s="81"/>
      <c r="G499" s="81"/>
      <c r="H499" s="81"/>
      <c r="I499" s="82"/>
      <c r="J499" s="88"/>
      <c r="K499" s="89"/>
      <c r="L499" s="88"/>
      <c r="M499" s="89"/>
      <c r="N499" s="80"/>
      <c r="O499" s="82"/>
      <c r="P499" s="94"/>
      <c r="Q499" s="95"/>
      <c r="S499" s="99"/>
      <c r="T499" s="99"/>
      <c r="U499" s="99"/>
      <c r="V499" s="99"/>
      <c r="W499" s="99"/>
      <c r="X499" s="99"/>
      <c r="Y499" s="99"/>
      <c r="Z499" s="99"/>
      <c r="AA499" s="99"/>
      <c r="AB499" s="99"/>
      <c r="AC499" s="98"/>
      <c r="AD499" s="98"/>
      <c r="AE499" s="98"/>
      <c r="AF499" s="98"/>
      <c r="AG499" s="98"/>
      <c r="AH499" s="98"/>
    </row>
    <row r="500" spans="2:34" x14ac:dyDescent="0.25">
      <c r="B500" s="75"/>
      <c r="C500" s="76"/>
      <c r="D500" s="83"/>
      <c r="E500" s="84"/>
      <c r="F500" s="84"/>
      <c r="G500" s="84"/>
      <c r="H500" s="84"/>
      <c r="I500" s="85"/>
      <c r="J500" s="90"/>
      <c r="K500" s="91"/>
      <c r="L500" s="90"/>
      <c r="M500" s="91"/>
      <c r="N500" s="83"/>
      <c r="O500" s="85"/>
      <c r="P500" s="96"/>
      <c r="Q500" s="97"/>
      <c r="S500" s="99"/>
      <c r="T500" s="99"/>
      <c r="U500" s="99"/>
      <c r="V500" s="99"/>
      <c r="W500" s="99"/>
      <c r="X500" s="99"/>
      <c r="Y500" s="99"/>
      <c r="Z500" s="99"/>
      <c r="AA500" s="99"/>
      <c r="AB500" s="99"/>
      <c r="AC500" s="98"/>
      <c r="AD500" s="98"/>
      <c r="AE500" s="98"/>
      <c r="AF500" s="98"/>
      <c r="AG500" s="98"/>
      <c r="AH500" s="98"/>
    </row>
    <row r="501" spans="2:34" x14ac:dyDescent="0.25">
      <c r="B501" s="71"/>
      <c r="C501" s="72"/>
      <c r="D501" s="77"/>
      <c r="E501" s="78"/>
      <c r="F501" s="78"/>
      <c r="G501" s="78"/>
      <c r="H501" s="78"/>
      <c r="I501" s="79"/>
      <c r="J501" s="86"/>
      <c r="K501" s="87"/>
      <c r="L501" s="86"/>
      <c r="M501" s="87"/>
      <c r="N501" s="77"/>
      <c r="O501" s="79"/>
      <c r="P501" s="92"/>
      <c r="Q501" s="93"/>
      <c r="S501" s="99"/>
      <c r="T501" s="99"/>
      <c r="U501" s="99"/>
      <c r="V501" s="99"/>
      <c r="W501" s="99"/>
      <c r="X501" s="99"/>
      <c r="Y501" s="99"/>
      <c r="Z501" s="99"/>
      <c r="AA501" s="99"/>
      <c r="AB501" s="99"/>
      <c r="AC501" s="98"/>
      <c r="AD501" s="98"/>
      <c r="AE501" s="98"/>
      <c r="AF501" s="98"/>
      <c r="AG501" s="98"/>
      <c r="AH501" s="98"/>
    </row>
    <row r="502" spans="2:34" x14ac:dyDescent="0.25">
      <c r="B502" s="73"/>
      <c r="C502" s="74"/>
      <c r="D502" s="80"/>
      <c r="E502" s="81"/>
      <c r="F502" s="81"/>
      <c r="G502" s="81"/>
      <c r="H502" s="81"/>
      <c r="I502" s="82"/>
      <c r="J502" s="88"/>
      <c r="K502" s="89"/>
      <c r="L502" s="88"/>
      <c r="M502" s="89"/>
      <c r="N502" s="80"/>
      <c r="O502" s="82"/>
      <c r="P502" s="94"/>
      <c r="Q502" s="95"/>
      <c r="S502" s="99"/>
      <c r="T502" s="99"/>
      <c r="U502" s="99"/>
      <c r="V502" s="99"/>
      <c r="W502" s="99"/>
      <c r="X502" s="99"/>
      <c r="Y502" s="99"/>
      <c r="Z502" s="99"/>
      <c r="AA502" s="99"/>
      <c r="AB502" s="99"/>
      <c r="AC502" s="98"/>
      <c r="AD502" s="98"/>
      <c r="AE502" s="98"/>
      <c r="AF502" s="98"/>
      <c r="AG502" s="98"/>
      <c r="AH502" s="98"/>
    </row>
    <row r="503" spans="2:34" x14ac:dyDescent="0.25">
      <c r="B503" s="75"/>
      <c r="C503" s="76"/>
      <c r="D503" s="83"/>
      <c r="E503" s="84"/>
      <c r="F503" s="84"/>
      <c r="G503" s="84"/>
      <c r="H503" s="84"/>
      <c r="I503" s="85"/>
      <c r="J503" s="90"/>
      <c r="K503" s="91"/>
      <c r="L503" s="90"/>
      <c r="M503" s="91"/>
      <c r="N503" s="83"/>
      <c r="O503" s="85"/>
      <c r="P503" s="96"/>
      <c r="Q503" s="97"/>
      <c r="S503" s="99"/>
      <c r="T503" s="99"/>
      <c r="U503" s="99"/>
      <c r="V503" s="99"/>
      <c r="W503" s="99"/>
      <c r="X503" s="99"/>
      <c r="Y503" s="99"/>
      <c r="Z503" s="99"/>
      <c r="AA503" s="99"/>
      <c r="AB503" s="99"/>
      <c r="AC503" s="98"/>
      <c r="AD503" s="98"/>
      <c r="AE503" s="98"/>
      <c r="AF503" s="98"/>
      <c r="AG503" s="98"/>
      <c r="AH503" s="98"/>
    </row>
    <row r="504" spans="2:34" x14ac:dyDescent="0.25">
      <c r="B504" s="71"/>
      <c r="C504" s="72"/>
      <c r="D504" s="77"/>
      <c r="E504" s="78"/>
      <c r="F504" s="78"/>
      <c r="G504" s="78"/>
      <c r="H504" s="78"/>
      <c r="I504" s="79"/>
      <c r="J504" s="86"/>
      <c r="K504" s="87"/>
      <c r="L504" s="86"/>
      <c r="M504" s="87"/>
      <c r="N504" s="77"/>
      <c r="O504" s="79"/>
      <c r="P504" s="92"/>
      <c r="Q504" s="93"/>
      <c r="S504" s="99"/>
      <c r="T504" s="99"/>
      <c r="U504" s="99"/>
      <c r="V504" s="99"/>
      <c r="W504" s="99"/>
      <c r="X504" s="99"/>
      <c r="Y504" s="99"/>
      <c r="Z504" s="99"/>
      <c r="AA504" s="99"/>
      <c r="AB504" s="99"/>
      <c r="AC504" s="98"/>
      <c r="AD504" s="98"/>
      <c r="AE504" s="98"/>
      <c r="AF504" s="98"/>
      <c r="AG504" s="98"/>
      <c r="AH504" s="98"/>
    </row>
    <row r="505" spans="2:34" x14ac:dyDescent="0.25">
      <c r="B505" s="73"/>
      <c r="C505" s="74"/>
      <c r="D505" s="80"/>
      <c r="E505" s="81"/>
      <c r="F505" s="81"/>
      <c r="G505" s="81"/>
      <c r="H505" s="81"/>
      <c r="I505" s="82"/>
      <c r="J505" s="88"/>
      <c r="K505" s="89"/>
      <c r="L505" s="88"/>
      <c r="M505" s="89"/>
      <c r="N505" s="80"/>
      <c r="O505" s="82"/>
      <c r="P505" s="94"/>
      <c r="Q505" s="95"/>
      <c r="S505" s="99"/>
      <c r="T505" s="99"/>
      <c r="U505" s="99"/>
      <c r="V505" s="99"/>
      <c r="W505" s="99"/>
      <c r="X505" s="99"/>
      <c r="Y505" s="99"/>
      <c r="Z505" s="99"/>
      <c r="AA505" s="99"/>
      <c r="AB505" s="99"/>
      <c r="AC505" s="98"/>
      <c r="AD505" s="98"/>
      <c r="AE505" s="98"/>
      <c r="AF505" s="98"/>
      <c r="AG505" s="98"/>
      <c r="AH505" s="98"/>
    </row>
    <row r="506" spans="2:34" x14ac:dyDescent="0.25">
      <c r="B506" s="75"/>
      <c r="C506" s="76"/>
      <c r="D506" s="83"/>
      <c r="E506" s="84"/>
      <c r="F506" s="84"/>
      <c r="G506" s="84"/>
      <c r="H506" s="84"/>
      <c r="I506" s="85"/>
      <c r="J506" s="90"/>
      <c r="K506" s="91"/>
      <c r="L506" s="90"/>
      <c r="M506" s="91"/>
      <c r="N506" s="83"/>
      <c r="O506" s="85"/>
      <c r="P506" s="96"/>
      <c r="Q506" s="97"/>
      <c r="S506" s="99"/>
      <c r="T506" s="99"/>
      <c r="U506" s="99"/>
      <c r="V506" s="99"/>
      <c r="W506" s="99"/>
      <c r="X506" s="99"/>
      <c r="Y506" s="99"/>
      <c r="Z506" s="99"/>
      <c r="AA506" s="99"/>
      <c r="AB506" s="99"/>
      <c r="AC506" s="98"/>
      <c r="AD506" s="98"/>
      <c r="AE506" s="98"/>
      <c r="AF506" s="98"/>
      <c r="AG506" s="98"/>
      <c r="AH506" s="98"/>
    </row>
    <row r="507" spans="2:34" x14ac:dyDescent="0.25">
      <c r="B507" s="71"/>
      <c r="C507" s="72"/>
      <c r="D507" s="77"/>
      <c r="E507" s="78"/>
      <c r="F507" s="78"/>
      <c r="G507" s="78"/>
      <c r="H507" s="78"/>
      <c r="I507" s="79"/>
      <c r="J507" s="86"/>
      <c r="K507" s="87"/>
      <c r="L507" s="86"/>
      <c r="M507" s="87"/>
      <c r="N507" s="77"/>
      <c r="O507" s="79"/>
      <c r="P507" s="92"/>
      <c r="Q507" s="93"/>
      <c r="S507" s="99"/>
      <c r="T507" s="99"/>
      <c r="U507" s="99"/>
      <c r="V507" s="99"/>
      <c r="W507" s="99"/>
      <c r="X507" s="99"/>
      <c r="Y507" s="99"/>
      <c r="Z507" s="99"/>
      <c r="AA507" s="99"/>
      <c r="AB507" s="99"/>
      <c r="AC507" s="98"/>
      <c r="AD507" s="98"/>
      <c r="AE507" s="98"/>
      <c r="AF507" s="98"/>
      <c r="AG507" s="98"/>
      <c r="AH507" s="98"/>
    </row>
    <row r="508" spans="2:34" x14ac:dyDescent="0.25">
      <c r="B508" s="73"/>
      <c r="C508" s="74"/>
      <c r="D508" s="80"/>
      <c r="E508" s="81"/>
      <c r="F508" s="81"/>
      <c r="G508" s="81"/>
      <c r="H508" s="81"/>
      <c r="I508" s="82"/>
      <c r="J508" s="88"/>
      <c r="K508" s="89"/>
      <c r="L508" s="88"/>
      <c r="M508" s="89"/>
      <c r="N508" s="80"/>
      <c r="O508" s="82"/>
      <c r="P508" s="94"/>
      <c r="Q508" s="95"/>
      <c r="S508" s="99"/>
      <c r="T508" s="99"/>
      <c r="U508" s="99"/>
      <c r="V508" s="99"/>
      <c r="W508" s="99"/>
      <c r="X508" s="99"/>
      <c r="Y508" s="99"/>
      <c r="Z508" s="99"/>
      <c r="AA508" s="99"/>
      <c r="AB508" s="99"/>
      <c r="AC508" s="98"/>
      <c r="AD508" s="98"/>
      <c r="AE508" s="98"/>
      <c r="AF508" s="98"/>
      <c r="AG508" s="98"/>
      <c r="AH508" s="98"/>
    </row>
    <row r="509" spans="2:34" x14ac:dyDescent="0.25">
      <c r="B509" s="75"/>
      <c r="C509" s="76"/>
      <c r="D509" s="83"/>
      <c r="E509" s="84"/>
      <c r="F509" s="84"/>
      <c r="G509" s="84"/>
      <c r="H509" s="84"/>
      <c r="I509" s="85"/>
      <c r="J509" s="90"/>
      <c r="K509" s="91"/>
      <c r="L509" s="90"/>
      <c r="M509" s="91"/>
      <c r="N509" s="83"/>
      <c r="O509" s="85"/>
      <c r="P509" s="96"/>
      <c r="Q509" s="97"/>
      <c r="S509" s="99"/>
      <c r="T509" s="99"/>
      <c r="U509" s="99"/>
      <c r="V509" s="99"/>
      <c r="W509" s="99"/>
      <c r="X509" s="99"/>
      <c r="Y509" s="99"/>
      <c r="Z509" s="99"/>
      <c r="AA509" s="99"/>
      <c r="AB509" s="99"/>
      <c r="AC509" s="98"/>
      <c r="AD509" s="98"/>
      <c r="AE509" s="98"/>
      <c r="AF509" s="98"/>
      <c r="AG509" s="98"/>
      <c r="AH509" s="98"/>
    </row>
    <row r="510" spans="2:34" x14ac:dyDescent="0.25">
      <c r="B510" s="71"/>
      <c r="C510" s="72"/>
      <c r="D510" s="77"/>
      <c r="E510" s="78"/>
      <c r="F510" s="78"/>
      <c r="G510" s="78"/>
      <c r="H510" s="78"/>
      <c r="I510" s="79"/>
      <c r="J510" s="86"/>
      <c r="K510" s="87"/>
      <c r="L510" s="86"/>
      <c r="M510" s="87"/>
      <c r="N510" s="77"/>
      <c r="O510" s="79"/>
      <c r="P510" s="92"/>
      <c r="Q510" s="93"/>
      <c r="S510" s="99"/>
      <c r="T510" s="99"/>
      <c r="U510" s="99"/>
      <c r="V510" s="99"/>
      <c r="W510" s="99"/>
      <c r="X510" s="99"/>
      <c r="Y510" s="99"/>
      <c r="Z510" s="99"/>
      <c r="AA510" s="99"/>
      <c r="AB510" s="99"/>
      <c r="AC510" s="98"/>
      <c r="AD510" s="98"/>
      <c r="AE510" s="98"/>
      <c r="AF510" s="98"/>
      <c r="AG510" s="98"/>
      <c r="AH510" s="98"/>
    </row>
    <row r="511" spans="2:34" x14ac:dyDescent="0.25">
      <c r="B511" s="73"/>
      <c r="C511" s="74"/>
      <c r="D511" s="80"/>
      <c r="E511" s="81"/>
      <c r="F511" s="81"/>
      <c r="G511" s="81"/>
      <c r="H511" s="81"/>
      <c r="I511" s="82"/>
      <c r="J511" s="88"/>
      <c r="K511" s="89"/>
      <c r="L511" s="88"/>
      <c r="M511" s="89"/>
      <c r="N511" s="80"/>
      <c r="O511" s="82"/>
      <c r="P511" s="94"/>
      <c r="Q511" s="95"/>
      <c r="S511" s="99"/>
      <c r="T511" s="99"/>
      <c r="U511" s="99"/>
      <c r="V511" s="99"/>
      <c r="W511" s="99"/>
      <c r="X511" s="99"/>
      <c r="Y511" s="99"/>
      <c r="Z511" s="99"/>
      <c r="AA511" s="99"/>
      <c r="AB511" s="99"/>
      <c r="AC511" s="98"/>
      <c r="AD511" s="98"/>
      <c r="AE511" s="98"/>
      <c r="AF511" s="98"/>
      <c r="AG511" s="98"/>
      <c r="AH511" s="98"/>
    </row>
    <row r="512" spans="2:34" x14ac:dyDescent="0.25">
      <c r="B512" s="75"/>
      <c r="C512" s="76"/>
      <c r="D512" s="83"/>
      <c r="E512" s="84"/>
      <c r="F512" s="84"/>
      <c r="G512" s="84"/>
      <c r="H512" s="84"/>
      <c r="I512" s="85"/>
      <c r="J512" s="90"/>
      <c r="K512" s="91"/>
      <c r="L512" s="90"/>
      <c r="M512" s="91"/>
      <c r="N512" s="83"/>
      <c r="O512" s="85"/>
      <c r="P512" s="96"/>
      <c r="Q512" s="97"/>
      <c r="S512" s="99"/>
      <c r="T512" s="99"/>
      <c r="U512" s="99"/>
      <c r="V512" s="99"/>
      <c r="W512" s="99"/>
      <c r="X512" s="99"/>
      <c r="Y512" s="99"/>
      <c r="Z512" s="99"/>
      <c r="AA512" s="99"/>
      <c r="AB512" s="99"/>
      <c r="AC512" s="98"/>
      <c r="AD512" s="98"/>
      <c r="AE512" s="98"/>
      <c r="AF512" s="98"/>
      <c r="AG512" s="98"/>
      <c r="AH512" s="98"/>
    </row>
    <row r="513" spans="2:34" x14ac:dyDescent="0.25">
      <c r="B513" s="71"/>
      <c r="C513" s="72"/>
      <c r="D513" s="77"/>
      <c r="E513" s="78"/>
      <c r="F513" s="78"/>
      <c r="G513" s="78"/>
      <c r="H513" s="78"/>
      <c r="I513" s="79"/>
      <c r="J513" s="86"/>
      <c r="K513" s="87"/>
      <c r="L513" s="86"/>
      <c r="M513" s="87"/>
      <c r="N513" s="77"/>
      <c r="O513" s="79"/>
      <c r="P513" s="92"/>
      <c r="Q513" s="93"/>
      <c r="S513" s="99"/>
      <c r="T513" s="99"/>
      <c r="U513" s="99"/>
      <c r="V513" s="99"/>
      <c r="W513" s="99"/>
      <c r="X513" s="99"/>
      <c r="Y513" s="99"/>
      <c r="Z513" s="99"/>
      <c r="AA513" s="99"/>
      <c r="AB513" s="99"/>
      <c r="AC513" s="98"/>
      <c r="AD513" s="98"/>
      <c r="AE513" s="98"/>
      <c r="AF513" s="98"/>
      <c r="AG513" s="98"/>
      <c r="AH513" s="98"/>
    </row>
    <row r="514" spans="2:34" x14ac:dyDescent="0.25">
      <c r="B514" s="73"/>
      <c r="C514" s="74"/>
      <c r="D514" s="80"/>
      <c r="E514" s="81"/>
      <c r="F514" s="81"/>
      <c r="G514" s="81"/>
      <c r="H514" s="81"/>
      <c r="I514" s="82"/>
      <c r="J514" s="88"/>
      <c r="K514" s="89"/>
      <c r="L514" s="88"/>
      <c r="M514" s="89"/>
      <c r="N514" s="80"/>
      <c r="O514" s="82"/>
      <c r="P514" s="94"/>
      <c r="Q514" s="95"/>
      <c r="S514" s="99"/>
      <c r="T514" s="99"/>
      <c r="U514" s="99"/>
      <c r="V514" s="99"/>
      <c r="W514" s="99"/>
      <c r="X514" s="99"/>
      <c r="Y514" s="99"/>
      <c r="Z514" s="99"/>
      <c r="AA514" s="99"/>
      <c r="AB514" s="99"/>
      <c r="AC514" s="98"/>
      <c r="AD514" s="98"/>
      <c r="AE514" s="98"/>
      <c r="AF514" s="98"/>
      <c r="AG514" s="98"/>
      <c r="AH514" s="98"/>
    </row>
    <row r="515" spans="2:34" x14ac:dyDescent="0.25">
      <c r="B515" s="75"/>
      <c r="C515" s="76"/>
      <c r="D515" s="83"/>
      <c r="E515" s="84"/>
      <c r="F515" s="84"/>
      <c r="G515" s="84"/>
      <c r="H515" s="84"/>
      <c r="I515" s="85"/>
      <c r="J515" s="90"/>
      <c r="K515" s="91"/>
      <c r="L515" s="90"/>
      <c r="M515" s="91"/>
      <c r="N515" s="83"/>
      <c r="O515" s="85"/>
      <c r="P515" s="96"/>
      <c r="Q515" s="97"/>
      <c r="S515" s="99"/>
      <c r="T515" s="99"/>
      <c r="U515" s="99"/>
      <c r="V515" s="99"/>
      <c r="W515" s="99"/>
      <c r="X515" s="99"/>
      <c r="Y515" s="99"/>
      <c r="Z515" s="99"/>
      <c r="AA515" s="99"/>
      <c r="AB515" s="99"/>
      <c r="AC515" s="98"/>
      <c r="AD515" s="98"/>
      <c r="AE515" s="98"/>
      <c r="AF515" s="98"/>
      <c r="AG515" s="98"/>
      <c r="AH515" s="98"/>
    </row>
    <row r="516" spans="2:34" x14ac:dyDescent="0.25">
      <c r="B516" s="71"/>
      <c r="C516" s="72"/>
      <c r="D516" s="77"/>
      <c r="E516" s="78"/>
      <c r="F516" s="78"/>
      <c r="G516" s="78"/>
      <c r="H516" s="78"/>
      <c r="I516" s="79"/>
      <c r="J516" s="86"/>
      <c r="K516" s="87"/>
      <c r="L516" s="86"/>
      <c r="M516" s="87"/>
      <c r="N516" s="77"/>
      <c r="O516" s="79"/>
      <c r="P516" s="92"/>
      <c r="Q516" s="93"/>
      <c r="S516" s="99"/>
      <c r="T516" s="99"/>
      <c r="U516" s="99"/>
      <c r="V516" s="99"/>
      <c r="W516" s="99"/>
      <c r="X516" s="99"/>
      <c r="Y516" s="99"/>
      <c r="Z516" s="99"/>
      <c r="AA516" s="99"/>
      <c r="AB516" s="99"/>
      <c r="AC516" s="98"/>
      <c r="AD516" s="98"/>
      <c r="AE516" s="98"/>
      <c r="AF516" s="98"/>
      <c r="AG516" s="98"/>
      <c r="AH516" s="98"/>
    </row>
    <row r="517" spans="2:34" x14ac:dyDescent="0.25">
      <c r="B517" s="73"/>
      <c r="C517" s="74"/>
      <c r="D517" s="80"/>
      <c r="E517" s="81"/>
      <c r="F517" s="81"/>
      <c r="G517" s="81"/>
      <c r="H517" s="81"/>
      <c r="I517" s="82"/>
      <c r="J517" s="88"/>
      <c r="K517" s="89"/>
      <c r="L517" s="88"/>
      <c r="M517" s="89"/>
      <c r="N517" s="80"/>
      <c r="O517" s="82"/>
      <c r="P517" s="94"/>
      <c r="Q517" s="95"/>
      <c r="S517" s="99"/>
      <c r="T517" s="99"/>
      <c r="U517" s="99"/>
      <c r="V517" s="99"/>
      <c r="W517" s="99"/>
      <c r="X517" s="99"/>
      <c r="Y517" s="99"/>
      <c r="Z517" s="99"/>
      <c r="AA517" s="99"/>
      <c r="AB517" s="99"/>
      <c r="AC517" s="98"/>
      <c r="AD517" s="98"/>
      <c r="AE517" s="98"/>
      <c r="AF517" s="98"/>
      <c r="AG517" s="98"/>
      <c r="AH517" s="98"/>
    </row>
    <row r="518" spans="2:34" x14ac:dyDescent="0.25">
      <c r="B518" s="75"/>
      <c r="C518" s="76"/>
      <c r="D518" s="83"/>
      <c r="E518" s="84"/>
      <c r="F518" s="84"/>
      <c r="G518" s="84"/>
      <c r="H518" s="84"/>
      <c r="I518" s="85"/>
      <c r="J518" s="90"/>
      <c r="K518" s="91"/>
      <c r="L518" s="90"/>
      <c r="M518" s="91"/>
      <c r="N518" s="83"/>
      <c r="O518" s="85"/>
      <c r="P518" s="96"/>
      <c r="Q518" s="97"/>
      <c r="S518" s="99"/>
      <c r="T518" s="99"/>
      <c r="U518" s="99"/>
      <c r="V518" s="99"/>
      <c r="W518" s="99"/>
      <c r="X518" s="99"/>
      <c r="Y518" s="99"/>
      <c r="Z518" s="99"/>
      <c r="AA518" s="99"/>
      <c r="AB518" s="99"/>
      <c r="AC518" s="98"/>
      <c r="AD518" s="98"/>
      <c r="AE518" s="98"/>
      <c r="AF518" s="98"/>
      <c r="AG518" s="98"/>
      <c r="AH518" s="98"/>
    </row>
    <row r="519" spans="2:34" x14ac:dyDescent="0.25">
      <c r="B519" s="71"/>
      <c r="C519" s="72"/>
      <c r="D519" s="77"/>
      <c r="E519" s="78"/>
      <c r="F519" s="78"/>
      <c r="G519" s="78"/>
      <c r="H519" s="78"/>
      <c r="I519" s="79"/>
      <c r="J519" s="86"/>
      <c r="K519" s="87"/>
      <c r="L519" s="86"/>
      <c r="M519" s="87"/>
      <c r="N519" s="77"/>
      <c r="O519" s="79"/>
      <c r="P519" s="92"/>
      <c r="Q519" s="93"/>
      <c r="S519" s="99"/>
      <c r="T519" s="99"/>
      <c r="U519" s="99"/>
      <c r="V519" s="99"/>
      <c r="W519" s="99"/>
      <c r="X519" s="99"/>
      <c r="Y519" s="99"/>
      <c r="Z519" s="99"/>
      <c r="AA519" s="99"/>
      <c r="AB519" s="99"/>
      <c r="AC519" s="98"/>
      <c r="AD519" s="98"/>
      <c r="AE519" s="98"/>
      <c r="AF519" s="98"/>
      <c r="AG519" s="98"/>
      <c r="AH519" s="98"/>
    </row>
    <row r="520" spans="2:34" x14ac:dyDescent="0.25">
      <c r="B520" s="73"/>
      <c r="C520" s="74"/>
      <c r="D520" s="80"/>
      <c r="E520" s="81"/>
      <c r="F520" s="81"/>
      <c r="G520" s="81"/>
      <c r="H520" s="81"/>
      <c r="I520" s="82"/>
      <c r="J520" s="88"/>
      <c r="K520" s="89"/>
      <c r="L520" s="88"/>
      <c r="M520" s="89"/>
      <c r="N520" s="80"/>
      <c r="O520" s="82"/>
      <c r="P520" s="94"/>
      <c r="Q520" s="95"/>
      <c r="S520" s="99"/>
      <c r="T520" s="99"/>
      <c r="U520" s="99"/>
      <c r="V520" s="99"/>
      <c r="W520" s="99"/>
      <c r="X520" s="99"/>
      <c r="Y520" s="99"/>
      <c r="Z520" s="99"/>
      <c r="AA520" s="99"/>
      <c r="AB520" s="99"/>
      <c r="AC520" s="98"/>
      <c r="AD520" s="98"/>
      <c r="AE520" s="98"/>
      <c r="AF520" s="98"/>
      <c r="AG520" s="98"/>
      <c r="AH520" s="98"/>
    </row>
    <row r="521" spans="2:34" x14ac:dyDescent="0.25">
      <c r="B521" s="75"/>
      <c r="C521" s="76"/>
      <c r="D521" s="83"/>
      <c r="E521" s="84"/>
      <c r="F521" s="84"/>
      <c r="G521" s="84"/>
      <c r="H521" s="84"/>
      <c r="I521" s="85"/>
      <c r="J521" s="90"/>
      <c r="K521" s="91"/>
      <c r="L521" s="90"/>
      <c r="M521" s="91"/>
      <c r="N521" s="83"/>
      <c r="O521" s="85"/>
      <c r="P521" s="96"/>
      <c r="Q521" s="97"/>
      <c r="S521" s="99"/>
      <c r="T521" s="99"/>
      <c r="U521" s="99"/>
      <c r="V521" s="99"/>
      <c r="W521" s="99"/>
      <c r="X521" s="99"/>
      <c r="Y521" s="99"/>
      <c r="Z521" s="99"/>
      <c r="AA521" s="99"/>
      <c r="AB521" s="99"/>
      <c r="AC521" s="98"/>
      <c r="AD521" s="98"/>
      <c r="AE521" s="98"/>
      <c r="AF521" s="98"/>
      <c r="AG521" s="98"/>
      <c r="AH521" s="98"/>
    </row>
    <row r="522" spans="2:34" x14ac:dyDescent="0.25">
      <c r="B522" s="71"/>
      <c r="C522" s="72"/>
      <c r="D522" s="77"/>
      <c r="E522" s="78"/>
      <c r="F522" s="78"/>
      <c r="G522" s="78"/>
      <c r="H522" s="78"/>
      <c r="I522" s="79"/>
      <c r="J522" s="86"/>
      <c r="K522" s="87"/>
      <c r="L522" s="86"/>
      <c r="M522" s="87"/>
      <c r="N522" s="77"/>
      <c r="O522" s="79"/>
      <c r="P522" s="92"/>
      <c r="Q522" s="93"/>
      <c r="S522" s="99"/>
      <c r="T522" s="99"/>
      <c r="U522" s="99"/>
      <c r="V522" s="99"/>
      <c r="W522" s="99"/>
      <c r="X522" s="99"/>
      <c r="Y522" s="99"/>
      <c r="Z522" s="99"/>
      <c r="AA522" s="99"/>
      <c r="AB522" s="99"/>
      <c r="AC522" s="98"/>
      <c r="AD522" s="98"/>
      <c r="AE522" s="98"/>
      <c r="AF522" s="98"/>
      <c r="AG522" s="98"/>
      <c r="AH522" s="98"/>
    </row>
    <row r="523" spans="2:34" x14ac:dyDescent="0.25">
      <c r="B523" s="73"/>
      <c r="C523" s="74"/>
      <c r="D523" s="80"/>
      <c r="E523" s="81"/>
      <c r="F523" s="81"/>
      <c r="G523" s="81"/>
      <c r="H523" s="81"/>
      <c r="I523" s="82"/>
      <c r="J523" s="88"/>
      <c r="K523" s="89"/>
      <c r="L523" s="88"/>
      <c r="M523" s="89"/>
      <c r="N523" s="80"/>
      <c r="O523" s="82"/>
      <c r="P523" s="94"/>
      <c r="Q523" s="95"/>
      <c r="S523" s="99"/>
      <c r="T523" s="99"/>
      <c r="U523" s="99"/>
      <c r="V523" s="99"/>
      <c r="W523" s="99"/>
      <c r="X523" s="99"/>
      <c r="Y523" s="99"/>
      <c r="Z523" s="99"/>
      <c r="AA523" s="99"/>
      <c r="AB523" s="99"/>
      <c r="AC523" s="98"/>
      <c r="AD523" s="98"/>
      <c r="AE523" s="98"/>
      <c r="AF523" s="98"/>
      <c r="AG523" s="98"/>
      <c r="AH523" s="98"/>
    </row>
    <row r="524" spans="2:34" x14ac:dyDescent="0.25">
      <c r="B524" s="75"/>
      <c r="C524" s="76"/>
      <c r="D524" s="83"/>
      <c r="E524" s="84"/>
      <c r="F524" s="84"/>
      <c r="G524" s="84"/>
      <c r="H524" s="84"/>
      <c r="I524" s="85"/>
      <c r="J524" s="90"/>
      <c r="K524" s="91"/>
      <c r="L524" s="90"/>
      <c r="M524" s="91"/>
      <c r="N524" s="83"/>
      <c r="O524" s="85"/>
      <c r="P524" s="96"/>
      <c r="Q524" s="97"/>
      <c r="S524" s="99"/>
      <c r="T524" s="99"/>
      <c r="U524" s="99"/>
      <c r="V524" s="99"/>
      <c r="W524" s="99"/>
      <c r="X524" s="99"/>
      <c r="Y524" s="99"/>
      <c r="Z524" s="99"/>
      <c r="AA524" s="99"/>
      <c r="AB524" s="99"/>
      <c r="AC524" s="98"/>
      <c r="AD524" s="98"/>
      <c r="AE524" s="98"/>
      <c r="AF524" s="98"/>
      <c r="AG524" s="98"/>
      <c r="AH524" s="98"/>
    </row>
    <row r="525" spans="2:34" x14ac:dyDescent="0.25">
      <c r="B525" s="71"/>
      <c r="C525" s="72"/>
      <c r="D525" s="77"/>
      <c r="E525" s="78"/>
      <c r="F525" s="78"/>
      <c r="G525" s="78"/>
      <c r="H525" s="78"/>
      <c r="I525" s="79"/>
      <c r="J525" s="86"/>
      <c r="K525" s="87"/>
      <c r="L525" s="86"/>
      <c r="M525" s="87"/>
      <c r="N525" s="77"/>
      <c r="O525" s="79"/>
      <c r="P525" s="92"/>
      <c r="Q525" s="93"/>
      <c r="S525" s="99"/>
      <c r="T525" s="99"/>
      <c r="U525" s="99"/>
      <c r="V525" s="99"/>
      <c r="W525" s="99"/>
      <c r="X525" s="99"/>
      <c r="Y525" s="99"/>
      <c r="Z525" s="99"/>
      <c r="AA525" s="99"/>
      <c r="AB525" s="99"/>
      <c r="AC525" s="98"/>
      <c r="AD525" s="98"/>
      <c r="AE525" s="98"/>
      <c r="AF525" s="98"/>
      <c r="AG525" s="98"/>
      <c r="AH525" s="98"/>
    </row>
    <row r="526" spans="2:34" x14ac:dyDescent="0.25">
      <c r="B526" s="73"/>
      <c r="C526" s="74"/>
      <c r="D526" s="80"/>
      <c r="E526" s="81"/>
      <c r="F526" s="81"/>
      <c r="G526" s="81"/>
      <c r="H526" s="81"/>
      <c r="I526" s="82"/>
      <c r="J526" s="88"/>
      <c r="K526" s="89"/>
      <c r="L526" s="88"/>
      <c r="M526" s="89"/>
      <c r="N526" s="80"/>
      <c r="O526" s="82"/>
      <c r="P526" s="94"/>
      <c r="Q526" s="95"/>
      <c r="S526" s="99"/>
      <c r="T526" s="99"/>
      <c r="U526" s="99"/>
      <c r="V526" s="99"/>
      <c r="W526" s="99"/>
      <c r="X526" s="99"/>
      <c r="Y526" s="99"/>
      <c r="Z526" s="99"/>
      <c r="AA526" s="99"/>
      <c r="AB526" s="99"/>
      <c r="AC526" s="98"/>
      <c r="AD526" s="98"/>
      <c r="AE526" s="98"/>
      <c r="AF526" s="98"/>
      <c r="AG526" s="98"/>
      <c r="AH526" s="98"/>
    </row>
    <row r="527" spans="2:34" x14ac:dyDescent="0.25">
      <c r="B527" s="75"/>
      <c r="C527" s="76"/>
      <c r="D527" s="83"/>
      <c r="E527" s="84"/>
      <c r="F527" s="84"/>
      <c r="G527" s="84"/>
      <c r="H527" s="84"/>
      <c r="I527" s="85"/>
      <c r="J527" s="90"/>
      <c r="K527" s="91"/>
      <c r="L527" s="90"/>
      <c r="M527" s="91"/>
      <c r="N527" s="83"/>
      <c r="O527" s="85"/>
      <c r="P527" s="96"/>
      <c r="Q527" s="97"/>
      <c r="S527" s="99"/>
      <c r="T527" s="99"/>
      <c r="U527" s="99"/>
      <c r="V527" s="99"/>
      <c r="W527" s="99"/>
      <c r="X527" s="99"/>
      <c r="Y527" s="99"/>
      <c r="Z527" s="99"/>
      <c r="AA527" s="99"/>
      <c r="AB527" s="99"/>
      <c r="AC527" s="98"/>
      <c r="AD527" s="98"/>
      <c r="AE527" s="98"/>
      <c r="AF527" s="98"/>
      <c r="AG527" s="98"/>
      <c r="AH527" s="98"/>
    </row>
    <row r="528" spans="2:34" x14ac:dyDescent="0.25">
      <c r="B528" s="71"/>
      <c r="C528" s="72"/>
      <c r="D528" s="77"/>
      <c r="E528" s="78"/>
      <c r="F528" s="78"/>
      <c r="G528" s="78"/>
      <c r="H528" s="78"/>
      <c r="I528" s="79"/>
      <c r="J528" s="86"/>
      <c r="K528" s="87"/>
      <c r="L528" s="86"/>
      <c r="M528" s="87"/>
      <c r="N528" s="77"/>
      <c r="O528" s="79"/>
      <c r="P528" s="92"/>
      <c r="Q528" s="93"/>
      <c r="S528" s="99"/>
      <c r="T528" s="99"/>
      <c r="U528" s="99"/>
      <c r="V528" s="99"/>
      <c r="W528" s="99"/>
      <c r="X528" s="99"/>
      <c r="Y528" s="99"/>
      <c r="Z528" s="99"/>
      <c r="AA528" s="99"/>
      <c r="AB528" s="99"/>
      <c r="AC528" s="98"/>
      <c r="AD528" s="98"/>
      <c r="AE528" s="98"/>
      <c r="AF528" s="98"/>
      <c r="AG528" s="98"/>
      <c r="AH528" s="98"/>
    </row>
    <row r="529" spans="2:34" x14ac:dyDescent="0.25">
      <c r="B529" s="73"/>
      <c r="C529" s="74"/>
      <c r="D529" s="80"/>
      <c r="E529" s="81"/>
      <c r="F529" s="81"/>
      <c r="G529" s="81"/>
      <c r="H529" s="81"/>
      <c r="I529" s="82"/>
      <c r="J529" s="88"/>
      <c r="K529" s="89"/>
      <c r="L529" s="88"/>
      <c r="M529" s="89"/>
      <c r="N529" s="80"/>
      <c r="O529" s="82"/>
      <c r="P529" s="94"/>
      <c r="Q529" s="95"/>
      <c r="S529" s="99"/>
      <c r="T529" s="99"/>
      <c r="U529" s="99"/>
      <c r="V529" s="99"/>
      <c r="W529" s="99"/>
      <c r="X529" s="99"/>
      <c r="Y529" s="99"/>
      <c r="Z529" s="99"/>
      <c r="AA529" s="99"/>
      <c r="AB529" s="99"/>
      <c r="AC529" s="98"/>
      <c r="AD529" s="98"/>
      <c r="AE529" s="98"/>
      <c r="AF529" s="98"/>
      <c r="AG529" s="98"/>
      <c r="AH529" s="98"/>
    </row>
    <row r="530" spans="2:34" x14ac:dyDescent="0.25">
      <c r="B530" s="75"/>
      <c r="C530" s="76"/>
      <c r="D530" s="83"/>
      <c r="E530" s="84"/>
      <c r="F530" s="84"/>
      <c r="G530" s="84"/>
      <c r="H530" s="84"/>
      <c r="I530" s="85"/>
      <c r="J530" s="90"/>
      <c r="K530" s="91"/>
      <c r="L530" s="90"/>
      <c r="M530" s="91"/>
      <c r="N530" s="83"/>
      <c r="O530" s="85"/>
      <c r="P530" s="96"/>
      <c r="Q530" s="97"/>
      <c r="S530" s="99"/>
      <c r="T530" s="99"/>
      <c r="U530" s="99"/>
      <c r="V530" s="99"/>
      <c r="W530" s="99"/>
      <c r="X530" s="99"/>
      <c r="Y530" s="99"/>
      <c r="Z530" s="99"/>
      <c r="AA530" s="99"/>
      <c r="AB530" s="99"/>
      <c r="AC530" s="98"/>
      <c r="AD530" s="98"/>
      <c r="AE530" s="98"/>
      <c r="AF530" s="98"/>
      <c r="AG530" s="98"/>
      <c r="AH530" s="98"/>
    </row>
    <row r="531" spans="2:34" x14ac:dyDescent="0.25">
      <c r="B531" s="71"/>
      <c r="C531" s="72"/>
      <c r="D531" s="77"/>
      <c r="E531" s="78"/>
      <c r="F531" s="78"/>
      <c r="G531" s="78"/>
      <c r="H531" s="78"/>
      <c r="I531" s="79"/>
      <c r="J531" s="86"/>
      <c r="K531" s="87"/>
      <c r="L531" s="86"/>
      <c r="M531" s="87"/>
      <c r="N531" s="77"/>
      <c r="O531" s="79"/>
      <c r="P531" s="92"/>
      <c r="Q531" s="93"/>
      <c r="S531" s="99"/>
      <c r="T531" s="99"/>
      <c r="U531" s="99"/>
      <c r="V531" s="99"/>
      <c r="W531" s="99"/>
      <c r="X531" s="99"/>
      <c r="Y531" s="99"/>
      <c r="Z531" s="99"/>
      <c r="AA531" s="99"/>
      <c r="AB531" s="99"/>
      <c r="AC531" s="98"/>
      <c r="AD531" s="98"/>
      <c r="AE531" s="98"/>
      <c r="AF531" s="98"/>
      <c r="AG531" s="98"/>
      <c r="AH531" s="98"/>
    </row>
    <row r="532" spans="2:34" x14ac:dyDescent="0.25">
      <c r="B532" s="73"/>
      <c r="C532" s="74"/>
      <c r="D532" s="80"/>
      <c r="E532" s="81"/>
      <c r="F532" s="81"/>
      <c r="G532" s="81"/>
      <c r="H532" s="81"/>
      <c r="I532" s="82"/>
      <c r="J532" s="88"/>
      <c r="K532" s="89"/>
      <c r="L532" s="88"/>
      <c r="M532" s="89"/>
      <c r="N532" s="80"/>
      <c r="O532" s="82"/>
      <c r="P532" s="94"/>
      <c r="Q532" s="95"/>
      <c r="S532" s="99"/>
      <c r="T532" s="99"/>
      <c r="U532" s="99"/>
      <c r="V532" s="99"/>
      <c r="W532" s="99"/>
      <c r="X532" s="99"/>
      <c r="Y532" s="99"/>
      <c r="Z532" s="99"/>
      <c r="AA532" s="99"/>
      <c r="AB532" s="99"/>
      <c r="AC532" s="98"/>
      <c r="AD532" s="98"/>
      <c r="AE532" s="98"/>
      <c r="AF532" s="98"/>
      <c r="AG532" s="98"/>
      <c r="AH532" s="98"/>
    </row>
    <row r="533" spans="2:34" x14ac:dyDescent="0.25">
      <c r="B533" s="75"/>
      <c r="C533" s="76"/>
      <c r="D533" s="83"/>
      <c r="E533" s="84"/>
      <c r="F533" s="84"/>
      <c r="G533" s="84"/>
      <c r="H533" s="84"/>
      <c r="I533" s="85"/>
      <c r="J533" s="90"/>
      <c r="K533" s="91"/>
      <c r="L533" s="90"/>
      <c r="M533" s="91"/>
      <c r="N533" s="83"/>
      <c r="O533" s="85"/>
      <c r="P533" s="96"/>
      <c r="Q533" s="97"/>
      <c r="S533" s="99"/>
      <c r="T533" s="99"/>
      <c r="U533" s="99"/>
      <c r="V533" s="99"/>
      <c r="W533" s="99"/>
      <c r="X533" s="99"/>
      <c r="Y533" s="99"/>
      <c r="Z533" s="99"/>
      <c r="AA533" s="99"/>
      <c r="AB533" s="99"/>
      <c r="AC533" s="98"/>
      <c r="AD533" s="98"/>
      <c r="AE533" s="98"/>
      <c r="AF533" s="98"/>
      <c r="AG533" s="98"/>
      <c r="AH533" s="98"/>
    </row>
    <row r="534" spans="2:34" x14ac:dyDescent="0.25">
      <c r="B534" s="71"/>
      <c r="C534" s="72"/>
      <c r="D534" s="77"/>
      <c r="E534" s="78"/>
      <c r="F534" s="78"/>
      <c r="G534" s="78"/>
      <c r="H534" s="78"/>
      <c r="I534" s="79"/>
      <c r="J534" s="86"/>
      <c r="K534" s="87"/>
      <c r="L534" s="86"/>
      <c r="M534" s="87"/>
      <c r="N534" s="77"/>
      <c r="O534" s="79"/>
      <c r="P534" s="92"/>
      <c r="Q534" s="93"/>
      <c r="S534" s="99"/>
      <c r="T534" s="99"/>
      <c r="U534" s="99"/>
      <c r="V534" s="99"/>
      <c r="W534" s="99"/>
      <c r="X534" s="99"/>
      <c r="Y534" s="99"/>
      <c r="Z534" s="99"/>
      <c r="AA534" s="99"/>
      <c r="AB534" s="99"/>
      <c r="AC534" s="98"/>
      <c r="AD534" s="98"/>
      <c r="AE534" s="98"/>
      <c r="AF534" s="98"/>
      <c r="AG534" s="98"/>
      <c r="AH534" s="98"/>
    </row>
    <row r="535" spans="2:34" x14ac:dyDescent="0.25">
      <c r="B535" s="73"/>
      <c r="C535" s="74"/>
      <c r="D535" s="80"/>
      <c r="E535" s="81"/>
      <c r="F535" s="81"/>
      <c r="G535" s="81"/>
      <c r="H535" s="81"/>
      <c r="I535" s="82"/>
      <c r="J535" s="88"/>
      <c r="K535" s="89"/>
      <c r="L535" s="88"/>
      <c r="M535" s="89"/>
      <c r="N535" s="80"/>
      <c r="O535" s="82"/>
      <c r="P535" s="94"/>
      <c r="Q535" s="95"/>
      <c r="S535" s="99"/>
      <c r="T535" s="99"/>
      <c r="U535" s="99"/>
      <c r="V535" s="99"/>
      <c r="W535" s="99"/>
      <c r="X535" s="99"/>
      <c r="Y535" s="99"/>
      <c r="Z535" s="99"/>
      <c r="AA535" s="99"/>
      <c r="AB535" s="99"/>
      <c r="AC535" s="98"/>
      <c r="AD535" s="98"/>
      <c r="AE535" s="98"/>
      <c r="AF535" s="98"/>
      <c r="AG535" s="98"/>
      <c r="AH535" s="98"/>
    </row>
    <row r="536" spans="2:34" x14ac:dyDescent="0.25">
      <c r="B536" s="75"/>
      <c r="C536" s="76"/>
      <c r="D536" s="83"/>
      <c r="E536" s="84"/>
      <c r="F536" s="84"/>
      <c r="G536" s="84"/>
      <c r="H536" s="84"/>
      <c r="I536" s="85"/>
      <c r="J536" s="90"/>
      <c r="K536" s="91"/>
      <c r="L536" s="90"/>
      <c r="M536" s="91"/>
      <c r="N536" s="83"/>
      <c r="O536" s="85"/>
      <c r="P536" s="96"/>
      <c r="Q536" s="97"/>
      <c r="S536" s="99"/>
      <c r="T536" s="99"/>
      <c r="U536" s="99"/>
      <c r="V536" s="99"/>
      <c r="W536" s="99"/>
      <c r="X536" s="99"/>
      <c r="Y536" s="99"/>
      <c r="Z536" s="99"/>
      <c r="AA536" s="99"/>
      <c r="AB536" s="99"/>
      <c r="AC536" s="98"/>
      <c r="AD536" s="98"/>
      <c r="AE536" s="98"/>
      <c r="AF536" s="98"/>
      <c r="AG536" s="98"/>
      <c r="AH536" s="98"/>
    </row>
    <row r="537" spans="2:34" x14ac:dyDescent="0.25">
      <c r="B537" s="71"/>
      <c r="C537" s="72"/>
      <c r="D537" s="77"/>
      <c r="E537" s="78"/>
      <c r="F537" s="78"/>
      <c r="G537" s="78"/>
      <c r="H537" s="78"/>
      <c r="I537" s="79"/>
      <c r="J537" s="86"/>
      <c r="K537" s="87"/>
      <c r="L537" s="86"/>
      <c r="M537" s="87"/>
      <c r="N537" s="77"/>
      <c r="O537" s="79"/>
      <c r="P537" s="92"/>
      <c r="Q537" s="93"/>
      <c r="S537" s="99"/>
      <c r="T537" s="99"/>
      <c r="U537" s="99"/>
      <c r="V537" s="99"/>
      <c r="W537" s="99"/>
      <c r="X537" s="99"/>
      <c r="Y537" s="99"/>
      <c r="Z537" s="99"/>
      <c r="AA537" s="99"/>
      <c r="AB537" s="99"/>
      <c r="AC537" s="98"/>
      <c r="AD537" s="98"/>
      <c r="AE537" s="98"/>
      <c r="AF537" s="98"/>
      <c r="AG537" s="98"/>
      <c r="AH537" s="98"/>
    </row>
    <row r="538" spans="2:34" x14ac:dyDescent="0.25">
      <c r="B538" s="73"/>
      <c r="C538" s="74"/>
      <c r="D538" s="80"/>
      <c r="E538" s="81"/>
      <c r="F538" s="81"/>
      <c r="G538" s="81"/>
      <c r="H538" s="81"/>
      <c r="I538" s="82"/>
      <c r="J538" s="88"/>
      <c r="K538" s="89"/>
      <c r="L538" s="88"/>
      <c r="M538" s="89"/>
      <c r="N538" s="80"/>
      <c r="O538" s="82"/>
      <c r="P538" s="94"/>
      <c r="Q538" s="95"/>
      <c r="S538" s="99"/>
      <c r="T538" s="99"/>
      <c r="U538" s="99"/>
      <c r="V538" s="99"/>
      <c r="W538" s="99"/>
      <c r="X538" s="99"/>
      <c r="Y538" s="99"/>
      <c r="Z538" s="99"/>
      <c r="AA538" s="99"/>
      <c r="AB538" s="99"/>
      <c r="AC538" s="98"/>
      <c r="AD538" s="98"/>
      <c r="AE538" s="98"/>
      <c r="AF538" s="98"/>
      <c r="AG538" s="98"/>
      <c r="AH538" s="98"/>
    </row>
    <row r="539" spans="2:34" x14ac:dyDescent="0.25">
      <c r="B539" s="75"/>
      <c r="C539" s="76"/>
      <c r="D539" s="83"/>
      <c r="E539" s="84"/>
      <c r="F539" s="84"/>
      <c r="G539" s="84"/>
      <c r="H539" s="84"/>
      <c r="I539" s="85"/>
      <c r="J539" s="90"/>
      <c r="K539" s="91"/>
      <c r="L539" s="90"/>
      <c r="M539" s="91"/>
      <c r="N539" s="83"/>
      <c r="O539" s="85"/>
      <c r="P539" s="96"/>
      <c r="Q539" s="97"/>
      <c r="S539" s="99"/>
      <c r="T539" s="99"/>
      <c r="U539" s="99"/>
      <c r="V539" s="99"/>
      <c r="W539" s="99"/>
      <c r="X539" s="99"/>
      <c r="Y539" s="99"/>
      <c r="Z539" s="99"/>
      <c r="AA539" s="99"/>
      <c r="AB539" s="99"/>
      <c r="AC539" s="98"/>
      <c r="AD539" s="98"/>
      <c r="AE539" s="98"/>
      <c r="AF539" s="98"/>
      <c r="AG539" s="98"/>
      <c r="AH539" s="98"/>
    </row>
    <row r="540" spans="2:34" x14ac:dyDescent="0.25">
      <c r="B540" s="71"/>
      <c r="C540" s="72"/>
      <c r="D540" s="77"/>
      <c r="E540" s="78"/>
      <c r="F540" s="78"/>
      <c r="G540" s="78"/>
      <c r="H540" s="78"/>
      <c r="I540" s="79"/>
      <c r="J540" s="86"/>
      <c r="K540" s="87"/>
      <c r="L540" s="86"/>
      <c r="M540" s="87"/>
      <c r="N540" s="77"/>
      <c r="O540" s="79"/>
      <c r="P540" s="92"/>
      <c r="Q540" s="93"/>
      <c r="S540" s="99"/>
      <c r="T540" s="99"/>
      <c r="U540" s="99"/>
      <c r="V540" s="99"/>
      <c r="W540" s="99"/>
      <c r="X540" s="99"/>
      <c r="Y540" s="99"/>
      <c r="Z540" s="99"/>
      <c r="AA540" s="99"/>
      <c r="AB540" s="99"/>
      <c r="AC540" s="98"/>
      <c r="AD540" s="98"/>
      <c r="AE540" s="98"/>
      <c r="AF540" s="98"/>
      <c r="AG540" s="98"/>
      <c r="AH540" s="98"/>
    </row>
    <row r="541" spans="2:34" x14ac:dyDescent="0.25">
      <c r="B541" s="73"/>
      <c r="C541" s="74"/>
      <c r="D541" s="80"/>
      <c r="E541" s="81"/>
      <c r="F541" s="81"/>
      <c r="G541" s="81"/>
      <c r="H541" s="81"/>
      <c r="I541" s="82"/>
      <c r="J541" s="88"/>
      <c r="K541" s="89"/>
      <c r="L541" s="88"/>
      <c r="M541" s="89"/>
      <c r="N541" s="80"/>
      <c r="O541" s="82"/>
      <c r="P541" s="94"/>
      <c r="Q541" s="95"/>
      <c r="S541" s="99"/>
      <c r="T541" s="99"/>
      <c r="U541" s="99"/>
      <c r="V541" s="99"/>
      <c r="W541" s="99"/>
      <c r="X541" s="99"/>
      <c r="Y541" s="99"/>
      <c r="Z541" s="99"/>
      <c r="AA541" s="99"/>
      <c r="AB541" s="99"/>
      <c r="AC541" s="98"/>
      <c r="AD541" s="98"/>
      <c r="AE541" s="98"/>
      <c r="AF541" s="98"/>
      <c r="AG541" s="98"/>
      <c r="AH541" s="98"/>
    </row>
    <row r="542" spans="2:34" x14ac:dyDescent="0.25">
      <c r="B542" s="75"/>
      <c r="C542" s="76"/>
      <c r="D542" s="83"/>
      <c r="E542" s="84"/>
      <c r="F542" s="84"/>
      <c r="G542" s="84"/>
      <c r="H542" s="84"/>
      <c r="I542" s="85"/>
      <c r="J542" s="90"/>
      <c r="K542" s="91"/>
      <c r="L542" s="90"/>
      <c r="M542" s="91"/>
      <c r="N542" s="83"/>
      <c r="O542" s="85"/>
      <c r="P542" s="96"/>
      <c r="Q542" s="97"/>
      <c r="S542" s="99"/>
      <c r="T542" s="99"/>
      <c r="U542" s="99"/>
      <c r="V542" s="99"/>
      <c r="W542" s="99"/>
      <c r="X542" s="99"/>
      <c r="Y542" s="99"/>
      <c r="Z542" s="99"/>
      <c r="AA542" s="99"/>
      <c r="AB542" s="99"/>
      <c r="AC542" s="98"/>
      <c r="AD542" s="98"/>
      <c r="AE542" s="98"/>
      <c r="AF542" s="98"/>
      <c r="AG542" s="98"/>
      <c r="AH542" s="98"/>
    </row>
    <row r="543" spans="2:34" x14ac:dyDescent="0.25">
      <c r="B543" s="71"/>
      <c r="C543" s="72"/>
      <c r="D543" s="77"/>
      <c r="E543" s="78"/>
      <c r="F543" s="78"/>
      <c r="G543" s="78"/>
      <c r="H543" s="78"/>
      <c r="I543" s="79"/>
      <c r="J543" s="86"/>
      <c r="K543" s="87"/>
      <c r="L543" s="86"/>
      <c r="M543" s="87"/>
      <c r="N543" s="77"/>
      <c r="O543" s="79"/>
      <c r="P543" s="92"/>
      <c r="Q543" s="93"/>
      <c r="S543" s="99"/>
      <c r="T543" s="99"/>
      <c r="U543" s="99"/>
      <c r="V543" s="99"/>
      <c r="W543" s="99"/>
      <c r="X543" s="99"/>
      <c r="Y543" s="99"/>
      <c r="Z543" s="99"/>
      <c r="AA543" s="99"/>
      <c r="AB543" s="99"/>
      <c r="AC543" s="98"/>
      <c r="AD543" s="98"/>
      <c r="AE543" s="98"/>
      <c r="AF543" s="98"/>
      <c r="AG543" s="98"/>
      <c r="AH543" s="98"/>
    </row>
    <row r="544" spans="2:34" x14ac:dyDescent="0.25">
      <c r="B544" s="73"/>
      <c r="C544" s="74"/>
      <c r="D544" s="80"/>
      <c r="E544" s="81"/>
      <c r="F544" s="81"/>
      <c r="G544" s="81"/>
      <c r="H544" s="81"/>
      <c r="I544" s="82"/>
      <c r="J544" s="88"/>
      <c r="K544" s="89"/>
      <c r="L544" s="88"/>
      <c r="M544" s="89"/>
      <c r="N544" s="80"/>
      <c r="O544" s="82"/>
      <c r="P544" s="94"/>
      <c r="Q544" s="95"/>
      <c r="S544" s="99"/>
      <c r="T544" s="99"/>
      <c r="U544" s="99"/>
      <c r="V544" s="99"/>
      <c r="W544" s="99"/>
      <c r="X544" s="99"/>
      <c r="Y544" s="99"/>
      <c r="Z544" s="99"/>
      <c r="AA544" s="99"/>
      <c r="AB544" s="99"/>
      <c r="AC544" s="98"/>
      <c r="AD544" s="98"/>
      <c r="AE544" s="98"/>
      <c r="AF544" s="98"/>
      <c r="AG544" s="98"/>
      <c r="AH544" s="98"/>
    </row>
    <row r="545" spans="2:34" x14ac:dyDescent="0.25">
      <c r="B545" s="75"/>
      <c r="C545" s="76"/>
      <c r="D545" s="83"/>
      <c r="E545" s="84"/>
      <c r="F545" s="84"/>
      <c r="G545" s="84"/>
      <c r="H545" s="84"/>
      <c r="I545" s="85"/>
      <c r="J545" s="90"/>
      <c r="K545" s="91"/>
      <c r="L545" s="90"/>
      <c r="M545" s="91"/>
      <c r="N545" s="83"/>
      <c r="O545" s="85"/>
      <c r="P545" s="96"/>
      <c r="Q545" s="97"/>
      <c r="S545" s="99"/>
      <c r="T545" s="99"/>
      <c r="U545" s="99"/>
      <c r="V545" s="99"/>
      <c r="W545" s="99"/>
      <c r="X545" s="99"/>
      <c r="Y545" s="99"/>
      <c r="Z545" s="99"/>
      <c r="AA545" s="99"/>
      <c r="AB545" s="99"/>
      <c r="AC545" s="98"/>
      <c r="AD545" s="98"/>
      <c r="AE545" s="98"/>
      <c r="AF545" s="98"/>
      <c r="AG545" s="98"/>
      <c r="AH545" s="98"/>
    </row>
    <row r="546" spans="2:34" x14ac:dyDescent="0.25">
      <c r="B546" s="71"/>
      <c r="C546" s="72"/>
      <c r="D546" s="77"/>
      <c r="E546" s="78"/>
      <c r="F546" s="78"/>
      <c r="G546" s="78"/>
      <c r="H546" s="78"/>
      <c r="I546" s="79"/>
      <c r="J546" s="86"/>
      <c r="K546" s="87"/>
      <c r="L546" s="86"/>
      <c r="M546" s="87"/>
      <c r="N546" s="77"/>
      <c r="O546" s="79"/>
      <c r="P546" s="92"/>
      <c r="Q546" s="93"/>
      <c r="S546" s="99"/>
      <c r="T546" s="99"/>
      <c r="U546" s="99"/>
      <c r="V546" s="99"/>
      <c r="W546" s="99"/>
      <c r="X546" s="99"/>
      <c r="Y546" s="99"/>
      <c r="Z546" s="99"/>
      <c r="AA546" s="99"/>
      <c r="AB546" s="99"/>
      <c r="AC546" s="98"/>
      <c r="AD546" s="98"/>
      <c r="AE546" s="98"/>
      <c r="AF546" s="98"/>
      <c r="AG546" s="98"/>
      <c r="AH546" s="98"/>
    </row>
    <row r="547" spans="2:34" x14ac:dyDescent="0.25">
      <c r="B547" s="73"/>
      <c r="C547" s="74"/>
      <c r="D547" s="80"/>
      <c r="E547" s="81"/>
      <c r="F547" s="81"/>
      <c r="G547" s="81"/>
      <c r="H547" s="81"/>
      <c r="I547" s="82"/>
      <c r="J547" s="88"/>
      <c r="K547" s="89"/>
      <c r="L547" s="88"/>
      <c r="M547" s="89"/>
      <c r="N547" s="80"/>
      <c r="O547" s="82"/>
      <c r="P547" s="94"/>
      <c r="Q547" s="95"/>
      <c r="S547" s="99"/>
      <c r="T547" s="99"/>
      <c r="U547" s="99"/>
      <c r="V547" s="99"/>
      <c r="W547" s="99"/>
      <c r="X547" s="99"/>
      <c r="Y547" s="99"/>
      <c r="Z547" s="99"/>
      <c r="AA547" s="99"/>
      <c r="AB547" s="99"/>
      <c r="AC547" s="98"/>
      <c r="AD547" s="98"/>
      <c r="AE547" s="98"/>
      <c r="AF547" s="98"/>
      <c r="AG547" s="98"/>
      <c r="AH547" s="98"/>
    </row>
    <row r="548" spans="2:34" x14ac:dyDescent="0.25">
      <c r="B548" s="75"/>
      <c r="C548" s="76"/>
      <c r="D548" s="83"/>
      <c r="E548" s="84"/>
      <c r="F548" s="84"/>
      <c r="G548" s="84"/>
      <c r="H548" s="84"/>
      <c r="I548" s="85"/>
      <c r="J548" s="90"/>
      <c r="K548" s="91"/>
      <c r="L548" s="90"/>
      <c r="M548" s="91"/>
      <c r="N548" s="83"/>
      <c r="O548" s="85"/>
      <c r="P548" s="96"/>
      <c r="Q548" s="97"/>
      <c r="S548" s="99"/>
      <c r="T548" s="99"/>
      <c r="U548" s="99"/>
      <c r="V548" s="99"/>
      <c r="W548" s="99"/>
      <c r="X548" s="99"/>
      <c r="Y548" s="99"/>
      <c r="Z548" s="99"/>
      <c r="AA548" s="99"/>
      <c r="AB548" s="99"/>
      <c r="AC548" s="98"/>
      <c r="AD548" s="98"/>
      <c r="AE548" s="98"/>
      <c r="AF548" s="98"/>
      <c r="AG548" s="98"/>
      <c r="AH548" s="98"/>
    </row>
    <row r="549" spans="2:34" x14ac:dyDescent="0.25">
      <c r="B549" s="71"/>
      <c r="C549" s="72"/>
      <c r="D549" s="77"/>
      <c r="E549" s="78"/>
      <c r="F549" s="78"/>
      <c r="G549" s="78"/>
      <c r="H549" s="78"/>
      <c r="I549" s="79"/>
      <c r="J549" s="86"/>
      <c r="K549" s="87"/>
      <c r="L549" s="86"/>
      <c r="M549" s="87"/>
      <c r="N549" s="77"/>
      <c r="O549" s="79"/>
      <c r="P549" s="92"/>
      <c r="Q549" s="93"/>
      <c r="S549" s="99"/>
      <c r="T549" s="99"/>
      <c r="U549" s="99"/>
      <c r="V549" s="99"/>
      <c r="W549" s="99"/>
      <c r="X549" s="99"/>
      <c r="Y549" s="99"/>
      <c r="Z549" s="99"/>
      <c r="AA549" s="99"/>
      <c r="AB549" s="99"/>
      <c r="AC549" s="98"/>
      <c r="AD549" s="98"/>
      <c r="AE549" s="98"/>
      <c r="AF549" s="98"/>
      <c r="AG549" s="98"/>
      <c r="AH549" s="98"/>
    </row>
    <row r="550" spans="2:34" x14ac:dyDescent="0.25">
      <c r="B550" s="73"/>
      <c r="C550" s="74"/>
      <c r="D550" s="80"/>
      <c r="E550" s="81"/>
      <c r="F550" s="81"/>
      <c r="G550" s="81"/>
      <c r="H550" s="81"/>
      <c r="I550" s="82"/>
      <c r="J550" s="88"/>
      <c r="K550" s="89"/>
      <c r="L550" s="88"/>
      <c r="M550" s="89"/>
      <c r="N550" s="80"/>
      <c r="O550" s="82"/>
      <c r="P550" s="94"/>
      <c r="Q550" s="95"/>
      <c r="S550" s="99"/>
      <c r="T550" s="99"/>
      <c r="U550" s="99"/>
      <c r="V550" s="99"/>
      <c r="W550" s="99"/>
      <c r="X550" s="99"/>
      <c r="Y550" s="99"/>
      <c r="Z550" s="99"/>
      <c r="AA550" s="99"/>
      <c r="AB550" s="99"/>
      <c r="AC550" s="98"/>
      <c r="AD550" s="98"/>
      <c r="AE550" s="98"/>
      <c r="AF550" s="98"/>
      <c r="AG550" s="98"/>
      <c r="AH550" s="98"/>
    </row>
    <row r="551" spans="2:34" x14ac:dyDescent="0.25">
      <c r="B551" s="75"/>
      <c r="C551" s="76"/>
      <c r="D551" s="83"/>
      <c r="E551" s="84"/>
      <c r="F551" s="84"/>
      <c r="G551" s="84"/>
      <c r="H551" s="84"/>
      <c r="I551" s="85"/>
      <c r="J551" s="90"/>
      <c r="K551" s="91"/>
      <c r="L551" s="90"/>
      <c r="M551" s="91"/>
      <c r="N551" s="83"/>
      <c r="O551" s="85"/>
      <c r="P551" s="96"/>
      <c r="Q551" s="97"/>
      <c r="S551" s="99"/>
      <c r="T551" s="99"/>
      <c r="U551" s="99"/>
      <c r="V551" s="99"/>
      <c r="W551" s="99"/>
      <c r="X551" s="99"/>
      <c r="Y551" s="99"/>
      <c r="Z551" s="99"/>
      <c r="AA551" s="99"/>
      <c r="AB551" s="99"/>
      <c r="AC551" s="98"/>
      <c r="AD551" s="98"/>
      <c r="AE551" s="98"/>
      <c r="AF551" s="98"/>
      <c r="AG551" s="98"/>
      <c r="AH551" s="98"/>
    </row>
    <row r="552" spans="2:34" x14ac:dyDescent="0.25">
      <c r="B552" s="71"/>
      <c r="C552" s="72"/>
      <c r="D552" s="77"/>
      <c r="E552" s="78"/>
      <c r="F552" s="78"/>
      <c r="G552" s="78"/>
      <c r="H552" s="78"/>
      <c r="I552" s="79"/>
      <c r="J552" s="86"/>
      <c r="K552" s="87"/>
      <c r="L552" s="86"/>
      <c r="M552" s="87"/>
      <c r="N552" s="77"/>
      <c r="O552" s="79"/>
      <c r="P552" s="92"/>
      <c r="Q552" s="93"/>
      <c r="S552" s="99"/>
      <c r="T552" s="99"/>
      <c r="U552" s="99"/>
      <c r="V552" s="99"/>
      <c r="W552" s="99"/>
      <c r="X552" s="99"/>
      <c r="Y552" s="99"/>
      <c r="Z552" s="99"/>
      <c r="AA552" s="99"/>
      <c r="AB552" s="99"/>
      <c r="AC552" s="98"/>
      <c r="AD552" s="98"/>
      <c r="AE552" s="98"/>
      <c r="AF552" s="98"/>
      <c r="AG552" s="98"/>
      <c r="AH552" s="98"/>
    </row>
    <row r="553" spans="2:34" x14ac:dyDescent="0.25">
      <c r="B553" s="73"/>
      <c r="C553" s="74"/>
      <c r="D553" s="80"/>
      <c r="E553" s="81"/>
      <c r="F553" s="81"/>
      <c r="G553" s="81"/>
      <c r="H553" s="81"/>
      <c r="I553" s="82"/>
      <c r="J553" s="88"/>
      <c r="K553" s="89"/>
      <c r="L553" s="88"/>
      <c r="M553" s="89"/>
      <c r="N553" s="80"/>
      <c r="O553" s="82"/>
      <c r="P553" s="94"/>
      <c r="Q553" s="95"/>
      <c r="S553" s="99"/>
      <c r="T553" s="99"/>
      <c r="U553" s="99"/>
      <c r="V553" s="99"/>
      <c r="W553" s="99"/>
      <c r="X553" s="99"/>
      <c r="Y553" s="99"/>
      <c r="Z553" s="99"/>
      <c r="AA553" s="99"/>
      <c r="AB553" s="99"/>
      <c r="AC553" s="98"/>
      <c r="AD553" s="98"/>
      <c r="AE553" s="98"/>
      <c r="AF553" s="98"/>
      <c r="AG553" s="98"/>
      <c r="AH553" s="98"/>
    </row>
    <row r="554" spans="2:34" x14ac:dyDescent="0.25">
      <c r="B554" s="75"/>
      <c r="C554" s="76"/>
      <c r="D554" s="83"/>
      <c r="E554" s="84"/>
      <c r="F554" s="84"/>
      <c r="G554" s="84"/>
      <c r="H554" s="84"/>
      <c r="I554" s="85"/>
      <c r="J554" s="90"/>
      <c r="K554" s="91"/>
      <c r="L554" s="90"/>
      <c r="M554" s="91"/>
      <c r="N554" s="83"/>
      <c r="O554" s="85"/>
      <c r="P554" s="96"/>
      <c r="Q554" s="97"/>
      <c r="S554" s="99"/>
      <c r="T554" s="99"/>
      <c r="U554" s="99"/>
      <c r="V554" s="99"/>
      <c r="W554" s="99"/>
      <c r="X554" s="99"/>
      <c r="Y554" s="99"/>
      <c r="Z554" s="99"/>
      <c r="AA554" s="99"/>
      <c r="AB554" s="99"/>
      <c r="AC554" s="98"/>
      <c r="AD554" s="98"/>
      <c r="AE554" s="98"/>
      <c r="AF554" s="98"/>
      <c r="AG554" s="98"/>
      <c r="AH554" s="98"/>
    </row>
    <row r="555" spans="2:34" x14ac:dyDescent="0.25">
      <c r="B555" s="71"/>
      <c r="C555" s="72"/>
      <c r="D555" s="77"/>
      <c r="E555" s="78"/>
      <c r="F555" s="78"/>
      <c r="G555" s="78"/>
      <c r="H555" s="78"/>
      <c r="I555" s="79"/>
      <c r="J555" s="86"/>
      <c r="K555" s="87"/>
      <c r="L555" s="86"/>
      <c r="M555" s="87"/>
      <c r="N555" s="77"/>
      <c r="O555" s="79"/>
      <c r="P555" s="92"/>
      <c r="Q555" s="93"/>
      <c r="S555" s="99"/>
      <c r="T555" s="99"/>
      <c r="U555" s="99"/>
      <c r="V555" s="99"/>
      <c r="W555" s="99"/>
      <c r="X555" s="99"/>
      <c r="Y555" s="99"/>
      <c r="Z555" s="99"/>
      <c r="AA555" s="99"/>
      <c r="AB555" s="99"/>
      <c r="AC555" s="98"/>
      <c r="AD555" s="98"/>
      <c r="AE555" s="98"/>
      <c r="AF555" s="98"/>
      <c r="AG555" s="98"/>
      <c r="AH555" s="98"/>
    </row>
    <row r="556" spans="2:34" x14ac:dyDescent="0.25">
      <c r="B556" s="73"/>
      <c r="C556" s="74"/>
      <c r="D556" s="80"/>
      <c r="E556" s="81"/>
      <c r="F556" s="81"/>
      <c r="G556" s="81"/>
      <c r="H556" s="81"/>
      <c r="I556" s="82"/>
      <c r="J556" s="88"/>
      <c r="K556" s="89"/>
      <c r="L556" s="88"/>
      <c r="M556" s="89"/>
      <c r="N556" s="80"/>
      <c r="O556" s="82"/>
      <c r="P556" s="94"/>
      <c r="Q556" s="95"/>
      <c r="S556" s="99"/>
      <c r="T556" s="99"/>
      <c r="U556" s="99"/>
      <c r="V556" s="99"/>
      <c r="W556" s="99"/>
      <c r="X556" s="99"/>
      <c r="Y556" s="99"/>
      <c r="Z556" s="99"/>
      <c r="AA556" s="99"/>
      <c r="AB556" s="99"/>
      <c r="AC556" s="98"/>
      <c r="AD556" s="98"/>
      <c r="AE556" s="98"/>
      <c r="AF556" s="98"/>
      <c r="AG556" s="98"/>
      <c r="AH556" s="98"/>
    </row>
    <row r="557" spans="2:34" x14ac:dyDescent="0.25">
      <c r="B557" s="75"/>
      <c r="C557" s="76"/>
      <c r="D557" s="83"/>
      <c r="E557" s="84"/>
      <c r="F557" s="84"/>
      <c r="G557" s="84"/>
      <c r="H557" s="84"/>
      <c r="I557" s="85"/>
      <c r="J557" s="90"/>
      <c r="K557" s="91"/>
      <c r="L557" s="90"/>
      <c r="M557" s="91"/>
      <c r="N557" s="83"/>
      <c r="O557" s="85"/>
      <c r="P557" s="96"/>
      <c r="Q557" s="97"/>
      <c r="S557" s="99"/>
      <c r="T557" s="99"/>
      <c r="U557" s="99"/>
      <c r="V557" s="99"/>
      <c r="W557" s="99"/>
      <c r="X557" s="99"/>
      <c r="Y557" s="99"/>
      <c r="Z557" s="99"/>
      <c r="AA557" s="99"/>
      <c r="AB557" s="99"/>
      <c r="AC557" s="98"/>
      <c r="AD557" s="98"/>
      <c r="AE557" s="98"/>
      <c r="AF557" s="98"/>
      <c r="AG557" s="98"/>
      <c r="AH557" s="98"/>
    </row>
    <row r="558" spans="2:34" x14ac:dyDescent="0.25">
      <c r="B558" s="71"/>
      <c r="C558" s="72"/>
      <c r="D558" s="77"/>
      <c r="E558" s="78"/>
      <c r="F558" s="78"/>
      <c r="G558" s="78"/>
      <c r="H558" s="78"/>
      <c r="I558" s="79"/>
      <c r="J558" s="86"/>
      <c r="K558" s="87"/>
      <c r="L558" s="86"/>
      <c r="M558" s="87"/>
      <c r="N558" s="77"/>
      <c r="O558" s="79"/>
      <c r="P558" s="92"/>
      <c r="Q558" s="93"/>
      <c r="S558" s="99"/>
      <c r="T558" s="99"/>
      <c r="U558" s="99"/>
      <c r="V558" s="99"/>
      <c r="W558" s="99"/>
      <c r="X558" s="99"/>
      <c r="Y558" s="99"/>
      <c r="Z558" s="99"/>
      <c r="AA558" s="99"/>
      <c r="AB558" s="99"/>
      <c r="AC558" s="98"/>
      <c r="AD558" s="98"/>
      <c r="AE558" s="98"/>
      <c r="AF558" s="98"/>
      <c r="AG558" s="98"/>
      <c r="AH558" s="98"/>
    </row>
    <row r="559" spans="2:34" x14ac:dyDescent="0.25">
      <c r="B559" s="73"/>
      <c r="C559" s="74"/>
      <c r="D559" s="80"/>
      <c r="E559" s="81"/>
      <c r="F559" s="81"/>
      <c r="G559" s="81"/>
      <c r="H559" s="81"/>
      <c r="I559" s="82"/>
      <c r="J559" s="88"/>
      <c r="K559" s="89"/>
      <c r="L559" s="88"/>
      <c r="M559" s="89"/>
      <c r="N559" s="80"/>
      <c r="O559" s="82"/>
      <c r="P559" s="94"/>
      <c r="Q559" s="95"/>
      <c r="S559" s="99"/>
      <c r="T559" s="99"/>
      <c r="U559" s="99"/>
      <c r="V559" s="99"/>
      <c r="W559" s="99"/>
      <c r="X559" s="99"/>
      <c r="Y559" s="99"/>
      <c r="Z559" s="99"/>
      <c r="AA559" s="99"/>
      <c r="AB559" s="99"/>
      <c r="AC559" s="98"/>
      <c r="AD559" s="98"/>
      <c r="AE559" s="98"/>
      <c r="AF559" s="98"/>
      <c r="AG559" s="98"/>
      <c r="AH559" s="98"/>
    </row>
    <row r="560" spans="2:34" x14ac:dyDescent="0.25">
      <c r="B560" s="75"/>
      <c r="C560" s="76"/>
      <c r="D560" s="83"/>
      <c r="E560" s="84"/>
      <c r="F560" s="84"/>
      <c r="G560" s="84"/>
      <c r="H560" s="84"/>
      <c r="I560" s="85"/>
      <c r="J560" s="90"/>
      <c r="K560" s="91"/>
      <c r="L560" s="90"/>
      <c r="M560" s="91"/>
      <c r="N560" s="83"/>
      <c r="O560" s="85"/>
      <c r="P560" s="96"/>
      <c r="Q560" s="97"/>
      <c r="S560" s="99"/>
      <c r="T560" s="99"/>
      <c r="U560" s="99"/>
      <c r="V560" s="99"/>
      <c r="W560" s="99"/>
      <c r="X560" s="99"/>
      <c r="Y560" s="99"/>
      <c r="Z560" s="99"/>
      <c r="AA560" s="99"/>
      <c r="AB560" s="99"/>
      <c r="AC560" s="98"/>
      <c r="AD560" s="98"/>
      <c r="AE560" s="98"/>
      <c r="AF560" s="98"/>
      <c r="AG560" s="98"/>
      <c r="AH560" s="98"/>
    </row>
    <row r="561" spans="2:34" x14ac:dyDescent="0.25">
      <c r="B561" s="71"/>
      <c r="C561" s="72"/>
      <c r="D561" s="77"/>
      <c r="E561" s="78"/>
      <c r="F561" s="78"/>
      <c r="G561" s="78"/>
      <c r="H561" s="78"/>
      <c r="I561" s="79"/>
      <c r="J561" s="86"/>
      <c r="K561" s="87"/>
      <c r="L561" s="86"/>
      <c r="M561" s="87"/>
      <c r="N561" s="77"/>
      <c r="O561" s="79"/>
      <c r="P561" s="92"/>
      <c r="Q561" s="93"/>
      <c r="S561" s="99"/>
      <c r="T561" s="99"/>
      <c r="U561" s="99"/>
      <c r="V561" s="99"/>
      <c r="W561" s="99"/>
      <c r="X561" s="99"/>
      <c r="Y561" s="99"/>
      <c r="Z561" s="99"/>
      <c r="AA561" s="99"/>
      <c r="AB561" s="99"/>
      <c r="AC561" s="98"/>
      <c r="AD561" s="98"/>
      <c r="AE561" s="98"/>
      <c r="AF561" s="98"/>
      <c r="AG561" s="98"/>
      <c r="AH561" s="98"/>
    </row>
    <row r="562" spans="2:34" x14ac:dyDescent="0.25">
      <c r="B562" s="73"/>
      <c r="C562" s="74"/>
      <c r="D562" s="80"/>
      <c r="E562" s="81"/>
      <c r="F562" s="81"/>
      <c r="G562" s="81"/>
      <c r="H562" s="81"/>
      <c r="I562" s="82"/>
      <c r="J562" s="88"/>
      <c r="K562" s="89"/>
      <c r="L562" s="88"/>
      <c r="M562" s="89"/>
      <c r="N562" s="80"/>
      <c r="O562" s="82"/>
      <c r="P562" s="94"/>
      <c r="Q562" s="95"/>
      <c r="S562" s="99"/>
      <c r="T562" s="99"/>
      <c r="U562" s="99"/>
      <c r="V562" s="99"/>
      <c r="W562" s="99"/>
      <c r="X562" s="99"/>
      <c r="Y562" s="99"/>
      <c r="Z562" s="99"/>
      <c r="AA562" s="99"/>
      <c r="AB562" s="99"/>
      <c r="AC562" s="98"/>
      <c r="AD562" s="98"/>
      <c r="AE562" s="98"/>
      <c r="AF562" s="98"/>
      <c r="AG562" s="98"/>
      <c r="AH562" s="98"/>
    </row>
    <row r="563" spans="2:34" x14ac:dyDescent="0.25">
      <c r="B563" s="75"/>
      <c r="C563" s="76"/>
      <c r="D563" s="83"/>
      <c r="E563" s="84"/>
      <c r="F563" s="84"/>
      <c r="G563" s="84"/>
      <c r="H563" s="84"/>
      <c r="I563" s="85"/>
      <c r="J563" s="90"/>
      <c r="K563" s="91"/>
      <c r="L563" s="90"/>
      <c r="M563" s="91"/>
      <c r="N563" s="83"/>
      <c r="O563" s="85"/>
      <c r="P563" s="96"/>
      <c r="Q563" s="97"/>
      <c r="S563" s="99"/>
      <c r="T563" s="99"/>
      <c r="U563" s="99"/>
      <c r="V563" s="99"/>
      <c r="W563" s="99"/>
      <c r="X563" s="99"/>
      <c r="Y563" s="99"/>
      <c r="Z563" s="99"/>
      <c r="AA563" s="99"/>
      <c r="AB563" s="99"/>
      <c r="AC563" s="98"/>
      <c r="AD563" s="98"/>
      <c r="AE563" s="98"/>
      <c r="AF563" s="98"/>
      <c r="AG563" s="98"/>
      <c r="AH563" s="98"/>
    </row>
    <row r="564" spans="2:34" x14ac:dyDescent="0.25">
      <c r="B564" s="71"/>
      <c r="C564" s="72"/>
      <c r="D564" s="77"/>
      <c r="E564" s="78"/>
      <c r="F564" s="78"/>
      <c r="G564" s="78"/>
      <c r="H564" s="78"/>
      <c r="I564" s="79"/>
      <c r="J564" s="86"/>
      <c r="K564" s="87"/>
      <c r="L564" s="86"/>
      <c r="M564" s="87"/>
      <c r="N564" s="77"/>
      <c r="O564" s="79"/>
      <c r="P564" s="92"/>
      <c r="Q564" s="93"/>
      <c r="S564" s="99"/>
      <c r="T564" s="99"/>
      <c r="U564" s="99"/>
      <c r="V564" s="99"/>
      <c r="W564" s="99"/>
      <c r="X564" s="99"/>
      <c r="Y564" s="99"/>
      <c r="Z564" s="99"/>
      <c r="AA564" s="99"/>
      <c r="AB564" s="99"/>
      <c r="AC564" s="98"/>
      <c r="AD564" s="98"/>
      <c r="AE564" s="98"/>
      <c r="AF564" s="98"/>
      <c r="AG564" s="98"/>
      <c r="AH564" s="98"/>
    </row>
    <row r="565" spans="2:34" x14ac:dyDescent="0.25">
      <c r="B565" s="73"/>
      <c r="C565" s="74"/>
      <c r="D565" s="80"/>
      <c r="E565" s="81"/>
      <c r="F565" s="81"/>
      <c r="G565" s="81"/>
      <c r="H565" s="81"/>
      <c r="I565" s="82"/>
      <c r="J565" s="88"/>
      <c r="K565" s="89"/>
      <c r="L565" s="88"/>
      <c r="M565" s="89"/>
      <c r="N565" s="80"/>
      <c r="O565" s="82"/>
      <c r="P565" s="94"/>
      <c r="Q565" s="95"/>
      <c r="S565" s="99"/>
      <c r="T565" s="99"/>
      <c r="U565" s="99"/>
      <c r="V565" s="99"/>
      <c r="W565" s="99"/>
      <c r="X565" s="99"/>
      <c r="Y565" s="99"/>
      <c r="Z565" s="99"/>
      <c r="AA565" s="99"/>
      <c r="AB565" s="99"/>
      <c r="AC565" s="98"/>
      <c r="AD565" s="98"/>
      <c r="AE565" s="98"/>
      <c r="AF565" s="98"/>
      <c r="AG565" s="98"/>
      <c r="AH565" s="98"/>
    </row>
    <row r="566" spans="2:34" x14ac:dyDescent="0.25">
      <c r="B566" s="75"/>
      <c r="C566" s="76"/>
      <c r="D566" s="83"/>
      <c r="E566" s="84"/>
      <c r="F566" s="84"/>
      <c r="G566" s="84"/>
      <c r="H566" s="84"/>
      <c r="I566" s="85"/>
      <c r="J566" s="90"/>
      <c r="K566" s="91"/>
      <c r="L566" s="90"/>
      <c r="M566" s="91"/>
      <c r="N566" s="83"/>
      <c r="O566" s="85"/>
      <c r="P566" s="96"/>
      <c r="Q566" s="97"/>
      <c r="S566" s="99"/>
      <c r="T566" s="99"/>
      <c r="U566" s="99"/>
      <c r="V566" s="99"/>
      <c r="W566" s="99"/>
      <c r="X566" s="99"/>
      <c r="Y566" s="99"/>
      <c r="Z566" s="99"/>
      <c r="AA566" s="99"/>
      <c r="AB566" s="99"/>
      <c r="AC566" s="98"/>
      <c r="AD566" s="98"/>
      <c r="AE566" s="98"/>
      <c r="AF566" s="98"/>
      <c r="AG566" s="98"/>
      <c r="AH566" s="98"/>
    </row>
    <row r="567" spans="2:34" x14ac:dyDescent="0.25">
      <c r="B567" s="71"/>
      <c r="C567" s="72"/>
      <c r="D567" s="77"/>
      <c r="E567" s="78"/>
      <c r="F567" s="78"/>
      <c r="G567" s="78"/>
      <c r="H567" s="78"/>
      <c r="I567" s="79"/>
      <c r="J567" s="86"/>
      <c r="K567" s="87"/>
      <c r="L567" s="86"/>
      <c r="M567" s="87"/>
      <c r="N567" s="77"/>
      <c r="O567" s="79"/>
      <c r="P567" s="92"/>
      <c r="Q567" s="93"/>
      <c r="S567" s="99"/>
      <c r="T567" s="99"/>
      <c r="U567" s="99"/>
      <c r="V567" s="99"/>
      <c r="W567" s="99"/>
      <c r="X567" s="99"/>
      <c r="Y567" s="99"/>
      <c r="Z567" s="99"/>
      <c r="AA567" s="99"/>
      <c r="AB567" s="99"/>
      <c r="AC567" s="98"/>
      <c r="AD567" s="98"/>
      <c r="AE567" s="98"/>
      <c r="AF567" s="98"/>
      <c r="AG567" s="98"/>
      <c r="AH567" s="98"/>
    </row>
    <row r="568" spans="2:34" x14ac:dyDescent="0.25">
      <c r="B568" s="73"/>
      <c r="C568" s="74"/>
      <c r="D568" s="80"/>
      <c r="E568" s="81"/>
      <c r="F568" s="81"/>
      <c r="G568" s="81"/>
      <c r="H568" s="81"/>
      <c r="I568" s="82"/>
      <c r="J568" s="88"/>
      <c r="K568" s="89"/>
      <c r="L568" s="88"/>
      <c r="M568" s="89"/>
      <c r="N568" s="80"/>
      <c r="O568" s="82"/>
      <c r="P568" s="94"/>
      <c r="Q568" s="95"/>
      <c r="S568" s="99"/>
      <c r="T568" s="99"/>
      <c r="U568" s="99"/>
      <c r="V568" s="99"/>
      <c r="W568" s="99"/>
      <c r="X568" s="99"/>
      <c r="Y568" s="99"/>
      <c r="Z568" s="99"/>
      <c r="AA568" s="99"/>
      <c r="AB568" s="99"/>
      <c r="AC568" s="98"/>
      <c r="AD568" s="98"/>
      <c r="AE568" s="98"/>
      <c r="AF568" s="98"/>
      <c r="AG568" s="98"/>
      <c r="AH568" s="98"/>
    </row>
    <row r="569" spans="2:34" x14ac:dyDescent="0.25">
      <c r="B569" s="75"/>
      <c r="C569" s="76"/>
      <c r="D569" s="83"/>
      <c r="E569" s="84"/>
      <c r="F569" s="84"/>
      <c r="G569" s="84"/>
      <c r="H569" s="84"/>
      <c r="I569" s="85"/>
      <c r="J569" s="90"/>
      <c r="K569" s="91"/>
      <c r="L569" s="90"/>
      <c r="M569" s="91"/>
      <c r="N569" s="83"/>
      <c r="O569" s="85"/>
      <c r="P569" s="96"/>
      <c r="Q569" s="97"/>
      <c r="S569" s="99"/>
      <c r="T569" s="99"/>
      <c r="U569" s="99"/>
      <c r="V569" s="99"/>
      <c r="W569" s="99"/>
      <c r="X569" s="99"/>
      <c r="Y569" s="99"/>
      <c r="Z569" s="99"/>
      <c r="AA569" s="99"/>
      <c r="AB569" s="99"/>
      <c r="AC569" s="98"/>
      <c r="AD569" s="98"/>
      <c r="AE569" s="98"/>
      <c r="AF569" s="98"/>
      <c r="AG569" s="98"/>
      <c r="AH569" s="98"/>
    </row>
    <row r="570" spans="2:34" x14ac:dyDescent="0.25">
      <c r="B570" s="71"/>
      <c r="C570" s="72"/>
      <c r="D570" s="77"/>
      <c r="E570" s="78"/>
      <c r="F570" s="78"/>
      <c r="G570" s="78"/>
      <c r="H570" s="78"/>
      <c r="I570" s="79"/>
      <c r="J570" s="86"/>
      <c r="K570" s="87"/>
      <c r="L570" s="86"/>
      <c r="M570" s="87"/>
      <c r="N570" s="77"/>
      <c r="O570" s="79"/>
      <c r="P570" s="92"/>
      <c r="Q570" s="93"/>
      <c r="S570" s="99"/>
      <c r="T570" s="99"/>
      <c r="U570" s="99"/>
      <c r="V570" s="99"/>
      <c r="W570" s="99"/>
      <c r="X570" s="99"/>
      <c r="Y570" s="99"/>
      <c r="Z570" s="99"/>
      <c r="AA570" s="99"/>
      <c r="AB570" s="99"/>
      <c r="AC570" s="98"/>
      <c r="AD570" s="98"/>
      <c r="AE570" s="98"/>
      <c r="AF570" s="98"/>
      <c r="AG570" s="98"/>
      <c r="AH570" s="98"/>
    </row>
    <row r="571" spans="2:34" x14ac:dyDescent="0.25">
      <c r="B571" s="73"/>
      <c r="C571" s="74"/>
      <c r="D571" s="80"/>
      <c r="E571" s="81"/>
      <c r="F571" s="81"/>
      <c r="G571" s="81"/>
      <c r="H571" s="81"/>
      <c r="I571" s="82"/>
      <c r="J571" s="88"/>
      <c r="K571" s="89"/>
      <c r="L571" s="88"/>
      <c r="M571" s="89"/>
      <c r="N571" s="80"/>
      <c r="O571" s="82"/>
      <c r="P571" s="94"/>
      <c r="Q571" s="95"/>
      <c r="S571" s="99"/>
      <c r="T571" s="99"/>
      <c r="U571" s="99"/>
      <c r="V571" s="99"/>
      <c r="W571" s="99"/>
      <c r="X571" s="99"/>
      <c r="Y571" s="99"/>
      <c r="Z571" s="99"/>
      <c r="AA571" s="99"/>
      <c r="AB571" s="99"/>
      <c r="AC571" s="98"/>
      <c r="AD571" s="98"/>
      <c r="AE571" s="98"/>
      <c r="AF571" s="98"/>
      <c r="AG571" s="98"/>
      <c r="AH571" s="98"/>
    </row>
    <row r="572" spans="2:34" x14ac:dyDescent="0.25">
      <c r="B572" s="75"/>
      <c r="C572" s="76"/>
      <c r="D572" s="83"/>
      <c r="E572" s="84"/>
      <c r="F572" s="84"/>
      <c r="G572" s="84"/>
      <c r="H572" s="84"/>
      <c r="I572" s="85"/>
      <c r="J572" s="90"/>
      <c r="K572" s="91"/>
      <c r="L572" s="90"/>
      <c r="M572" s="91"/>
      <c r="N572" s="83"/>
      <c r="O572" s="85"/>
      <c r="P572" s="96"/>
      <c r="Q572" s="97"/>
      <c r="S572" s="99"/>
      <c r="T572" s="99"/>
      <c r="U572" s="99"/>
      <c r="V572" s="99"/>
      <c r="W572" s="99"/>
      <c r="X572" s="99"/>
      <c r="Y572" s="99"/>
      <c r="Z572" s="99"/>
      <c r="AA572" s="99"/>
      <c r="AB572" s="99"/>
      <c r="AC572" s="98"/>
      <c r="AD572" s="98"/>
      <c r="AE572" s="98"/>
      <c r="AF572" s="98"/>
      <c r="AG572" s="98"/>
      <c r="AH572" s="98"/>
    </row>
    <row r="573" spans="2:34" x14ac:dyDescent="0.25">
      <c r="B573" s="71"/>
      <c r="C573" s="72"/>
      <c r="D573" s="77"/>
      <c r="E573" s="78"/>
      <c r="F573" s="78"/>
      <c r="G573" s="78"/>
      <c r="H573" s="78"/>
      <c r="I573" s="79"/>
      <c r="J573" s="86"/>
      <c r="K573" s="87"/>
      <c r="L573" s="86"/>
      <c r="M573" s="87"/>
      <c r="N573" s="77"/>
      <c r="O573" s="79"/>
      <c r="P573" s="92"/>
      <c r="Q573" s="93"/>
      <c r="S573" s="99"/>
      <c r="T573" s="99"/>
      <c r="U573" s="99"/>
      <c r="V573" s="99"/>
      <c r="W573" s="99"/>
      <c r="X573" s="99"/>
      <c r="Y573" s="99"/>
      <c r="Z573" s="99"/>
      <c r="AA573" s="99"/>
      <c r="AB573" s="99"/>
      <c r="AC573" s="98"/>
      <c r="AD573" s="98"/>
      <c r="AE573" s="98"/>
      <c r="AF573" s="98"/>
      <c r="AG573" s="98"/>
      <c r="AH573" s="98"/>
    </row>
    <row r="574" spans="2:34" x14ac:dyDescent="0.25">
      <c r="B574" s="73"/>
      <c r="C574" s="74"/>
      <c r="D574" s="80"/>
      <c r="E574" s="81"/>
      <c r="F574" s="81"/>
      <c r="G574" s="81"/>
      <c r="H574" s="81"/>
      <c r="I574" s="82"/>
      <c r="J574" s="88"/>
      <c r="K574" s="89"/>
      <c r="L574" s="88"/>
      <c r="M574" s="89"/>
      <c r="N574" s="80"/>
      <c r="O574" s="82"/>
      <c r="P574" s="94"/>
      <c r="Q574" s="95"/>
      <c r="S574" s="99"/>
      <c r="T574" s="99"/>
      <c r="U574" s="99"/>
      <c r="V574" s="99"/>
      <c r="W574" s="99"/>
      <c r="X574" s="99"/>
      <c r="Y574" s="99"/>
      <c r="Z574" s="99"/>
      <c r="AA574" s="99"/>
      <c r="AB574" s="99"/>
      <c r="AC574" s="98"/>
      <c r="AD574" s="98"/>
      <c r="AE574" s="98"/>
      <c r="AF574" s="98"/>
      <c r="AG574" s="98"/>
      <c r="AH574" s="98"/>
    </row>
    <row r="575" spans="2:34" x14ac:dyDescent="0.25">
      <c r="B575" s="75"/>
      <c r="C575" s="76"/>
      <c r="D575" s="83"/>
      <c r="E575" s="84"/>
      <c r="F575" s="84"/>
      <c r="G575" s="84"/>
      <c r="H575" s="84"/>
      <c r="I575" s="85"/>
      <c r="J575" s="90"/>
      <c r="K575" s="91"/>
      <c r="L575" s="90"/>
      <c r="M575" s="91"/>
      <c r="N575" s="83"/>
      <c r="O575" s="85"/>
      <c r="P575" s="96"/>
      <c r="Q575" s="97"/>
      <c r="S575" s="99"/>
      <c r="T575" s="99"/>
      <c r="U575" s="99"/>
      <c r="V575" s="99"/>
      <c r="W575" s="99"/>
      <c r="X575" s="99"/>
      <c r="Y575" s="99"/>
      <c r="Z575" s="99"/>
      <c r="AA575" s="99"/>
      <c r="AB575" s="99"/>
      <c r="AC575" s="98"/>
      <c r="AD575" s="98"/>
      <c r="AE575" s="98"/>
      <c r="AF575" s="98"/>
      <c r="AG575" s="98"/>
      <c r="AH575" s="98"/>
    </row>
    <row r="576" spans="2:34" x14ac:dyDescent="0.25">
      <c r="B576" s="71"/>
      <c r="C576" s="72"/>
      <c r="D576" s="77"/>
      <c r="E576" s="78"/>
      <c r="F576" s="78"/>
      <c r="G576" s="78"/>
      <c r="H576" s="78"/>
      <c r="I576" s="79"/>
      <c r="J576" s="86"/>
      <c r="K576" s="87"/>
      <c r="L576" s="86"/>
      <c r="M576" s="87"/>
      <c r="N576" s="77"/>
      <c r="O576" s="79"/>
      <c r="P576" s="92"/>
      <c r="Q576" s="93"/>
      <c r="S576" s="99"/>
      <c r="T576" s="99"/>
      <c r="U576" s="99"/>
      <c r="V576" s="99"/>
      <c r="W576" s="99"/>
      <c r="X576" s="99"/>
      <c r="Y576" s="99"/>
      <c r="Z576" s="99"/>
      <c r="AA576" s="99"/>
      <c r="AB576" s="99"/>
      <c r="AC576" s="98"/>
      <c r="AD576" s="98"/>
      <c r="AE576" s="98"/>
      <c r="AF576" s="98"/>
      <c r="AG576" s="98"/>
      <c r="AH576" s="98"/>
    </row>
    <row r="577" spans="2:34" x14ac:dyDescent="0.25">
      <c r="B577" s="73"/>
      <c r="C577" s="74"/>
      <c r="D577" s="80"/>
      <c r="E577" s="81"/>
      <c r="F577" s="81"/>
      <c r="G577" s="81"/>
      <c r="H577" s="81"/>
      <c r="I577" s="82"/>
      <c r="J577" s="88"/>
      <c r="K577" s="89"/>
      <c r="L577" s="88"/>
      <c r="M577" s="89"/>
      <c r="N577" s="80"/>
      <c r="O577" s="82"/>
      <c r="P577" s="94"/>
      <c r="Q577" s="95"/>
      <c r="S577" s="99"/>
      <c r="T577" s="99"/>
      <c r="U577" s="99"/>
      <c r="V577" s="99"/>
      <c r="W577" s="99"/>
      <c r="X577" s="99"/>
      <c r="Y577" s="99"/>
      <c r="Z577" s="99"/>
      <c r="AA577" s="99"/>
      <c r="AB577" s="99"/>
      <c r="AC577" s="98"/>
      <c r="AD577" s="98"/>
      <c r="AE577" s="98"/>
      <c r="AF577" s="98"/>
      <c r="AG577" s="98"/>
      <c r="AH577" s="98"/>
    </row>
    <row r="578" spans="2:34" x14ac:dyDescent="0.25">
      <c r="B578" s="75"/>
      <c r="C578" s="76"/>
      <c r="D578" s="83"/>
      <c r="E578" s="84"/>
      <c r="F578" s="84"/>
      <c r="G578" s="84"/>
      <c r="H578" s="84"/>
      <c r="I578" s="85"/>
      <c r="J578" s="90"/>
      <c r="K578" s="91"/>
      <c r="L578" s="90"/>
      <c r="M578" s="91"/>
      <c r="N578" s="83"/>
      <c r="O578" s="85"/>
      <c r="P578" s="96"/>
      <c r="Q578" s="97"/>
      <c r="S578" s="99"/>
      <c r="T578" s="99"/>
      <c r="U578" s="99"/>
      <c r="V578" s="99"/>
      <c r="W578" s="99"/>
      <c r="X578" s="99"/>
      <c r="Y578" s="99"/>
      <c r="Z578" s="99"/>
      <c r="AA578" s="99"/>
      <c r="AB578" s="99"/>
      <c r="AC578" s="98"/>
      <c r="AD578" s="98"/>
      <c r="AE578" s="98"/>
      <c r="AF578" s="98"/>
      <c r="AG578" s="98"/>
      <c r="AH578" s="98"/>
    </row>
    <row r="579" spans="2:34" x14ac:dyDescent="0.25">
      <c r="B579" s="71"/>
      <c r="C579" s="72"/>
      <c r="D579" s="77"/>
      <c r="E579" s="78"/>
      <c r="F579" s="78"/>
      <c r="G579" s="78"/>
      <c r="H579" s="78"/>
      <c r="I579" s="79"/>
      <c r="J579" s="86"/>
      <c r="K579" s="87"/>
      <c r="L579" s="86"/>
      <c r="M579" s="87"/>
      <c r="N579" s="77"/>
      <c r="O579" s="79"/>
      <c r="P579" s="92"/>
      <c r="Q579" s="93"/>
      <c r="S579" s="99"/>
      <c r="T579" s="99"/>
      <c r="U579" s="99"/>
      <c r="V579" s="99"/>
      <c r="W579" s="99"/>
      <c r="X579" s="99"/>
      <c r="Y579" s="99"/>
      <c r="Z579" s="99"/>
      <c r="AA579" s="99"/>
      <c r="AB579" s="99"/>
      <c r="AC579" s="98"/>
      <c r="AD579" s="98"/>
      <c r="AE579" s="98"/>
      <c r="AF579" s="98"/>
      <c r="AG579" s="98"/>
      <c r="AH579" s="98"/>
    </row>
    <row r="580" spans="2:34" x14ac:dyDescent="0.25">
      <c r="B580" s="73"/>
      <c r="C580" s="74"/>
      <c r="D580" s="80"/>
      <c r="E580" s="81"/>
      <c r="F580" s="81"/>
      <c r="G580" s="81"/>
      <c r="H580" s="81"/>
      <c r="I580" s="82"/>
      <c r="J580" s="88"/>
      <c r="K580" s="89"/>
      <c r="L580" s="88"/>
      <c r="M580" s="89"/>
      <c r="N580" s="80"/>
      <c r="O580" s="82"/>
      <c r="P580" s="94"/>
      <c r="Q580" s="95"/>
      <c r="S580" s="99"/>
      <c r="T580" s="99"/>
      <c r="U580" s="99"/>
      <c r="V580" s="99"/>
      <c r="W580" s="99"/>
      <c r="X580" s="99"/>
      <c r="Y580" s="99"/>
      <c r="Z580" s="99"/>
      <c r="AA580" s="99"/>
      <c r="AB580" s="99"/>
      <c r="AC580" s="98"/>
      <c r="AD580" s="98"/>
      <c r="AE580" s="98"/>
      <c r="AF580" s="98"/>
      <c r="AG580" s="98"/>
      <c r="AH580" s="98"/>
    </row>
    <row r="581" spans="2:34" x14ac:dyDescent="0.25">
      <c r="B581" s="75"/>
      <c r="C581" s="76"/>
      <c r="D581" s="83"/>
      <c r="E581" s="84"/>
      <c r="F581" s="84"/>
      <c r="G581" s="84"/>
      <c r="H581" s="84"/>
      <c r="I581" s="85"/>
      <c r="J581" s="90"/>
      <c r="K581" s="91"/>
      <c r="L581" s="90"/>
      <c r="M581" s="91"/>
      <c r="N581" s="83"/>
      <c r="O581" s="85"/>
      <c r="P581" s="96"/>
      <c r="Q581" s="97"/>
      <c r="S581" s="99"/>
      <c r="T581" s="99"/>
      <c r="U581" s="99"/>
      <c r="V581" s="99"/>
      <c r="W581" s="99"/>
      <c r="X581" s="99"/>
      <c r="Y581" s="99"/>
      <c r="Z581" s="99"/>
      <c r="AA581" s="99"/>
      <c r="AB581" s="99"/>
      <c r="AC581" s="98"/>
      <c r="AD581" s="98"/>
      <c r="AE581" s="98"/>
      <c r="AF581" s="98"/>
      <c r="AG581" s="98"/>
      <c r="AH581" s="98"/>
    </row>
    <row r="582" spans="2:34" x14ac:dyDescent="0.25">
      <c r="B582" s="71"/>
      <c r="C582" s="72"/>
      <c r="D582" s="77"/>
      <c r="E582" s="78"/>
      <c r="F582" s="78"/>
      <c r="G582" s="78"/>
      <c r="H582" s="78"/>
      <c r="I582" s="79"/>
      <c r="J582" s="86"/>
      <c r="K582" s="87"/>
      <c r="L582" s="86"/>
      <c r="M582" s="87"/>
      <c r="N582" s="77"/>
      <c r="O582" s="79"/>
      <c r="P582" s="92"/>
      <c r="Q582" s="93"/>
      <c r="S582" s="99"/>
      <c r="T582" s="99"/>
      <c r="U582" s="99"/>
      <c r="V582" s="99"/>
      <c r="W582" s="99"/>
      <c r="X582" s="99"/>
      <c r="Y582" s="99"/>
      <c r="Z582" s="99"/>
      <c r="AA582" s="99"/>
      <c r="AB582" s="99"/>
      <c r="AC582" s="98"/>
      <c r="AD582" s="98"/>
      <c r="AE582" s="98"/>
      <c r="AF582" s="98"/>
      <c r="AG582" s="98"/>
      <c r="AH582" s="98"/>
    </row>
    <row r="583" spans="2:34" x14ac:dyDescent="0.25">
      <c r="B583" s="73"/>
      <c r="C583" s="74"/>
      <c r="D583" s="80"/>
      <c r="E583" s="81"/>
      <c r="F583" s="81"/>
      <c r="G583" s="81"/>
      <c r="H583" s="81"/>
      <c r="I583" s="82"/>
      <c r="J583" s="88"/>
      <c r="K583" s="89"/>
      <c r="L583" s="88"/>
      <c r="M583" s="89"/>
      <c r="N583" s="80"/>
      <c r="O583" s="82"/>
      <c r="P583" s="94"/>
      <c r="Q583" s="95"/>
      <c r="S583" s="99"/>
      <c r="T583" s="99"/>
      <c r="U583" s="99"/>
      <c r="V583" s="99"/>
      <c r="W583" s="99"/>
      <c r="X583" s="99"/>
      <c r="Y583" s="99"/>
      <c r="Z583" s="99"/>
      <c r="AA583" s="99"/>
      <c r="AB583" s="99"/>
      <c r="AC583" s="98"/>
      <c r="AD583" s="98"/>
      <c r="AE583" s="98"/>
      <c r="AF583" s="98"/>
      <c r="AG583" s="98"/>
      <c r="AH583" s="98"/>
    </row>
    <row r="584" spans="2:34" x14ac:dyDescent="0.25">
      <c r="B584" s="75"/>
      <c r="C584" s="76"/>
      <c r="D584" s="83"/>
      <c r="E584" s="84"/>
      <c r="F584" s="84"/>
      <c r="G584" s="84"/>
      <c r="H584" s="84"/>
      <c r="I584" s="85"/>
      <c r="J584" s="90"/>
      <c r="K584" s="91"/>
      <c r="L584" s="90"/>
      <c r="M584" s="91"/>
      <c r="N584" s="83"/>
      <c r="O584" s="85"/>
      <c r="P584" s="96"/>
      <c r="Q584" s="97"/>
      <c r="S584" s="99"/>
      <c r="T584" s="99"/>
      <c r="U584" s="99"/>
      <c r="V584" s="99"/>
      <c r="W584" s="99"/>
      <c r="X584" s="99"/>
      <c r="Y584" s="99"/>
      <c r="Z584" s="99"/>
      <c r="AA584" s="99"/>
      <c r="AB584" s="99"/>
      <c r="AC584" s="98"/>
      <c r="AD584" s="98"/>
      <c r="AE584" s="98"/>
      <c r="AF584" s="98"/>
      <c r="AG584" s="98"/>
      <c r="AH584" s="98"/>
    </row>
    <row r="585" spans="2:34" x14ac:dyDescent="0.25">
      <c r="B585" s="71"/>
      <c r="C585" s="72"/>
      <c r="D585" s="77"/>
      <c r="E585" s="78"/>
      <c r="F585" s="78"/>
      <c r="G585" s="78"/>
      <c r="H585" s="78"/>
      <c r="I585" s="79"/>
      <c r="J585" s="86"/>
      <c r="K585" s="87"/>
      <c r="L585" s="86"/>
      <c r="M585" s="87"/>
      <c r="N585" s="77"/>
      <c r="O585" s="79"/>
      <c r="P585" s="92"/>
      <c r="Q585" s="93"/>
      <c r="S585" s="99"/>
      <c r="T585" s="99"/>
      <c r="U585" s="99"/>
      <c r="V585" s="99"/>
      <c r="W585" s="99"/>
      <c r="X585" s="99"/>
      <c r="Y585" s="99"/>
      <c r="Z585" s="99"/>
      <c r="AA585" s="99"/>
      <c r="AB585" s="99"/>
      <c r="AC585" s="98"/>
      <c r="AD585" s="98"/>
      <c r="AE585" s="98"/>
      <c r="AF585" s="98"/>
      <c r="AG585" s="98"/>
      <c r="AH585" s="98"/>
    </row>
    <row r="586" spans="2:34" x14ac:dyDescent="0.25">
      <c r="B586" s="73"/>
      <c r="C586" s="74"/>
      <c r="D586" s="80"/>
      <c r="E586" s="81"/>
      <c r="F586" s="81"/>
      <c r="G586" s="81"/>
      <c r="H586" s="81"/>
      <c r="I586" s="82"/>
      <c r="J586" s="88"/>
      <c r="K586" s="89"/>
      <c r="L586" s="88"/>
      <c r="M586" s="89"/>
      <c r="N586" s="80"/>
      <c r="O586" s="82"/>
      <c r="P586" s="94"/>
      <c r="Q586" s="95"/>
      <c r="S586" s="99"/>
      <c r="T586" s="99"/>
      <c r="U586" s="99"/>
      <c r="V586" s="99"/>
      <c r="W586" s="99"/>
      <c r="X586" s="99"/>
      <c r="Y586" s="99"/>
      <c r="Z586" s="99"/>
      <c r="AA586" s="99"/>
      <c r="AB586" s="99"/>
      <c r="AC586" s="98"/>
      <c r="AD586" s="98"/>
      <c r="AE586" s="98"/>
      <c r="AF586" s="98"/>
      <c r="AG586" s="98"/>
      <c r="AH586" s="98"/>
    </row>
    <row r="587" spans="2:34" x14ac:dyDescent="0.25">
      <c r="B587" s="75"/>
      <c r="C587" s="76"/>
      <c r="D587" s="83"/>
      <c r="E587" s="84"/>
      <c r="F587" s="84"/>
      <c r="G587" s="84"/>
      <c r="H587" s="84"/>
      <c r="I587" s="85"/>
      <c r="J587" s="90"/>
      <c r="K587" s="91"/>
      <c r="L587" s="90"/>
      <c r="M587" s="91"/>
      <c r="N587" s="83"/>
      <c r="O587" s="85"/>
      <c r="P587" s="96"/>
      <c r="Q587" s="97"/>
      <c r="S587" s="99"/>
      <c r="T587" s="99"/>
      <c r="U587" s="99"/>
      <c r="V587" s="99"/>
      <c r="W587" s="99"/>
      <c r="X587" s="99"/>
      <c r="Y587" s="99"/>
      <c r="Z587" s="99"/>
      <c r="AA587" s="99"/>
      <c r="AB587" s="99"/>
      <c r="AC587" s="98"/>
      <c r="AD587" s="98"/>
      <c r="AE587" s="98"/>
      <c r="AF587" s="98"/>
      <c r="AG587" s="98"/>
      <c r="AH587" s="98"/>
    </row>
    <row r="588" spans="2:34" x14ac:dyDescent="0.25">
      <c r="B588" s="71"/>
      <c r="C588" s="72"/>
      <c r="D588" s="77"/>
      <c r="E588" s="78"/>
      <c r="F588" s="78"/>
      <c r="G588" s="78"/>
      <c r="H588" s="78"/>
      <c r="I588" s="79"/>
      <c r="J588" s="86"/>
      <c r="K588" s="87"/>
      <c r="L588" s="86"/>
      <c r="M588" s="87"/>
      <c r="N588" s="77"/>
      <c r="O588" s="79"/>
      <c r="P588" s="92"/>
      <c r="Q588" s="93"/>
      <c r="S588" s="99"/>
      <c r="T588" s="99"/>
      <c r="U588" s="99"/>
      <c r="V588" s="99"/>
      <c r="W588" s="99"/>
      <c r="X588" s="99"/>
      <c r="Y588" s="99"/>
      <c r="Z588" s="99"/>
      <c r="AA588" s="99"/>
      <c r="AB588" s="99"/>
      <c r="AC588" s="98"/>
      <c r="AD588" s="98"/>
      <c r="AE588" s="98"/>
      <c r="AF588" s="98"/>
      <c r="AG588" s="98"/>
      <c r="AH588" s="98"/>
    </row>
    <row r="589" spans="2:34" x14ac:dyDescent="0.25">
      <c r="B589" s="73"/>
      <c r="C589" s="74"/>
      <c r="D589" s="80"/>
      <c r="E589" s="81"/>
      <c r="F589" s="81"/>
      <c r="G589" s="81"/>
      <c r="H589" s="81"/>
      <c r="I589" s="82"/>
      <c r="J589" s="88"/>
      <c r="K589" s="89"/>
      <c r="L589" s="88"/>
      <c r="M589" s="89"/>
      <c r="N589" s="80"/>
      <c r="O589" s="82"/>
      <c r="P589" s="94"/>
      <c r="Q589" s="95"/>
      <c r="S589" s="99"/>
      <c r="T589" s="99"/>
      <c r="U589" s="99"/>
      <c r="V589" s="99"/>
      <c r="W589" s="99"/>
      <c r="X589" s="99"/>
      <c r="Y589" s="99"/>
      <c r="Z589" s="99"/>
      <c r="AA589" s="99"/>
      <c r="AB589" s="99"/>
      <c r="AC589" s="98"/>
      <c r="AD589" s="98"/>
      <c r="AE589" s="98"/>
      <c r="AF589" s="98"/>
      <c r="AG589" s="98"/>
      <c r="AH589" s="98"/>
    </row>
    <row r="590" spans="2:34" x14ac:dyDescent="0.25">
      <c r="B590" s="75"/>
      <c r="C590" s="76"/>
      <c r="D590" s="83"/>
      <c r="E590" s="84"/>
      <c r="F590" s="84"/>
      <c r="G590" s="84"/>
      <c r="H590" s="84"/>
      <c r="I590" s="85"/>
      <c r="J590" s="90"/>
      <c r="K590" s="91"/>
      <c r="L590" s="90"/>
      <c r="M590" s="91"/>
      <c r="N590" s="83"/>
      <c r="O590" s="85"/>
      <c r="P590" s="96"/>
      <c r="Q590" s="97"/>
      <c r="S590" s="99"/>
      <c r="T590" s="99"/>
      <c r="U590" s="99"/>
      <c r="V590" s="99"/>
      <c r="W590" s="99"/>
      <c r="X590" s="99"/>
      <c r="Y590" s="99"/>
      <c r="Z590" s="99"/>
      <c r="AA590" s="99"/>
      <c r="AB590" s="99"/>
      <c r="AC590" s="98"/>
      <c r="AD590" s="98"/>
      <c r="AE590" s="98"/>
      <c r="AF590" s="98"/>
      <c r="AG590" s="98"/>
      <c r="AH590" s="98"/>
    </row>
    <row r="591" spans="2:34" x14ac:dyDescent="0.25">
      <c r="B591" s="71"/>
      <c r="C591" s="72"/>
      <c r="D591" s="77"/>
      <c r="E591" s="78"/>
      <c r="F591" s="78"/>
      <c r="G591" s="78"/>
      <c r="H591" s="78"/>
      <c r="I591" s="79"/>
      <c r="J591" s="86"/>
      <c r="K591" s="87"/>
      <c r="L591" s="86"/>
      <c r="M591" s="87"/>
      <c r="N591" s="77"/>
      <c r="O591" s="79"/>
      <c r="P591" s="92"/>
      <c r="Q591" s="93"/>
      <c r="S591" s="99"/>
      <c r="T591" s="99"/>
      <c r="U591" s="99"/>
      <c r="V591" s="99"/>
      <c r="W591" s="99"/>
      <c r="X591" s="99"/>
      <c r="Y591" s="99"/>
      <c r="Z591" s="99"/>
      <c r="AA591" s="99"/>
      <c r="AB591" s="99"/>
      <c r="AC591" s="98"/>
      <c r="AD591" s="98"/>
      <c r="AE591" s="98"/>
      <c r="AF591" s="98"/>
      <c r="AG591" s="98"/>
      <c r="AH591" s="98"/>
    </row>
    <row r="592" spans="2:34" x14ac:dyDescent="0.25">
      <c r="B592" s="73"/>
      <c r="C592" s="74"/>
      <c r="D592" s="80"/>
      <c r="E592" s="81"/>
      <c r="F592" s="81"/>
      <c r="G592" s="81"/>
      <c r="H592" s="81"/>
      <c r="I592" s="82"/>
      <c r="J592" s="88"/>
      <c r="K592" s="89"/>
      <c r="L592" s="88"/>
      <c r="M592" s="89"/>
      <c r="N592" s="80"/>
      <c r="O592" s="82"/>
      <c r="P592" s="94"/>
      <c r="Q592" s="95"/>
      <c r="S592" s="99"/>
      <c r="T592" s="99"/>
      <c r="U592" s="99"/>
      <c r="V592" s="99"/>
      <c r="W592" s="99"/>
      <c r="X592" s="99"/>
      <c r="Y592" s="99"/>
      <c r="Z592" s="99"/>
      <c r="AA592" s="99"/>
      <c r="AB592" s="99"/>
      <c r="AC592" s="98"/>
      <c r="AD592" s="98"/>
      <c r="AE592" s="98"/>
      <c r="AF592" s="98"/>
      <c r="AG592" s="98"/>
      <c r="AH592" s="98"/>
    </row>
    <row r="593" spans="2:34" x14ac:dyDescent="0.25">
      <c r="B593" s="75"/>
      <c r="C593" s="76"/>
      <c r="D593" s="83"/>
      <c r="E593" s="84"/>
      <c r="F593" s="84"/>
      <c r="G593" s="84"/>
      <c r="H593" s="84"/>
      <c r="I593" s="85"/>
      <c r="J593" s="90"/>
      <c r="K593" s="91"/>
      <c r="L593" s="90"/>
      <c r="M593" s="91"/>
      <c r="N593" s="83"/>
      <c r="O593" s="85"/>
      <c r="P593" s="96"/>
      <c r="Q593" s="97"/>
      <c r="S593" s="99"/>
      <c r="T593" s="99"/>
      <c r="U593" s="99"/>
      <c r="V593" s="99"/>
      <c r="W593" s="99"/>
      <c r="X593" s="99"/>
      <c r="Y593" s="99"/>
      <c r="Z593" s="99"/>
      <c r="AA593" s="99"/>
      <c r="AB593" s="99"/>
      <c r="AC593" s="98"/>
      <c r="AD593" s="98"/>
      <c r="AE593" s="98"/>
      <c r="AF593" s="98"/>
      <c r="AG593" s="98"/>
      <c r="AH593" s="98"/>
    </row>
    <row r="594" spans="2:34" x14ac:dyDescent="0.25">
      <c r="B594" s="71"/>
      <c r="C594" s="72"/>
      <c r="D594" s="77"/>
      <c r="E594" s="78"/>
      <c r="F594" s="78"/>
      <c r="G594" s="78"/>
      <c r="H594" s="78"/>
      <c r="I594" s="79"/>
      <c r="J594" s="86"/>
      <c r="K594" s="87"/>
      <c r="L594" s="86"/>
      <c r="M594" s="87"/>
      <c r="N594" s="77"/>
      <c r="O594" s="79"/>
      <c r="P594" s="92"/>
      <c r="Q594" s="93"/>
      <c r="S594" s="99"/>
      <c r="T594" s="99"/>
      <c r="U594" s="99"/>
      <c r="V594" s="99"/>
      <c r="W594" s="99"/>
      <c r="X594" s="99"/>
      <c r="Y594" s="99"/>
      <c r="Z594" s="99"/>
      <c r="AA594" s="99"/>
      <c r="AB594" s="99"/>
      <c r="AC594" s="98"/>
      <c r="AD594" s="98"/>
      <c r="AE594" s="98"/>
      <c r="AF594" s="98"/>
      <c r="AG594" s="98"/>
      <c r="AH594" s="98"/>
    </row>
    <row r="595" spans="2:34" x14ac:dyDescent="0.25">
      <c r="B595" s="73"/>
      <c r="C595" s="74"/>
      <c r="D595" s="80"/>
      <c r="E595" s="81"/>
      <c r="F595" s="81"/>
      <c r="G595" s="81"/>
      <c r="H595" s="81"/>
      <c r="I595" s="82"/>
      <c r="J595" s="88"/>
      <c r="K595" s="89"/>
      <c r="L595" s="88"/>
      <c r="M595" s="89"/>
      <c r="N595" s="80"/>
      <c r="O595" s="82"/>
      <c r="P595" s="94"/>
      <c r="Q595" s="95"/>
      <c r="S595" s="99"/>
      <c r="T595" s="99"/>
      <c r="U595" s="99"/>
      <c r="V595" s="99"/>
      <c r="W595" s="99"/>
      <c r="X595" s="99"/>
      <c r="Y595" s="99"/>
      <c r="Z595" s="99"/>
      <c r="AA595" s="99"/>
      <c r="AB595" s="99"/>
      <c r="AC595" s="98"/>
      <c r="AD595" s="98"/>
      <c r="AE595" s="98"/>
      <c r="AF595" s="98"/>
      <c r="AG595" s="98"/>
      <c r="AH595" s="98"/>
    </row>
    <row r="596" spans="2:34" x14ac:dyDescent="0.25">
      <c r="B596" s="75"/>
      <c r="C596" s="76"/>
      <c r="D596" s="83"/>
      <c r="E596" s="84"/>
      <c r="F596" s="84"/>
      <c r="G596" s="84"/>
      <c r="H596" s="84"/>
      <c r="I596" s="85"/>
      <c r="J596" s="90"/>
      <c r="K596" s="91"/>
      <c r="L596" s="90"/>
      <c r="M596" s="91"/>
      <c r="N596" s="83"/>
      <c r="O596" s="85"/>
      <c r="P596" s="96"/>
      <c r="Q596" s="97"/>
      <c r="S596" s="99"/>
      <c r="T596" s="99"/>
      <c r="U596" s="99"/>
      <c r="V596" s="99"/>
      <c r="W596" s="99"/>
      <c r="X596" s="99"/>
      <c r="Y596" s="99"/>
      <c r="Z596" s="99"/>
      <c r="AA596" s="99"/>
      <c r="AB596" s="99"/>
      <c r="AC596" s="98"/>
      <c r="AD596" s="98"/>
      <c r="AE596" s="98"/>
      <c r="AF596" s="98"/>
      <c r="AG596" s="98"/>
      <c r="AH596" s="98"/>
    </row>
    <row r="597" spans="2:34" x14ac:dyDescent="0.25">
      <c r="B597" s="71"/>
      <c r="C597" s="72"/>
      <c r="D597" s="77"/>
      <c r="E597" s="78"/>
      <c r="F597" s="78"/>
      <c r="G597" s="78"/>
      <c r="H597" s="78"/>
      <c r="I597" s="79"/>
      <c r="J597" s="86"/>
      <c r="K597" s="87"/>
      <c r="L597" s="86"/>
      <c r="M597" s="87"/>
      <c r="N597" s="77"/>
      <c r="O597" s="79"/>
      <c r="P597" s="92"/>
      <c r="Q597" s="93"/>
      <c r="S597" s="99"/>
      <c r="T597" s="99"/>
      <c r="U597" s="99"/>
      <c r="V597" s="99"/>
      <c r="W597" s="99"/>
      <c r="X597" s="99"/>
      <c r="Y597" s="99"/>
      <c r="Z597" s="99"/>
      <c r="AA597" s="99"/>
      <c r="AB597" s="99"/>
      <c r="AC597" s="98"/>
      <c r="AD597" s="98"/>
      <c r="AE597" s="98"/>
      <c r="AF597" s="98"/>
      <c r="AG597" s="98"/>
      <c r="AH597" s="98"/>
    </row>
    <row r="598" spans="2:34" x14ac:dyDescent="0.25">
      <c r="B598" s="73"/>
      <c r="C598" s="74"/>
      <c r="D598" s="80"/>
      <c r="E598" s="81"/>
      <c r="F598" s="81"/>
      <c r="G598" s="81"/>
      <c r="H598" s="81"/>
      <c r="I598" s="82"/>
      <c r="J598" s="88"/>
      <c r="K598" s="89"/>
      <c r="L598" s="88"/>
      <c r="M598" s="89"/>
      <c r="N598" s="80"/>
      <c r="O598" s="82"/>
      <c r="P598" s="94"/>
      <c r="Q598" s="95"/>
      <c r="S598" s="99"/>
      <c r="T598" s="99"/>
      <c r="U598" s="99"/>
      <c r="V598" s="99"/>
      <c r="W598" s="99"/>
      <c r="X598" s="99"/>
      <c r="Y598" s="99"/>
      <c r="Z598" s="99"/>
      <c r="AA598" s="99"/>
      <c r="AB598" s="99"/>
      <c r="AC598" s="98"/>
      <c r="AD598" s="98"/>
      <c r="AE598" s="98"/>
      <c r="AF598" s="98"/>
      <c r="AG598" s="98"/>
      <c r="AH598" s="98"/>
    </row>
    <row r="599" spans="2:34" x14ac:dyDescent="0.25">
      <c r="B599" s="75"/>
      <c r="C599" s="76"/>
      <c r="D599" s="83"/>
      <c r="E599" s="84"/>
      <c r="F599" s="84"/>
      <c r="G599" s="84"/>
      <c r="H599" s="84"/>
      <c r="I599" s="85"/>
      <c r="J599" s="90"/>
      <c r="K599" s="91"/>
      <c r="L599" s="90"/>
      <c r="M599" s="91"/>
      <c r="N599" s="83"/>
      <c r="O599" s="85"/>
      <c r="P599" s="96"/>
      <c r="Q599" s="97"/>
      <c r="S599" s="99"/>
      <c r="T599" s="99"/>
      <c r="U599" s="99"/>
      <c r="V599" s="99"/>
      <c r="W599" s="99"/>
      <c r="X599" s="99"/>
      <c r="Y599" s="99"/>
      <c r="Z599" s="99"/>
      <c r="AA599" s="99"/>
      <c r="AB599" s="99"/>
      <c r="AC599" s="98"/>
      <c r="AD599" s="98"/>
      <c r="AE599" s="98"/>
      <c r="AF599" s="98"/>
      <c r="AG599" s="98"/>
      <c r="AH599" s="98"/>
    </row>
    <row r="600" spans="2:34" x14ac:dyDescent="0.25">
      <c r="B600" s="71"/>
      <c r="C600" s="72"/>
      <c r="D600" s="77"/>
      <c r="E600" s="78"/>
      <c r="F600" s="78"/>
      <c r="G600" s="78"/>
      <c r="H600" s="78"/>
      <c r="I600" s="79"/>
      <c r="J600" s="86"/>
      <c r="K600" s="87"/>
      <c r="L600" s="86"/>
      <c r="M600" s="87"/>
      <c r="N600" s="77"/>
      <c r="O600" s="79"/>
      <c r="P600" s="92"/>
      <c r="Q600" s="93"/>
      <c r="S600" s="99"/>
      <c r="T600" s="99"/>
      <c r="U600" s="99"/>
      <c r="V600" s="99"/>
      <c r="W600" s="99"/>
      <c r="X600" s="99"/>
      <c r="Y600" s="99"/>
      <c r="Z600" s="99"/>
      <c r="AA600" s="99"/>
      <c r="AB600" s="99"/>
      <c r="AC600" s="98"/>
      <c r="AD600" s="98"/>
      <c r="AE600" s="98"/>
      <c r="AF600" s="98"/>
      <c r="AG600" s="98"/>
      <c r="AH600" s="98"/>
    </row>
    <row r="601" spans="2:34" x14ac:dyDescent="0.25">
      <c r="B601" s="73"/>
      <c r="C601" s="74"/>
      <c r="D601" s="80"/>
      <c r="E601" s="81"/>
      <c r="F601" s="81"/>
      <c r="G601" s="81"/>
      <c r="H601" s="81"/>
      <c r="I601" s="82"/>
      <c r="J601" s="88"/>
      <c r="K601" s="89"/>
      <c r="L601" s="88"/>
      <c r="M601" s="89"/>
      <c r="N601" s="80"/>
      <c r="O601" s="82"/>
      <c r="P601" s="94"/>
      <c r="Q601" s="95"/>
      <c r="S601" s="99"/>
      <c r="T601" s="99"/>
      <c r="U601" s="99"/>
      <c r="V601" s="99"/>
      <c r="W601" s="99"/>
      <c r="X601" s="99"/>
      <c r="Y601" s="99"/>
      <c r="Z601" s="99"/>
      <c r="AA601" s="99"/>
      <c r="AB601" s="99"/>
      <c r="AC601" s="98"/>
      <c r="AD601" s="98"/>
      <c r="AE601" s="98"/>
      <c r="AF601" s="98"/>
      <c r="AG601" s="98"/>
      <c r="AH601" s="98"/>
    </row>
    <row r="602" spans="2:34" x14ac:dyDescent="0.25">
      <c r="B602" s="75"/>
      <c r="C602" s="76"/>
      <c r="D602" s="83"/>
      <c r="E602" s="84"/>
      <c r="F602" s="84"/>
      <c r="G602" s="84"/>
      <c r="H602" s="84"/>
      <c r="I602" s="85"/>
      <c r="J602" s="90"/>
      <c r="K602" s="91"/>
      <c r="L602" s="90"/>
      <c r="M602" s="91"/>
      <c r="N602" s="83"/>
      <c r="O602" s="85"/>
      <c r="P602" s="96"/>
      <c r="Q602" s="97"/>
      <c r="S602" s="99"/>
      <c r="T602" s="99"/>
      <c r="U602" s="99"/>
      <c r="V602" s="99"/>
      <c r="W602" s="99"/>
      <c r="X602" s="99"/>
      <c r="Y602" s="99"/>
      <c r="Z602" s="99"/>
      <c r="AA602" s="99"/>
      <c r="AB602" s="99"/>
      <c r="AC602" s="98"/>
      <c r="AD602" s="98"/>
      <c r="AE602" s="98"/>
      <c r="AF602" s="98"/>
      <c r="AG602" s="98"/>
      <c r="AH602" s="98"/>
    </row>
    <row r="603" spans="2:34" x14ac:dyDescent="0.25">
      <c r="B603" s="71"/>
      <c r="C603" s="72"/>
      <c r="D603" s="77"/>
      <c r="E603" s="78"/>
      <c r="F603" s="78"/>
      <c r="G603" s="78"/>
      <c r="H603" s="78"/>
      <c r="I603" s="79"/>
      <c r="J603" s="86"/>
      <c r="K603" s="87"/>
      <c r="L603" s="86"/>
      <c r="M603" s="87"/>
      <c r="N603" s="77"/>
      <c r="O603" s="79"/>
      <c r="P603" s="92"/>
      <c r="Q603" s="93"/>
      <c r="S603" s="99"/>
      <c r="T603" s="99"/>
      <c r="U603" s="99"/>
      <c r="V603" s="99"/>
      <c r="W603" s="99"/>
      <c r="X603" s="99"/>
      <c r="Y603" s="99"/>
      <c r="Z603" s="99"/>
      <c r="AA603" s="99"/>
      <c r="AB603" s="99"/>
      <c r="AC603" s="98"/>
      <c r="AD603" s="98"/>
      <c r="AE603" s="98"/>
      <c r="AF603" s="98"/>
      <c r="AG603" s="98"/>
      <c r="AH603" s="98"/>
    </row>
    <row r="604" spans="2:34" x14ac:dyDescent="0.25">
      <c r="B604" s="73"/>
      <c r="C604" s="74"/>
      <c r="D604" s="80"/>
      <c r="E604" s="81"/>
      <c r="F604" s="81"/>
      <c r="G604" s="81"/>
      <c r="H604" s="81"/>
      <c r="I604" s="82"/>
      <c r="J604" s="88"/>
      <c r="K604" s="89"/>
      <c r="L604" s="88"/>
      <c r="M604" s="89"/>
      <c r="N604" s="80"/>
      <c r="O604" s="82"/>
      <c r="P604" s="94"/>
      <c r="Q604" s="95"/>
      <c r="S604" s="99"/>
      <c r="T604" s="99"/>
      <c r="U604" s="99"/>
      <c r="V604" s="99"/>
      <c r="W604" s="99"/>
      <c r="X604" s="99"/>
      <c r="Y604" s="99"/>
      <c r="Z604" s="99"/>
      <c r="AA604" s="99"/>
      <c r="AB604" s="99"/>
      <c r="AC604" s="98"/>
      <c r="AD604" s="98"/>
      <c r="AE604" s="98"/>
      <c r="AF604" s="98"/>
      <c r="AG604" s="98"/>
      <c r="AH604" s="98"/>
    </row>
    <row r="605" spans="2:34" x14ac:dyDescent="0.25">
      <c r="B605" s="75"/>
      <c r="C605" s="76"/>
      <c r="D605" s="83"/>
      <c r="E605" s="84"/>
      <c r="F605" s="84"/>
      <c r="G605" s="84"/>
      <c r="H605" s="84"/>
      <c r="I605" s="85"/>
      <c r="J605" s="90"/>
      <c r="K605" s="91"/>
      <c r="L605" s="90"/>
      <c r="M605" s="91"/>
      <c r="N605" s="83"/>
      <c r="O605" s="85"/>
      <c r="P605" s="96"/>
      <c r="Q605" s="97"/>
      <c r="S605" s="99"/>
      <c r="T605" s="99"/>
      <c r="U605" s="99"/>
      <c r="V605" s="99"/>
      <c r="W605" s="99"/>
      <c r="X605" s="99"/>
      <c r="Y605" s="99"/>
      <c r="Z605" s="99"/>
      <c r="AA605" s="99"/>
      <c r="AB605" s="99"/>
      <c r="AC605" s="98"/>
      <c r="AD605" s="98"/>
      <c r="AE605" s="98"/>
      <c r="AF605" s="98"/>
      <c r="AG605" s="98"/>
      <c r="AH605" s="98"/>
    </row>
    <row r="606" spans="2:34" x14ac:dyDescent="0.25">
      <c r="B606" s="71"/>
      <c r="C606" s="72"/>
      <c r="D606" s="77"/>
      <c r="E606" s="78"/>
      <c r="F606" s="78"/>
      <c r="G606" s="78"/>
      <c r="H606" s="78"/>
      <c r="I606" s="79"/>
      <c r="J606" s="86"/>
      <c r="K606" s="87"/>
      <c r="L606" s="86"/>
      <c r="M606" s="87"/>
      <c r="N606" s="77"/>
      <c r="O606" s="79"/>
      <c r="P606" s="92"/>
      <c r="Q606" s="93"/>
      <c r="S606" s="99"/>
      <c r="T606" s="99"/>
      <c r="U606" s="99"/>
      <c r="V606" s="99"/>
      <c r="W606" s="99"/>
      <c r="X606" s="99"/>
      <c r="Y606" s="99"/>
      <c r="Z606" s="99"/>
      <c r="AA606" s="99"/>
      <c r="AB606" s="99"/>
      <c r="AC606" s="98"/>
      <c r="AD606" s="98"/>
      <c r="AE606" s="98"/>
      <c r="AF606" s="98"/>
      <c r="AG606" s="98"/>
      <c r="AH606" s="98"/>
    </row>
    <row r="607" spans="2:34" x14ac:dyDescent="0.25">
      <c r="B607" s="73"/>
      <c r="C607" s="74"/>
      <c r="D607" s="80"/>
      <c r="E607" s="81"/>
      <c r="F607" s="81"/>
      <c r="G607" s="81"/>
      <c r="H607" s="81"/>
      <c r="I607" s="82"/>
      <c r="J607" s="88"/>
      <c r="K607" s="89"/>
      <c r="L607" s="88"/>
      <c r="M607" s="89"/>
      <c r="N607" s="80"/>
      <c r="O607" s="82"/>
      <c r="P607" s="94"/>
      <c r="Q607" s="95"/>
      <c r="S607" s="99"/>
      <c r="T607" s="99"/>
      <c r="U607" s="99"/>
      <c r="V607" s="99"/>
      <c r="W607" s="99"/>
      <c r="X607" s="99"/>
      <c r="Y607" s="99"/>
      <c r="Z607" s="99"/>
      <c r="AA607" s="99"/>
      <c r="AB607" s="99"/>
      <c r="AC607" s="98"/>
      <c r="AD607" s="98"/>
      <c r="AE607" s="98"/>
      <c r="AF607" s="98"/>
      <c r="AG607" s="98"/>
      <c r="AH607" s="98"/>
    </row>
    <row r="608" spans="2:34" x14ac:dyDescent="0.25">
      <c r="B608" s="75"/>
      <c r="C608" s="76"/>
      <c r="D608" s="83"/>
      <c r="E608" s="84"/>
      <c r="F608" s="84"/>
      <c r="G608" s="84"/>
      <c r="H608" s="84"/>
      <c r="I608" s="85"/>
      <c r="J608" s="90"/>
      <c r="K608" s="91"/>
      <c r="L608" s="90"/>
      <c r="M608" s="91"/>
      <c r="N608" s="83"/>
      <c r="O608" s="85"/>
      <c r="P608" s="96"/>
      <c r="Q608" s="97"/>
      <c r="S608" s="99"/>
      <c r="T608" s="99"/>
      <c r="U608" s="99"/>
      <c r="V608" s="99"/>
      <c r="W608" s="99"/>
      <c r="X608" s="99"/>
      <c r="Y608" s="99"/>
      <c r="Z608" s="99"/>
      <c r="AA608" s="99"/>
      <c r="AB608" s="99"/>
      <c r="AC608" s="98"/>
      <c r="AD608" s="98"/>
      <c r="AE608" s="98"/>
      <c r="AF608" s="98"/>
      <c r="AG608" s="98"/>
      <c r="AH608" s="98"/>
    </row>
    <row r="609" spans="2:34" x14ac:dyDescent="0.25">
      <c r="B609" s="71"/>
      <c r="C609" s="72"/>
      <c r="D609" s="77"/>
      <c r="E609" s="78"/>
      <c r="F609" s="78"/>
      <c r="G609" s="78"/>
      <c r="H609" s="78"/>
      <c r="I609" s="79"/>
      <c r="J609" s="86"/>
      <c r="K609" s="87"/>
      <c r="L609" s="86"/>
      <c r="M609" s="87"/>
      <c r="N609" s="77"/>
      <c r="O609" s="79"/>
      <c r="P609" s="92"/>
      <c r="Q609" s="93"/>
      <c r="S609" s="99"/>
      <c r="T609" s="99"/>
      <c r="U609" s="99"/>
      <c r="V609" s="99"/>
      <c r="W609" s="99"/>
      <c r="X609" s="99"/>
      <c r="Y609" s="99"/>
      <c r="Z609" s="99"/>
      <c r="AA609" s="99"/>
      <c r="AB609" s="99"/>
      <c r="AC609" s="98"/>
      <c r="AD609" s="98"/>
      <c r="AE609" s="98"/>
      <c r="AF609" s="98"/>
      <c r="AG609" s="98"/>
      <c r="AH609" s="98"/>
    </row>
    <row r="610" spans="2:34" x14ac:dyDescent="0.25">
      <c r="B610" s="73"/>
      <c r="C610" s="74"/>
      <c r="D610" s="80"/>
      <c r="E610" s="81"/>
      <c r="F610" s="81"/>
      <c r="G610" s="81"/>
      <c r="H610" s="81"/>
      <c r="I610" s="82"/>
      <c r="J610" s="88"/>
      <c r="K610" s="89"/>
      <c r="L610" s="88"/>
      <c r="M610" s="89"/>
      <c r="N610" s="80"/>
      <c r="O610" s="82"/>
      <c r="P610" s="94"/>
      <c r="Q610" s="95"/>
      <c r="S610" s="99"/>
      <c r="T610" s="99"/>
      <c r="U610" s="99"/>
      <c r="V610" s="99"/>
      <c r="W610" s="99"/>
      <c r="X610" s="99"/>
      <c r="Y610" s="99"/>
      <c r="Z610" s="99"/>
      <c r="AA610" s="99"/>
      <c r="AB610" s="99"/>
      <c r="AC610" s="98"/>
      <c r="AD610" s="98"/>
      <c r="AE610" s="98"/>
      <c r="AF610" s="98"/>
      <c r="AG610" s="98"/>
      <c r="AH610" s="98"/>
    </row>
    <row r="611" spans="2:34" x14ac:dyDescent="0.25">
      <c r="B611" s="75"/>
      <c r="C611" s="76"/>
      <c r="D611" s="83"/>
      <c r="E611" s="84"/>
      <c r="F611" s="84"/>
      <c r="G611" s="84"/>
      <c r="H611" s="84"/>
      <c r="I611" s="85"/>
      <c r="J611" s="90"/>
      <c r="K611" s="91"/>
      <c r="L611" s="90"/>
      <c r="M611" s="91"/>
      <c r="N611" s="83"/>
      <c r="O611" s="85"/>
      <c r="P611" s="96"/>
      <c r="Q611" s="97"/>
      <c r="S611" s="99"/>
      <c r="T611" s="99"/>
      <c r="U611" s="99"/>
      <c r="V611" s="99"/>
      <c r="W611" s="99"/>
      <c r="X611" s="99"/>
      <c r="Y611" s="99"/>
      <c r="Z611" s="99"/>
      <c r="AA611" s="99"/>
      <c r="AB611" s="99"/>
      <c r="AC611" s="98"/>
      <c r="AD611" s="98"/>
      <c r="AE611" s="98"/>
      <c r="AF611" s="98"/>
      <c r="AG611" s="98"/>
      <c r="AH611" s="98"/>
    </row>
    <row r="612" spans="2:34" x14ac:dyDescent="0.25">
      <c r="B612" s="71"/>
      <c r="C612" s="72"/>
      <c r="D612" s="77"/>
      <c r="E612" s="78"/>
      <c r="F612" s="78"/>
      <c r="G612" s="78"/>
      <c r="H612" s="78"/>
      <c r="I612" s="79"/>
      <c r="J612" s="86"/>
      <c r="K612" s="87"/>
      <c r="L612" s="86"/>
      <c r="M612" s="87"/>
      <c r="N612" s="77"/>
      <c r="O612" s="79"/>
      <c r="P612" s="92"/>
      <c r="Q612" s="93"/>
      <c r="S612" s="99"/>
      <c r="T612" s="99"/>
      <c r="U612" s="99"/>
      <c r="V612" s="99"/>
      <c r="W612" s="99"/>
      <c r="X612" s="99"/>
      <c r="Y612" s="99"/>
      <c r="Z612" s="99"/>
      <c r="AA612" s="99"/>
      <c r="AB612" s="99"/>
      <c r="AC612" s="98"/>
      <c r="AD612" s="98"/>
      <c r="AE612" s="98"/>
      <c r="AF612" s="98"/>
      <c r="AG612" s="98"/>
      <c r="AH612" s="98"/>
    </row>
    <row r="613" spans="2:34" x14ac:dyDescent="0.25">
      <c r="B613" s="73"/>
      <c r="C613" s="74"/>
      <c r="D613" s="80"/>
      <c r="E613" s="81"/>
      <c r="F613" s="81"/>
      <c r="G613" s="81"/>
      <c r="H613" s="81"/>
      <c r="I613" s="82"/>
      <c r="J613" s="88"/>
      <c r="K613" s="89"/>
      <c r="L613" s="88"/>
      <c r="M613" s="89"/>
      <c r="N613" s="80"/>
      <c r="O613" s="82"/>
      <c r="P613" s="94"/>
      <c r="Q613" s="95"/>
      <c r="S613" s="99"/>
      <c r="T613" s="99"/>
      <c r="U613" s="99"/>
      <c r="V613" s="99"/>
      <c r="W613" s="99"/>
      <c r="X613" s="99"/>
      <c r="Y613" s="99"/>
      <c r="Z613" s="99"/>
      <c r="AA613" s="99"/>
      <c r="AB613" s="99"/>
      <c r="AC613" s="98"/>
      <c r="AD613" s="98"/>
      <c r="AE613" s="98"/>
      <c r="AF613" s="98"/>
      <c r="AG613" s="98"/>
      <c r="AH613" s="98"/>
    </row>
    <row r="614" spans="2:34" x14ac:dyDescent="0.25">
      <c r="B614" s="75"/>
      <c r="C614" s="76"/>
      <c r="D614" s="83"/>
      <c r="E614" s="84"/>
      <c r="F614" s="84"/>
      <c r="G614" s="84"/>
      <c r="H614" s="84"/>
      <c r="I614" s="85"/>
      <c r="J614" s="90"/>
      <c r="K614" s="91"/>
      <c r="L614" s="90"/>
      <c r="M614" s="91"/>
      <c r="N614" s="83"/>
      <c r="O614" s="85"/>
      <c r="P614" s="96"/>
      <c r="Q614" s="97"/>
      <c r="S614" s="99"/>
      <c r="T614" s="99"/>
      <c r="U614" s="99"/>
      <c r="V614" s="99"/>
      <c r="W614" s="99"/>
      <c r="X614" s="99"/>
      <c r="Y614" s="99"/>
      <c r="Z614" s="99"/>
      <c r="AA614" s="99"/>
      <c r="AB614" s="99"/>
      <c r="AC614" s="98"/>
      <c r="AD614" s="98"/>
      <c r="AE614" s="98"/>
      <c r="AF614" s="98"/>
      <c r="AG614" s="98"/>
      <c r="AH614" s="98"/>
    </row>
    <row r="615" spans="2:34" x14ac:dyDescent="0.25">
      <c r="B615" s="71"/>
      <c r="C615" s="72"/>
      <c r="D615" s="77"/>
      <c r="E615" s="78"/>
      <c r="F615" s="78"/>
      <c r="G615" s="78"/>
      <c r="H615" s="78"/>
      <c r="I615" s="79"/>
      <c r="J615" s="86"/>
      <c r="K615" s="87"/>
      <c r="L615" s="86"/>
      <c r="M615" s="87"/>
      <c r="N615" s="77"/>
      <c r="O615" s="79"/>
      <c r="P615" s="92"/>
      <c r="Q615" s="93"/>
      <c r="S615" s="99"/>
      <c r="T615" s="99"/>
      <c r="U615" s="99"/>
      <c r="V615" s="99"/>
      <c r="W615" s="99"/>
      <c r="X615" s="99"/>
      <c r="Y615" s="99"/>
      <c r="Z615" s="99"/>
      <c r="AA615" s="99"/>
      <c r="AB615" s="99"/>
      <c r="AC615" s="98"/>
      <c r="AD615" s="98"/>
      <c r="AE615" s="98"/>
      <c r="AF615" s="98"/>
      <c r="AG615" s="98"/>
      <c r="AH615" s="98"/>
    </row>
    <row r="616" spans="2:34" x14ac:dyDescent="0.25">
      <c r="B616" s="73"/>
      <c r="C616" s="74"/>
      <c r="D616" s="80"/>
      <c r="E616" s="81"/>
      <c r="F616" s="81"/>
      <c r="G616" s="81"/>
      <c r="H616" s="81"/>
      <c r="I616" s="82"/>
      <c r="J616" s="88"/>
      <c r="K616" s="89"/>
      <c r="L616" s="88"/>
      <c r="M616" s="89"/>
      <c r="N616" s="80"/>
      <c r="O616" s="82"/>
      <c r="P616" s="94"/>
      <c r="Q616" s="95"/>
      <c r="S616" s="99"/>
      <c r="T616" s="99"/>
      <c r="U616" s="99"/>
      <c r="V616" s="99"/>
      <c r="W616" s="99"/>
      <c r="X616" s="99"/>
      <c r="Y616" s="99"/>
      <c r="Z616" s="99"/>
      <c r="AA616" s="99"/>
      <c r="AB616" s="99"/>
      <c r="AC616" s="98"/>
      <c r="AD616" s="98"/>
      <c r="AE616" s="98"/>
      <c r="AF616" s="98"/>
      <c r="AG616" s="98"/>
      <c r="AH616" s="98"/>
    </row>
    <row r="617" spans="2:34" x14ac:dyDescent="0.25">
      <c r="B617" s="75"/>
      <c r="C617" s="76"/>
      <c r="D617" s="83"/>
      <c r="E617" s="84"/>
      <c r="F617" s="84"/>
      <c r="G617" s="84"/>
      <c r="H617" s="84"/>
      <c r="I617" s="85"/>
      <c r="J617" s="90"/>
      <c r="K617" s="91"/>
      <c r="L617" s="90"/>
      <c r="M617" s="91"/>
      <c r="N617" s="83"/>
      <c r="O617" s="85"/>
      <c r="P617" s="96"/>
      <c r="Q617" s="97"/>
      <c r="S617" s="99"/>
      <c r="T617" s="99"/>
      <c r="U617" s="99"/>
      <c r="V617" s="99"/>
      <c r="W617" s="99"/>
      <c r="X617" s="99"/>
      <c r="Y617" s="99"/>
      <c r="Z617" s="99"/>
      <c r="AA617" s="99"/>
      <c r="AB617" s="99"/>
      <c r="AC617" s="98"/>
      <c r="AD617" s="98"/>
      <c r="AE617" s="98"/>
      <c r="AF617" s="98"/>
      <c r="AG617" s="98"/>
      <c r="AH617" s="98"/>
    </row>
    <row r="618" spans="2:34" x14ac:dyDescent="0.25">
      <c r="B618" s="71"/>
      <c r="C618" s="72"/>
      <c r="D618" s="77"/>
      <c r="E618" s="78"/>
      <c r="F618" s="78"/>
      <c r="G618" s="78"/>
      <c r="H618" s="78"/>
      <c r="I618" s="79"/>
      <c r="J618" s="86"/>
      <c r="K618" s="87"/>
      <c r="L618" s="86"/>
      <c r="M618" s="87"/>
      <c r="N618" s="77"/>
      <c r="O618" s="79"/>
      <c r="P618" s="92"/>
      <c r="Q618" s="93"/>
      <c r="S618" s="99"/>
      <c r="T618" s="99"/>
      <c r="U618" s="99"/>
      <c r="V618" s="99"/>
      <c r="W618" s="99"/>
      <c r="X618" s="99"/>
      <c r="Y618" s="99"/>
      <c r="Z618" s="99"/>
      <c r="AA618" s="99"/>
      <c r="AB618" s="99"/>
      <c r="AC618" s="98"/>
      <c r="AD618" s="98"/>
      <c r="AE618" s="98"/>
      <c r="AF618" s="98"/>
      <c r="AG618" s="98"/>
      <c r="AH618" s="98"/>
    </row>
    <row r="619" spans="2:34" x14ac:dyDescent="0.25">
      <c r="B619" s="73"/>
      <c r="C619" s="74"/>
      <c r="D619" s="80"/>
      <c r="E619" s="81"/>
      <c r="F619" s="81"/>
      <c r="G619" s="81"/>
      <c r="H619" s="81"/>
      <c r="I619" s="82"/>
      <c r="J619" s="88"/>
      <c r="K619" s="89"/>
      <c r="L619" s="88"/>
      <c r="M619" s="89"/>
      <c r="N619" s="80"/>
      <c r="O619" s="82"/>
      <c r="P619" s="94"/>
      <c r="Q619" s="95"/>
      <c r="S619" s="99"/>
      <c r="T619" s="99"/>
      <c r="U619" s="99"/>
      <c r="V619" s="99"/>
      <c r="W619" s="99"/>
      <c r="X619" s="99"/>
      <c r="Y619" s="99"/>
      <c r="Z619" s="99"/>
      <c r="AA619" s="99"/>
      <c r="AB619" s="99"/>
      <c r="AC619" s="98"/>
      <c r="AD619" s="98"/>
      <c r="AE619" s="98"/>
      <c r="AF619" s="98"/>
      <c r="AG619" s="98"/>
      <c r="AH619" s="98"/>
    </row>
    <row r="620" spans="2:34" x14ac:dyDescent="0.25">
      <c r="B620" s="75"/>
      <c r="C620" s="76"/>
      <c r="D620" s="83"/>
      <c r="E620" s="84"/>
      <c r="F620" s="84"/>
      <c r="G620" s="84"/>
      <c r="H620" s="84"/>
      <c r="I620" s="85"/>
      <c r="J620" s="90"/>
      <c r="K620" s="91"/>
      <c r="L620" s="90"/>
      <c r="M620" s="91"/>
      <c r="N620" s="83"/>
      <c r="O620" s="85"/>
      <c r="P620" s="96"/>
      <c r="Q620" s="97"/>
      <c r="S620" s="99"/>
      <c r="T620" s="99"/>
      <c r="U620" s="99"/>
      <c r="V620" s="99"/>
      <c r="W620" s="99"/>
      <c r="X620" s="99"/>
      <c r="Y620" s="99"/>
      <c r="Z620" s="99"/>
      <c r="AA620" s="99"/>
      <c r="AB620" s="99"/>
      <c r="AC620" s="98"/>
      <c r="AD620" s="98"/>
      <c r="AE620" s="98"/>
      <c r="AF620" s="98"/>
      <c r="AG620" s="98"/>
      <c r="AH620" s="98"/>
    </row>
    <row r="621" spans="2:34" x14ac:dyDescent="0.25">
      <c r="B621" s="71"/>
      <c r="C621" s="72"/>
      <c r="D621" s="77"/>
      <c r="E621" s="78"/>
      <c r="F621" s="78"/>
      <c r="G621" s="78"/>
      <c r="H621" s="78"/>
      <c r="I621" s="79"/>
      <c r="J621" s="86"/>
      <c r="K621" s="87"/>
      <c r="L621" s="86"/>
      <c r="M621" s="87"/>
      <c r="N621" s="77"/>
      <c r="O621" s="79"/>
      <c r="P621" s="92"/>
      <c r="Q621" s="93"/>
      <c r="S621" s="99"/>
      <c r="T621" s="99"/>
      <c r="U621" s="99"/>
      <c r="V621" s="99"/>
      <c r="W621" s="99"/>
      <c r="X621" s="99"/>
      <c r="Y621" s="99"/>
      <c r="Z621" s="99"/>
      <c r="AA621" s="99"/>
      <c r="AB621" s="99"/>
      <c r="AC621" s="98"/>
      <c r="AD621" s="98"/>
      <c r="AE621" s="98"/>
      <c r="AF621" s="98"/>
      <c r="AG621" s="98"/>
      <c r="AH621" s="98"/>
    </row>
    <row r="622" spans="2:34" x14ac:dyDescent="0.25">
      <c r="B622" s="73"/>
      <c r="C622" s="74"/>
      <c r="D622" s="80"/>
      <c r="E622" s="81"/>
      <c r="F622" s="81"/>
      <c r="G622" s="81"/>
      <c r="H622" s="81"/>
      <c r="I622" s="82"/>
      <c r="J622" s="88"/>
      <c r="K622" s="89"/>
      <c r="L622" s="88"/>
      <c r="M622" s="89"/>
      <c r="N622" s="80"/>
      <c r="O622" s="82"/>
      <c r="P622" s="94"/>
      <c r="Q622" s="95"/>
      <c r="S622" s="99"/>
      <c r="T622" s="99"/>
      <c r="U622" s="99"/>
      <c r="V622" s="99"/>
      <c r="W622" s="99"/>
      <c r="X622" s="99"/>
      <c r="Y622" s="99"/>
      <c r="Z622" s="99"/>
      <c r="AA622" s="99"/>
      <c r="AB622" s="99"/>
      <c r="AC622" s="98"/>
      <c r="AD622" s="98"/>
      <c r="AE622" s="98"/>
      <c r="AF622" s="98"/>
      <c r="AG622" s="98"/>
      <c r="AH622" s="98"/>
    </row>
    <row r="623" spans="2:34" x14ac:dyDescent="0.25">
      <c r="B623" s="75"/>
      <c r="C623" s="76"/>
      <c r="D623" s="83"/>
      <c r="E623" s="84"/>
      <c r="F623" s="84"/>
      <c r="G623" s="84"/>
      <c r="H623" s="84"/>
      <c r="I623" s="85"/>
      <c r="J623" s="90"/>
      <c r="K623" s="91"/>
      <c r="L623" s="90"/>
      <c r="M623" s="91"/>
      <c r="N623" s="83"/>
      <c r="O623" s="85"/>
      <c r="P623" s="96"/>
      <c r="Q623" s="97"/>
      <c r="S623" s="99"/>
      <c r="T623" s="99"/>
      <c r="U623" s="99"/>
      <c r="V623" s="99"/>
      <c r="W623" s="99"/>
      <c r="X623" s="99"/>
      <c r="Y623" s="99"/>
      <c r="Z623" s="99"/>
      <c r="AA623" s="99"/>
      <c r="AB623" s="99"/>
      <c r="AC623" s="98"/>
      <c r="AD623" s="98"/>
      <c r="AE623" s="98"/>
      <c r="AF623" s="98"/>
      <c r="AG623" s="98"/>
      <c r="AH623" s="98"/>
    </row>
    <row r="624" spans="2:34" x14ac:dyDescent="0.25">
      <c r="B624" s="71"/>
      <c r="C624" s="72"/>
      <c r="D624" s="77"/>
      <c r="E624" s="78"/>
      <c r="F624" s="78"/>
      <c r="G624" s="78"/>
      <c r="H624" s="78"/>
      <c r="I624" s="79"/>
      <c r="J624" s="86"/>
      <c r="K624" s="87"/>
      <c r="L624" s="86"/>
      <c r="M624" s="87"/>
      <c r="N624" s="77"/>
      <c r="O624" s="79"/>
      <c r="P624" s="92"/>
      <c r="Q624" s="93"/>
      <c r="S624" s="99"/>
      <c r="T624" s="99"/>
      <c r="U624" s="99"/>
      <c r="V624" s="99"/>
      <c r="W624" s="99"/>
      <c r="X624" s="99"/>
      <c r="Y624" s="99"/>
      <c r="Z624" s="99"/>
      <c r="AA624" s="99"/>
      <c r="AB624" s="99"/>
      <c r="AC624" s="98"/>
      <c r="AD624" s="98"/>
      <c r="AE624" s="98"/>
      <c r="AF624" s="98"/>
      <c r="AG624" s="98"/>
      <c r="AH624" s="98"/>
    </row>
    <row r="625" spans="2:34" x14ac:dyDescent="0.25">
      <c r="B625" s="73"/>
      <c r="C625" s="74"/>
      <c r="D625" s="80"/>
      <c r="E625" s="81"/>
      <c r="F625" s="81"/>
      <c r="G625" s="81"/>
      <c r="H625" s="81"/>
      <c r="I625" s="82"/>
      <c r="J625" s="88"/>
      <c r="K625" s="89"/>
      <c r="L625" s="88"/>
      <c r="M625" s="89"/>
      <c r="N625" s="80"/>
      <c r="O625" s="82"/>
      <c r="P625" s="94"/>
      <c r="Q625" s="95"/>
      <c r="S625" s="99"/>
      <c r="T625" s="99"/>
      <c r="U625" s="99"/>
      <c r="V625" s="99"/>
      <c r="W625" s="99"/>
      <c r="X625" s="99"/>
      <c r="Y625" s="99"/>
      <c r="Z625" s="99"/>
      <c r="AA625" s="99"/>
      <c r="AB625" s="99"/>
      <c r="AC625" s="98"/>
      <c r="AD625" s="98"/>
      <c r="AE625" s="98"/>
      <c r="AF625" s="98"/>
      <c r="AG625" s="98"/>
      <c r="AH625" s="98"/>
    </row>
    <row r="626" spans="2:34" x14ac:dyDescent="0.25">
      <c r="B626" s="75"/>
      <c r="C626" s="76"/>
      <c r="D626" s="83"/>
      <c r="E626" s="84"/>
      <c r="F626" s="84"/>
      <c r="G626" s="84"/>
      <c r="H626" s="84"/>
      <c r="I626" s="85"/>
      <c r="J626" s="90"/>
      <c r="K626" s="91"/>
      <c r="L626" s="90"/>
      <c r="M626" s="91"/>
      <c r="N626" s="83"/>
      <c r="O626" s="85"/>
      <c r="P626" s="96"/>
      <c r="Q626" s="97"/>
      <c r="S626" s="99"/>
      <c r="T626" s="99"/>
      <c r="U626" s="99"/>
      <c r="V626" s="99"/>
      <c r="W626" s="99"/>
      <c r="X626" s="99"/>
      <c r="Y626" s="99"/>
      <c r="Z626" s="99"/>
      <c r="AA626" s="99"/>
      <c r="AB626" s="99"/>
      <c r="AC626" s="98"/>
      <c r="AD626" s="98"/>
      <c r="AE626" s="98"/>
      <c r="AF626" s="98"/>
      <c r="AG626" s="98"/>
      <c r="AH626" s="98"/>
    </row>
    <row r="627" spans="2:34" x14ac:dyDescent="0.25">
      <c r="B627" s="71"/>
      <c r="C627" s="72"/>
      <c r="D627" s="77"/>
      <c r="E627" s="78"/>
      <c r="F627" s="78"/>
      <c r="G627" s="78"/>
      <c r="H627" s="78"/>
      <c r="I627" s="79"/>
      <c r="J627" s="86"/>
      <c r="K627" s="87"/>
      <c r="L627" s="86"/>
      <c r="M627" s="87"/>
      <c r="N627" s="77"/>
      <c r="O627" s="79"/>
      <c r="P627" s="92"/>
      <c r="Q627" s="93"/>
      <c r="S627" s="99"/>
      <c r="T627" s="99"/>
      <c r="U627" s="99"/>
      <c r="V627" s="99"/>
      <c r="W627" s="99"/>
      <c r="X627" s="99"/>
      <c r="Y627" s="99"/>
      <c r="Z627" s="99"/>
      <c r="AA627" s="99"/>
      <c r="AB627" s="99"/>
      <c r="AC627" s="98"/>
      <c r="AD627" s="98"/>
      <c r="AE627" s="98"/>
      <c r="AF627" s="98"/>
      <c r="AG627" s="98"/>
      <c r="AH627" s="98"/>
    </row>
    <row r="628" spans="2:34" x14ac:dyDescent="0.25">
      <c r="B628" s="73"/>
      <c r="C628" s="74"/>
      <c r="D628" s="80"/>
      <c r="E628" s="81"/>
      <c r="F628" s="81"/>
      <c r="G628" s="81"/>
      <c r="H628" s="81"/>
      <c r="I628" s="82"/>
      <c r="J628" s="88"/>
      <c r="K628" s="89"/>
      <c r="L628" s="88"/>
      <c r="M628" s="89"/>
      <c r="N628" s="80"/>
      <c r="O628" s="82"/>
      <c r="P628" s="94"/>
      <c r="Q628" s="95"/>
      <c r="S628" s="99"/>
      <c r="T628" s="99"/>
      <c r="U628" s="99"/>
      <c r="V628" s="99"/>
      <c r="W628" s="99"/>
      <c r="X628" s="99"/>
      <c r="Y628" s="99"/>
      <c r="Z628" s="99"/>
      <c r="AA628" s="99"/>
      <c r="AB628" s="99"/>
      <c r="AC628" s="98"/>
      <c r="AD628" s="98"/>
      <c r="AE628" s="98"/>
      <c r="AF628" s="98"/>
      <c r="AG628" s="98"/>
      <c r="AH628" s="98"/>
    </row>
    <row r="629" spans="2:34" x14ac:dyDescent="0.25">
      <c r="B629" s="75"/>
      <c r="C629" s="76"/>
      <c r="D629" s="83"/>
      <c r="E629" s="84"/>
      <c r="F629" s="84"/>
      <c r="G629" s="84"/>
      <c r="H629" s="84"/>
      <c r="I629" s="85"/>
      <c r="J629" s="90"/>
      <c r="K629" s="91"/>
      <c r="L629" s="90"/>
      <c r="M629" s="91"/>
      <c r="N629" s="83"/>
      <c r="O629" s="85"/>
      <c r="P629" s="96"/>
      <c r="Q629" s="97"/>
      <c r="S629" s="99"/>
      <c r="T629" s="99"/>
      <c r="U629" s="99"/>
      <c r="V629" s="99"/>
      <c r="W629" s="99"/>
      <c r="X629" s="99"/>
      <c r="Y629" s="99"/>
      <c r="Z629" s="99"/>
      <c r="AA629" s="99"/>
      <c r="AB629" s="99"/>
      <c r="AC629" s="98"/>
      <c r="AD629" s="98"/>
      <c r="AE629" s="98"/>
      <c r="AF629" s="98"/>
      <c r="AG629" s="98"/>
      <c r="AH629" s="98"/>
    </row>
    <row r="630" spans="2:34" x14ac:dyDescent="0.25">
      <c r="B630" s="71"/>
      <c r="C630" s="72"/>
      <c r="D630" s="77"/>
      <c r="E630" s="78"/>
      <c r="F630" s="78"/>
      <c r="G630" s="78"/>
      <c r="H630" s="78"/>
      <c r="I630" s="79"/>
      <c r="J630" s="86"/>
      <c r="K630" s="87"/>
      <c r="L630" s="86"/>
      <c r="M630" s="87"/>
      <c r="N630" s="77"/>
      <c r="O630" s="79"/>
      <c r="P630" s="92"/>
      <c r="Q630" s="93"/>
      <c r="S630" s="99"/>
      <c r="T630" s="99"/>
      <c r="U630" s="99"/>
      <c r="V630" s="99"/>
      <c r="W630" s="99"/>
      <c r="X630" s="99"/>
      <c r="Y630" s="99"/>
      <c r="Z630" s="99"/>
      <c r="AA630" s="99"/>
      <c r="AB630" s="99"/>
      <c r="AC630" s="98"/>
      <c r="AD630" s="98"/>
      <c r="AE630" s="98"/>
      <c r="AF630" s="98"/>
      <c r="AG630" s="98"/>
      <c r="AH630" s="98"/>
    </row>
    <row r="631" spans="2:34" x14ac:dyDescent="0.25">
      <c r="B631" s="73"/>
      <c r="C631" s="74"/>
      <c r="D631" s="80"/>
      <c r="E631" s="81"/>
      <c r="F631" s="81"/>
      <c r="G631" s="81"/>
      <c r="H631" s="81"/>
      <c r="I631" s="82"/>
      <c r="J631" s="88"/>
      <c r="K631" s="89"/>
      <c r="L631" s="88"/>
      <c r="M631" s="89"/>
      <c r="N631" s="80"/>
      <c r="O631" s="82"/>
      <c r="P631" s="94"/>
      <c r="Q631" s="95"/>
      <c r="S631" s="99"/>
      <c r="T631" s="99"/>
      <c r="U631" s="99"/>
      <c r="V631" s="99"/>
      <c r="W631" s="99"/>
      <c r="X631" s="99"/>
      <c r="Y631" s="99"/>
      <c r="Z631" s="99"/>
      <c r="AA631" s="99"/>
      <c r="AB631" s="99"/>
      <c r="AC631" s="98"/>
      <c r="AD631" s="98"/>
      <c r="AE631" s="98"/>
      <c r="AF631" s="98"/>
      <c r="AG631" s="98"/>
      <c r="AH631" s="98"/>
    </row>
    <row r="632" spans="2:34" x14ac:dyDescent="0.25">
      <c r="B632" s="75"/>
      <c r="C632" s="76"/>
      <c r="D632" s="83"/>
      <c r="E632" s="84"/>
      <c r="F632" s="84"/>
      <c r="G632" s="84"/>
      <c r="H632" s="84"/>
      <c r="I632" s="85"/>
      <c r="J632" s="90"/>
      <c r="K632" s="91"/>
      <c r="L632" s="90"/>
      <c r="M632" s="91"/>
      <c r="N632" s="83"/>
      <c r="O632" s="85"/>
      <c r="P632" s="96"/>
      <c r="Q632" s="97"/>
      <c r="S632" s="99"/>
      <c r="T632" s="99"/>
      <c r="U632" s="99"/>
      <c r="V632" s="99"/>
      <c r="W632" s="99"/>
      <c r="X632" s="99"/>
      <c r="Y632" s="99"/>
      <c r="Z632" s="99"/>
      <c r="AA632" s="99"/>
      <c r="AB632" s="99"/>
      <c r="AC632" s="98"/>
      <c r="AD632" s="98"/>
      <c r="AE632" s="98"/>
      <c r="AF632" s="98"/>
      <c r="AG632" s="98"/>
      <c r="AH632" s="98"/>
    </row>
    <row r="633" spans="2:34" x14ac:dyDescent="0.25">
      <c r="B633" s="71"/>
      <c r="C633" s="72"/>
      <c r="D633" s="77"/>
      <c r="E633" s="78"/>
      <c r="F633" s="78"/>
      <c r="G633" s="78"/>
      <c r="H633" s="78"/>
      <c r="I633" s="79"/>
      <c r="J633" s="86"/>
      <c r="K633" s="87"/>
      <c r="L633" s="86"/>
      <c r="M633" s="87"/>
      <c r="N633" s="77"/>
      <c r="O633" s="79"/>
      <c r="P633" s="92"/>
      <c r="Q633" s="93"/>
      <c r="S633" s="99"/>
      <c r="T633" s="99"/>
      <c r="U633" s="99"/>
      <c r="V633" s="99"/>
      <c r="W633" s="99"/>
      <c r="X633" s="99"/>
      <c r="Y633" s="99"/>
      <c r="Z633" s="99"/>
      <c r="AA633" s="99"/>
      <c r="AB633" s="99"/>
      <c r="AC633" s="98"/>
      <c r="AD633" s="98"/>
      <c r="AE633" s="98"/>
      <c r="AF633" s="98"/>
      <c r="AG633" s="98"/>
      <c r="AH633" s="98"/>
    </row>
    <row r="634" spans="2:34" x14ac:dyDescent="0.25">
      <c r="B634" s="73"/>
      <c r="C634" s="74"/>
      <c r="D634" s="80"/>
      <c r="E634" s="81"/>
      <c r="F634" s="81"/>
      <c r="G634" s="81"/>
      <c r="H634" s="81"/>
      <c r="I634" s="82"/>
      <c r="J634" s="88"/>
      <c r="K634" s="89"/>
      <c r="L634" s="88"/>
      <c r="M634" s="89"/>
      <c r="N634" s="80"/>
      <c r="O634" s="82"/>
      <c r="P634" s="94"/>
      <c r="Q634" s="95"/>
      <c r="S634" s="99"/>
      <c r="T634" s="99"/>
      <c r="U634" s="99"/>
      <c r="V634" s="99"/>
      <c r="W634" s="99"/>
      <c r="X634" s="99"/>
      <c r="Y634" s="99"/>
      <c r="Z634" s="99"/>
      <c r="AA634" s="99"/>
      <c r="AB634" s="99"/>
      <c r="AC634" s="98"/>
      <c r="AD634" s="98"/>
      <c r="AE634" s="98"/>
      <c r="AF634" s="98"/>
      <c r="AG634" s="98"/>
      <c r="AH634" s="98"/>
    </row>
    <row r="635" spans="2:34" x14ac:dyDescent="0.25">
      <c r="B635" s="75"/>
      <c r="C635" s="76"/>
      <c r="D635" s="83"/>
      <c r="E635" s="84"/>
      <c r="F635" s="84"/>
      <c r="G635" s="84"/>
      <c r="H635" s="84"/>
      <c r="I635" s="85"/>
      <c r="J635" s="90"/>
      <c r="K635" s="91"/>
      <c r="L635" s="90"/>
      <c r="M635" s="91"/>
      <c r="N635" s="83"/>
      <c r="O635" s="85"/>
      <c r="P635" s="96"/>
      <c r="Q635" s="97"/>
      <c r="S635" s="99"/>
      <c r="T635" s="99"/>
      <c r="U635" s="99"/>
      <c r="V635" s="99"/>
      <c r="W635" s="99"/>
      <c r="X635" s="99"/>
      <c r="Y635" s="99"/>
      <c r="Z635" s="99"/>
      <c r="AA635" s="99"/>
      <c r="AB635" s="99"/>
      <c r="AC635" s="98"/>
      <c r="AD635" s="98"/>
      <c r="AE635" s="98"/>
      <c r="AF635" s="98"/>
      <c r="AG635" s="98"/>
      <c r="AH635" s="98"/>
    </row>
    <row r="636" spans="2:34" x14ac:dyDescent="0.25">
      <c r="B636" s="71"/>
      <c r="C636" s="72"/>
      <c r="D636" s="77"/>
      <c r="E636" s="78"/>
      <c r="F636" s="78"/>
      <c r="G636" s="78"/>
      <c r="H636" s="78"/>
      <c r="I636" s="79"/>
      <c r="J636" s="86"/>
      <c r="K636" s="87"/>
      <c r="L636" s="86"/>
      <c r="M636" s="87"/>
      <c r="N636" s="77"/>
      <c r="O636" s="79"/>
      <c r="P636" s="92"/>
      <c r="Q636" s="93"/>
      <c r="S636" s="99"/>
      <c r="T636" s="99"/>
      <c r="U636" s="99"/>
      <c r="V636" s="99"/>
      <c r="W636" s="99"/>
      <c r="X636" s="99"/>
      <c r="Y636" s="99"/>
      <c r="Z636" s="99"/>
      <c r="AA636" s="99"/>
      <c r="AB636" s="99"/>
      <c r="AC636" s="98"/>
      <c r="AD636" s="98"/>
      <c r="AE636" s="98"/>
      <c r="AF636" s="98"/>
      <c r="AG636" s="98"/>
      <c r="AH636" s="98"/>
    </row>
    <row r="637" spans="2:34" x14ac:dyDescent="0.25">
      <c r="B637" s="73"/>
      <c r="C637" s="74"/>
      <c r="D637" s="80"/>
      <c r="E637" s="81"/>
      <c r="F637" s="81"/>
      <c r="G637" s="81"/>
      <c r="H637" s="81"/>
      <c r="I637" s="82"/>
      <c r="J637" s="88"/>
      <c r="K637" s="89"/>
      <c r="L637" s="88"/>
      <c r="M637" s="89"/>
      <c r="N637" s="80"/>
      <c r="O637" s="82"/>
      <c r="P637" s="94"/>
      <c r="Q637" s="95"/>
      <c r="S637" s="99"/>
      <c r="T637" s="99"/>
      <c r="U637" s="99"/>
      <c r="V637" s="99"/>
      <c r="W637" s="99"/>
      <c r="X637" s="99"/>
      <c r="Y637" s="99"/>
      <c r="Z637" s="99"/>
      <c r="AA637" s="99"/>
      <c r="AB637" s="99"/>
      <c r="AC637" s="98"/>
      <c r="AD637" s="98"/>
      <c r="AE637" s="98"/>
      <c r="AF637" s="98"/>
      <c r="AG637" s="98"/>
      <c r="AH637" s="98"/>
    </row>
    <row r="638" spans="2:34" x14ac:dyDescent="0.25">
      <c r="B638" s="75"/>
      <c r="C638" s="76"/>
      <c r="D638" s="83"/>
      <c r="E638" s="84"/>
      <c r="F638" s="84"/>
      <c r="G638" s="84"/>
      <c r="H638" s="84"/>
      <c r="I638" s="85"/>
      <c r="J638" s="90"/>
      <c r="K638" s="91"/>
      <c r="L638" s="90"/>
      <c r="M638" s="91"/>
      <c r="N638" s="83"/>
      <c r="O638" s="85"/>
      <c r="P638" s="96"/>
      <c r="Q638" s="97"/>
      <c r="S638" s="99"/>
      <c r="T638" s="99"/>
      <c r="U638" s="99"/>
      <c r="V638" s="99"/>
      <c r="W638" s="99"/>
      <c r="X638" s="99"/>
      <c r="Y638" s="99"/>
      <c r="Z638" s="99"/>
      <c r="AA638" s="99"/>
      <c r="AB638" s="99"/>
      <c r="AC638" s="98"/>
      <c r="AD638" s="98"/>
      <c r="AE638" s="98"/>
      <c r="AF638" s="98"/>
      <c r="AG638" s="98"/>
      <c r="AH638" s="98"/>
    </row>
    <row r="639" spans="2:34" x14ac:dyDescent="0.25">
      <c r="B639" s="71"/>
      <c r="C639" s="72"/>
      <c r="D639" s="77"/>
      <c r="E639" s="78"/>
      <c r="F639" s="78"/>
      <c r="G639" s="78"/>
      <c r="H639" s="78"/>
      <c r="I639" s="79"/>
      <c r="J639" s="86"/>
      <c r="K639" s="87"/>
      <c r="L639" s="86"/>
      <c r="M639" s="87"/>
      <c r="N639" s="77"/>
      <c r="O639" s="79"/>
      <c r="P639" s="92"/>
      <c r="Q639" s="93"/>
      <c r="S639" s="99"/>
      <c r="T639" s="99"/>
      <c r="U639" s="99"/>
      <c r="V639" s="99"/>
      <c r="W639" s="99"/>
      <c r="X639" s="99"/>
      <c r="Y639" s="99"/>
      <c r="Z639" s="99"/>
      <c r="AA639" s="99"/>
      <c r="AB639" s="99"/>
      <c r="AC639" s="98"/>
      <c r="AD639" s="98"/>
      <c r="AE639" s="98"/>
      <c r="AF639" s="98"/>
      <c r="AG639" s="98"/>
      <c r="AH639" s="98"/>
    </row>
    <row r="640" spans="2:34" x14ac:dyDescent="0.25">
      <c r="B640" s="73"/>
      <c r="C640" s="74"/>
      <c r="D640" s="80"/>
      <c r="E640" s="81"/>
      <c r="F640" s="81"/>
      <c r="G640" s="81"/>
      <c r="H640" s="81"/>
      <c r="I640" s="82"/>
      <c r="J640" s="88"/>
      <c r="K640" s="89"/>
      <c r="L640" s="88"/>
      <c r="M640" s="89"/>
      <c r="N640" s="80"/>
      <c r="O640" s="82"/>
      <c r="P640" s="94"/>
      <c r="Q640" s="95"/>
      <c r="S640" s="99"/>
      <c r="T640" s="99"/>
      <c r="U640" s="99"/>
      <c r="V640" s="99"/>
      <c r="W640" s="99"/>
      <c r="X640" s="99"/>
      <c r="Y640" s="99"/>
      <c r="Z640" s="99"/>
      <c r="AA640" s="99"/>
      <c r="AB640" s="99"/>
      <c r="AC640" s="98"/>
      <c r="AD640" s="98"/>
      <c r="AE640" s="98"/>
      <c r="AF640" s="98"/>
      <c r="AG640" s="98"/>
      <c r="AH640" s="98"/>
    </row>
    <row r="641" spans="2:34" x14ac:dyDescent="0.25">
      <c r="B641" s="75"/>
      <c r="C641" s="76"/>
      <c r="D641" s="83"/>
      <c r="E641" s="84"/>
      <c r="F641" s="84"/>
      <c r="G641" s="84"/>
      <c r="H641" s="84"/>
      <c r="I641" s="85"/>
      <c r="J641" s="90"/>
      <c r="K641" s="91"/>
      <c r="L641" s="90"/>
      <c r="M641" s="91"/>
      <c r="N641" s="83"/>
      <c r="O641" s="85"/>
      <c r="P641" s="96"/>
      <c r="Q641" s="97"/>
      <c r="S641" s="99"/>
      <c r="T641" s="99"/>
      <c r="U641" s="99"/>
      <c r="V641" s="99"/>
      <c r="W641" s="99"/>
      <c r="X641" s="99"/>
      <c r="Y641" s="99"/>
      <c r="Z641" s="99"/>
      <c r="AA641" s="99"/>
      <c r="AB641" s="99"/>
      <c r="AC641" s="98"/>
      <c r="AD641" s="98"/>
      <c r="AE641" s="98"/>
      <c r="AF641" s="98"/>
      <c r="AG641" s="98"/>
      <c r="AH641" s="98"/>
    </row>
    <row r="642" spans="2:34" x14ac:dyDescent="0.25">
      <c r="B642" s="71"/>
      <c r="C642" s="72"/>
      <c r="D642" s="77"/>
      <c r="E642" s="78"/>
      <c r="F642" s="78"/>
      <c r="G642" s="78"/>
      <c r="H642" s="78"/>
      <c r="I642" s="79"/>
      <c r="J642" s="86"/>
      <c r="K642" s="87"/>
      <c r="L642" s="86"/>
      <c r="M642" s="87"/>
      <c r="N642" s="77"/>
      <c r="O642" s="79"/>
      <c r="P642" s="92"/>
      <c r="Q642" s="93"/>
      <c r="S642" s="99"/>
      <c r="T642" s="99"/>
      <c r="U642" s="99"/>
      <c r="V642" s="99"/>
      <c r="W642" s="99"/>
      <c r="X642" s="99"/>
      <c r="Y642" s="99"/>
      <c r="Z642" s="99"/>
      <c r="AA642" s="99"/>
      <c r="AB642" s="99"/>
      <c r="AC642" s="98"/>
      <c r="AD642" s="98"/>
      <c r="AE642" s="98"/>
      <c r="AF642" s="98"/>
      <c r="AG642" s="98"/>
      <c r="AH642" s="98"/>
    </row>
    <row r="643" spans="2:34" x14ac:dyDescent="0.25">
      <c r="B643" s="73"/>
      <c r="C643" s="74"/>
      <c r="D643" s="80"/>
      <c r="E643" s="81"/>
      <c r="F643" s="81"/>
      <c r="G643" s="81"/>
      <c r="H643" s="81"/>
      <c r="I643" s="82"/>
      <c r="J643" s="88"/>
      <c r="K643" s="89"/>
      <c r="L643" s="88"/>
      <c r="M643" s="89"/>
      <c r="N643" s="80"/>
      <c r="O643" s="82"/>
      <c r="P643" s="94"/>
      <c r="Q643" s="95"/>
      <c r="S643" s="99"/>
      <c r="T643" s="99"/>
      <c r="U643" s="99"/>
      <c r="V643" s="99"/>
      <c r="W643" s="99"/>
      <c r="X643" s="99"/>
      <c r="Y643" s="99"/>
      <c r="Z643" s="99"/>
      <c r="AA643" s="99"/>
      <c r="AB643" s="99"/>
      <c r="AC643" s="98"/>
      <c r="AD643" s="98"/>
      <c r="AE643" s="98"/>
      <c r="AF643" s="98"/>
      <c r="AG643" s="98"/>
      <c r="AH643" s="98"/>
    </row>
    <row r="644" spans="2:34" x14ac:dyDescent="0.25">
      <c r="B644" s="75"/>
      <c r="C644" s="76"/>
      <c r="D644" s="83"/>
      <c r="E644" s="84"/>
      <c r="F644" s="84"/>
      <c r="G644" s="84"/>
      <c r="H644" s="84"/>
      <c r="I644" s="85"/>
      <c r="J644" s="90"/>
      <c r="K644" s="91"/>
      <c r="L644" s="90"/>
      <c r="M644" s="91"/>
      <c r="N644" s="83"/>
      <c r="O644" s="85"/>
      <c r="P644" s="96"/>
      <c r="Q644" s="97"/>
      <c r="S644" s="99"/>
      <c r="T644" s="99"/>
      <c r="U644" s="99"/>
      <c r="V644" s="99"/>
      <c r="W644" s="99"/>
      <c r="X644" s="99"/>
      <c r="Y644" s="99"/>
      <c r="Z644" s="99"/>
      <c r="AA644" s="99"/>
      <c r="AB644" s="99"/>
      <c r="AC644" s="98"/>
      <c r="AD644" s="98"/>
      <c r="AE644" s="98"/>
      <c r="AF644" s="98"/>
      <c r="AG644" s="98"/>
      <c r="AH644" s="98"/>
    </row>
    <row r="645" spans="2:34" x14ac:dyDescent="0.25">
      <c r="B645" s="71"/>
      <c r="C645" s="72"/>
      <c r="D645" s="77"/>
      <c r="E645" s="78"/>
      <c r="F645" s="78"/>
      <c r="G645" s="78"/>
      <c r="H645" s="78"/>
      <c r="I645" s="79"/>
      <c r="J645" s="86"/>
      <c r="K645" s="87"/>
      <c r="L645" s="86"/>
      <c r="M645" s="87"/>
      <c r="N645" s="77"/>
      <c r="O645" s="79"/>
      <c r="P645" s="92"/>
      <c r="Q645" s="93"/>
      <c r="S645" s="99"/>
      <c r="T645" s="99"/>
      <c r="U645" s="99"/>
      <c r="V645" s="99"/>
      <c r="W645" s="99"/>
      <c r="X645" s="99"/>
      <c r="Y645" s="99"/>
      <c r="Z645" s="99"/>
      <c r="AA645" s="99"/>
      <c r="AB645" s="99"/>
      <c r="AC645" s="98"/>
      <c r="AD645" s="98"/>
      <c r="AE645" s="98"/>
      <c r="AF645" s="98"/>
      <c r="AG645" s="98"/>
      <c r="AH645" s="98"/>
    </row>
    <row r="646" spans="2:34" x14ac:dyDescent="0.25">
      <c r="B646" s="73"/>
      <c r="C646" s="74"/>
      <c r="D646" s="80"/>
      <c r="E646" s="81"/>
      <c r="F646" s="81"/>
      <c r="G646" s="81"/>
      <c r="H646" s="81"/>
      <c r="I646" s="82"/>
      <c r="J646" s="88"/>
      <c r="K646" s="89"/>
      <c r="L646" s="88"/>
      <c r="M646" s="89"/>
      <c r="N646" s="80"/>
      <c r="O646" s="82"/>
      <c r="P646" s="94"/>
      <c r="Q646" s="95"/>
      <c r="S646" s="99"/>
      <c r="T646" s="99"/>
      <c r="U646" s="99"/>
      <c r="V646" s="99"/>
      <c r="W646" s="99"/>
      <c r="X646" s="99"/>
      <c r="Y646" s="99"/>
      <c r="Z646" s="99"/>
      <c r="AA646" s="99"/>
      <c r="AB646" s="99"/>
      <c r="AC646" s="98"/>
      <c r="AD646" s="98"/>
      <c r="AE646" s="98"/>
      <c r="AF646" s="98"/>
      <c r="AG646" s="98"/>
      <c r="AH646" s="98"/>
    </row>
    <row r="647" spans="2:34" x14ac:dyDescent="0.25">
      <c r="B647" s="75"/>
      <c r="C647" s="76"/>
      <c r="D647" s="83"/>
      <c r="E647" s="84"/>
      <c r="F647" s="84"/>
      <c r="G647" s="84"/>
      <c r="H647" s="84"/>
      <c r="I647" s="85"/>
      <c r="J647" s="90"/>
      <c r="K647" s="91"/>
      <c r="L647" s="90"/>
      <c r="M647" s="91"/>
      <c r="N647" s="83"/>
      <c r="O647" s="85"/>
      <c r="P647" s="96"/>
      <c r="Q647" s="97"/>
      <c r="S647" s="99"/>
      <c r="T647" s="99"/>
      <c r="U647" s="99"/>
      <c r="V647" s="99"/>
      <c r="W647" s="99"/>
      <c r="X647" s="99"/>
      <c r="Y647" s="99"/>
      <c r="Z647" s="99"/>
      <c r="AA647" s="99"/>
      <c r="AB647" s="99"/>
      <c r="AC647" s="98"/>
      <c r="AD647" s="98"/>
      <c r="AE647" s="98"/>
      <c r="AF647" s="98"/>
      <c r="AG647" s="98"/>
      <c r="AH647" s="98"/>
    </row>
    <row r="648" spans="2:34" x14ac:dyDescent="0.25">
      <c r="B648" s="71"/>
      <c r="C648" s="72"/>
      <c r="D648" s="77"/>
      <c r="E648" s="78"/>
      <c r="F648" s="78"/>
      <c r="G648" s="78"/>
      <c r="H648" s="78"/>
      <c r="I648" s="79"/>
      <c r="J648" s="86"/>
      <c r="K648" s="87"/>
      <c r="L648" s="86"/>
      <c r="M648" s="87"/>
      <c r="N648" s="77"/>
      <c r="O648" s="79"/>
      <c r="P648" s="92"/>
      <c r="Q648" s="93"/>
      <c r="S648" s="99"/>
      <c r="T648" s="99"/>
      <c r="U648" s="99"/>
      <c r="V648" s="99"/>
      <c r="W648" s="99"/>
      <c r="X648" s="99"/>
      <c r="Y648" s="99"/>
      <c r="Z648" s="99"/>
      <c r="AA648" s="99"/>
      <c r="AB648" s="99"/>
      <c r="AC648" s="98"/>
      <c r="AD648" s="98"/>
      <c r="AE648" s="98"/>
      <c r="AF648" s="98"/>
      <c r="AG648" s="98"/>
      <c r="AH648" s="98"/>
    </row>
    <row r="649" spans="2:34" x14ac:dyDescent="0.25">
      <c r="B649" s="73"/>
      <c r="C649" s="74"/>
      <c r="D649" s="80"/>
      <c r="E649" s="81"/>
      <c r="F649" s="81"/>
      <c r="G649" s="81"/>
      <c r="H649" s="81"/>
      <c r="I649" s="82"/>
      <c r="J649" s="88"/>
      <c r="K649" s="89"/>
      <c r="L649" s="88"/>
      <c r="M649" s="89"/>
      <c r="N649" s="80"/>
      <c r="O649" s="82"/>
      <c r="P649" s="94"/>
      <c r="Q649" s="95"/>
      <c r="S649" s="99"/>
      <c r="T649" s="99"/>
      <c r="U649" s="99"/>
      <c r="V649" s="99"/>
      <c r="W649" s="99"/>
      <c r="X649" s="99"/>
      <c r="Y649" s="99"/>
      <c r="Z649" s="99"/>
      <c r="AA649" s="99"/>
      <c r="AB649" s="99"/>
      <c r="AC649" s="98"/>
      <c r="AD649" s="98"/>
      <c r="AE649" s="98"/>
      <c r="AF649" s="98"/>
      <c r="AG649" s="98"/>
      <c r="AH649" s="98"/>
    </row>
    <row r="650" spans="2:34" x14ac:dyDescent="0.25">
      <c r="B650" s="75"/>
      <c r="C650" s="76"/>
      <c r="D650" s="83"/>
      <c r="E650" s="84"/>
      <c r="F650" s="84"/>
      <c r="G650" s="84"/>
      <c r="H650" s="84"/>
      <c r="I650" s="85"/>
      <c r="J650" s="90"/>
      <c r="K650" s="91"/>
      <c r="L650" s="90"/>
      <c r="M650" s="91"/>
      <c r="N650" s="83"/>
      <c r="O650" s="85"/>
      <c r="P650" s="96"/>
      <c r="Q650" s="97"/>
      <c r="S650" s="99"/>
      <c r="T650" s="99"/>
      <c r="U650" s="99"/>
      <c r="V650" s="99"/>
      <c r="W650" s="99"/>
      <c r="X650" s="99"/>
      <c r="Y650" s="99"/>
      <c r="Z650" s="99"/>
      <c r="AA650" s="99"/>
      <c r="AB650" s="99"/>
      <c r="AC650" s="98"/>
      <c r="AD650" s="98"/>
      <c r="AE650" s="98"/>
      <c r="AF650" s="98"/>
      <c r="AG650" s="98"/>
      <c r="AH650" s="98"/>
    </row>
    <row r="651" spans="2:34" x14ac:dyDescent="0.25">
      <c r="B651" s="71"/>
      <c r="C651" s="72"/>
      <c r="D651" s="77"/>
      <c r="E651" s="78"/>
      <c r="F651" s="78"/>
      <c r="G651" s="78"/>
      <c r="H651" s="78"/>
      <c r="I651" s="79"/>
      <c r="J651" s="86"/>
      <c r="K651" s="87"/>
      <c r="L651" s="86"/>
      <c r="M651" s="87"/>
      <c r="N651" s="77"/>
      <c r="O651" s="79"/>
      <c r="P651" s="92"/>
      <c r="Q651" s="93"/>
      <c r="S651" s="99"/>
      <c r="T651" s="99"/>
      <c r="U651" s="99"/>
      <c r="V651" s="99"/>
      <c r="W651" s="99"/>
      <c r="X651" s="99"/>
      <c r="Y651" s="99"/>
      <c r="Z651" s="99"/>
      <c r="AA651" s="99"/>
      <c r="AB651" s="99"/>
      <c r="AC651" s="98"/>
      <c r="AD651" s="98"/>
      <c r="AE651" s="98"/>
      <c r="AF651" s="98"/>
      <c r="AG651" s="98"/>
      <c r="AH651" s="98"/>
    </row>
    <row r="652" spans="2:34" x14ac:dyDescent="0.25">
      <c r="B652" s="73"/>
      <c r="C652" s="74"/>
      <c r="D652" s="80"/>
      <c r="E652" s="81"/>
      <c r="F652" s="81"/>
      <c r="G652" s="81"/>
      <c r="H652" s="81"/>
      <c r="I652" s="82"/>
      <c r="J652" s="88"/>
      <c r="K652" s="89"/>
      <c r="L652" s="88"/>
      <c r="M652" s="89"/>
      <c r="N652" s="80"/>
      <c r="O652" s="82"/>
      <c r="P652" s="94"/>
      <c r="Q652" s="95"/>
      <c r="S652" s="99"/>
      <c r="T652" s="99"/>
      <c r="U652" s="99"/>
      <c r="V652" s="99"/>
      <c r="W652" s="99"/>
      <c r="X652" s="99"/>
      <c r="Y652" s="99"/>
      <c r="Z652" s="99"/>
      <c r="AA652" s="99"/>
      <c r="AB652" s="99"/>
      <c r="AC652" s="98"/>
      <c r="AD652" s="98"/>
      <c r="AE652" s="98"/>
      <c r="AF652" s="98"/>
      <c r="AG652" s="98"/>
      <c r="AH652" s="98"/>
    </row>
    <row r="653" spans="2:34" x14ac:dyDescent="0.25">
      <c r="B653" s="75"/>
      <c r="C653" s="76"/>
      <c r="D653" s="83"/>
      <c r="E653" s="84"/>
      <c r="F653" s="84"/>
      <c r="G653" s="84"/>
      <c r="H653" s="84"/>
      <c r="I653" s="85"/>
      <c r="J653" s="90"/>
      <c r="K653" s="91"/>
      <c r="L653" s="90"/>
      <c r="M653" s="91"/>
      <c r="N653" s="83"/>
      <c r="O653" s="85"/>
      <c r="P653" s="96"/>
      <c r="Q653" s="97"/>
      <c r="S653" s="99"/>
      <c r="T653" s="99"/>
      <c r="U653" s="99"/>
      <c r="V653" s="99"/>
      <c r="W653" s="99"/>
      <c r="X653" s="99"/>
      <c r="Y653" s="99"/>
      <c r="Z653" s="99"/>
      <c r="AA653" s="99"/>
      <c r="AB653" s="99"/>
      <c r="AC653" s="98"/>
      <c r="AD653" s="98"/>
      <c r="AE653" s="98"/>
      <c r="AF653" s="98"/>
      <c r="AG653" s="98"/>
      <c r="AH653" s="98"/>
    </row>
    <row r="654" spans="2:34" x14ac:dyDescent="0.25">
      <c r="B654" s="71"/>
      <c r="C654" s="72"/>
      <c r="D654" s="77"/>
      <c r="E654" s="78"/>
      <c r="F654" s="78"/>
      <c r="G654" s="78"/>
      <c r="H654" s="78"/>
      <c r="I654" s="79"/>
      <c r="J654" s="86"/>
      <c r="K654" s="87"/>
      <c r="L654" s="86"/>
      <c r="M654" s="87"/>
      <c r="N654" s="77"/>
      <c r="O654" s="79"/>
      <c r="P654" s="92"/>
      <c r="Q654" s="93"/>
      <c r="S654" s="99"/>
      <c r="T654" s="99"/>
      <c r="U654" s="99"/>
      <c r="V654" s="99"/>
      <c r="W654" s="99"/>
      <c r="X654" s="99"/>
      <c r="Y654" s="99"/>
      <c r="Z654" s="99"/>
      <c r="AA654" s="99"/>
      <c r="AB654" s="99"/>
      <c r="AC654" s="98"/>
      <c r="AD654" s="98"/>
      <c r="AE654" s="98"/>
      <c r="AF654" s="98"/>
      <c r="AG654" s="98"/>
      <c r="AH654" s="98"/>
    </row>
    <row r="655" spans="2:34" x14ac:dyDescent="0.25">
      <c r="B655" s="73"/>
      <c r="C655" s="74"/>
      <c r="D655" s="80"/>
      <c r="E655" s="81"/>
      <c r="F655" s="81"/>
      <c r="G655" s="81"/>
      <c r="H655" s="81"/>
      <c r="I655" s="82"/>
      <c r="J655" s="88"/>
      <c r="K655" s="89"/>
      <c r="L655" s="88"/>
      <c r="M655" s="89"/>
      <c r="N655" s="80"/>
      <c r="O655" s="82"/>
      <c r="P655" s="94"/>
      <c r="Q655" s="95"/>
      <c r="S655" s="99"/>
      <c r="T655" s="99"/>
      <c r="U655" s="99"/>
      <c r="V655" s="99"/>
      <c r="W655" s="99"/>
      <c r="X655" s="99"/>
      <c r="Y655" s="99"/>
      <c r="Z655" s="99"/>
      <c r="AA655" s="99"/>
      <c r="AB655" s="99"/>
      <c r="AC655" s="98"/>
      <c r="AD655" s="98"/>
      <c r="AE655" s="98"/>
      <c r="AF655" s="98"/>
      <c r="AG655" s="98"/>
      <c r="AH655" s="98"/>
    </row>
    <row r="656" spans="2:34" x14ac:dyDescent="0.25">
      <c r="B656" s="75"/>
      <c r="C656" s="76"/>
      <c r="D656" s="83"/>
      <c r="E656" s="84"/>
      <c r="F656" s="84"/>
      <c r="G656" s="84"/>
      <c r="H656" s="84"/>
      <c r="I656" s="85"/>
      <c r="J656" s="90"/>
      <c r="K656" s="91"/>
      <c r="L656" s="90"/>
      <c r="M656" s="91"/>
      <c r="N656" s="83"/>
      <c r="O656" s="85"/>
      <c r="P656" s="96"/>
      <c r="Q656" s="97"/>
      <c r="S656" s="99"/>
      <c r="T656" s="99"/>
      <c r="U656" s="99"/>
      <c r="V656" s="99"/>
      <c r="W656" s="99"/>
      <c r="X656" s="99"/>
      <c r="Y656" s="99"/>
      <c r="Z656" s="99"/>
      <c r="AA656" s="99"/>
      <c r="AB656" s="99"/>
      <c r="AC656" s="98"/>
      <c r="AD656" s="98"/>
      <c r="AE656" s="98"/>
      <c r="AF656" s="98"/>
      <c r="AG656" s="98"/>
      <c r="AH656" s="98"/>
    </row>
    <row r="657" spans="2:34" x14ac:dyDescent="0.25">
      <c r="B657" s="71"/>
      <c r="C657" s="72"/>
      <c r="D657" s="77"/>
      <c r="E657" s="78"/>
      <c r="F657" s="78"/>
      <c r="G657" s="78"/>
      <c r="H657" s="78"/>
      <c r="I657" s="79"/>
      <c r="J657" s="86"/>
      <c r="K657" s="87"/>
      <c r="L657" s="86"/>
      <c r="M657" s="87"/>
      <c r="N657" s="77"/>
      <c r="O657" s="79"/>
      <c r="P657" s="92"/>
      <c r="Q657" s="93"/>
      <c r="S657" s="99"/>
      <c r="T657" s="99"/>
      <c r="U657" s="99"/>
      <c r="V657" s="99"/>
      <c r="W657" s="99"/>
      <c r="X657" s="99"/>
      <c r="Y657" s="99"/>
      <c r="Z657" s="99"/>
      <c r="AA657" s="99"/>
      <c r="AB657" s="99"/>
      <c r="AC657" s="98"/>
      <c r="AD657" s="98"/>
      <c r="AE657" s="98"/>
      <c r="AF657" s="98"/>
      <c r="AG657" s="98"/>
      <c r="AH657" s="98"/>
    </row>
    <row r="658" spans="2:34" x14ac:dyDescent="0.25">
      <c r="B658" s="73"/>
      <c r="C658" s="74"/>
      <c r="D658" s="80"/>
      <c r="E658" s="81"/>
      <c r="F658" s="81"/>
      <c r="G658" s="81"/>
      <c r="H658" s="81"/>
      <c r="I658" s="82"/>
      <c r="J658" s="88"/>
      <c r="K658" s="89"/>
      <c r="L658" s="88"/>
      <c r="M658" s="89"/>
      <c r="N658" s="80"/>
      <c r="O658" s="82"/>
      <c r="P658" s="94"/>
      <c r="Q658" s="95"/>
      <c r="S658" s="99"/>
      <c r="T658" s="99"/>
      <c r="U658" s="99"/>
      <c r="V658" s="99"/>
      <c r="W658" s="99"/>
      <c r="X658" s="99"/>
      <c r="Y658" s="99"/>
      <c r="Z658" s="99"/>
      <c r="AA658" s="99"/>
      <c r="AB658" s="99"/>
      <c r="AC658" s="98"/>
      <c r="AD658" s="98"/>
      <c r="AE658" s="98"/>
      <c r="AF658" s="98"/>
      <c r="AG658" s="98"/>
      <c r="AH658" s="98"/>
    </row>
    <row r="659" spans="2:34" x14ac:dyDescent="0.25">
      <c r="B659" s="75"/>
      <c r="C659" s="76"/>
      <c r="D659" s="83"/>
      <c r="E659" s="84"/>
      <c r="F659" s="84"/>
      <c r="G659" s="84"/>
      <c r="H659" s="84"/>
      <c r="I659" s="85"/>
      <c r="J659" s="90"/>
      <c r="K659" s="91"/>
      <c r="L659" s="90"/>
      <c r="M659" s="91"/>
      <c r="N659" s="83"/>
      <c r="O659" s="85"/>
      <c r="P659" s="96"/>
      <c r="Q659" s="97"/>
      <c r="S659" s="99"/>
      <c r="T659" s="99"/>
      <c r="U659" s="99"/>
      <c r="V659" s="99"/>
      <c r="W659" s="99"/>
      <c r="X659" s="99"/>
      <c r="Y659" s="99"/>
      <c r="Z659" s="99"/>
      <c r="AA659" s="99"/>
      <c r="AB659" s="99"/>
      <c r="AC659" s="98"/>
      <c r="AD659" s="98"/>
      <c r="AE659" s="98"/>
      <c r="AF659" s="98"/>
      <c r="AG659" s="98"/>
      <c r="AH659" s="98"/>
    </row>
    <row r="660" spans="2:34" x14ac:dyDescent="0.25">
      <c r="B660" s="71"/>
      <c r="C660" s="72"/>
      <c r="D660" s="77"/>
      <c r="E660" s="78"/>
      <c r="F660" s="78"/>
      <c r="G660" s="78"/>
      <c r="H660" s="78"/>
      <c r="I660" s="79"/>
      <c r="J660" s="86"/>
      <c r="K660" s="87"/>
      <c r="L660" s="86"/>
      <c r="M660" s="87"/>
      <c r="N660" s="77"/>
      <c r="O660" s="79"/>
      <c r="P660" s="92"/>
      <c r="Q660" s="93"/>
      <c r="S660" s="99"/>
      <c r="T660" s="99"/>
      <c r="U660" s="99"/>
      <c r="V660" s="99"/>
      <c r="W660" s="99"/>
      <c r="X660" s="99"/>
      <c r="Y660" s="99"/>
      <c r="Z660" s="99"/>
      <c r="AA660" s="99"/>
      <c r="AB660" s="99"/>
      <c r="AC660" s="98"/>
      <c r="AD660" s="98"/>
      <c r="AE660" s="98"/>
      <c r="AF660" s="98"/>
      <c r="AG660" s="98"/>
      <c r="AH660" s="98"/>
    </row>
    <row r="661" spans="2:34" x14ac:dyDescent="0.25">
      <c r="B661" s="73"/>
      <c r="C661" s="74"/>
      <c r="D661" s="80"/>
      <c r="E661" s="81"/>
      <c r="F661" s="81"/>
      <c r="G661" s="81"/>
      <c r="H661" s="81"/>
      <c r="I661" s="82"/>
      <c r="J661" s="88"/>
      <c r="K661" s="89"/>
      <c r="L661" s="88"/>
      <c r="M661" s="89"/>
      <c r="N661" s="80"/>
      <c r="O661" s="82"/>
      <c r="P661" s="94"/>
      <c r="Q661" s="95"/>
      <c r="S661" s="99"/>
      <c r="T661" s="99"/>
      <c r="U661" s="99"/>
      <c r="V661" s="99"/>
      <c r="W661" s="99"/>
      <c r="X661" s="99"/>
      <c r="Y661" s="99"/>
      <c r="Z661" s="99"/>
      <c r="AA661" s="99"/>
      <c r="AB661" s="99"/>
      <c r="AC661" s="98"/>
      <c r="AD661" s="98"/>
      <c r="AE661" s="98"/>
      <c r="AF661" s="98"/>
      <c r="AG661" s="98"/>
      <c r="AH661" s="98"/>
    </row>
    <row r="662" spans="2:34" x14ac:dyDescent="0.25">
      <c r="B662" s="75"/>
      <c r="C662" s="76"/>
      <c r="D662" s="83"/>
      <c r="E662" s="84"/>
      <c r="F662" s="84"/>
      <c r="G662" s="84"/>
      <c r="H662" s="84"/>
      <c r="I662" s="85"/>
      <c r="J662" s="90"/>
      <c r="K662" s="91"/>
      <c r="L662" s="90"/>
      <c r="M662" s="91"/>
      <c r="N662" s="83"/>
      <c r="O662" s="85"/>
      <c r="P662" s="96"/>
      <c r="Q662" s="97"/>
      <c r="S662" s="99"/>
      <c r="T662" s="99"/>
      <c r="U662" s="99"/>
      <c r="V662" s="99"/>
      <c r="W662" s="99"/>
      <c r="X662" s="99"/>
      <c r="Y662" s="99"/>
      <c r="Z662" s="99"/>
      <c r="AA662" s="99"/>
      <c r="AB662" s="99"/>
      <c r="AC662" s="98"/>
      <c r="AD662" s="98"/>
      <c r="AE662" s="98"/>
      <c r="AF662" s="98"/>
      <c r="AG662" s="98"/>
      <c r="AH662" s="98"/>
    </row>
    <row r="663" spans="2:34" x14ac:dyDescent="0.25">
      <c r="B663" s="71"/>
      <c r="C663" s="72"/>
      <c r="D663" s="77"/>
      <c r="E663" s="78"/>
      <c r="F663" s="78"/>
      <c r="G663" s="78"/>
      <c r="H663" s="78"/>
      <c r="I663" s="79"/>
      <c r="J663" s="86"/>
      <c r="K663" s="87"/>
      <c r="L663" s="86"/>
      <c r="M663" s="87"/>
      <c r="N663" s="77"/>
      <c r="O663" s="79"/>
      <c r="P663" s="92"/>
      <c r="Q663" s="93"/>
      <c r="S663" s="99"/>
      <c r="T663" s="99"/>
      <c r="U663" s="99"/>
      <c r="V663" s="99"/>
      <c r="W663" s="99"/>
      <c r="X663" s="99"/>
      <c r="Y663" s="99"/>
      <c r="Z663" s="99"/>
      <c r="AA663" s="99"/>
      <c r="AB663" s="99"/>
      <c r="AC663" s="98"/>
      <c r="AD663" s="98"/>
      <c r="AE663" s="98"/>
      <c r="AF663" s="98"/>
      <c r="AG663" s="98"/>
      <c r="AH663" s="98"/>
    </row>
    <row r="664" spans="2:34" x14ac:dyDescent="0.25">
      <c r="B664" s="73"/>
      <c r="C664" s="74"/>
      <c r="D664" s="80"/>
      <c r="E664" s="81"/>
      <c r="F664" s="81"/>
      <c r="G664" s="81"/>
      <c r="H664" s="81"/>
      <c r="I664" s="82"/>
      <c r="J664" s="88"/>
      <c r="K664" s="89"/>
      <c r="L664" s="88"/>
      <c r="M664" s="89"/>
      <c r="N664" s="80"/>
      <c r="O664" s="82"/>
      <c r="P664" s="94"/>
      <c r="Q664" s="95"/>
      <c r="S664" s="99"/>
      <c r="T664" s="99"/>
      <c r="U664" s="99"/>
      <c r="V664" s="99"/>
      <c r="W664" s="99"/>
      <c r="X664" s="99"/>
      <c r="Y664" s="99"/>
      <c r="Z664" s="99"/>
      <c r="AA664" s="99"/>
      <c r="AB664" s="99"/>
      <c r="AC664" s="98"/>
      <c r="AD664" s="98"/>
      <c r="AE664" s="98"/>
      <c r="AF664" s="98"/>
      <c r="AG664" s="98"/>
      <c r="AH664" s="98"/>
    </row>
    <row r="665" spans="2:34" x14ac:dyDescent="0.25">
      <c r="B665" s="75"/>
      <c r="C665" s="76"/>
      <c r="D665" s="83"/>
      <c r="E665" s="84"/>
      <c r="F665" s="84"/>
      <c r="G665" s="84"/>
      <c r="H665" s="84"/>
      <c r="I665" s="85"/>
      <c r="J665" s="90"/>
      <c r="K665" s="91"/>
      <c r="L665" s="90"/>
      <c r="M665" s="91"/>
      <c r="N665" s="83"/>
      <c r="O665" s="85"/>
      <c r="P665" s="96"/>
      <c r="Q665" s="97"/>
      <c r="S665" s="99"/>
      <c r="T665" s="99"/>
      <c r="U665" s="99"/>
      <c r="V665" s="99"/>
      <c r="W665" s="99"/>
      <c r="X665" s="99"/>
      <c r="Y665" s="99"/>
      <c r="Z665" s="99"/>
      <c r="AA665" s="99"/>
      <c r="AB665" s="99"/>
      <c r="AC665" s="98"/>
      <c r="AD665" s="98"/>
      <c r="AE665" s="98"/>
      <c r="AF665" s="98"/>
      <c r="AG665" s="98"/>
      <c r="AH665" s="98"/>
    </row>
    <row r="666" spans="2:34" x14ac:dyDescent="0.25">
      <c r="B666" s="71"/>
      <c r="C666" s="72"/>
      <c r="D666" s="77"/>
      <c r="E666" s="78"/>
      <c r="F666" s="78"/>
      <c r="G666" s="78"/>
      <c r="H666" s="78"/>
      <c r="I666" s="79"/>
      <c r="J666" s="86"/>
      <c r="K666" s="87"/>
      <c r="L666" s="86"/>
      <c r="M666" s="87"/>
      <c r="N666" s="77"/>
      <c r="O666" s="79"/>
      <c r="P666" s="92"/>
      <c r="Q666" s="93"/>
      <c r="S666" s="99"/>
      <c r="T666" s="99"/>
      <c r="U666" s="99"/>
      <c r="V666" s="99"/>
      <c r="W666" s="99"/>
      <c r="X666" s="99"/>
      <c r="Y666" s="99"/>
      <c r="Z666" s="99"/>
      <c r="AA666" s="99"/>
      <c r="AB666" s="99"/>
      <c r="AC666" s="98"/>
      <c r="AD666" s="98"/>
      <c r="AE666" s="98"/>
      <c r="AF666" s="98"/>
      <c r="AG666" s="98"/>
      <c r="AH666" s="98"/>
    </row>
    <row r="667" spans="2:34" x14ac:dyDescent="0.25">
      <c r="B667" s="73"/>
      <c r="C667" s="74"/>
      <c r="D667" s="80"/>
      <c r="E667" s="81"/>
      <c r="F667" s="81"/>
      <c r="G667" s="81"/>
      <c r="H667" s="81"/>
      <c r="I667" s="82"/>
      <c r="J667" s="88"/>
      <c r="K667" s="89"/>
      <c r="L667" s="88"/>
      <c r="M667" s="89"/>
      <c r="N667" s="80"/>
      <c r="O667" s="82"/>
      <c r="P667" s="94"/>
      <c r="Q667" s="95"/>
      <c r="S667" s="99"/>
      <c r="T667" s="99"/>
      <c r="U667" s="99"/>
      <c r="V667" s="99"/>
      <c r="W667" s="99"/>
      <c r="X667" s="99"/>
      <c r="Y667" s="99"/>
      <c r="Z667" s="99"/>
      <c r="AA667" s="99"/>
      <c r="AB667" s="99"/>
      <c r="AC667" s="98"/>
      <c r="AD667" s="98"/>
      <c r="AE667" s="98"/>
      <c r="AF667" s="98"/>
      <c r="AG667" s="98"/>
      <c r="AH667" s="98"/>
    </row>
    <row r="668" spans="2:34" x14ac:dyDescent="0.25">
      <c r="B668" s="75"/>
      <c r="C668" s="76"/>
      <c r="D668" s="83"/>
      <c r="E668" s="84"/>
      <c r="F668" s="84"/>
      <c r="G668" s="84"/>
      <c r="H668" s="84"/>
      <c r="I668" s="85"/>
      <c r="J668" s="90"/>
      <c r="K668" s="91"/>
      <c r="L668" s="90"/>
      <c r="M668" s="91"/>
      <c r="N668" s="83"/>
      <c r="O668" s="85"/>
      <c r="P668" s="96"/>
      <c r="Q668" s="97"/>
      <c r="S668" s="99"/>
      <c r="T668" s="99"/>
      <c r="U668" s="99"/>
      <c r="V668" s="99"/>
      <c r="W668" s="99"/>
      <c r="X668" s="99"/>
      <c r="Y668" s="99"/>
      <c r="Z668" s="99"/>
      <c r="AA668" s="99"/>
      <c r="AB668" s="99"/>
      <c r="AC668" s="98"/>
      <c r="AD668" s="98"/>
      <c r="AE668" s="98"/>
      <c r="AF668" s="98"/>
      <c r="AG668" s="98"/>
      <c r="AH668" s="98"/>
    </row>
    <row r="669" spans="2:34" x14ac:dyDescent="0.25">
      <c r="B669" s="71"/>
      <c r="C669" s="72"/>
      <c r="D669" s="77"/>
      <c r="E669" s="78"/>
      <c r="F669" s="78"/>
      <c r="G669" s="78"/>
      <c r="H669" s="78"/>
      <c r="I669" s="79"/>
      <c r="J669" s="86"/>
      <c r="K669" s="87"/>
      <c r="L669" s="86"/>
      <c r="M669" s="87"/>
      <c r="N669" s="77"/>
      <c r="O669" s="79"/>
      <c r="P669" s="92"/>
      <c r="Q669" s="93"/>
      <c r="S669" s="99"/>
      <c r="T669" s="99"/>
      <c r="U669" s="99"/>
      <c r="V669" s="99"/>
      <c r="W669" s="99"/>
      <c r="X669" s="99"/>
      <c r="Y669" s="99"/>
      <c r="Z669" s="99"/>
      <c r="AA669" s="99"/>
      <c r="AB669" s="99"/>
      <c r="AC669" s="98"/>
      <c r="AD669" s="98"/>
      <c r="AE669" s="98"/>
      <c r="AF669" s="98"/>
      <c r="AG669" s="98"/>
      <c r="AH669" s="98"/>
    </row>
    <row r="670" spans="2:34" x14ac:dyDescent="0.25">
      <c r="B670" s="73"/>
      <c r="C670" s="74"/>
      <c r="D670" s="80"/>
      <c r="E670" s="81"/>
      <c r="F670" s="81"/>
      <c r="G670" s="81"/>
      <c r="H670" s="81"/>
      <c r="I670" s="82"/>
      <c r="J670" s="88"/>
      <c r="K670" s="89"/>
      <c r="L670" s="88"/>
      <c r="M670" s="89"/>
      <c r="N670" s="80"/>
      <c r="O670" s="82"/>
      <c r="P670" s="94"/>
      <c r="Q670" s="95"/>
      <c r="S670" s="99"/>
      <c r="T670" s="99"/>
      <c r="U670" s="99"/>
      <c r="V670" s="99"/>
      <c r="W670" s="99"/>
      <c r="X670" s="99"/>
      <c r="Y670" s="99"/>
      <c r="Z670" s="99"/>
      <c r="AA670" s="99"/>
      <c r="AB670" s="99"/>
      <c r="AC670" s="98"/>
      <c r="AD670" s="98"/>
      <c r="AE670" s="98"/>
      <c r="AF670" s="98"/>
      <c r="AG670" s="98"/>
      <c r="AH670" s="98"/>
    </row>
    <row r="671" spans="2:34" x14ac:dyDescent="0.25">
      <c r="B671" s="75"/>
      <c r="C671" s="76"/>
      <c r="D671" s="83"/>
      <c r="E671" s="84"/>
      <c r="F671" s="84"/>
      <c r="G671" s="84"/>
      <c r="H671" s="84"/>
      <c r="I671" s="85"/>
      <c r="J671" s="90"/>
      <c r="K671" s="91"/>
      <c r="L671" s="90"/>
      <c r="M671" s="91"/>
      <c r="N671" s="83"/>
      <c r="O671" s="85"/>
      <c r="P671" s="96"/>
      <c r="Q671" s="97"/>
      <c r="S671" s="99"/>
      <c r="T671" s="99"/>
      <c r="U671" s="99"/>
      <c r="V671" s="99"/>
      <c r="W671" s="99"/>
      <c r="X671" s="99"/>
      <c r="Y671" s="99"/>
      <c r="Z671" s="99"/>
      <c r="AA671" s="99"/>
      <c r="AB671" s="99"/>
      <c r="AC671" s="98"/>
      <c r="AD671" s="98"/>
      <c r="AE671" s="98"/>
      <c r="AF671" s="98"/>
      <c r="AG671" s="98"/>
      <c r="AH671" s="98"/>
    </row>
    <row r="672" spans="2:34" x14ac:dyDescent="0.25">
      <c r="B672" s="71"/>
      <c r="C672" s="72"/>
      <c r="D672" s="77"/>
      <c r="E672" s="78"/>
      <c r="F672" s="78"/>
      <c r="G672" s="78"/>
      <c r="H672" s="78"/>
      <c r="I672" s="79"/>
      <c r="J672" s="86"/>
      <c r="K672" s="87"/>
      <c r="L672" s="86"/>
      <c r="M672" s="87"/>
      <c r="N672" s="77"/>
      <c r="O672" s="79"/>
      <c r="P672" s="92"/>
      <c r="Q672" s="93"/>
      <c r="S672" s="99"/>
      <c r="T672" s="99"/>
      <c r="U672" s="99"/>
      <c r="V672" s="99"/>
      <c r="W672" s="99"/>
      <c r="X672" s="99"/>
      <c r="Y672" s="99"/>
      <c r="Z672" s="99"/>
      <c r="AA672" s="99"/>
      <c r="AB672" s="99"/>
      <c r="AC672" s="98"/>
      <c r="AD672" s="98"/>
      <c r="AE672" s="98"/>
      <c r="AF672" s="98"/>
      <c r="AG672" s="98"/>
      <c r="AH672" s="98"/>
    </row>
    <row r="673" spans="2:34" x14ac:dyDescent="0.25">
      <c r="B673" s="73"/>
      <c r="C673" s="74"/>
      <c r="D673" s="80"/>
      <c r="E673" s="81"/>
      <c r="F673" s="81"/>
      <c r="G673" s="81"/>
      <c r="H673" s="81"/>
      <c r="I673" s="82"/>
      <c r="J673" s="88"/>
      <c r="K673" s="89"/>
      <c r="L673" s="88"/>
      <c r="M673" s="89"/>
      <c r="N673" s="80"/>
      <c r="O673" s="82"/>
      <c r="P673" s="94"/>
      <c r="Q673" s="95"/>
      <c r="S673" s="99"/>
      <c r="T673" s="99"/>
      <c r="U673" s="99"/>
      <c r="V673" s="99"/>
      <c r="W673" s="99"/>
      <c r="X673" s="99"/>
      <c r="Y673" s="99"/>
      <c r="Z673" s="99"/>
      <c r="AA673" s="99"/>
      <c r="AB673" s="99"/>
      <c r="AC673" s="98"/>
      <c r="AD673" s="98"/>
      <c r="AE673" s="98"/>
      <c r="AF673" s="98"/>
      <c r="AG673" s="98"/>
      <c r="AH673" s="98"/>
    </row>
    <row r="674" spans="2:34" x14ac:dyDescent="0.25">
      <c r="B674" s="75"/>
      <c r="C674" s="76"/>
      <c r="D674" s="83"/>
      <c r="E674" s="84"/>
      <c r="F674" s="84"/>
      <c r="G674" s="84"/>
      <c r="H674" s="84"/>
      <c r="I674" s="85"/>
      <c r="J674" s="90"/>
      <c r="K674" s="91"/>
      <c r="L674" s="90"/>
      <c r="M674" s="91"/>
      <c r="N674" s="83"/>
      <c r="O674" s="85"/>
      <c r="P674" s="96"/>
      <c r="Q674" s="97"/>
      <c r="S674" s="99"/>
      <c r="T674" s="99"/>
      <c r="U674" s="99"/>
      <c r="V674" s="99"/>
      <c r="W674" s="99"/>
      <c r="X674" s="99"/>
      <c r="Y674" s="99"/>
      <c r="Z674" s="99"/>
      <c r="AA674" s="99"/>
      <c r="AB674" s="99"/>
      <c r="AC674" s="98"/>
      <c r="AD674" s="98"/>
      <c r="AE674" s="98"/>
      <c r="AF674" s="98"/>
      <c r="AG674" s="98"/>
      <c r="AH674" s="98"/>
    </row>
    <row r="675" spans="2:34" x14ac:dyDescent="0.25">
      <c r="B675" s="71"/>
      <c r="C675" s="72"/>
      <c r="D675" s="77"/>
      <c r="E675" s="78"/>
      <c r="F675" s="78"/>
      <c r="G675" s="78"/>
      <c r="H675" s="78"/>
      <c r="I675" s="79"/>
      <c r="J675" s="86"/>
      <c r="K675" s="87"/>
      <c r="L675" s="86"/>
      <c r="M675" s="87"/>
      <c r="N675" s="77"/>
      <c r="O675" s="79"/>
      <c r="P675" s="92"/>
      <c r="Q675" s="93"/>
      <c r="S675" s="99"/>
      <c r="T675" s="99"/>
      <c r="U675" s="99"/>
      <c r="V675" s="99"/>
      <c r="W675" s="99"/>
      <c r="X675" s="99"/>
      <c r="Y675" s="99"/>
      <c r="Z675" s="99"/>
      <c r="AA675" s="99"/>
      <c r="AB675" s="99"/>
      <c r="AC675" s="98"/>
      <c r="AD675" s="98"/>
      <c r="AE675" s="98"/>
      <c r="AF675" s="98"/>
      <c r="AG675" s="98"/>
      <c r="AH675" s="98"/>
    </row>
    <row r="676" spans="2:34" x14ac:dyDescent="0.25">
      <c r="B676" s="73"/>
      <c r="C676" s="74"/>
      <c r="D676" s="80"/>
      <c r="E676" s="81"/>
      <c r="F676" s="81"/>
      <c r="G676" s="81"/>
      <c r="H676" s="81"/>
      <c r="I676" s="82"/>
      <c r="J676" s="88"/>
      <c r="K676" s="89"/>
      <c r="L676" s="88"/>
      <c r="M676" s="89"/>
      <c r="N676" s="80"/>
      <c r="O676" s="82"/>
      <c r="P676" s="94"/>
      <c r="Q676" s="95"/>
      <c r="S676" s="99"/>
      <c r="T676" s="99"/>
      <c r="U676" s="99"/>
      <c r="V676" s="99"/>
      <c r="W676" s="99"/>
      <c r="X676" s="99"/>
      <c r="Y676" s="99"/>
      <c r="Z676" s="99"/>
      <c r="AA676" s="99"/>
      <c r="AB676" s="99"/>
      <c r="AC676" s="98"/>
      <c r="AD676" s="98"/>
      <c r="AE676" s="98"/>
      <c r="AF676" s="98"/>
      <c r="AG676" s="98"/>
      <c r="AH676" s="98"/>
    </row>
    <row r="677" spans="2:34" x14ac:dyDescent="0.25">
      <c r="B677" s="75"/>
      <c r="C677" s="76"/>
      <c r="D677" s="83"/>
      <c r="E677" s="84"/>
      <c r="F677" s="84"/>
      <c r="G677" s="84"/>
      <c r="H677" s="84"/>
      <c r="I677" s="85"/>
      <c r="J677" s="90"/>
      <c r="K677" s="91"/>
      <c r="L677" s="90"/>
      <c r="M677" s="91"/>
      <c r="N677" s="83"/>
      <c r="O677" s="85"/>
      <c r="P677" s="96"/>
      <c r="Q677" s="97"/>
      <c r="S677" s="99"/>
      <c r="T677" s="99"/>
      <c r="U677" s="99"/>
      <c r="V677" s="99"/>
      <c r="W677" s="99"/>
      <c r="X677" s="99"/>
      <c r="Y677" s="99"/>
      <c r="Z677" s="99"/>
      <c r="AA677" s="99"/>
      <c r="AB677" s="99"/>
      <c r="AC677" s="98"/>
      <c r="AD677" s="98"/>
      <c r="AE677" s="98"/>
      <c r="AF677" s="98"/>
      <c r="AG677" s="98"/>
      <c r="AH677" s="98"/>
    </row>
    <row r="678" spans="2:34" x14ac:dyDescent="0.25">
      <c r="B678" s="71"/>
      <c r="C678" s="72"/>
      <c r="D678" s="77"/>
      <c r="E678" s="78"/>
      <c r="F678" s="78"/>
      <c r="G678" s="78"/>
      <c r="H678" s="78"/>
      <c r="I678" s="79"/>
      <c r="J678" s="86"/>
      <c r="K678" s="87"/>
      <c r="L678" s="86"/>
      <c r="M678" s="87"/>
      <c r="N678" s="77"/>
      <c r="O678" s="79"/>
      <c r="P678" s="92"/>
      <c r="Q678" s="93"/>
      <c r="S678" s="99"/>
      <c r="T678" s="99"/>
      <c r="U678" s="99"/>
      <c r="V678" s="99"/>
      <c r="W678" s="99"/>
      <c r="X678" s="99"/>
      <c r="Y678" s="99"/>
      <c r="Z678" s="99"/>
      <c r="AA678" s="99"/>
      <c r="AB678" s="99"/>
      <c r="AC678" s="98"/>
      <c r="AD678" s="98"/>
      <c r="AE678" s="98"/>
      <c r="AF678" s="98"/>
      <c r="AG678" s="98"/>
      <c r="AH678" s="98"/>
    </row>
    <row r="679" spans="2:34" x14ac:dyDescent="0.25">
      <c r="B679" s="73"/>
      <c r="C679" s="74"/>
      <c r="D679" s="80"/>
      <c r="E679" s="81"/>
      <c r="F679" s="81"/>
      <c r="G679" s="81"/>
      <c r="H679" s="81"/>
      <c r="I679" s="82"/>
      <c r="J679" s="88"/>
      <c r="K679" s="89"/>
      <c r="L679" s="88"/>
      <c r="M679" s="89"/>
      <c r="N679" s="80"/>
      <c r="O679" s="82"/>
      <c r="P679" s="94"/>
      <c r="Q679" s="95"/>
      <c r="S679" s="99"/>
      <c r="T679" s="99"/>
      <c r="U679" s="99"/>
      <c r="V679" s="99"/>
      <c r="W679" s="99"/>
      <c r="X679" s="99"/>
      <c r="Y679" s="99"/>
      <c r="Z679" s="99"/>
      <c r="AA679" s="99"/>
      <c r="AB679" s="99"/>
      <c r="AC679" s="98"/>
      <c r="AD679" s="98"/>
      <c r="AE679" s="98"/>
      <c r="AF679" s="98"/>
      <c r="AG679" s="98"/>
      <c r="AH679" s="98"/>
    </row>
    <row r="680" spans="2:34" x14ac:dyDescent="0.25">
      <c r="B680" s="75"/>
      <c r="C680" s="76"/>
      <c r="D680" s="83"/>
      <c r="E680" s="84"/>
      <c r="F680" s="84"/>
      <c r="G680" s="84"/>
      <c r="H680" s="84"/>
      <c r="I680" s="85"/>
      <c r="J680" s="90"/>
      <c r="K680" s="91"/>
      <c r="L680" s="90"/>
      <c r="M680" s="91"/>
      <c r="N680" s="83"/>
      <c r="O680" s="85"/>
      <c r="P680" s="96"/>
      <c r="Q680" s="97"/>
      <c r="S680" s="99"/>
      <c r="T680" s="99"/>
      <c r="U680" s="99"/>
      <c r="V680" s="99"/>
      <c r="W680" s="99"/>
      <c r="X680" s="99"/>
      <c r="Y680" s="99"/>
      <c r="Z680" s="99"/>
      <c r="AA680" s="99"/>
      <c r="AB680" s="99"/>
      <c r="AC680" s="98"/>
      <c r="AD680" s="98"/>
      <c r="AE680" s="98"/>
      <c r="AF680" s="98"/>
      <c r="AG680" s="98"/>
      <c r="AH680" s="98"/>
    </row>
    <row r="681" spans="2:34" x14ac:dyDescent="0.25">
      <c r="B681" s="71"/>
      <c r="C681" s="72"/>
      <c r="D681" s="77"/>
      <c r="E681" s="78"/>
      <c r="F681" s="78"/>
      <c r="G681" s="78"/>
      <c r="H681" s="78"/>
      <c r="I681" s="79"/>
      <c r="J681" s="86"/>
      <c r="K681" s="87"/>
      <c r="L681" s="86"/>
      <c r="M681" s="87"/>
      <c r="N681" s="77"/>
      <c r="O681" s="79"/>
      <c r="P681" s="92"/>
      <c r="Q681" s="93"/>
      <c r="S681" s="99"/>
      <c r="T681" s="99"/>
      <c r="U681" s="99"/>
      <c r="V681" s="99"/>
      <c r="W681" s="99"/>
      <c r="X681" s="99"/>
      <c r="Y681" s="99"/>
      <c r="Z681" s="99"/>
      <c r="AA681" s="99"/>
      <c r="AB681" s="99"/>
      <c r="AC681" s="98"/>
      <c r="AD681" s="98"/>
      <c r="AE681" s="98"/>
      <c r="AF681" s="98"/>
      <c r="AG681" s="98"/>
      <c r="AH681" s="98"/>
    </row>
    <row r="682" spans="2:34" x14ac:dyDescent="0.25">
      <c r="B682" s="73"/>
      <c r="C682" s="74"/>
      <c r="D682" s="80"/>
      <c r="E682" s="81"/>
      <c r="F682" s="81"/>
      <c r="G682" s="81"/>
      <c r="H682" s="81"/>
      <c r="I682" s="82"/>
      <c r="J682" s="88"/>
      <c r="K682" s="89"/>
      <c r="L682" s="88"/>
      <c r="M682" s="89"/>
      <c r="N682" s="80"/>
      <c r="O682" s="82"/>
      <c r="P682" s="94"/>
      <c r="Q682" s="95"/>
      <c r="S682" s="99"/>
      <c r="T682" s="99"/>
      <c r="U682" s="99"/>
      <c r="V682" s="99"/>
      <c r="W682" s="99"/>
      <c r="X682" s="99"/>
      <c r="Y682" s="99"/>
      <c r="Z682" s="99"/>
      <c r="AA682" s="99"/>
      <c r="AB682" s="99"/>
      <c r="AC682" s="98"/>
      <c r="AD682" s="98"/>
      <c r="AE682" s="98"/>
      <c r="AF682" s="98"/>
      <c r="AG682" s="98"/>
      <c r="AH682" s="98"/>
    </row>
    <row r="683" spans="2:34" x14ac:dyDescent="0.25">
      <c r="B683" s="75"/>
      <c r="C683" s="76"/>
      <c r="D683" s="83"/>
      <c r="E683" s="84"/>
      <c r="F683" s="84"/>
      <c r="G683" s="84"/>
      <c r="H683" s="84"/>
      <c r="I683" s="85"/>
      <c r="J683" s="90"/>
      <c r="K683" s="91"/>
      <c r="L683" s="90"/>
      <c r="M683" s="91"/>
      <c r="N683" s="83"/>
      <c r="O683" s="85"/>
      <c r="P683" s="96"/>
      <c r="Q683" s="97"/>
      <c r="S683" s="99"/>
      <c r="T683" s="99"/>
      <c r="U683" s="99"/>
      <c r="V683" s="99"/>
      <c r="W683" s="99"/>
      <c r="X683" s="99"/>
      <c r="Y683" s="99"/>
      <c r="Z683" s="99"/>
      <c r="AA683" s="99"/>
      <c r="AB683" s="99"/>
      <c r="AC683" s="98"/>
      <c r="AD683" s="98"/>
      <c r="AE683" s="98"/>
      <c r="AF683" s="98"/>
      <c r="AG683" s="98"/>
      <c r="AH683" s="98"/>
    </row>
    <row r="684" spans="2:34" x14ac:dyDescent="0.25">
      <c r="B684" s="71"/>
      <c r="C684" s="72"/>
      <c r="D684" s="77"/>
      <c r="E684" s="78"/>
      <c r="F684" s="78"/>
      <c r="G684" s="78"/>
      <c r="H684" s="78"/>
      <c r="I684" s="79"/>
      <c r="J684" s="86"/>
      <c r="K684" s="87"/>
      <c r="L684" s="86"/>
      <c r="M684" s="87"/>
      <c r="N684" s="77"/>
      <c r="O684" s="79"/>
      <c r="P684" s="92"/>
      <c r="Q684" s="93"/>
      <c r="S684" s="99"/>
      <c r="T684" s="99"/>
      <c r="U684" s="99"/>
      <c r="V684" s="99"/>
      <c r="W684" s="99"/>
      <c r="X684" s="99"/>
      <c r="Y684" s="99"/>
      <c r="Z684" s="99"/>
      <c r="AA684" s="99"/>
      <c r="AB684" s="99"/>
      <c r="AC684" s="98"/>
      <c r="AD684" s="98"/>
      <c r="AE684" s="98"/>
      <c r="AF684" s="98"/>
      <c r="AG684" s="98"/>
      <c r="AH684" s="98"/>
    </row>
    <row r="685" spans="2:34" x14ac:dyDescent="0.25">
      <c r="B685" s="73"/>
      <c r="C685" s="74"/>
      <c r="D685" s="80"/>
      <c r="E685" s="81"/>
      <c r="F685" s="81"/>
      <c r="G685" s="81"/>
      <c r="H685" s="81"/>
      <c r="I685" s="82"/>
      <c r="J685" s="88"/>
      <c r="K685" s="89"/>
      <c r="L685" s="88"/>
      <c r="M685" s="89"/>
      <c r="N685" s="80"/>
      <c r="O685" s="82"/>
      <c r="P685" s="94"/>
      <c r="Q685" s="95"/>
      <c r="S685" s="99"/>
      <c r="T685" s="99"/>
      <c r="U685" s="99"/>
      <c r="V685" s="99"/>
      <c r="W685" s="99"/>
      <c r="X685" s="99"/>
      <c r="Y685" s="99"/>
      <c r="Z685" s="99"/>
      <c r="AA685" s="99"/>
      <c r="AB685" s="99"/>
      <c r="AC685" s="98"/>
      <c r="AD685" s="98"/>
      <c r="AE685" s="98"/>
      <c r="AF685" s="98"/>
      <c r="AG685" s="98"/>
      <c r="AH685" s="98"/>
    </row>
    <row r="686" spans="2:34" x14ac:dyDescent="0.25">
      <c r="B686" s="75"/>
      <c r="C686" s="76"/>
      <c r="D686" s="83"/>
      <c r="E686" s="84"/>
      <c r="F686" s="84"/>
      <c r="G686" s="84"/>
      <c r="H686" s="84"/>
      <c r="I686" s="85"/>
      <c r="J686" s="90"/>
      <c r="K686" s="91"/>
      <c r="L686" s="90"/>
      <c r="M686" s="91"/>
      <c r="N686" s="83"/>
      <c r="O686" s="85"/>
      <c r="P686" s="96"/>
      <c r="Q686" s="97"/>
      <c r="S686" s="99"/>
      <c r="T686" s="99"/>
      <c r="U686" s="99"/>
      <c r="V686" s="99"/>
      <c r="W686" s="99"/>
      <c r="X686" s="99"/>
      <c r="Y686" s="99"/>
      <c r="Z686" s="99"/>
      <c r="AA686" s="99"/>
      <c r="AB686" s="99"/>
      <c r="AC686" s="98"/>
      <c r="AD686" s="98"/>
      <c r="AE686" s="98"/>
      <c r="AF686" s="98"/>
      <c r="AG686" s="98"/>
      <c r="AH686" s="98"/>
    </row>
    <row r="687" spans="2:34" x14ac:dyDescent="0.25">
      <c r="B687" s="71"/>
      <c r="C687" s="72"/>
      <c r="D687" s="77"/>
      <c r="E687" s="78"/>
      <c r="F687" s="78"/>
      <c r="G687" s="78"/>
      <c r="H687" s="78"/>
      <c r="I687" s="79"/>
      <c r="J687" s="86"/>
      <c r="K687" s="87"/>
      <c r="L687" s="86"/>
      <c r="M687" s="87"/>
      <c r="N687" s="77"/>
      <c r="O687" s="79"/>
      <c r="P687" s="92"/>
      <c r="Q687" s="93"/>
      <c r="S687" s="99"/>
      <c r="T687" s="99"/>
      <c r="U687" s="99"/>
      <c r="V687" s="99"/>
      <c r="W687" s="99"/>
      <c r="X687" s="99"/>
      <c r="Y687" s="99"/>
      <c r="Z687" s="99"/>
      <c r="AA687" s="99"/>
      <c r="AB687" s="99"/>
      <c r="AC687" s="98"/>
      <c r="AD687" s="98"/>
      <c r="AE687" s="98"/>
      <c r="AF687" s="98"/>
      <c r="AG687" s="98"/>
      <c r="AH687" s="98"/>
    </row>
    <row r="688" spans="2:34" x14ac:dyDescent="0.25">
      <c r="B688" s="73"/>
      <c r="C688" s="74"/>
      <c r="D688" s="80"/>
      <c r="E688" s="81"/>
      <c r="F688" s="81"/>
      <c r="G688" s="81"/>
      <c r="H688" s="81"/>
      <c r="I688" s="82"/>
      <c r="J688" s="88"/>
      <c r="K688" s="89"/>
      <c r="L688" s="88"/>
      <c r="M688" s="89"/>
      <c r="N688" s="80"/>
      <c r="O688" s="82"/>
      <c r="P688" s="94"/>
      <c r="Q688" s="95"/>
      <c r="S688" s="99"/>
      <c r="T688" s="99"/>
      <c r="U688" s="99"/>
      <c r="V688" s="99"/>
      <c r="W688" s="99"/>
      <c r="X688" s="99"/>
      <c r="Y688" s="99"/>
      <c r="Z688" s="99"/>
      <c r="AA688" s="99"/>
      <c r="AB688" s="99"/>
      <c r="AC688" s="98"/>
      <c r="AD688" s="98"/>
      <c r="AE688" s="98"/>
      <c r="AF688" s="98"/>
      <c r="AG688" s="98"/>
      <c r="AH688" s="98"/>
    </row>
    <row r="689" spans="2:34" x14ac:dyDescent="0.25">
      <c r="B689" s="75"/>
      <c r="C689" s="76"/>
      <c r="D689" s="83"/>
      <c r="E689" s="84"/>
      <c r="F689" s="84"/>
      <c r="G689" s="84"/>
      <c r="H689" s="84"/>
      <c r="I689" s="85"/>
      <c r="J689" s="90"/>
      <c r="K689" s="91"/>
      <c r="L689" s="90"/>
      <c r="M689" s="91"/>
      <c r="N689" s="83"/>
      <c r="O689" s="85"/>
      <c r="P689" s="96"/>
      <c r="Q689" s="97"/>
      <c r="S689" s="99"/>
      <c r="T689" s="99"/>
      <c r="U689" s="99"/>
      <c r="V689" s="99"/>
      <c r="W689" s="99"/>
      <c r="X689" s="99"/>
      <c r="Y689" s="99"/>
      <c r="Z689" s="99"/>
      <c r="AA689" s="99"/>
      <c r="AB689" s="99"/>
      <c r="AC689" s="98"/>
      <c r="AD689" s="98"/>
      <c r="AE689" s="98"/>
      <c r="AF689" s="98"/>
      <c r="AG689" s="98"/>
      <c r="AH689" s="98"/>
    </row>
    <row r="690" spans="2:34" x14ac:dyDescent="0.25">
      <c r="B690" s="71"/>
      <c r="C690" s="72"/>
      <c r="D690" s="77"/>
      <c r="E690" s="78"/>
      <c r="F690" s="78"/>
      <c r="G690" s="78"/>
      <c r="H690" s="78"/>
      <c r="I690" s="79"/>
      <c r="J690" s="86"/>
      <c r="K690" s="87"/>
      <c r="L690" s="86"/>
      <c r="M690" s="87"/>
      <c r="N690" s="77"/>
      <c r="O690" s="79"/>
      <c r="P690" s="92"/>
      <c r="Q690" s="93"/>
      <c r="S690" s="99"/>
      <c r="T690" s="99"/>
      <c r="U690" s="99"/>
      <c r="V690" s="99"/>
      <c r="W690" s="99"/>
      <c r="X690" s="99"/>
      <c r="Y690" s="99"/>
      <c r="Z690" s="99"/>
      <c r="AA690" s="99"/>
      <c r="AB690" s="99"/>
      <c r="AC690" s="98"/>
      <c r="AD690" s="98"/>
      <c r="AE690" s="98"/>
      <c r="AF690" s="98"/>
      <c r="AG690" s="98"/>
      <c r="AH690" s="98"/>
    </row>
    <row r="691" spans="2:34" x14ac:dyDescent="0.25">
      <c r="B691" s="73"/>
      <c r="C691" s="74"/>
      <c r="D691" s="80"/>
      <c r="E691" s="81"/>
      <c r="F691" s="81"/>
      <c r="G691" s="81"/>
      <c r="H691" s="81"/>
      <c r="I691" s="82"/>
      <c r="J691" s="88"/>
      <c r="K691" s="89"/>
      <c r="L691" s="88"/>
      <c r="M691" s="89"/>
      <c r="N691" s="80"/>
      <c r="O691" s="82"/>
      <c r="P691" s="94"/>
      <c r="Q691" s="95"/>
      <c r="S691" s="99"/>
      <c r="T691" s="99"/>
      <c r="U691" s="99"/>
      <c r="V691" s="99"/>
      <c r="W691" s="99"/>
      <c r="X691" s="99"/>
      <c r="Y691" s="99"/>
      <c r="Z691" s="99"/>
      <c r="AA691" s="99"/>
      <c r="AB691" s="99"/>
      <c r="AC691" s="98"/>
      <c r="AD691" s="98"/>
      <c r="AE691" s="98"/>
      <c r="AF691" s="98"/>
      <c r="AG691" s="98"/>
      <c r="AH691" s="98"/>
    </row>
    <row r="692" spans="2:34" x14ac:dyDescent="0.25">
      <c r="B692" s="75"/>
      <c r="C692" s="76"/>
      <c r="D692" s="83"/>
      <c r="E692" s="84"/>
      <c r="F692" s="84"/>
      <c r="G692" s="84"/>
      <c r="H692" s="84"/>
      <c r="I692" s="85"/>
      <c r="J692" s="90"/>
      <c r="K692" s="91"/>
      <c r="L692" s="90"/>
      <c r="M692" s="91"/>
      <c r="N692" s="83"/>
      <c r="O692" s="85"/>
      <c r="P692" s="96"/>
      <c r="Q692" s="97"/>
      <c r="S692" s="99"/>
      <c r="T692" s="99"/>
      <c r="U692" s="99"/>
      <c r="V692" s="99"/>
      <c r="W692" s="99"/>
      <c r="X692" s="99"/>
      <c r="Y692" s="99"/>
      <c r="Z692" s="99"/>
      <c r="AA692" s="99"/>
      <c r="AB692" s="99"/>
      <c r="AC692" s="98"/>
      <c r="AD692" s="98"/>
      <c r="AE692" s="98"/>
      <c r="AF692" s="98"/>
      <c r="AG692" s="98"/>
      <c r="AH692" s="98"/>
    </row>
    <row r="693" spans="2:34" x14ac:dyDescent="0.25">
      <c r="B693" s="71"/>
      <c r="C693" s="72"/>
      <c r="D693" s="77"/>
      <c r="E693" s="78"/>
      <c r="F693" s="78"/>
      <c r="G693" s="78"/>
      <c r="H693" s="78"/>
      <c r="I693" s="79"/>
      <c r="J693" s="86"/>
      <c r="K693" s="87"/>
      <c r="L693" s="86"/>
      <c r="M693" s="87"/>
      <c r="N693" s="77"/>
      <c r="O693" s="79"/>
      <c r="P693" s="92"/>
      <c r="Q693" s="93"/>
      <c r="S693" s="99"/>
      <c r="T693" s="99"/>
      <c r="U693" s="99"/>
      <c r="V693" s="99"/>
      <c r="W693" s="99"/>
      <c r="X693" s="99"/>
      <c r="Y693" s="99"/>
      <c r="Z693" s="99"/>
      <c r="AA693" s="99"/>
      <c r="AB693" s="99"/>
      <c r="AC693" s="98"/>
      <c r="AD693" s="98"/>
      <c r="AE693" s="98"/>
      <c r="AF693" s="98"/>
      <c r="AG693" s="98"/>
      <c r="AH693" s="98"/>
    </row>
    <row r="694" spans="2:34" x14ac:dyDescent="0.25">
      <c r="B694" s="73"/>
      <c r="C694" s="74"/>
      <c r="D694" s="80"/>
      <c r="E694" s="81"/>
      <c r="F694" s="81"/>
      <c r="G694" s="81"/>
      <c r="H694" s="81"/>
      <c r="I694" s="82"/>
      <c r="J694" s="88"/>
      <c r="K694" s="89"/>
      <c r="L694" s="88"/>
      <c r="M694" s="89"/>
      <c r="N694" s="80"/>
      <c r="O694" s="82"/>
      <c r="P694" s="94"/>
      <c r="Q694" s="95"/>
      <c r="S694" s="99"/>
      <c r="T694" s="99"/>
      <c r="U694" s="99"/>
      <c r="V694" s="99"/>
      <c r="W694" s="99"/>
      <c r="X694" s="99"/>
      <c r="Y694" s="99"/>
      <c r="Z694" s="99"/>
      <c r="AA694" s="99"/>
      <c r="AB694" s="99"/>
      <c r="AC694" s="98"/>
      <c r="AD694" s="98"/>
      <c r="AE694" s="98"/>
      <c r="AF694" s="98"/>
      <c r="AG694" s="98"/>
      <c r="AH694" s="98"/>
    </row>
    <row r="695" spans="2:34" x14ac:dyDescent="0.25">
      <c r="B695" s="75"/>
      <c r="C695" s="76"/>
      <c r="D695" s="83"/>
      <c r="E695" s="84"/>
      <c r="F695" s="84"/>
      <c r="G695" s="84"/>
      <c r="H695" s="84"/>
      <c r="I695" s="85"/>
      <c r="J695" s="90"/>
      <c r="K695" s="91"/>
      <c r="L695" s="90"/>
      <c r="M695" s="91"/>
      <c r="N695" s="83"/>
      <c r="O695" s="85"/>
      <c r="P695" s="96"/>
      <c r="Q695" s="97"/>
      <c r="S695" s="99"/>
      <c r="T695" s="99"/>
      <c r="U695" s="99"/>
      <c r="V695" s="99"/>
      <c r="W695" s="99"/>
      <c r="X695" s="99"/>
      <c r="Y695" s="99"/>
      <c r="Z695" s="99"/>
      <c r="AA695" s="99"/>
      <c r="AB695" s="99"/>
      <c r="AC695" s="98"/>
      <c r="AD695" s="98"/>
      <c r="AE695" s="98"/>
      <c r="AF695" s="98"/>
      <c r="AG695" s="98"/>
      <c r="AH695" s="98"/>
    </row>
    <row r="696" spans="2:34" x14ac:dyDescent="0.25">
      <c r="B696" s="71"/>
      <c r="C696" s="72"/>
      <c r="D696" s="77"/>
      <c r="E696" s="78"/>
      <c r="F696" s="78"/>
      <c r="G696" s="78"/>
      <c r="H696" s="78"/>
      <c r="I696" s="79"/>
      <c r="J696" s="86"/>
      <c r="K696" s="87"/>
      <c r="L696" s="86"/>
      <c r="M696" s="87"/>
      <c r="N696" s="77"/>
      <c r="O696" s="79"/>
      <c r="P696" s="92"/>
      <c r="Q696" s="93"/>
      <c r="S696" s="99"/>
      <c r="T696" s="99"/>
      <c r="U696" s="99"/>
      <c r="V696" s="99"/>
      <c r="W696" s="99"/>
      <c r="X696" s="99"/>
      <c r="Y696" s="99"/>
      <c r="Z696" s="99"/>
      <c r="AA696" s="99"/>
      <c r="AB696" s="99"/>
      <c r="AC696" s="98"/>
      <c r="AD696" s="98"/>
      <c r="AE696" s="98"/>
      <c r="AF696" s="98"/>
      <c r="AG696" s="98"/>
      <c r="AH696" s="98"/>
    </row>
    <row r="697" spans="2:34" x14ac:dyDescent="0.25">
      <c r="B697" s="73"/>
      <c r="C697" s="74"/>
      <c r="D697" s="80"/>
      <c r="E697" s="81"/>
      <c r="F697" s="81"/>
      <c r="G697" s="81"/>
      <c r="H697" s="81"/>
      <c r="I697" s="82"/>
      <c r="J697" s="88"/>
      <c r="K697" s="89"/>
      <c r="L697" s="88"/>
      <c r="M697" s="89"/>
      <c r="N697" s="80"/>
      <c r="O697" s="82"/>
      <c r="P697" s="94"/>
      <c r="Q697" s="95"/>
      <c r="S697" s="99"/>
      <c r="T697" s="99"/>
      <c r="U697" s="99"/>
      <c r="V697" s="99"/>
      <c r="W697" s="99"/>
      <c r="X697" s="99"/>
      <c r="Y697" s="99"/>
      <c r="Z697" s="99"/>
      <c r="AA697" s="99"/>
      <c r="AB697" s="99"/>
      <c r="AC697" s="98"/>
      <c r="AD697" s="98"/>
      <c r="AE697" s="98"/>
      <c r="AF697" s="98"/>
      <c r="AG697" s="98"/>
      <c r="AH697" s="98"/>
    </row>
    <row r="698" spans="2:34" x14ac:dyDescent="0.25">
      <c r="B698" s="75"/>
      <c r="C698" s="76"/>
      <c r="D698" s="83"/>
      <c r="E698" s="84"/>
      <c r="F698" s="84"/>
      <c r="G698" s="84"/>
      <c r="H698" s="84"/>
      <c r="I698" s="85"/>
      <c r="J698" s="90"/>
      <c r="K698" s="91"/>
      <c r="L698" s="90"/>
      <c r="M698" s="91"/>
      <c r="N698" s="83"/>
      <c r="O698" s="85"/>
      <c r="P698" s="96"/>
      <c r="Q698" s="97"/>
      <c r="S698" s="99"/>
      <c r="T698" s="99"/>
      <c r="U698" s="99"/>
      <c r="V698" s="99"/>
      <c r="W698" s="99"/>
      <c r="X698" s="99"/>
      <c r="Y698" s="99"/>
      <c r="Z698" s="99"/>
      <c r="AA698" s="99"/>
      <c r="AB698" s="99"/>
      <c r="AC698" s="98"/>
      <c r="AD698" s="98"/>
      <c r="AE698" s="98"/>
      <c r="AF698" s="98"/>
      <c r="AG698" s="98"/>
      <c r="AH698" s="98"/>
    </row>
    <row r="699" spans="2:34" x14ac:dyDescent="0.25">
      <c r="B699" s="71"/>
      <c r="C699" s="72"/>
      <c r="D699" s="77"/>
      <c r="E699" s="78"/>
      <c r="F699" s="78"/>
      <c r="G699" s="78"/>
      <c r="H699" s="78"/>
      <c r="I699" s="79"/>
      <c r="J699" s="86"/>
      <c r="K699" s="87"/>
      <c r="L699" s="86"/>
      <c r="M699" s="87"/>
      <c r="N699" s="77"/>
      <c r="O699" s="79"/>
      <c r="P699" s="92"/>
      <c r="Q699" s="93"/>
      <c r="S699" s="99"/>
      <c r="T699" s="99"/>
      <c r="U699" s="99"/>
      <c r="V699" s="99"/>
      <c r="W699" s="99"/>
      <c r="X699" s="99"/>
      <c r="Y699" s="99"/>
      <c r="Z699" s="99"/>
      <c r="AA699" s="99"/>
      <c r="AB699" s="99"/>
      <c r="AC699" s="98"/>
      <c r="AD699" s="98"/>
      <c r="AE699" s="98"/>
      <c r="AF699" s="98"/>
      <c r="AG699" s="98"/>
      <c r="AH699" s="98"/>
    </row>
    <row r="700" spans="2:34" x14ac:dyDescent="0.25">
      <c r="B700" s="73"/>
      <c r="C700" s="74"/>
      <c r="D700" s="80"/>
      <c r="E700" s="81"/>
      <c r="F700" s="81"/>
      <c r="G700" s="81"/>
      <c r="H700" s="81"/>
      <c r="I700" s="82"/>
      <c r="J700" s="88"/>
      <c r="K700" s="89"/>
      <c r="L700" s="88"/>
      <c r="M700" s="89"/>
      <c r="N700" s="80"/>
      <c r="O700" s="82"/>
      <c r="P700" s="94"/>
      <c r="Q700" s="95"/>
      <c r="S700" s="99"/>
      <c r="T700" s="99"/>
      <c r="U700" s="99"/>
      <c r="V700" s="99"/>
      <c r="W700" s="99"/>
      <c r="X700" s="99"/>
      <c r="Y700" s="99"/>
      <c r="Z700" s="99"/>
      <c r="AA700" s="99"/>
      <c r="AB700" s="99"/>
      <c r="AC700" s="98"/>
      <c r="AD700" s="98"/>
      <c r="AE700" s="98"/>
      <c r="AF700" s="98"/>
      <c r="AG700" s="98"/>
      <c r="AH700" s="98"/>
    </row>
    <row r="701" spans="2:34" x14ac:dyDescent="0.25">
      <c r="B701" s="75"/>
      <c r="C701" s="76"/>
      <c r="D701" s="83"/>
      <c r="E701" s="84"/>
      <c r="F701" s="84"/>
      <c r="G701" s="84"/>
      <c r="H701" s="84"/>
      <c r="I701" s="85"/>
      <c r="J701" s="90"/>
      <c r="K701" s="91"/>
      <c r="L701" s="90"/>
      <c r="M701" s="91"/>
      <c r="N701" s="83"/>
      <c r="O701" s="85"/>
      <c r="P701" s="96"/>
      <c r="Q701" s="97"/>
      <c r="S701" s="99"/>
      <c r="T701" s="99"/>
      <c r="U701" s="99"/>
      <c r="V701" s="99"/>
      <c r="W701" s="99"/>
      <c r="X701" s="99"/>
      <c r="Y701" s="99"/>
      <c r="Z701" s="99"/>
      <c r="AA701" s="99"/>
      <c r="AB701" s="99"/>
      <c r="AC701" s="98"/>
      <c r="AD701" s="98"/>
      <c r="AE701" s="98"/>
      <c r="AF701" s="98"/>
      <c r="AG701" s="98"/>
      <c r="AH701" s="98"/>
    </row>
    <row r="702" spans="2:34" x14ac:dyDescent="0.25">
      <c r="B702" s="71"/>
      <c r="C702" s="72"/>
      <c r="D702" s="77"/>
      <c r="E702" s="78"/>
      <c r="F702" s="78"/>
      <c r="G702" s="78"/>
      <c r="H702" s="78"/>
      <c r="I702" s="79"/>
      <c r="J702" s="86"/>
      <c r="K702" s="87"/>
      <c r="L702" s="86"/>
      <c r="M702" s="87"/>
      <c r="N702" s="77"/>
      <c r="O702" s="79"/>
      <c r="P702" s="92"/>
      <c r="Q702" s="93"/>
      <c r="S702" s="99"/>
      <c r="T702" s="99"/>
      <c r="U702" s="99"/>
      <c r="V702" s="99"/>
      <c r="W702" s="99"/>
      <c r="X702" s="99"/>
      <c r="Y702" s="99"/>
      <c r="Z702" s="99"/>
      <c r="AA702" s="99"/>
      <c r="AB702" s="99"/>
      <c r="AC702" s="98"/>
      <c r="AD702" s="98"/>
      <c r="AE702" s="98"/>
      <c r="AF702" s="98"/>
      <c r="AG702" s="98"/>
      <c r="AH702" s="98"/>
    </row>
    <row r="703" spans="2:34" x14ac:dyDescent="0.25">
      <c r="B703" s="73"/>
      <c r="C703" s="74"/>
      <c r="D703" s="80"/>
      <c r="E703" s="81"/>
      <c r="F703" s="81"/>
      <c r="G703" s="81"/>
      <c r="H703" s="81"/>
      <c r="I703" s="82"/>
      <c r="J703" s="88"/>
      <c r="K703" s="89"/>
      <c r="L703" s="88"/>
      <c r="M703" s="89"/>
      <c r="N703" s="80"/>
      <c r="O703" s="82"/>
      <c r="P703" s="94"/>
      <c r="Q703" s="95"/>
      <c r="S703" s="99"/>
      <c r="T703" s="99"/>
      <c r="U703" s="99"/>
      <c r="V703" s="99"/>
      <c r="W703" s="99"/>
      <c r="X703" s="99"/>
      <c r="Y703" s="99"/>
      <c r="Z703" s="99"/>
      <c r="AA703" s="99"/>
      <c r="AB703" s="99"/>
      <c r="AC703" s="98"/>
      <c r="AD703" s="98"/>
      <c r="AE703" s="98"/>
      <c r="AF703" s="98"/>
      <c r="AG703" s="98"/>
      <c r="AH703" s="98"/>
    </row>
    <row r="704" spans="2:34" x14ac:dyDescent="0.25">
      <c r="B704" s="75"/>
      <c r="C704" s="76"/>
      <c r="D704" s="83"/>
      <c r="E704" s="84"/>
      <c r="F704" s="84"/>
      <c r="G704" s="84"/>
      <c r="H704" s="84"/>
      <c r="I704" s="85"/>
      <c r="J704" s="90"/>
      <c r="K704" s="91"/>
      <c r="L704" s="90"/>
      <c r="M704" s="91"/>
      <c r="N704" s="83"/>
      <c r="O704" s="85"/>
      <c r="P704" s="96"/>
      <c r="Q704" s="97"/>
      <c r="S704" s="99"/>
      <c r="T704" s="99"/>
      <c r="U704" s="99"/>
      <c r="V704" s="99"/>
      <c r="W704" s="99"/>
      <c r="X704" s="99"/>
      <c r="Y704" s="99"/>
      <c r="Z704" s="99"/>
      <c r="AA704" s="99"/>
      <c r="AB704" s="99"/>
      <c r="AC704" s="98"/>
      <c r="AD704" s="98"/>
      <c r="AE704" s="98"/>
      <c r="AF704" s="98"/>
      <c r="AG704" s="98"/>
      <c r="AH704" s="98"/>
    </row>
    <row r="705" spans="2:34" x14ac:dyDescent="0.25">
      <c r="B705" s="71"/>
      <c r="C705" s="72"/>
      <c r="D705" s="77"/>
      <c r="E705" s="78"/>
      <c r="F705" s="78"/>
      <c r="G705" s="78"/>
      <c r="H705" s="78"/>
      <c r="I705" s="79"/>
      <c r="J705" s="86"/>
      <c r="K705" s="87"/>
      <c r="L705" s="86"/>
      <c r="M705" s="87"/>
      <c r="N705" s="77"/>
      <c r="O705" s="79"/>
      <c r="P705" s="92"/>
      <c r="Q705" s="93"/>
      <c r="S705" s="99"/>
      <c r="T705" s="99"/>
      <c r="U705" s="99"/>
      <c r="V705" s="99"/>
      <c r="W705" s="99"/>
      <c r="X705" s="99"/>
      <c r="Y705" s="99"/>
      <c r="Z705" s="99"/>
      <c r="AA705" s="99"/>
      <c r="AB705" s="99"/>
      <c r="AC705" s="98"/>
      <c r="AD705" s="98"/>
      <c r="AE705" s="98"/>
      <c r="AF705" s="98"/>
      <c r="AG705" s="98"/>
      <c r="AH705" s="98"/>
    </row>
    <row r="706" spans="2:34" x14ac:dyDescent="0.25">
      <c r="B706" s="73"/>
      <c r="C706" s="74"/>
      <c r="D706" s="80"/>
      <c r="E706" s="81"/>
      <c r="F706" s="81"/>
      <c r="G706" s="81"/>
      <c r="H706" s="81"/>
      <c r="I706" s="82"/>
      <c r="J706" s="88"/>
      <c r="K706" s="89"/>
      <c r="L706" s="88"/>
      <c r="M706" s="89"/>
      <c r="N706" s="80"/>
      <c r="O706" s="82"/>
      <c r="P706" s="94"/>
      <c r="Q706" s="95"/>
      <c r="S706" s="99"/>
      <c r="T706" s="99"/>
      <c r="U706" s="99"/>
      <c r="V706" s="99"/>
      <c r="W706" s="99"/>
      <c r="X706" s="99"/>
      <c r="Y706" s="99"/>
      <c r="Z706" s="99"/>
      <c r="AA706" s="99"/>
      <c r="AB706" s="99"/>
      <c r="AC706" s="98"/>
      <c r="AD706" s="98"/>
      <c r="AE706" s="98"/>
      <c r="AF706" s="98"/>
      <c r="AG706" s="98"/>
      <c r="AH706" s="98"/>
    </row>
    <row r="707" spans="2:34" x14ac:dyDescent="0.25">
      <c r="B707" s="75"/>
      <c r="C707" s="76"/>
      <c r="D707" s="83"/>
      <c r="E707" s="84"/>
      <c r="F707" s="84"/>
      <c r="G707" s="84"/>
      <c r="H707" s="84"/>
      <c r="I707" s="85"/>
      <c r="J707" s="90"/>
      <c r="K707" s="91"/>
      <c r="L707" s="90"/>
      <c r="M707" s="91"/>
      <c r="N707" s="83"/>
      <c r="O707" s="85"/>
      <c r="P707" s="96"/>
      <c r="Q707" s="97"/>
      <c r="S707" s="99"/>
      <c r="T707" s="99"/>
      <c r="U707" s="99"/>
      <c r="V707" s="99"/>
      <c r="W707" s="99"/>
      <c r="X707" s="99"/>
      <c r="Y707" s="99"/>
      <c r="Z707" s="99"/>
      <c r="AA707" s="99"/>
      <c r="AB707" s="99"/>
      <c r="AC707" s="98"/>
      <c r="AD707" s="98"/>
      <c r="AE707" s="98"/>
      <c r="AF707" s="98"/>
      <c r="AG707" s="98"/>
      <c r="AH707" s="98"/>
    </row>
    <row r="708" spans="2:34" x14ac:dyDescent="0.25">
      <c r="B708" s="71"/>
      <c r="C708" s="72"/>
      <c r="D708" s="77"/>
      <c r="E708" s="78"/>
      <c r="F708" s="78"/>
      <c r="G708" s="78"/>
      <c r="H708" s="78"/>
      <c r="I708" s="79"/>
      <c r="J708" s="86"/>
      <c r="K708" s="87"/>
      <c r="L708" s="86"/>
      <c r="M708" s="87"/>
      <c r="N708" s="77"/>
      <c r="O708" s="79"/>
      <c r="P708" s="92"/>
      <c r="Q708" s="93"/>
      <c r="S708" s="99"/>
      <c r="T708" s="99"/>
      <c r="U708" s="99"/>
      <c r="V708" s="99"/>
      <c r="W708" s="99"/>
      <c r="X708" s="99"/>
      <c r="Y708" s="99"/>
      <c r="Z708" s="99"/>
      <c r="AA708" s="99"/>
      <c r="AB708" s="99"/>
      <c r="AC708" s="98"/>
      <c r="AD708" s="98"/>
      <c r="AE708" s="98"/>
      <c r="AF708" s="98"/>
      <c r="AG708" s="98"/>
      <c r="AH708" s="98"/>
    </row>
    <row r="709" spans="2:34" x14ac:dyDescent="0.25">
      <c r="B709" s="73"/>
      <c r="C709" s="74"/>
      <c r="D709" s="80"/>
      <c r="E709" s="81"/>
      <c r="F709" s="81"/>
      <c r="G709" s="81"/>
      <c r="H709" s="81"/>
      <c r="I709" s="82"/>
      <c r="J709" s="88"/>
      <c r="K709" s="89"/>
      <c r="L709" s="88"/>
      <c r="M709" s="89"/>
      <c r="N709" s="80"/>
      <c r="O709" s="82"/>
      <c r="P709" s="94"/>
      <c r="Q709" s="95"/>
      <c r="S709" s="99"/>
      <c r="T709" s="99"/>
      <c r="U709" s="99"/>
      <c r="V709" s="99"/>
      <c r="W709" s="99"/>
      <c r="X709" s="99"/>
      <c r="Y709" s="99"/>
      <c r="Z709" s="99"/>
      <c r="AA709" s="99"/>
      <c r="AB709" s="99"/>
      <c r="AC709" s="98"/>
      <c r="AD709" s="98"/>
      <c r="AE709" s="98"/>
      <c r="AF709" s="98"/>
      <c r="AG709" s="98"/>
      <c r="AH709" s="98"/>
    </row>
    <row r="710" spans="2:34" x14ac:dyDescent="0.25">
      <c r="B710" s="75"/>
      <c r="C710" s="76"/>
      <c r="D710" s="83"/>
      <c r="E710" s="84"/>
      <c r="F710" s="84"/>
      <c r="G710" s="84"/>
      <c r="H710" s="84"/>
      <c r="I710" s="85"/>
      <c r="J710" s="90"/>
      <c r="K710" s="91"/>
      <c r="L710" s="90"/>
      <c r="M710" s="91"/>
      <c r="N710" s="83"/>
      <c r="O710" s="85"/>
      <c r="P710" s="96"/>
      <c r="Q710" s="97"/>
      <c r="S710" s="99"/>
      <c r="T710" s="99"/>
      <c r="U710" s="99"/>
      <c r="V710" s="99"/>
      <c r="W710" s="99"/>
      <c r="X710" s="99"/>
      <c r="Y710" s="99"/>
      <c r="Z710" s="99"/>
      <c r="AA710" s="99"/>
      <c r="AB710" s="99"/>
      <c r="AC710" s="98"/>
      <c r="AD710" s="98"/>
      <c r="AE710" s="98"/>
      <c r="AF710" s="98"/>
      <c r="AG710" s="98"/>
      <c r="AH710" s="98"/>
    </row>
    <row r="711" spans="2:34" x14ac:dyDescent="0.25">
      <c r="B711" s="71"/>
      <c r="C711" s="72"/>
      <c r="D711" s="77"/>
      <c r="E711" s="78"/>
      <c r="F711" s="78"/>
      <c r="G711" s="78"/>
      <c r="H711" s="78"/>
      <c r="I711" s="79"/>
      <c r="J711" s="86"/>
      <c r="K711" s="87"/>
      <c r="L711" s="86"/>
      <c r="M711" s="87"/>
      <c r="N711" s="77"/>
      <c r="O711" s="79"/>
      <c r="P711" s="92"/>
      <c r="Q711" s="93"/>
      <c r="S711" s="99"/>
      <c r="T711" s="99"/>
      <c r="U711" s="99"/>
      <c r="V711" s="99"/>
      <c r="W711" s="99"/>
      <c r="X711" s="99"/>
      <c r="Y711" s="99"/>
      <c r="Z711" s="99"/>
      <c r="AA711" s="99"/>
      <c r="AB711" s="99"/>
      <c r="AC711" s="98"/>
      <c r="AD711" s="98"/>
      <c r="AE711" s="98"/>
      <c r="AF711" s="98"/>
      <c r="AG711" s="98"/>
      <c r="AH711" s="98"/>
    </row>
    <row r="712" spans="2:34" x14ac:dyDescent="0.25">
      <c r="B712" s="73"/>
      <c r="C712" s="74"/>
      <c r="D712" s="80"/>
      <c r="E712" s="81"/>
      <c r="F712" s="81"/>
      <c r="G712" s="81"/>
      <c r="H712" s="81"/>
      <c r="I712" s="82"/>
      <c r="J712" s="88"/>
      <c r="K712" s="89"/>
      <c r="L712" s="88"/>
      <c r="M712" s="89"/>
      <c r="N712" s="80"/>
      <c r="O712" s="82"/>
      <c r="P712" s="94"/>
      <c r="Q712" s="95"/>
      <c r="S712" s="99"/>
      <c r="T712" s="99"/>
      <c r="U712" s="99"/>
      <c r="V712" s="99"/>
      <c r="W712" s="99"/>
      <c r="X712" s="99"/>
      <c r="Y712" s="99"/>
      <c r="Z712" s="99"/>
      <c r="AA712" s="99"/>
      <c r="AB712" s="99"/>
      <c r="AC712" s="98"/>
      <c r="AD712" s="98"/>
      <c r="AE712" s="98"/>
      <c r="AF712" s="98"/>
      <c r="AG712" s="98"/>
      <c r="AH712" s="98"/>
    </row>
    <row r="713" spans="2:34" x14ac:dyDescent="0.25">
      <c r="B713" s="75"/>
      <c r="C713" s="76"/>
      <c r="D713" s="83"/>
      <c r="E713" s="84"/>
      <c r="F713" s="84"/>
      <c r="G713" s="84"/>
      <c r="H713" s="84"/>
      <c r="I713" s="85"/>
      <c r="J713" s="90"/>
      <c r="K713" s="91"/>
      <c r="L713" s="90"/>
      <c r="M713" s="91"/>
      <c r="N713" s="83"/>
      <c r="O713" s="85"/>
      <c r="P713" s="96"/>
      <c r="Q713" s="97"/>
      <c r="S713" s="99"/>
      <c r="T713" s="99"/>
      <c r="U713" s="99"/>
      <c r="V713" s="99"/>
      <c r="W713" s="99"/>
      <c r="X713" s="99"/>
      <c r="Y713" s="99"/>
      <c r="Z713" s="99"/>
      <c r="AA713" s="99"/>
      <c r="AB713" s="99"/>
      <c r="AC713" s="98"/>
      <c r="AD713" s="98"/>
      <c r="AE713" s="98"/>
      <c r="AF713" s="98"/>
      <c r="AG713" s="98"/>
      <c r="AH713" s="98"/>
    </row>
    <row r="714" spans="2:34" x14ac:dyDescent="0.25">
      <c r="B714" s="71"/>
      <c r="C714" s="72"/>
      <c r="D714" s="77"/>
      <c r="E714" s="78"/>
      <c r="F714" s="78"/>
      <c r="G714" s="78"/>
      <c r="H714" s="78"/>
      <c r="I714" s="79"/>
      <c r="J714" s="86"/>
      <c r="K714" s="87"/>
      <c r="L714" s="86"/>
      <c r="M714" s="87"/>
      <c r="N714" s="77"/>
      <c r="O714" s="79"/>
      <c r="P714" s="92"/>
      <c r="Q714" s="93"/>
      <c r="S714" s="99"/>
      <c r="T714" s="99"/>
      <c r="U714" s="99"/>
      <c r="V714" s="99"/>
      <c r="W714" s="99"/>
      <c r="X714" s="99"/>
      <c r="Y714" s="99"/>
      <c r="Z714" s="99"/>
      <c r="AA714" s="99"/>
      <c r="AB714" s="99"/>
      <c r="AC714" s="98"/>
      <c r="AD714" s="98"/>
      <c r="AE714" s="98"/>
      <c r="AF714" s="98"/>
      <c r="AG714" s="98"/>
      <c r="AH714" s="98"/>
    </row>
    <row r="715" spans="2:34" x14ac:dyDescent="0.25">
      <c r="B715" s="73"/>
      <c r="C715" s="74"/>
      <c r="D715" s="80"/>
      <c r="E715" s="81"/>
      <c r="F715" s="81"/>
      <c r="G715" s="81"/>
      <c r="H715" s="81"/>
      <c r="I715" s="82"/>
      <c r="J715" s="88"/>
      <c r="K715" s="89"/>
      <c r="L715" s="88"/>
      <c r="M715" s="89"/>
      <c r="N715" s="80"/>
      <c r="O715" s="82"/>
      <c r="P715" s="94"/>
      <c r="Q715" s="95"/>
      <c r="S715" s="99"/>
      <c r="T715" s="99"/>
      <c r="U715" s="99"/>
      <c r="V715" s="99"/>
      <c r="W715" s="99"/>
      <c r="X715" s="99"/>
      <c r="Y715" s="99"/>
      <c r="Z715" s="99"/>
      <c r="AA715" s="99"/>
      <c r="AB715" s="99"/>
      <c r="AC715" s="98"/>
      <c r="AD715" s="98"/>
      <c r="AE715" s="98"/>
      <c r="AF715" s="98"/>
      <c r="AG715" s="98"/>
      <c r="AH715" s="98"/>
    </row>
    <row r="716" spans="2:34" x14ac:dyDescent="0.25">
      <c r="B716" s="75"/>
      <c r="C716" s="76"/>
      <c r="D716" s="83"/>
      <c r="E716" s="84"/>
      <c r="F716" s="84"/>
      <c r="G716" s="84"/>
      <c r="H716" s="84"/>
      <c r="I716" s="85"/>
      <c r="J716" s="90"/>
      <c r="K716" s="91"/>
      <c r="L716" s="90"/>
      <c r="M716" s="91"/>
      <c r="N716" s="83"/>
      <c r="O716" s="85"/>
      <c r="P716" s="96"/>
      <c r="Q716" s="97"/>
      <c r="S716" s="99"/>
      <c r="T716" s="99"/>
      <c r="U716" s="99"/>
      <c r="V716" s="99"/>
      <c r="W716" s="99"/>
      <c r="X716" s="99"/>
      <c r="Y716" s="99"/>
      <c r="Z716" s="99"/>
      <c r="AA716" s="99"/>
      <c r="AB716" s="99"/>
      <c r="AC716" s="98"/>
      <c r="AD716" s="98"/>
      <c r="AE716" s="98"/>
      <c r="AF716" s="98"/>
      <c r="AG716" s="98"/>
      <c r="AH716" s="98"/>
    </row>
    <row r="717" spans="2:34" x14ac:dyDescent="0.25">
      <c r="B717" s="71"/>
      <c r="C717" s="72"/>
      <c r="D717" s="77"/>
      <c r="E717" s="78"/>
      <c r="F717" s="78"/>
      <c r="G717" s="78"/>
      <c r="H717" s="78"/>
      <c r="I717" s="79"/>
      <c r="J717" s="86"/>
      <c r="K717" s="87"/>
      <c r="L717" s="86"/>
      <c r="M717" s="87"/>
      <c r="N717" s="77"/>
      <c r="O717" s="79"/>
      <c r="P717" s="92"/>
      <c r="Q717" s="93"/>
      <c r="S717" s="99"/>
      <c r="T717" s="99"/>
      <c r="U717" s="99"/>
      <c r="V717" s="99"/>
      <c r="W717" s="99"/>
      <c r="X717" s="99"/>
      <c r="Y717" s="99"/>
      <c r="Z717" s="99"/>
      <c r="AA717" s="99"/>
      <c r="AB717" s="99"/>
      <c r="AC717" s="98"/>
      <c r="AD717" s="98"/>
      <c r="AE717" s="98"/>
      <c r="AF717" s="98"/>
      <c r="AG717" s="98"/>
      <c r="AH717" s="98"/>
    </row>
    <row r="718" spans="2:34" x14ac:dyDescent="0.25">
      <c r="B718" s="73"/>
      <c r="C718" s="74"/>
      <c r="D718" s="80"/>
      <c r="E718" s="81"/>
      <c r="F718" s="81"/>
      <c r="G718" s="81"/>
      <c r="H718" s="81"/>
      <c r="I718" s="82"/>
      <c r="J718" s="88"/>
      <c r="K718" s="89"/>
      <c r="L718" s="88"/>
      <c r="M718" s="89"/>
      <c r="N718" s="80"/>
      <c r="O718" s="82"/>
      <c r="P718" s="94"/>
      <c r="Q718" s="95"/>
      <c r="S718" s="99"/>
      <c r="T718" s="99"/>
      <c r="U718" s="99"/>
      <c r="V718" s="99"/>
      <c r="W718" s="99"/>
      <c r="X718" s="99"/>
      <c r="Y718" s="99"/>
      <c r="Z718" s="99"/>
      <c r="AA718" s="99"/>
      <c r="AB718" s="99"/>
      <c r="AC718" s="98"/>
      <c r="AD718" s="98"/>
      <c r="AE718" s="98"/>
      <c r="AF718" s="98"/>
      <c r="AG718" s="98"/>
      <c r="AH718" s="98"/>
    </row>
    <row r="719" spans="2:34" x14ac:dyDescent="0.25">
      <c r="B719" s="75"/>
      <c r="C719" s="76"/>
      <c r="D719" s="83"/>
      <c r="E719" s="84"/>
      <c r="F719" s="84"/>
      <c r="G719" s="84"/>
      <c r="H719" s="84"/>
      <c r="I719" s="85"/>
      <c r="J719" s="90"/>
      <c r="K719" s="91"/>
      <c r="L719" s="90"/>
      <c r="M719" s="91"/>
      <c r="N719" s="83"/>
      <c r="O719" s="85"/>
      <c r="P719" s="96"/>
      <c r="Q719" s="97"/>
      <c r="S719" s="99"/>
      <c r="T719" s="99"/>
      <c r="U719" s="99"/>
      <c r="V719" s="99"/>
      <c r="W719" s="99"/>
      <c r="X719" s="99"/>
      <c r="Y719" s="99"/>
      <c r="Z719" s="99"/>
      <c r="AA719" s="99"/>
      <c r="AB719" s="99"/>
      <c r="AC719" s="98"/>
      <c r="AD719" s="98"/>
      <c r="AE719" s="98"/>
      <c r="AF719" s="98"/>
      <c r="AG719" s="98"/>
      <c r="AH719" s="98"/>
    </row>
    <row r="720" spans="2:34" x14ac:dyDescent="0.25">
      <c r="B720" s="71"/>
      <c r="C720" s="72"/>
      <c r="D720" s="77"/>
      <c r="E720" s="78"/>
      <c r="F720" s="78"/>
      <c r="G720" s="78"/>
      <c r="H720" s="78"/>
      <c r="I720" s="79"/>
      <c r="J720" s="86"/>
      <c r="K720" s="87"/>
      <c r="L720" s="86"/>
      <c r="M720" s="87"/>
      <c r="N720" s="77"/>
      <c r="O720" s="79"/>
      <c r="P720" s="92"/>
      <c r="Q720" s="93"/>
      <c r="S720" s="99"/>
      <c r="T720" s="99"/>
      <c r="U720" s="99"/>
      <c r="V720" s="99"/>
      <c r="W720" s="99"/>
      <c r="X720" s="99"/>
      <c r="Y720" s="99"/>
      <c r="Z720" s="99"/>
      <c r="AA720" s="99"/>
      <c r="AB720" s="99"/>
      <c r="AC720" s="98"/>
      <c r="AD720" s="98"/>
      <c r="AE720" s="98"/>
      <c r="AF720" s="98"/>
      <c r="AG720" s="98"/>
      <c r="AH720" s="98"/>
    </row>
    <row r="721" spans="2:34" x14ac:dyDescent="0.25">
      <c r="B721" s="73"/>
      <c r="C721" s="74"/>
      <c r="D721" s="80"/>
      <c r="E721" s="81"/>
      <c r="F721" s="81"/>
      <c r="G721" s="81"/>
      <c r="H721" s="81"/>
      <c r="I721" s="82"/>
      <c r="J721" s="88"/>
      <c r="K721" s="89"/>
      <c r="L721" s="88"/>
      <c r="M721" s="89"/>
      <c r="N721" s="80"/>
      <c r="O721" s="82"/>
      <c r="P721" s="94"/>
      <c r="Q721" s="95"/>
      <c r="S721" s="99"/>
      <c r="T721" s="99"/>
      <c r="U721" s="99"/>
      <c r="V721" s="99"/>
      <c r="W721" s="99"/>
      <c r="X721" s="99"/>
      <c r="Y721" s="99"/>
      <c r="Z721" s="99"/>
      <c r="AA721" s="99"/>
      <c r="AB721" s="99"/>
      <c r="AC721" s="98"/>
      <c r="AD721" s="98"/>
      <c r="AE721" s="98"/>
      <c r="AF721" s="98"/>
      <c r="AG721" s="98"/>
      <c r="AH721" s="98"/>
    </row>
    <row r="722" spans="2:34" x14ac:dyDescent="0.25">
      <c r="B722" s="75"/>
      <c r="C722" s="76"/>
      <c r="D722" s="83"/>
      <c r="E722" s="84"/>
      <c r="F722" s="84"/>
      <c r="G722" s="84"/>
      <c r="H722" s="84"/>
      <c r="I722" s="85"/>
      <c r="J722" s="90"/>
      <c r="K722" s="91"/>
      <c r="L722" s="90"/>
      <c r="M722" s="91"/>
      <c r="N722" s="83"/>
      <c r="O722" s="85"/>
      <c r="P722" s="96"/>
      <c r="Q722" s="97"/>
      <c r="S722" s="99"/>
      <c r="T722" s="99"/>
      <c r="U722" s="99"/>
      <c r="V722" s="99"/>
      <c r="W722" s="99"/>
      <c r="X722" s="99"/>
      <c r="Y722" s="99"/>
      <c r="Z722" s="99"/>
      <c r="AA722" s="99"/>
      <c r="AB722" s="99"/>
      <c r="AC722" s="98"/>
      <c r="AD722" s="98"/>
      <c r="AE722" s="98"/>
      <c r="AF722" s="98"/>
      <c r="AG722" s="98"/>
      <c r="AH722" s="98"/>
    </row>
    <row r="723" spans="2:34" x14ac:dyDescent="0.25">
      <c r="B723" s="71"/>
      <c r="C723" s="72"/>
      <c r="D723" s="77"/>
      <c r="E723" s="78"/>
      <c r="F723" s="78"/>
      <c r="G723" s="78"/>
      <c r="H723" s="78"/>
      <c r="I723" s="79"/>
      <c r="J723" s="86"/>
      <c r="K723" s="87"/>
      <c r="L723" s="86"/>
      <c r="M723" s="87"/>
      <c r="N723" s="77"/>
      <c r="O723" s="79"/>
      <c r="P723" s="92"/>
      <c r="Q723" s="93"/>
      <c r="S723" s="99"/>
      <c r="T723" s="99"/>
      <c r="U723" s="99"/>
      <c r="V723" s="99"/>
      <c r="W723" s="99"/>
      <c r="X723" s="99"/>
      <c r="Y723" s="99"/>
      <c r="Z723" s="99"/>
      <c r="AA723" s="99"/>
      <c r="AB723" s="99"/>
      <c r="AC723" s="98"/>
      <c r="AD723" s="98"/>
      <c r="AE723" s="98"/>
      <c r="AF723" s="98"/>
      <c r="AG723" s="98"/>
      <c r="AH723" s="98"/>
    </row>
    <row r="724" spans="2:34" x14ac:dyDescent="0.25">
      <c r="B724" s="73"/>
      <c r="C724" s="74"/>
      <c r="D724" s="80"/>
      <c r="E724" s="81"/>
      <c r="F724" s="81"/>
      <c r="G724" s="81"/>
      <c r="H724" s="81"/>
      <c r="I724" s="82"/>
      <c r="J724" s="88"/>
      <c r="K724" s="89"/>
      <c r="L724" s="88"/>
      <c r="M724" s="89"/>
      <c r="N724" s="80"/>
      <c r="O724" s="82"/>
      <c r="P724" s="94"/>
      <c r="Q724" s="95"/>
      <c r="S724" s="99"/>
      <c r="T724" s="99"/>
      <c r="U724" s="99"/>
      <c r="V724" s="99"/>
      <c r="W724" s="99"/>
      <c r="X724" s="99"/>
      <c r="Y724" s="99"/>
      <c r="Z724" s="99"/>
      <c r="AA724" s="99"/>
      <c r="AB724" s="99"/>
      <c r="AC724" s="98"/>
      <c r="AD724" s="98"/>
      <c r="AE724" s="98"/>
      <c r="AF724" s="98"/>
      <c r="AG724" s="98"/>
      <c r="AH724" s="98"/>
    </row>
    <row r="725" spans="2:34" x14ac:dyDescent="0.25">
      <c r="B725" s="75"/>
      <c r="C725" s="76"/>
      <c r="D725" s="83"/>
      <c r="E725" s="84"/>
      <c r="F725" s="84"/>
      <c r="G725" s="84"/>
      <c r="H725" s="84"/>
      <c r="I725" s="85"/>
      <c r="J725" s="90"/>
      <c r="K725" s="91"/>
      <c r="L725" s="90"/>
      <c r="M725" s="91"/>
      <c r="N725" s="83"/>
      <c r="O725" s="85"/>
      <c r="P725" s="96"/>
      <c r="Q725" s="97"/>
      <c r="S725" s="99"/>
      <c r="T725" s="99"/>
      <c r="U725" s="99"/>
      <c r="V725" s="99"/>
      <c r="W725" s="99"/>
      <c r="X725" s="99"/>
      <c r="Y725" s="99"/>
      <c r="Z725" s="99"/>
      <c r="AA725" s="99"/>
      <c r="AB725" s="99"/>
      <c r="AC725" s="98"/>
      <c r="AD725" s="98"/>
      <c r="AE725" s="98"/>
      <c r="AF725" s="98"/>
      <c r="AG725" s="98"/>
      <c r="AH725" s="98"/>
    </row>
    <row r="726" spans="2:34" x14ac:dyDescent="0.25">
      <c r="B726" s="71"/>
      <c r="C726" s="72"/>
      <c r="D726" s="77"/>
      <c r="E726" s="78"/>
      <c r="F726" s="78"/>
      <c r="G726" s="78"/>
      <c r="H726" s="78"/>
      <c r="I726" s="79"/>
      <c r="J726" s="86"/>
      <c r="K726" s="87"/>
      <c r="L726" s="86"/>
      <c r="M726" s="87"/>
      <c r="N726" s="77"/>
      <c r="O726" s="79"/>
      <c r="P726" s="92"/>
      <c r="Q726" s="93"/>
      <c r="S726" s="99"/>
      <c r="T726" s="99"/>
      <c r="U726" s="99"/>
      <c r="V726" s="99"/>
      <c r="W726" s="99"/>
      <c r="X726" s="99"/>
      <c r="Y726" s="99"/>
      <c r="Z726" s="99"/>
      <c r="AA726" s="99"/>
      <c r="AB726" s="99"/>
      <c r="AC726" s="98"/>
      <c r="AD726" s="98"/>
      <c r="AE726" s="98"/>
      <c r="AF726" s="98"/>
      <c r="AG726" s="98"/>
      <c r="AH726" s="98"/>
    </row>
    <row r="727" spans="2:34" x14ac:dyDescent="0.25">
      <c r="B727" s="73"/>
      <c r="C727" s="74"/>
      <c r="D727" s="80"/>
      <c r="E727" s="81"/>
      <c r="F727" s="81"/>
      <c r="G727" s="81"/>
      <c r="H727" s="81"/>
      <c r="I727" s="82"/>
      <c r="J727" s="88"/>
      <c r="K727" s="89"/>
      <c r="L727" s="88"/>
      <c r="M727" s="89"/>
      <c r="N727" s="80"/>
      <c r="O727" s="82"/>
      <c r="P727" s="94"/>
      <c r="Q727" s="95"/>
      <c r="S727" s="99"/>
      <c r="T727" s="99"/>
      <c r="U727" s="99"/>
      <c r="V727" s="99"/>
      <c r="W727" s="99"/>
      <c r="X727" s="99"/>
      <c r="Y727" s="99"/>
      <c r="Z727" s="99"/>
      <c r="AA727" s="99"/>
      <c r="AB727" s="99"/>
      <c r="AC727" s="98"/>
      <c r="AD727" s="98"/>
      <c r="AE727" s="98"/>
      <c r="AF727" s="98"/>
      <c r="AG727" s="98"/>
      <c r="AH727" s="98"/>
    </row>
    <row r="728" spans="2:34" x14ac:dyDescent="0.25">
      <c r="B728" s="75"/>
      <c r="C728" s="76"/>
      <c r="D728" s="83"/>
      <c r="E728" s="84"/>
      <c r="F728" s="84"/>
      <c r="G728" s="84"/>
      <c r="H728" s="84"/>
      <c r="I728" s="85"/>
      <c r="J728" s="90"/>
      <c r="K728" s="91"/>
      <c r="L728" s="90"/>
      <c r="M728" s="91"/>
      <c r="N728" s="83"/>
      <c r="O728" s="85"/>
      <c r="P728" s="96"/>
      <c r="Q728" s="97"/>
      <c r="S728" s="99"/>
      <c r="T728" s="99"/>
      <c r="U728" s="99"/>
      <c r="V728" s="99"/>
      <c r="W728" s="99"/>
      <c r="X728" s="99"/>
      <c r="Y728" s="99"/>
      <c r="Z728" s="99"/>
      <c r="AA728" s="99"/>
      <c r="AB728" s="99"/>
      <c r="AC728" s="98"/>
      <c r="AD728" s="98"/>
      <c r="AE728" s="98"/>
      <c r="AF728" s="98"/>
      <c r="AG728" s="98"/>
      <c r="AH728" s="98"/>
    </row>
    <row r="729" spans="2:34" x14ac:dyDescent="0.25">
      <c r="B729" s="71"/>
      <c r="C729" s="72"/>
      <c r="D729" s="77"/>
      <c r="E729" s="78"/>
      <c r="F729" s="78"/>
      <c r="G729" s="78"/>
      <c r="H729" s="78"/>
      <c r="I729" s="79"/>
      <c r="J729" s="86"/>
      <c r="K729" s="87"/>
      <c r="L729" s="86"/>
      <c r="M729" s="87"/>
      <c r="N729" s="77"/>
      <c r="O729" s="79"/>
      <c r="P729" s="92"/>
      <c r="Q729" s="93"/>
      <c r="S729" s="99"/>
      <c r="T729" s="99"/>
      <c r="U729" s="99"/>
      <c r="V729" s="99"/>
      <c r="W729" s="99"/>
      <c r="X729" s="99"/>
      <c r="Y729" s="99"/>
      <c r="Z729" s="99"/>
      <c r="AA729" s="99"/>
      <c r="AB729" s="99"/>
      <c r="AC729" s="98"/>
      <c r="AD729" s="98"/>
      <c r="AE729" s="98"/>
      <c r="AF729" s="98"/>
      <c r="AG729" s="98"/>
      <c r="AH729" s="98"/>
    </row>
    <row r="730" spans="2:34" x14ac:dyDescent="0.25">
      <c r="B730" s="73"/>
      <c r="C730" s="74"/>
      <c r="D730" s="80"/>
      <c r="E730" s="81"/>
      <c r="F730" s="81"/>
      <c r="G730" s="81"/>
      <c r="H730" s="81"/>
      <c r="I730" s="82"/>
      <c r="J730" s="88"/>
      <c r="K730" s="89"/>
      <c r="L730" s="88"/>
      <c r="M730" s="89"/>
      <c r="N730" s="80"/>
      <c r="O730" s="82"/>
      <c r="P730" s="94"/>
      <c r="Q730" s="95"/>
      <c r="S730" s="99"/>
      <c r="T730" s="99"/>
      <c r="U730" s="99"/>
      <c r="V730" s="99"/>
      <c r="W730" s="99"/>
      <c r="X730" s="99"/>
      <c r="Y730" s="99"/>
      <c r="Z730" s="99"/>
      <c r="AA730" s="99"/>
      <c r="AB730" s="99"/>
      <c r="AC730" s="98"/>
      <c r="AD730" s="98"/>
      <c r="AE730" s="98"/>
      <c r="AF730" s="98"/>
      <c r="AG730" s="98"/>
      <c r="AH730" s="98"/>
    </row>
    <row r="731" spans="2:34" x14ac:dyDescent="0.25">
      <c r="B731" s="75"/>
      <c r="C731" s="76"/>
      <c r="D731" s="83"/>
      <c r="E731" s="84"/>
      <c r="F731" s="84"/>
      <c r="G731" s="84"/>
      <c r="H731" s="84"/>
      <c r="I731" s="85"/>
      <c r="J731" s="90"/>
      <c r="K731" s="91"/>
      <c r="L731" s="90"/>
      <c r="M731" s="91"/>
      <c r="N731" s="83"/>
      <c r="O731" s="85"/>
      <c r="P731" s="96"/>
      <c r="Q731" s="97"/>
      <c r="S731" s="99"/>
      <c r="T731" s="99"/>
      <c r="U731" s="99"/>
      <c r="V731" s="99"/>
      <c r="W731" s="99"/>
      <c r="X731" s="99"/>
      <c r="Y731" s="99"/>
      <c r="Z731" s="99"/>
      <c r="AA731" s="99"/>
      <c r="AB731" s="99"/>
      <c r="AC731" s="98"/>
      <c r="AD731" s="98"/>
      <c r="AE731" s="98"/>
      <c r="AF731" s="98"/>
      <c r="AG731" s="98"/>
      <c r="AH731" s="98"/>
    </row>
    <row r="732" spans="2:34" x14ac:dyDescent="0.25">
      <c r="B732" s="71"/>
      <c r="C732" s="72"/>
      <c r="D732" s="77"/>
      <c r="E732" s="78"/>
      <c r="F732" s="78"/>
      <c r="G732" s="78"/>
      <c r="H732" s="78"/>
      <c r="I732" s="79"/>
      <c r="J732" s="86"/>
      <c r="K732" s="87"/>
      <c r="L732" s="86"/>
      <c r="M732" s="87"/>
      <c r="N732" s="77"/>
      <c r="O732" s="79"/>
      <c r="P732" s="92"/>
      <c r="Q732" s="93"/>
      <c r="S732" s="99"/>
      <c r="T732" s="99"/>
      <c r="U732" s="99"/>
      <c r="V732" s="99"/>
      <c r="W732" s="99"/>
      <c r="X732" s="99"/>
      <c r="Y732" s="99"/>
      <c r="Z732" s="99"/>
      <c r="AA732" s="99"/>
      <c r="AB732" s="99"/>
      <c r="AC732" s="98"/>
      <c r="AD732" s="98"/>
      <c r="AE732" s="98"/>
      <c r="AF732" s="98"/>
      <c r="AG732" s="98"/>
      <c r="AH732" s="98"/>
    </row>
    <row r="733" spans="2:34" x14ac:dyDescent="0.25">
      <c r="B733" s="73"/>
      <c r="C733" s="74"/>
      <c r="D733" s="80"/>
      <c r="E733" s="81"/>
      <c r="F733" s="81"/>
      <c r="G733" s="81"/>
      <c r="H733" s="81"/>
      <c r="I733" s="82"/>
      <c r="J733" s="88"/>
      <c r="K733" s="89"/>
      <c r="L733" s="88"/>
      <c r="M733" s="89"/>
      <c r="N733" s="80"/>
      <c r="O733" s="82"/>
      <c r="P733" s="94"/>
      <c r="Q733" s="95"/>
      <c r="S733" s="99"/>
      <c r="T733" s="99"/>
      <c r="U733" s="99"/>
      <c r="V733" s="99"/>
      <c r="W733" s="99"/>
      <c r="X733" s="99"/>
      <c r="Y733" s="99"/>
      <c r="Z733" s="99"/>
      <c r="AA733" s="99"/>
      <c r="AB733" s="99"/>
      <c r="AC733" s="98"/>
      <c r="AD733" s="98"/>
      <c r="AE733" s="98"/>
      <c r="AF733" s="98"/>
      <c r="AG733" s="98"/>
      <c r="AH733" s="98"/>
    </row>
    <row r="734" spans="2:34" x14ac:dyDescent="0.25">
      <c r="B734" s="75"/>
      <c r="C734" s="76"/>
      <c r="D734" s="83"/>
      <c r="E734" s="84"/>
      <c r="F734" s="84"/>
      <c r="G734" s="84"/>
      <c r="H734" s="84"/>
      <c r="I734" s="85"/>
      <c r="J734" s="90"/>
      <c r="K734" s="91"/>
      <c r="L734" s="90"/>
      <c r="M734" s="91"/>
      <c r="N734" s="83"/>
      <c r="O734" s="85"/>
      <c r="P734" s="96"/>
      <c r="Q734" s="97"/>
      <c r="S734" s="99"/>
      <c r="T734" s="99"/>
      <c r="U734" s="99"/>
      <c r="V734" s="99"/>
      <c r="W734" s="99"/>
      <c r="X734" s="99"/>
      <c r="Y734" s="99"/>
      <c r="Z734" s="99"/>
      <c r="AA734" s="99"/>
      <c r="AB734" s="99"/>
      <c r="AC734" s="98"/>
      <c r="AD734" s="98"/>
      <c r="AE734" s="98"/>
      <c r="AF734" s="98"/>
      <c r="AG734" s="98"/>
      <c r="AH734" s="98"/>
    </row>
    <row r="735" spans="2:34" x14ac:dyDescent="0.25">
      <c r="B735" s="71"/>
      <c r="C735" s="72"/>
      <c r="D735" s="77"/>
      <c r="E735" s="78"/>
      <c r="F735" s="78"/>
      <c r="G735" s="78"/>
      <c r="H735" s="78"/>
      <c r="I735" s="79"/>
      <c r="J735" s="86"/>
      <c r="K735" s="87"/>
      <c r="L735" s="86"/>
      <c r="M735" s="87"/>
      <c r="N735" s="77"/>
      <c r="O735" s="79"/>
      <c r="P735" s="92"/>
      <c r="Q735" s="93"/>
      <c r="S735" s="99"/>
      <c r="T735" s="99"/>
      <c r="U735" s="99"/>
      <c r="V735" s="99"/>
      <c r="W735" s="99"/>
      <c r="X735" s="99"/>
      <c r="Y735" s="99"/>
      <c r="Z735" s="99"/>
      <c r="AA735" s="99"/>
      <c r="AB735" s="99"/>
      <c r="AC735" s="98"/>
      <c r="AD735" s="98"/>
      <c r="AE735" s="98"/>
      <c r="AF735" s="98"/>
      <c r="AG735" s="98"/>
      <c r="AH735" s="98"/>
    </row>
    <row r="736" spans="2:34" x14ac:dyDescent="0.25">
      <c r="B736" s="73"/>
      <c r="C736" s="74"/>
      <c r="D736" s="80"/>
      <c r="E736" s="81"/>
      <c r="F736" s="81"/>
      <c r="G736" s="81"/>
      <c r="H736" s="81"/>
      <c r="I736" s="82"/>
      <c r="J736" s="88"/>
      <c r="K736" s="89"/>
      <c r="L736" s="88"/>
      <c r="M736" s="89"/>
      <c r="N736" s="80"/>
      <c r="O736" s="82"/>
      <c r="P736" s="94"/>
      <c r="Q736" s="95"/>
      <c r="S736" s="99"/>
      <c r="T736" s="99"/>
      <c r="U736" s="99"/>
      <c r="V736" s="99"/>
      <c r="W736" s="99"/>
      <c r="X736" s="99"/>
      <c r="Y736" s="99"/>
      <c r="Z736" s="99"/>
      <c r="AA736" s="99"/>
      <c r="AB736" s="99"/>
      <c r="AC736" s="98"/>
      <c r="AD736" s="98"/>
      <c r="AE736" s="98"/>
      <c r="AF736" s="98"/>
      <c r="AG736" s="98"/>
      <c r="AH736" s="98"/>
    </row>
    <row r="737" spans="2:34" x14ac:dyDescent="0.25">
      <c r="B737" s="75"/>
      <c r="C737" s="76"/>
      <c r="D737" s="83"/>
      <c r="E737" s="84"/>
      <c r="F737" s="84"/>
      <c r="G737" s="84"/>
      <c r="H737" s="84"/>
      <c r="I737" s="85"/>
      <c r="J737" s="90"/>
      <c r="K737" s="91"/>
      <c r="L737" s="90"/>
      <c r="M737" s="91"/>
      <c r="N737" s="83"/>
      <c r="O737" s="85"/>
      <c r="P737" s="96"/>
      <c r="Q737" s="97"/>
      <c r="S737" s="99"/>
      <c r="T737" s="99"/>
      <c r="U737" s="99"/>
      <c r="V737" s="99"/>
      <c r="W737" s="99"/>
      <c r="X737" s="99"/>
      <c r="Y737" s="99"/>
      <c r="Z737" s="99"/>
      <c r="AA737" s="99"/>
      <c r="AB737" s="99"/>
      <c r="AC737" s="98"/>
      <c r="AD737" s="98"/>
      <c r="AE737" s="98"/>
      <c r="AF737" s="98"/>
      <c r="AG737" s="98"/>
      <c r="AH737" s="98"/>
    </row>
    <row r="738" spans="2:34" x14ac:dyDescent="0.25">
      <c r="B738" s="71"/>
      <c r="C738" s="72"/>
      <c r="D738" s="77"/>
      <c r="E738" s="78"/>
      <c r="F738" s="78"/>
      <c r="G738" s="78"/>
      <c r="H738" s="78"/>
      <c r="I738" s="79"/>
      <c r="J738" s="86"/>
      <c r="K738" s="87"/>
      <c r="L738" s="86"/>
      <c r="M738" s="87"/>
      <c r="N738" s="77"/>
      <c r="O738" s="79"/>
      <c r="P738" s="92"/>
      <c r="Q738" s="93"/>
      <c r="S738" s="99"/>
      <c r="T738" s="99"/>
      <c r="U738" s="99"/>
      <c r="V738" s="99"/>
      <c r="W738" s="99"/>
      <c r="X738" s="99"/>
      <c r="Y738" s="99"/>
      <c r="Z738" s="99"/>
      <c r="AA738" s="99"/>
      <c r="AB738" s="99"/>
      <c r="AC738" s="98"/>
      <c r="AD738" s="98"/>
      <c r="AE738" s="98"/>
      <c r="AF738" s="98"/>
      <c r="AG738" s="98"/>
      <c r="AH738" s="98"/>
    </row>
    <row r="739" spans="2:34" x14ac:dyDescent="0.25">
      <c r="B739" s="73"/>
      <c r="C739" s="74"/>
      <c r="D739" s="80"/>
      <c r="E739" s="81"/>
      <c r="F739" s="81"/>
      <c r="G739" s="81"/>
      <c r="H739" s="81"/>
      <c r="I739" s="82"/>
      <c r="J739" s="88"/>
      <c r="K739" s="89"/>
      <c r="L739" s="88"/>
      <c r="M739" s="89"/>
      <c r="N739" s="80"/>
      <c r="O739" s="82"/>
      <c r="P739" s="94"/>
      <c r="Q739" s="95"/>
      <c r="S739" s="99"/>
      <c r="T739" s="99"/>
      <c r="U739" s="99"/>
      <c r="V739" s="99"/>
      <c r="W739" s="99"/>
      <c r="X739" s="99"/>
      <c r="Y739" s="99"/>
      <c r="Z739" s="99"/>
      <c r="AA739" s="99"/>
      <c r="AB739" s="99"/>
      <c r="AC739" s="98"/>
      <c r="AD739" s="98"/>
      <c r="AE739" s="98"/>
      <c r="AF739" s="98"/>
      <c r="AG739" s="98"/>
      <c r="AH739" s="98"/>
    </row>
    <row r="740" spans="2:34" x14ac:dyDescent="0.25">
      <c r="B740" s="75"/>
      <c r="C740" s="76"/>
      <c r="D740" s="83"/>
      <c r="E740" s="84"/>
      <c r="F740" s="84"/>
      <c r="G740" s="84"/>
      <c r="H740" s="84"/>
      <c r="I740" s="85"/>
      <c r="J740" s="90"/>
      <c r="K740" s="91"/>
      <c r="L740" s="90"/>
      <c r="M740" s="91"/>
      <c r="N740" s="83"/>
      <c r="O740" s="85"/>
      <c r="P740" s="96"/>
      <c r="Q740" s="97"/>
      <c r="S740" s="99"/>
      <c r="T740" s="99"/>
      <c r="U740" s="99"/>
      <c r="V740" s="99"/>
      <c r="W740" s="99"/>
      <c r="X740" s="99"/>
      <c r="Y740" s="99"/>
      <c r="Z740" s="99"/>
      <c r="AA740" s="99"/>
      <c r="AB740" s="99"/>
      <c r="AC740" s="98"/>
      <c r="AD740" s="98"/>
      <c r="AE740" s="98"/>
      <c r="AF740" s="98"/>
      <c r="AG740" s="98"/>
      <c r="AH740" s="98"/>
    </row>
    <row r="741" spans="2:34" x14ac:dyDescent="0.25">
      <c r="B741" s="71"/>
      <c r="C741" s="72"/>
      <c r="D741" s="77"/>
      <c r="E741" s="78"/>
      <c r="F741" s="78"/>
      <c r="G741" s="78"/>
      <c r="H741" s="78"/>
      <c r="I741" s="79"/>
      <c r="J741" s="86"/>
      <c r="K741" s="87"/>
      <c r="L741" s="86"/>
      <c r="M741" s="87"/>
      <c r="N741" s="77"/>
      <c r="O741" s="79"/>
      <c r="P741" s="92"/>
      <c r="Q741" s="93"/>
      <c r="S741" s="99"/>
      <c r="T741" s="99"/>
      <c r="U741" s="99"/>
      <c r="V741" s="99"/>
      <c r="W741" s="99"/>
      <c r="X741" s="99"/>
      <c r="Y741" s="99"/>
      <c r="Z741" s="99"/>
      <c r="AA741" s="99"/>
      <c r="AB741" s="99"/>
      <c r="AC741" s="98"/>
      <c r="AD741" s="98"/>
      <c r="AE741" s="98"/>
      <c r="AF741" s="98"/>
      <c r="AG741" s="98"/>
      <c r="AH741" s="98"/>
    </row>
    <row r="742" spans="2:34" x14ac:dyDescent="0.25">
      <c r="B742" s="73"/>
      <c r="C742" s="74"/>
      <c r="D742" s="80"/>
      <c r="E742" s="81"/>
      <c r="F742" s="81"/>
      <c r="G742" s="81"/>
      <c r="H742" s="81"/>
      <c r="I742" s="82"/>
      <c r="J742" s="88"/>
      <c r="K742" s="89"/>
      <c r="L742" s="88"/>
      <c r="M742" s="89"/>
      <c r="N742" s="80"/>
      <c r="O742" s="82"/>
      <c r="P742" s="94"/>
      <c r="Q742" s="95"/>
      <c r="S742" s="99"/>
      <c r="T742" s="99"/>
      <c r="U742" s="99"/>
      <c r="V742" s="99"/>
      <c r="W742" s="99"/>
      <c r="X742" s="99"/>
      <c r="Y742" s="99"/>
      <c r="Z742" s="99"/>
      <c r="AA742" s="99"/>
      <c r="AB742" s="99"/>
      <c r="AC742" s="98"/>
      <c r="AD742" s="98"/>
      <c r="AE742" s="98"/>
      <c r="AF742" s="98"/>
      <c r="AG742" s="98"/>
      <c r="AH742" s="98"/>
    </row>
    <row r="743" spans="2:34" x14ac:dyDescent="0.25">
      <c r="B743" s="75"/>
      <c r="C743" s="76"/>
      <c r="D743" s="83"/>
      <c r="E743" s="84"/>
      <c r="F743" s="84"/>
      <c r="G743" s="84"/>
      <c r="H743" s="84"/>
      <c r="I743" s="85"/>
      <c r="J743" s="90"/>
      <c r="K743" s="91"/>
      <c r="L743" s="90"/>
      <c r="M743" s="91"/>
      <c r="N743" s="83"/>
      <c r="O743" s="85"/>
      <c r="P743" s="96"/>
      <c r="Q743" s="97"/>
      <c r="S743" s="99"/>
      <c r="T743" s="99"/>
      <c r="U743" s="99"/>
      <c r="V743" s="99"/>
      <c r="W743" s="99"/>
      <c r="X743" s="99"/>
      <c r="Y743" s="99"/>
      <c r="Z743" s="99"/>
      <c r="AA743" s="99"/>
      <c r="AB743" s="99"/>
      <c r="AC743" s="98"/>
      <c r="AD743" s="98"/>
      <c r="AE743" s="98"/>
      <c r="AF743" s="98"/>
      <c r="AG743" s="98"/>
      <c r="AH743" s="98"/>
    </row>
    <row r="744" spans="2:34" x14ac:dyDescent="0.25">
      <c r="B744" s="71"/>
      <c r="C744" s="72"/>
      <c r="D744" s="77"/>
      <c r="E744" s="78"/>
      <c r="F744" s="78"/>
      <c r="G744" s="78"/>
      <c r="H744" s="78"/>
      <c r="I744" s="79"/>
      <c r="J744" s="86"/>
      <c r="K744" s="87"/>
      <c r="L744" s="86"/>
      <c r="M744" s="87"/>
      <c r="N744" s="77"/>
      <c r="O744" s="79"/>
      <c r="P744" s="92"/>
      <c r="Q744" s="93"/>
      <c r="S744" s="99"/>
      <c r="T744" s="99"/>
      <c r="U744" s="99"/>
      <c r="V744" s="99"/>
      <c r="W744" s="99"/>
      <c r="X744" s="99"/>
      <c r="Y744" s="99"/>
      <c r="Z744" s="99"/>
      <c r="AA744" s="99"/>
      <c r="AB744" s="99"/>
      <c r="AC744" s="98"/>
      <c r="AD744" s="98"/>
      <c r="AE744" s="98"/>
      <c r="AF744" s="98"/>
      <c r="AG744" s="98"/>
      <c r="AH744" s="98"/>
    </row>
    <row r="745" spans="2:34" x14ac:dyDescent="0.25">
      <c r="B745" s="73"/>
      <c r="C745" s="74"/>
      <c r="D745" s="80"/>
      <c r="E745" s="81"/>
      <c r="F745" s="81"/>
      <c r="G745" s="81"/>
      <c r="H745" s="81"/>
      <c r="I745" s="82"/>
      <c r="J745" s="88"/>
      <c r="K745" s="89"/>
      <c r="L745" s="88"/>
      <c r="M745" s="89"/>
      <c r="N745" s="80"/>
      <c r="O745" s="82"/>
      <c r="P745" s="94"/>
      <c r="Q745" s="95"/>
      <c r="S745" s="99"/>
      <c r="T745" s="99"/>
      <c r="U745" s="99"/>
      <c r="V745" s="99"/>
      <c r="W745" s="99"/>
      <c r="X745" s="99"/>
      <c r="Y745" s="99"/>
      <c r="Z745" s="99"/>
      <c r="AA745" s="99"/>
      <c r="AB745" s="99"/>
      <c r="AC745" s="98"/>
      <c r="AD745" s="98"/>
      <c r="AE745" s="98"/>
      <c r="AF745" s="98"/>
      <c r="AG745" s="98"/>
      <c r="AH745" s="98"/>
    </row>
    <row r="746" spans="2:34" x14ac:dyDescent="0.25">
      <c r="B746" s="75"/>
      <c r="C746" s="76"/>
      <c r="D746" s="83"/>
      <c r="E746" s="84"/>
      <c r="F746" s="84"/>
      <c r="G746" s="84"/>
      <c r="H746" s="84"/>
      <c r="I746" s="85"/>
      <c r="J746" s="90"/>
      <c r="K746" s="91"/>
      <c r="L746" s="90"/>
      <c r="M746" s="91"/>
      <c r="N746" s="83"/>
      <c r="O746" s="85"/>
      <c r="P746" s="96"/>
      <c r="Q746" s="97"/>
      <c r="S746" s="99"/>
      <c r="T746" s="99"/>
      <c r="U746" s="99"/>
      <c r="V746" s="99"/>
      <c r="W746" s="99"/>
      <c r="X746" s="99"/>
      <c r="Y746" s="99"/>
      <c r="Z746" s="99"/>
      <c r="AA746" s="99"/>
      <c r="AB746" s="99"/>
      <c r="AC746" s="98"/>
      <c r="AD746" s="98"/>
      <c r="AE746" s="98"/>
      <c r="AF746" s="98"/>
      <c r="AG746" s="98"/>
      <c r="AH746" s="98"/>
    </row>
    <row r="747" spans="2:34" x14ac:dyDescent="0.25">
      <c r="B747" s="71"/>
      <c r="C747" s="72"/>
      <c r="D747" s="77"/>
      <c r="E747" s="78"/>
      <c r="F747" s="78"/>
      <c r="G747" s="78"/>
      <c r="H747" s="78"/>
      <c r="I747" s="79"/>
      <c r="J747" s="86"/>
      <c r="K747" s="87"/>
      <c r="L747" s="86"/>
      <c r="M747" s="87"/>
      <c r="N747" s="77"/>
      <c r="O747" s="79"/>
      <c r="P747" s="92"/>
      <c r="Q747" s="93"/>
      <c r="S747" s="99"/>
      <c r="T747" s="99"/>
      <c r="U747" s="99"/>
      <c r="V747" s="99"/>
      <c r="W747" s="99"/>
      <c r="X747" s="99"/>
      <c r="Y747" s="99"/>
      <c r="Z747" s="99"/>
      <c r="AA747" s="99"/>
      <c r="AB747" s="99"/>
      <c r="AC747" s="98"/>
      <c r="AD747" s="98"/>
      <c r="AE747" s="98"/>
      <c r="AF747" s="98"/>
      <c r="AG747" s="98"/>
      <c r="AH747" s="98"/>
    </row>
    <row r="748" spans="2:34" x14ac:dyDescent="0.25">
      <c r="B748" s="73"/>
      <c r="C748" s="74"/>
      <c r="D748" s="80"/>
      <c r="E748" s="81"/>
      <c r="F748" s="81"/>
      <c r="G748" s="81"/>
      <c r="H748" s="81"/>
      <c r="I748" s="82"/>
      <c r="J748" s="88"/>
      <c r="K748" s="89"/>
      <c r="L748" s="88"/>
      <c r="M748" s="89"/>
      <c r="N748" s="80"/>
      <c r="O748" s="82"/>
      <c r="P748" s="94"/>
      <c r="Q748" s="95"/>
      <c r="S748" s="99"/>
      <c r="T748" s="99"/>
      <c r="U748" s="99"/>
      <c r="V748" s="99"/>
      <c r="W748" s="99"/>
      <c r="X748" s="99"/>
      <c r="Y748" s="99"/>
      <c r="Z748" s="99"/>
      <c r="AA748" s="99"/>
      <c r="AB748" s="99"/>
      <c r="AC748" s="98"/>
      <c r="AD748" s="98"/>
      <c r="AE748" s="98"/>
      <c r="AF748" s="98"/>
      <c r="AG748" s="98"/>
      <c r="AH748" s="98"/>
    </row>
    <row r="749" spans="2:34" x14ac:dyDescent="0.25">
      <c r="B749" s="75"/>
      <c r="C749" s="76"/>
      <c r="D749" s="83"/>
      <c r="E749" s="84"/>
      <c r="F749" s="84"/>
      <c r="G749" s="84"/>
      <c r="H749" s="84"/>
      <c r="I749" s="85"/>
      <c r="J749" s="90"/>
      <c r="K749" s="91"/>
      <c r="L749" s="90"/>
      <c r="M749" s="91"/>
      <c r="N749" s="83"/>
      <c r="O749" s="85"/>
      <c r="P749" s="96"/>
      <c r="Q749" s="97"/>
      <c r="S749" s="99"/>
      <c r="T749" s="99"/>
      <c r="U749" s="99"/>
      <c r="V749" s="99"/>
      <c r="W749" s="99"/>
      <c r="X749" s="99"/>
      <c r="Y749" s="99"/>
      <c r="Z749" s="99"/>
      <c r="AA749" s="99"/>
      <c r="AB749" s="99"/>
      <c r="AC749" s="98"/>
      <c r="AD749" s="98"/>
      <c r="AE749" s="98"/>
      <c r="AF749" s="98"/>
      <c r="AG749" s="98"/>
      <c r="AH749" s="98"/>
    </row>
    <row r="750" spans="2:34" x14ac:dyDescent="0.25">
      <c r="B750" s="71"/>
      <c r="C750" s="72"/>
      <c r="D750" s="77"/>
      <c r="E750" s="78"/>
      <c r="F750" s="78"/>
      <c r="G750" s="78"/>
      <c r="H750" s="78"/>
      <c r="I750" s="79"/>
      <c r="J750" s="86"/>
      <c r="K750" s="87"/>
      <c r="L750" s="86"/>
      <c r="M750" s="87"/>
      <c r="N750" s="77"/>
      <c r="O750" s="79"/>
      <c r="P750" s="92"/>
      <c r="Q750" s="93"/>
      <c r="S750" s="99"/>
      <c r="T750" s="99"/>
      <c r="U750" s="99"/>
      <c r="V750" s="99"/>
      <c r="W750" s="99"/>
      <c r="X750" s="99"/>
      <c r="Y750" s="99"/>
      <c r="Z750" s="99"/>
      <c r="AA750" s="99"/>
      <c r="AB750" s="99"/>
      <c r="AC750" s="98"/>
      <c r="AD750" s="98"/>
      <c r="AE750" s="98"/>
      <c r="AF750" s="98"/>
      <c r="AG750" s="98"/>
      <c r="AH750" s="98"/>
    </row>
    <row r="751" spans="2:34" x14ac:dyDescent="0.25">
      <c r="B751" s="73"/>
      <c r="C751" s="74"/>
      <c r="D751" s="80"/>
      <c r="E751" s="81"/>
      <c r="F751" s="81"/>
      <c r="G751" s="81"/>
      <c r="H751" s="81"/>
      <c r="I751" s="82"/>
      <c r="J751" s="88"/>
      <c r="K751" s="89"/>
      <c r="L751" s="88"/>
      <c r="M751" s="89"/>
      <c r="N751" s="80"/>
      <c r="O751" s="82"/>
      <c r="P751" s="94"/>
      <c r="Q751" s="95"/>
      <c r="S751" s="99"/>
      <c r="T751" s="99"/>
      <c r="U751" s="99"/>
      <c r="V751" s="99"/>
      <c r="W751" s="99"/>
      <c r="X751" s="99"/>
      <c r="Y751" s="99"/>
      <c r="Z751" s="99"/>
      <c r="AA751" s="99"/>
      <c r="AB751" s="99"/>
      <c r="AC751" s="98"/>
      <c r="AD751" s="98"/>
      <c r="AE751" s="98"/>
      <c r="AF751" s="98"/>
      <c r="AG751" s="98"/>
      <c r="AH751" s="98"/>
    </row>
    <row r="752" spans="2:34" x14ac:dyDescent="0.25">
      <c r="B752" s="75"/>
      <c r="C752" s="76"/>
      <c r="D752" s="83"/>
      <c r="E752" s="84"/>
      <c r="F752" s="84"/>
      <c r="G752" s="84"/>
      <c r="H752" s="84"/>
      <c r="I752" s="85"/>
      <c r="J752" s="90"/>
      <c r="K752" s="91"/>
      <c r="L752" s="90"/>
      <c r="M752" s="91"/>
      <c r="N752" s="83"/>
      <c r="O752" s="85"/>
      <c r="P752" s="96"/>
      <c r="Q752" s="97"/>
      <c r="S752" s="99"/>
      <c r="T752" s="99"/>
      <c r="U752" s="99"/>
      <c r="V752" s="99"/>
      <c r="W752" s="99"/>
      <c r="X752" s="99"/>
      <c r="Y752" s="99"/>
      <c r="Z752" s="99"/>
      <c r="AA752" s="99"/>
      <c r="AB752" s="99"/>
      <c r="AC752" s="98"/>
      <c r="AD752" s="98"/>
      <c r="AE752" s="98"/>
      <c r="AF752" s="98"/>
      <c r="AG752" s="98"/>
      <c r="AH752" s="98"/>
    </row>
    <row r="753" spans="2:34" x14ac:dyDescent="0.25">
      <c r="B753" s="71"/>
      <c r="C753" s="72"/>
      <c r="D753" s="77"/>
      <c r="E753" s="78"/>
      <c r="F753" s="78"/>
      <c r="G753" s="78"/>
      <c r="H753" s="78"/>
      <c r="I753" s="79"/>
      <c r="J753" s="86"/>
      <c r="K753" s="87"/>
      <c r="L753" s="86"/>
      <c r="M753" s="87"/>
      <c r="N753" s="77"/>
      <c r="O753" s="79"/>
      <c r="P753" s="92"/>
      <c r="Q753" s="93"/>
      <c r="S753" s="99"/>
      <c r="T753" s="99"/>
      <c r="U753" s="99"/>
      <c r="V753" s="99"/>
      <c r="W753" s="99"/>
      <c r="X753" s="99"/>
      <c r="Y753" s="99"/>
      <c r="Z753" s="99"/>
      <c r="AA753" s="99"/>
      <c r="AB753" s="99"/>
      <c r="AC753" s="98"/>
      <c r="AD753" s="98"/>
      <c r="AE753" s="98"/>
      <c r="AF753" s="98"/>
      <c r="AG753" s="98"/>
      <c r="AH753" s="98"/>
    </row>
    <row r="754" spans="2:34" x14ac:dyDescent="0.25">
      <c r="B754" s="73"/>
      <c r="C754" s="74"/>
      <c r="D754" s="80"/>
      <c r="E754" s="81"/>
      <c r="F754" s="81"/>
      <c r="G754" s="81"/>
      <c r="H754" s="81"/>
      <c r="I754" s="82"/>
      <c r="J754" s="88"/>
      <c r="K754" s="89"/>
      <c r="L754" s="88"/>
      <c r="M754" s="89"/>
      <c r="N754" s="80"/>
      <c r="O754" s="82"/>
      <c r="P754" s="94"/>
      <c r="Q754" s="95"/>
      <c r="S754" s="99"/>
      <c r="T754" s="99"/>
      <c r="U754" s="99"/>
      <c r="V754" s="99"/>
      <c r="W754" s="99"/>
      <c r="X754" s="99"/>
      <c r="Y754" s="99"/>
      <c r="Z754" s="99"/>
      <c r="AA754" s="99"/>
      <c r="AB754" s="99"/>
      <c r="AC754" s="98"/>
      <c r="AD754" s="98"/>
      <c r="AE754" s="98"/>
      <c r="AF754" s="98"/>
      <c r="AG754" s="98"/>
      <c r="AH754" s="98"/>
    </row>
    <row r="755" spans="2:34" x14ac:dyDescent="0.25">
      <c r="B755" s="75"/>
      <c r="C755" s="76"/>
      <c r="D755" s="83"/>
      <c r="E755" s="84"/>
      <c r="F755" s="84"/>
      <c r="G755" s="84"/>
      <c r="H755" s="84"/>
      <c r="I755" s="85"/>
      <c r="J755" s="90"/>
      <c r="K755" s="91"/>
      <c r="L755" s="90"/>
      <c r="M755" s="91"/>
      <c r="N755" s="83"/>
      <c r="O755" s="85"/>
      <c r="P755" s="96"/>
      <c r="Q755" s="97"/>
      <c r="S755" s="99"/>
      <c r="T755" s="99"/>
      <c r="U755" s="99"/>
      <c r="V755" s="99"/>
      <c r="W755" s="99"/>
      <c r="X755" s="99"/>
      <c r="Y755" s="99"/>
      <c r="Z755" s="99"/>
      <c r="AA755" s="99"/>
      <c r="AB755" s="99"/>
      <c r="AC755" s="98"/>
      <c r="AD755" s="98"/>
      <c r="AE755" s="98"/>
      <c r="AF755" s="98"/>
      <c r="AG755" s="98"/>
      <c r="AH755" s="98"/>
    </row>
    <row r="756" spans="2:34" x14ac:dyDescent="0.25">
      <c r="B756" s="71"/>
      <c r="C756" s="72"/>
      <c r="D756" s="77"/>
      <c r="E756" s="78"/>
      <c r="F756" s="78"/>
      <c r="G756" s="78"/>
      <c r="H756" s="78"/>
      <c r="I756" s="79"/>
      <c r="J756" s="86"/>
      <c r="K756" s="87"/>
      <c r="L756" s="86"/>
      <c r="M756" s="87"/>
      <c r="N756" s="77"/>
      <c r="O756" s="79"/>
      <c r="P756" s="92"/>
      <c r="Q756" s="93"/>
      <c r="S756" s="99"/>
      <c r="T756" s="99"/>
      <c r="U756" s="99"/>
      <c r="V756" s="99"/>
      <c r="W756" s="99"/>
      <c r="X756" s="99"/>
      <c r="Y756" s="99"/>
      <c r="Z756" s="99"/>
      <c r="AA756" s="99"/>
      <c r="AB756" s="99"/>
      <c r="AC756" s="98"/>
      <c r="AD756" s="98"/>
      <c r="AE756" s="98"/>
      <c r="AF756" s="98"/>
      <c r="AG756" s="98"/>
      <c r="AH756" s="98"/>
    </row>
    <row r="757" spans="2:34" x14ac:dyDescent="0.25">
      <c r="B757" s="73"/>
      <c r="C757" s="74"/>
      <c r="D757" s="80"/>
      <c r="E757" s="81"/>
      <c r="F757" s="81"/>
      <c r="G757" s="81"/>
      <c r="H757" s="81"/>
      <c r="I757" s="82"/>
      <c r="J757" s="88"/>
      <c r="K757" s="89"/>
      <c r="L757" s="88"/>
      <c r="M757" s="89"/>
      <c r="N757" s="80"/>
      <c r="O757" s="82"/>
      <c r="P757" s="94"/>
      <c r="Q757" s="95"/>
      <c r="S757" s="99"/>
      <c r="T757" s="99"/>
      <c r="U757" s="99"/>
      <c r="V757" s="99"/>
      <c r="W757" s="99"/>
      <c r="X757" s="99"/>
      <c r="Y757" s="99"/>
      <c r="Z757" s="99"/>
      <c r="AA757" s="99"/>
      <c r="AB757" s="99"/>
      <c r="AC757" s="98"/>
      <c r="AD757" s="98"/>
      <c r="AE757" s="98"/>
      <c r="AF757" s="98"/>
      <c r="AG757" s="98"/>
      <c r="AH757" s="98"/>
    </row>
    <row r="758" spans="2:34" x14ac:dyDescent="0.25">
      <c r="B758" s="75"/>
      <c r="C758" s="76"/>
      <c r="D758" s="83"/>
      <c r="E758" s="84"/>
      <c r="F758" s="84"/>
      <c r="G758" s="84"/>
      <c r="H758" s="84"/>
      <c r="I758" s="85"/>
      <c r="J758" s="90"/>
      <c r="K758" s="91"/>
      <c r="L758" s="90"/>
      <c r="M758" s="91"/>
      <c r="N758" s="83"/>
      <c r="O758" s="85"/>
      <c r="P758" s="96"/>
      <c r="Q758" s="97"/>
      <c r="S758" s="99"/>
      <c r="T758" s="99"/>
      <c r="U758" s="99"/>
      <c r="V758" s="99"/>
      <c r="W758" s="99"/>
      <c r="X758" s="99"/>
      <c r="Y758" s="99"/>
      <c r="Z758" s="99"/>
      <c r="AA758" s="99"/>
      <c r="AB758" s="99"/>
      <c r="AC758" s="98"/>
      <c r="AD758" s="98"/>
      <c r="AE758" s="98"/>
      <c r="AF758" s="98"/>
      <c r="AG758" s="98"/>
      <c r="AH758" s="98"/>
    </row>
    <row r="759" spans="2:34" x14ac:dyDescent="0.25">
      <c r="B759" s="71"/>
      <c r="C759" s="72"/>
      <c r="D759" s="77"/>
      <c r="E759" s="78"/>
      <c r="F759" s="78"/>
      <c r="G759" s="78"/>
      <c r="H759" s="78"/>
      <c r="I759" s="79"/>
      <c r="J759" s="86"/>
      <c r="K759" s="87"/>
      <c r="L759" s="86"/>
      <c r="M759" s="87"/>
      <c r="N759" s="77"/>
      <c r="O759" s="79"/>
      <c r="P759" s="92"/>
      <c r="Q759" s="93"/>
      <c r="S759" s="99"/>
      <c r="T759" s="99"/>
      <c r="U759" s="99"/>
      <c r="V759" s="99"/>
      <c r="W759" s="99"/>
      <c r="X759" s="99"/>
      <c r="Y759" s="99"/>
      <c r="Z759" s="99"/>
      <c r="AA759" s="99"/>
      <c r="AB759" s="99"/>
      <c r="AC759" s="98"/>
      <c r="AD759" s="98"/>
      <c r="AE759" s="98"/>
      <c r="AF759" s="98"/>
      <c r="AG759" s="98"/>
      <c r="AH759" s="98"/>
    </row>
    <row r="760" spans="2:34" x14ac:dyDescent="0.25">
      <c r="B760" s="73"/>
      <c r="C760" s="74"/>
      <c r="D760" s="80"/>
      <c r="E760" s="81"/>
      <c r="F760" s="81"/>
      <c r="G760" s="81"/>
      <c r="H760" s="81"/>
      <c r="I760" s="82"/>
      <c r="J760" s="88"/>
      <c r="K760" s="89"/>
      <c r="L760" s="88"/>
      <c r="M760" s="89"/>
      <c r="N760" s="80"/>
      <c r="O760" s="82"/>
      <c r="P760" s="94"/>
      <c r="Q760" s="95"/>
      <c r="S760" s="99"/>
      <c r="T760" s="99"/>
      <c r="U760" s="99"/>
      <c r="V760" s="99"/>
      <c r="W760" s="99"/>
      <c r="X760" s="99"/>
      <c r="Y760" s="99"/>
      <c r="Z760" s="99"/>
      <c r="AA760" s="99"/>
      <c r="AB760" s="99"/>
      <c r="AC760" s="98"/>
      <c r="AD760" s="98"/>
      <c r="AE760" s="98"/>
      <c r="AF760" s="98"/>
      <c r="AG760" s="98"/>
      <c r="AH760" s="98"/>
    </row>
    <row r="761" spans="2:34" x14ac:dyDescent="0.25">
      <c r="B761" s="75"/>
      <c r="C761" s="76"/>
      <c r="D761" s="83"/>
      <c r="E761" s="84"/>
      <c r="F761" s="84"/>
      <c r="G761" s="84"/>
      <c r="H761" s="84"/>
      <c r="I761" s="85"/>
      <c r="J761" s="90"/>
      <c r="K761" s="91"/>
      <c r="L761" s="90"/>
      <c r="M761" s="91"/>
      <c r="N761" s="83"/>
      <c r="O761" s="85"/>
      <c r="P761" s="96"/>
      <c r="Q761" s="97"/>
      <c r="S761" s="99"/>
      <c r="T761" s="99"/>
      <c r="U761" s="99"/>
      <c r="V761" s="99"/>
      <c r="W761" s="99"/>
      <c r="X761" s="99"/>
      <c r="Y761" s="99"/>
      <c r="Z761" s="99"/>
      <c r="AA761" s="99"/>
      <c r="AB761" s="99"/>
      <c r="AC761" s="98"/>
      <c r="AD761" s="98"/>
      <c r="AE761" s="98"/>
      <c r="AF761" s="98"/>
      <c r="AG761" s="98"/>
      <c r="AH761" s="98"/>
    </row>
    <row r="762" spans="2:34" x14ac:dyDescent="0.25">
      <c r="B762" s="71"/>
      <c r="C762" s="72"/>
      <c r="D762" s="77"/>
      <c r="E762" s="78"/>
      <c r="F762" s="78"/>
      <c r="G762" s="78"/>
      <c r="H762" s="78"/>
      <c r="I762" s="79"/>
      <c r="J762" s="86"/>
      <c r="K762" s="87"/>
      <c r="L762" s="86"/>
      <c r="M762" s="87"/>
      <c r="N762" s="77"/>
      <c r="O762" s="79"/>
      <c r="P762" s="92"/>
      <c r="Q762" s="93"/>
      <c r="S762" s="99"/>
      <c r="T762" s="99"/>
      <c r="U762" s="99"/>
      <c r="V762" s="99"/>
      <c r="W762" s="99"/>
      <c r="X762" s="99"/>
      <c r="Y762" s="99"/>
      <c r="Z762" s="99"/>
      <c r="AA762" s="99"/>
      <c r="AB762" s="99"/>
      <c r="AC762" s="98"/>
      <c r="AD762" s="98"/>
      <c r="AE762" s="98"/>
      <c r="AF762" s="98"/>
      <c r="AG762" s="98"/>
      <c r="AH762" s="98"/>
    </row>
    <row r="763" spans="2:34" x14ac:dyDescent="0.25">
      <c r="B763" s="73"/>
      <c r="C763" s="74"/>
      <c r="D763" s="80"/>
      <c r="E763" s="81"/>
      <c r="F763" s="81"/>
      <c r="G763" s="81"/>
      <c r="H763" s="81"/>
      <c r="I763" s="82"/>
      <c r="J763" s="88"/>
      <c r="K763" s="89"/>
      <c r="L763" s="88"/>
      <c r="M763" s="89"/>
      <c r="N763" s="80"/>
      <c r="O763" s="82"/>
      <c r="P763" s="94"/>
      <c r="Q763" s="95"/>
      <c r="S763" s="99"/>
      <c r="T763" s="99"/>
      <c r="U763" s="99"/>
      <c r="V763" s="99"/>
      <c r="W763" s="99"/>
      <c r="X763" s="99"/>
      <c r="Y763" s="99"/>
      <c r="Z763" s="99"/>
      <c r="AA763" s="99"/>
      <c r="AB763" s="99"/>
      <c r="AC763" s="98"/>
      <c r="AD763" s="98"/>
      <c r="AE763" s="98"/>
      <c r="AF763" s="98"/>
      <c r="AG763" s="98"/>
      <c r="AH763" s="98"/>
    </row>
    <row r="764" spans="2:34" x14ac:dyDescent="0.25">
      <c r="B764" s="75"/>
      <c r="C764" s="76"/>
      <c r="D764" s="83"/>
      <c r="E764" s="84"/>
      <c r="F764" s="84"/>
      <c r="G764" s="84"/>
      <c r="H764" s="84"/>
      <c r="I764" s="85"/>
      <c r="J764" s="90"/>
      <c r="K764" s="91"/>
      <c r="L764" s="90"/>
      <c r="M764" s="91"/>
      <c r="N764" s="83"/>
      <c r="O764" s="85"/>
      <c r="P764" s="96"/>
      <c r="Q764" s="97"/>
      <c r="S764" s="99"/>
      <c r="T764" s="99"/>
      <c r="U764" s="99"/>
      <c r="V764" s="99"/>
      <c r="W764" s="99"/>
      <c r="X764" s="99"/>
      <c r="Y764" s="99"/>
      <c r="Z764" s="99"/>
      <c r="AA764" s="99"/>
      <c r="AB764" s="99"/>
      <c r="AC764" s="98"/>
      <c r="AD764" s="98"/>
      <c r="AE764" s="98"/>
      <c r="AF764" s="98"/>
      <c r="AG764" s="98"/>
      <c r="AH764" s="98"/>
    </row>
    <row r="765" spans="2:34" x14ac:dyDescent="0.25">
      <c r="B765" s="71"/>
      <c r="C765" s="72"/>
      <c r="D765" s="77"/>
      <c r="E765" s="78"/>
      <c r="F765" s="78"/>
      <c r="G765" s="78"/>
      <c r="H765" s="78"/>
      <c r="I765" s="79"/>
      <c r="J765" s="86"/>
      <c r="K765" s="87"/>
      <c r="L765" s="86"/>
      <c r="M765" s="87"/>
      <c r="N765" s="77"/>
      <c r="O765" s="79"/>
      <c r="P765" s="92"/>
      <c r="Q765" s="93"/>
      <c r="S765" s="99"/>
      <c r="T765" s="99"/>
      <c r="U765" s="99"/>
      <c r="V765" s="99"/>
      <c r="W765" s="99"/>
      <c r="X765" s="99"/>
      <c r="Y765" s="99"/>
      <c r="Z765" s="99"/>
      <c r="AA765" s="99"/>
      <c r="AB765" s="99"/>
      <c r="AC765" s="98"/>
      <c r="AD765" s="98"/>
      <c r="AE765" s="98"/>
      <c r="AF765" s="98"/>
      <c r="AG765" s="98"/>
      <c r="AH765" s="98"/>
    </row>
    <row r="766" spans="2:34" x14ac:dyDescent="0.25">
      <c r="B766" s="73"/>
      <c r="C766" s="74"/>
      <c r="D766" s="80"/>
      <c r="E766" s="81"/>
      <c r="F766" s="81"/>
      <c r="G766" s="81"/>
      <c r="H766" s="81"/>
      <c r="I766" s="82"/>
      <c r="J766" s="88"/>
      <c r="K766" s="89"/>
      <c r="L766" s="88"/>
      <c r="M766" s="89"/>
      <c r="N766" s="80"/>
      <c r="O766" s="82"/>
      <c r="P766" s="94"/>
      <c r="Q766" s="95"/>
      <c r="S766" s="99"/>
      <c r="T766" s="99"/>
      <c r="U766" s="99"/>
      <c r="V766" s="99"/>
      <c r="W766" s="99"/>
      <c r="X766" s="99"/>
      <c r="Y766" s="99"/>
      <c r="Z766" s="99"/>
      <c r="AA766" s="99"/>
      <c r="AB766" s="99"/>
      <c r="AC766" s="98"/>
      <c r="AD766" s="98"/>
      <c r="AE766" s="98"/>
      <c r="AF766" s="98"/>
      <c r="AG766" s="98"/>
      <c r="AH766" s="98"/>
    </row>
    <row r="767" spans="2:34" x14ac:dyDescent="0.25">
      <c r="B767" s="75"/>
      <c r="C767" s="76"/>
      <c r="D767" s="83"/>
      <c r="E767" s="84"/>
      <c r="F767" s="84"/>
      <c r="G767" s="84"/>
      <c r="H767" s="84"/>
      <c r="I767" s="85"/>
      <c r="J767" s="90"/>
      <c r="K767" s="91"/>
      <c r="L767" s="90"/>
      <c r="M767" s="91"/>
      <c r="N767" s="83"/>
      <c r="O767" s="85"/>
      <c r="P767" s="96"/>
      <c r="Q767" s="97"/>
      <c r="S767" s="99"/>
      <c r="T767" s="99"/>
      <c r="U767" s="99"/>
      <c r="V767" s="99"/>
      <c r="W767" s="99"/>
      <c r="X767" s="99"/>
      <c r="Y767" s="99"/>
      <c r="Z767" s="99"/>
      <c r="AA767" s="99"/>
      <c r="AB767" s="99"/>
      <c r="AC767" s="98"/>
      <c r="AD767" s="98"/>
      <c r="AE767" s="98"/>
      <c r="AF767" s="98"/>
      <c r="AG767" s="98"/>
      <c r="AH767" s="98"/>
    </row>
    <row r="768" spans="2:34" x14ac:dyDescent="0.25">
      <c r="B768" s="71"/>
      <c r="C768" s="72"/>
      <c r="D768" s="77"/>
      <c r="E768" s="78"/>
      <c r="F768" s="78"/>
      <c r="G768" s="78"/>
      <c r="H768" s="78"/>
      <c r="I768" s="79"/>
      <c r="J768" s="86"/>
      <c r="K768" s="87"/>
      <c r="L768" s="86"/>
      <c r="M768" s="87"/>
      <c r="N768" s="77"/>
      <c r="O768" s="79"/>
      <c r="P768" s="92"/>
      <c r="Q768" s="93"/>
      <c r="S768" s="99"/>
      <c r="T768" s="99"/>
      <c r="U768" s="99"/>
      <c r="V768" s="99"/>
      <c r="W768" s="99"/>
      <c r="X768" s="99"/>
      <c r="Y768" s="99"/>
      <c r="Z768" s="99"/>
      <c r="AA768" s="99"/>
      <c r="AB768" s="99"/>
      <c r="AC768" s="98"/>
      <c r="AD768" s="98"/>
      <c r="AE768" s="98"/>
      <c r="AF768" s="98"/>
      <c r="AG768" s="98"/>
      <c r="AH768" s="98"/>
    </row>
    <row r="769" spans="2:34" x14ac:dyDescent="0.25">
      <c r="B769" s="73"/>
      <c r="C769" s="74"/>
      <c r="D769" s="80"/>
      <c r="E769" s="81"/>
      <c r="F769" s="81"/>
      <c r="G769" s="81"/>
      <c r="H769" s="81"/>
      <c r="I769" s="82"/>
      <c r="J769" s="88"/>
      <c r="K769" s="89"/>
      <c r="L769" s="88"/>
      <c r="M769" s="89"/>
      <c r="N769" s="80"/>
      <c r="O769" s="82"/>
      <c r="P769" s="94"/>
      <c r="Q769" s="95"/>
      <c r="S769" s="99"/>
      <c r="T769" s="99"/>
      <c r="U769" s="99"/>
      <c r="V769" s="99"/>
      <c r="W769" s="99"/>
      <c r="X769" s="99"/>
      <c r="Y769" s="99"/>
      <c r="Z769" s="99"/>
      <c r="AA769" s="99"/>
      <c r="AB769" s="99"/>
      <c r="AC769" s="98"/>
      <c r="AD769" s="98"/>
      <c r="AE769" s="98"/>
      <c r="AF769" s="98"/>
      <c r="AG769" s="98"/>
      <c r="AH769" s="98"/>
    </row>
    <row r="770" spans="2:34" x14ac:dyDescent="0.25">
      <c r="B770" s="75"/>
      <c r="C770" s="76"/>
      <c r="D770" s="83"/>
      <c r="E770" s="84"/>
      <c r="F770" s="84"/>
      <c r="G770" s="84"/>
      <c r="H770" s="84"/>
      <c r="I770" s="85"/>
      <c r="J770" s="90"/>
      <c r="K770" s="91"/>
      <c r="L770" s="90"/>
      <c r="M770" s="91"/>
      <c r="N770" s="83"/>
      <c r="O770" s="85"/>
      <c r="P770" s="96"/>
      <c r="Q770" s="97"/>
      <c r="S770" s="99"/>
      <c r="T770" s="99"/>
      <c r="U770" s="99"/>
      <c r="V770" s="99"/>
      <c r="W770" s="99"/>
      <c r="X770" s="99"/>
      <c r="Y770" s="99"/>
      <c r="Z770" s="99"/>
      <c r="AA770" s="99"/>
      <c r="AB770" s="99"/>
      <c r="AC770" s="98"/>
      <c r="AD770" s="98"/>
      <c r="AE770" s="98"/>
      <c r="AF770" s="98"/>
      <c r="AG770" s="98"/>
      <c r="AH770" s="98"/>
    </row>
    <row r="771" spans="2:34" x14ac:dyDescent="0.25">
      <c r="B771" s="71"/>
      <c r="C771" s="72"/>
      <c r="D771" s="77"/>
      <c r="E771" s="78"/>
      <c r="F771" s="78"/>
      <c r="G771" s="78"/>
      <c r="H771" s="78"/>
      <c r="I771" s="79"/>
      <c r="J771" s="86"/>
      <c r="K771" s="87"/>
      <c r="L771" s="86"/>
      <c r="M771" s="87"/>
      <c r="N771" s="77"/>
      <c r="O771" s="79"/>
      <c r="P771" s="92"/>
      <c r="Q771" s="93"/>
      <c r="S771" s="99"/>
      <c r="T771" s="99"/>
      <c r="U771" s="99"/>
      <c r="V771" s="99"/>
      <c r="W771" s="99"/>
      <c r="X771" s="99"/>
      <c r="Y771" s="99"/>
      <c r="Z771" s="99"/>
      <c r="AA771" s="99"/>
      <c r="AB771" s="99"/>
      <c r="AC771" s="98"/>
      <c r="AD771" s="98"/>
      <c r="AE771" s="98"/>
      <c r="AF771" s="98"/>
      <c r="AG771" s="98"/>
      <c r="AH771" s="98"/>
    </row>
    <row r="772" spans="2:34" x14ac:dyDescent="0.25">
      <c r="B772" s="73"/>
      <c r="C772" s="74"/>
      <c r="D772" s="80"/>
      <c r="E772" s="81"/>
      <c r="F772" s="81"/>
      <c r="G772" s="81"/>
      <c r="H772" s="81"/>
      <c r="I772" s="82"/>
      <c r="J772" s="88"/>
      <c r="K772" s="89"/>
      <c r="L772" s="88"/>
      <c r="M772" s="89"/>
      <c r="N772" s="80"/>
      <c r="O772" s="82"/>
      <c r="P772" s="94"/>
      <c r="Q772" s="95"/>
      <c r="S772" s="99"/>
      <c r="T772" s="99"/>
      <c r="U772" s="99"/>
      <c r="V772" s="99"/>
      <c r="W772" s="99"/>
      <c r="X772" s="99"/>
      <c r="Y772" s="99"/>
      <c r="Z772" s="99"/>
      <c r="AA772" s="99"/>
      <c r="AB772" s="99"/>
      <c r="AC772" s="98"/>
      <c r="AD772" s="98"/>
      <c r="AE772" s="98"/>
      <c r="AF772" s="98"/>
      <c r="AG772" s="98"/>
      <c r="AH772" s="98"/>
    </row>
    <row r="773" spans="2:34" x14ac:dyDescent="0.25">
      <c r="B773" s="75"/>
      <c r="C773" s="76"/>
      <c r="D773" s="83"/>
      <c r="E773" s="84"/>
      <c r="F773" s="84"/>
      <c r="G773" s="84"/>
      <c r="H773" s="84"/>
      <c r="I773" s="85"/>
      <c r="J773" s="90"/>
      <c r="K773" s="91"/>
      <c r="L773" s="90"/>
      <c r="M773" s="91"/>
      <c r="N773" s="83"/>
      <c r="O773" s="85"/>
      <c r="P773" s="96"/>
      <c r="Q773" s="97"/>
      <c r="S773" s="99"/>
      <c r="T773" s="99"/>
      <c r="U773" s="99"/>
      <c r="V773" s="99"/>
      <c r="W773" s="99"/>
      <c r="X773" s="99"/>
      <c r="Y773" s="99"/>
      <c r="Z773" s="99"/>
      <c r="AA773" s="99"/>
      <c r="AB773" s="99"/>
      <c r="AC773" s="98"/>
      <c r="AD773" s="98"/>
      <c r="AE773" s="98"/>
      <c r="AF773" s="98"/>
      <c r="AG773" s="98"/>
      <c r="AH773" s="98"/>
    </row>
    <row r="774" spans="2:34" x14ac:dyDescent="0.25">
      <c r="B774" s="71"/>
      <c r="C774" s="72"/>
      <c r="D774" s="77"/>
      <c r="E774" s="78"/>
      <c r="F774" s="78"/>
      <c r="G774" s="78"/>
      <c r="H774" s="78"/>
      <c r="I774" s="79"/>
      <c r="J774" s="86"/>
      <c r="K774" s="87"/>
      <c r="L774" s="86"/>
      <c r="M774" s="87"/>
      <c r="N774" s="77"/>
      <c r="O774" s="79"/>
      <c r="P774" s="92"/>
      <c r="Q774" s="93"/>
      <c r="S774" s="99"/>
      <c r="T774" s="99"/>
      <c r="U774" s="99"/>
      <c r="V774" s="99"/>
      <c r="W774" s="99"/>
      <c r="X774" s="99"/>
      <c r="Y774" s="99"/>
      <c r="Z774" s="99"/>
      <c r="AA774" s="99"/>
      <c r="AB774" s="99"/>
      <c r="AC774" s="98"/>
      <c r="AD774" s="98"/>
      <c r="AE774" s="98"/>
      <c r="AF774" s="98"/>
      <c r="AG774" s="98"/>
      <c r="AH774" s="98"/>
    </row>
    <row r="775" spans="2:34" x14ac:dyDescent="0.25">
      <c r="B775" s="73"/>
      <c r="C775" s="74"/>
      <c r="D775" s="80"/>
      <c r="E775" s="81"/>
      <c r="F775" s="81"/>
      <c r="G775" s="81"/>
      <c r="H775" s="81"/>
      <c r="I775" s="82"/>
      <c r="J775" s="88"/>
      <c r="K775" s="89"/>
      <c r="L775" s="88"/>
      <c r="M775" s="89"/>
      <c r="N775" s="80"/>
      <c r="O775" s="82"/>
      <c r="P775" s="94"/>
      <c r="Q775" s="95"/>
      <c r="S775" s="99"/>
      <c r="T775" s="99"/>
      <c r="U775" s="99"/>
      <c r="V775" s="99"/>
      <c r="W775" s="99"/>
      <c r="X775" s="99"/>
      <c r="Y775" s="99"/>
      <c r="Z775" s="99"/>
      <c r="AA775" s="99"/>
      <c r="AB775" s="99"/>
      <c r="AC775" s="98"/>
      <c r="AD775" s="98"/>
      <c r="AE775" s="98"/>
      <c r="AF775" s="98"/>
      <c r="AG775" s="98"/>
      <c r="AH775" s="98"/>
    </row>
    <row r="776" spans="2:34" x14ac:dyDescent="0.25">
      <c r="B776" s="75"/>
      <c r="C776" s="76"/>
      <c r="D776" s="83"/>
      <c r="E776" s="84"/>
      <c r="F776" s="84"/>
      <c r="G776" s="84"/>
      <c r="H776" s="84"/>
      <c r="I776" s="85"/>
      <c r="J776" s="90"/>
      <c r="K776" s="91"/>
      <c r="L776" s="90"/>
      <c r="M776" s="91"/>
      <c r="N776" s="83"/>
      <c r="O776" s="85"/>
      <c r="P776" s="96"/>
      <c r="Q776" s="97"/>
      <c r="S776" s="99"/>
      <c r="T776" s="99"/>
      <c r="U776" s="99"/>
      <c r="V776" s="99"/>
      <c r="W776" s="99"/>
      <c r="X776" s="99"/>
      <c r="Y776" s="99"/>
      <c r="Z776" s="99"/>
      <c r="AA776" s="99"/>
      <c r="AB776" s="99"/>
      <c r="AC776" s="98"/>
      <c r="AD776" s="98"/>
      <c r="AE776" s="98"/>
      <c r="AF776" s="98"/>
      <c r="AG776" s="98"/>
      <c r="AH776" s="98"/>
    </row>
    <row r="777" spans="2:34" x14ac:dyDescent="0.25">
      <c r="B777" s="71"/>
      <c r="C777" s="72"/>
      <c r="D777" s="77"/>
      <c r="E777" s="78"/>
      <c r="F777" s="78"/>
      <c r="G777" s="78"/>
      <c r="H777" s="78"/>
      <c r="I777" s="79"/>
      <c r="J777" s="86"/>
      <c r="K777" s="87"/>
      <c r="L777" s="86"/>
      <c r="M777" s="87"/>
      <c r="N777" s="77"/>
      <c r="O777" s="79"/>
      <c r="P777" s="92"/>
      <c r="Q777" s="93"/>
      <c r="S777" s="99"/>
      <c r="T777" s="99"/>
      <c r="U777" s="99"/>
      <c r="V777" s="99"/>
      <c r="W777" s="99"/>
      <c r="X777" s="99"/>
      <c r="Y777" s="99"/>
      <c r="Z777" s="99"/>
      <c r="AA777" s="99"/>
      <c r="AB777" s="99"/>
      <c r="AC777" s="98"/>
      <c r="AD777" s="98"/>
      <c r="AE777" s="98"/>
      <c r="AF777" s="98"/>
      <c r="AG777" s="98"/>
      <c r="AH777" s="98"/>
    </row>
    <row r="778" spans="2:34" x14ac:dyDescent="0.25">
      <c r="B778" s="73"/>
      <c r="C778" s="74"/>
      <c r="D778" s="80"/>
      <c r="E778" s="81"/>
      <c r="F778" s="81"/>
      <c r="G778" s="81"/>
      <c r="H778" s="81"/>
      <c r="I778" s="82"/>
      <c r="J778" s="88"/>
      <c r="K778" s="89"/>
      <c r="L778" s="88"/>
      <c r="M778" s="89"/>
      <c r="N778" s="80"/>
      <c r="O778" s="82"/>
      <c r="P778" s="94"/>
      <c r="Q778" s="95"/>
      <c r="S778" s="99"/>
      <c r="T778" s="99"/>
      <c r="U778" s="99"/>
      <c r="V778" s="99"/>
      <c r="W778" s="99"/>
      <c r="X778" s="99"/>
      <c r="Y778" s="99"/>
      <c r="Z778" s="99"/>
      <c r="AA778" s="99"/>
      <c r="AB778" s="99"/>
      <c r="AC778" s="98"/>
      <c r="AD778" s="98"/>
      <c r="AE778" s="98"/>
      <c r="AF778" s="98"/>
      <c r="AG778" s="98"/>
      <c r="AH778" s="98"/>
    </row>
    <row r="779" spans="2:34" x14ac:dyDescent="0.25">
      <c r="B779" s="75"/>
      <c r="C779" s="76"/>
      <c r="D779" s="83"/>
      <c r="E779" s="84"/>
      <c r="F779" s="84"/>
      <c r="G779" s="84"/>
      <c r="H779" s="84"/>
      <c r="I779" s="85"/>
      <c r="J779" s="90"/>
      <c r="K779" s="91"/>
      <c r="L779" s="90"/>
      <c r="M779" s="91"/>
      <c r="N779" s="83"/>
      <c r="O779" s="85"/>
      <c r="P779" s="96"/>
      <c r="Q779" s="97"/>
      <c r="S779" s="99"/>
      <c r="T779" s="99"/>
      <c r="U779" s="99"/>
      <c r="V779" s="99"/>
      <c r="W779" s="99"/>
      <c r="X779" s="99"/>
      <c r="Y779" s="99"/>
      <c r="Z779" s="99"/>
      <c r="AA779" s="99"/>
      <c r="AB779" s="99"/>
      <c r="AC779" s="98"/>
      <c r="AD779" s="98"/>
      <c r="AE779" s="98"/>
      <c r="AF779" s="98"/>
      <c r="AG779" s="98"/>
      <c r="AH779" s="98"/>
    </row>
    <row r="780" spans="2:34" x14ac:dyDescent="0.25">
      <c r="B780" s="71"/>
      <c r="C780" s="72"/>
      <c r="D780" s="77"/>
      <c r="E780" s="78"/>
      <c r="F780" s="78"/>
      <c r="G780" s="78"/>
      <c r="H780" s="78"/>
      <c r="I780" s="79"/>
      <c r="J780" s="86"/>
      <c r="K780" s="87"/>
      <c r="L780" s="86"/>
      <c r="M780" s="87"/>
      <c r="N780" s="77"/>
      <c r="O780" s="79"/>
      <c r="P780" s="92"/>
      <c r="Q780" s="93"/>
      <c r="S780" s="99"/>
      <c r="T780" s="99"/>
      <c r="U780" s="99"/>
      <c r="V780" s="99"/>
      <c r="W780" s="99"/>
      <c r="X780" s="99"/>
      <c r="Y780" s="99"/>
      <c r="Z780" s="99"/>
      <c r="AA780" s="99"/>
      <c r="AB780" s="99"/>
      <c r="AC780" s="98"/>
      <c r="AD780" s="98"/>
      <c r="AE780" s="98"/>
      <c r="AF780" s="98"/>
      <c r="AG780" s="98"/>
      <c r="AH780" s="98"/>
    </row>
    <row r="781" spans="2:34" x14ac:dyDescent="0.25">
      <c r="B781" s="73"/>
      <c r="C781" s="74"/>
      <c r="D781" s="80"/>
      <c r="E781" s="81"/>
      <c r="F781" s="81"/>
      <c r="G781" s="81"/>
      <c r="H781" s="81"/>
      <c r="I781" s="82"/>
      <c r="J781" s="88"/>
      <c r="K781" s="89"/>
      <c r="L781" s="88"/>
      <c r="M781" s="89"/>
      <c r="N781" s="80"/>
      <c r="O781" s="82"/>
      <c r="P781" s="94"/>
      <c r="Q781" s="95"/>
      <c r="S781" s="99"/>
      <c r="T781" s="99"/>
      <c r="U781" s="99"/>
      <c r="V781" s="99"/>
      <c r="W781" s="99"/>
      <c r="X781" s="99"/>
      <c r="Y781" s="99"/>
      <c r="Z781" s="99"/>
      <c r="AA781" s="99"/>
      <c r="AB781" s="99"/>
      <c r="AC781" s="98"/>
      <c r="AD781" s="98"/>
      <c r="AE781" s="98"/>
      <c r="AF781" s="98"/>
      <c r="AG781" s="98"/>
      <c r="AH781" s="98"/>
    </row>
    <row r="782" spans="2:34" x14ac:dyDescent="0.25">
      <c r="B782" s="75"/>
      <c r="C782" s="76"/>
      <c r="D782" s="83"/>
      <c r="E782" s="84"/>
      <c r="F782" s="84"/>
      <c r="G782" s="84"/>
      <c r="H782" s="84"/>
      <c r="I782" s="85"/>
      <c r="J782" s="90"/>
      <c r="K782" s="91"/>
      <c r="L782" s="90"/>
      <c r="M782" s="91"/>
      <c r="N782" s="83"/>
      <c r="O782" s="85"/>
      <c r="P782" s="96"/>
      <c r="Q782" s="97"/>
      <c r="S782" s="99"/>
      <c r="T782" s="99"/>
      <c r="U782" s="99"/>
      <c r="V782" s="99"/>
      <c r="W782" s="99"/>
      <c r="X782" s="99"/>
      <c r="Y782" s="99"/>
      <c r="Z782" s="99"/>
      <c r="AA782" s="99"/>
      <c r="AB782" s="99"/>
      <c r="AC782" s="98"/>
      <c r="AD782" s="98"/>
      <c r="AE782" s="98"/>
      <c r="AF782" s="98"/>
      <c r="AG782" s="98"/>
      <c r="AH782" s="98"/>
    </row>
    <row r="783" spans="2:34" x14ac:dyDescent="0.25">
      <c r="B783" s="71"/>
      <c r="C783" s="72"/>
      <c r="D783" s="77"/>
      <c r="E783" s="78"/>
      <c r="F783" s="78"/>
      <c r="G783" s="78"/>
      <c r="H783" s="78"/>
      <c r="I783" s="79"/>
      <c r="J783" s="86"/>
      <c r="K783" s="87"/>
      <c r="L783" s="86"/>
      <c r="M783" s="87"/>
      <c r="N783" s="77"/>
      <c r="O783" s="79"/>
      <c r="P783" s="92"/>
      <c r="Q783" s="93"/>
      <c r="S783" s="99"/>
      <c r="T783" s="99"/>
      <c r="U783" s="99"/>
      <c r="V783" s="99"/>
      <c r="W783" s="99"/>
      <c r="X783" s="99"/>
      <c r="Y783" s="99"/>
      <c r="Z783" s="99"/>
      <c r="AA783" s="99"/>
      <c r="AB783" s="99"/>
      <c r="AC783" s="98"/>
      <c r="AD783" s="98"/>
      <c r="AE783" s="98"/>
      <c r="AF783" s="98"/>
      <c r="AG783" s="98"/>
      <c r="AH783" s="98"/>
    </row>
    <row r="784" spans="2:34" x14ac:dyDescent="0.25">
      <c r="B784" s="73"/>
      <c r="C784" s="74"/>
      <c r="D784" s="80"/>
      <c r="E784" s="81"/>
      <c r="F784" s="81"/>
      <c r="G784" s="81"/>
      <c r="H784" s="81"/>
      <c r="I784" s="82"/>
      <c r="J784" s="88"/>
      <c r="K784" s="89"/>
      <c r="L784" s="88"/>
      <c r="M784" s="89"/>
      <c r="N784" s="80"/>
      <c r="O784" s="82"/>
      <c r="P784" s="94"/>
      <c r="Q784" s="95"/>
      <c r="S784" s="99"/>
      <c r="T784" s="99"/>
      <c r="U784" s="99"/>
      <c r="V784" s="99"/>
      <c r="W784" s="99"/>
      <c r="X784" s="99"/>
      <c r="Y784" s="99"/>
      <c r="Z784" s="99"/>
      <c r="AA784" s="99"/>
      <c r="AB784" s="99"/>
      <c r="AC784" s="98"/>
      <c r="AD784" s="98"/>
      <c r="AE784" s="98"/>
      <c r="AF784" s="98"/>
      <c r="AG784" s="98"/>
      <c r="AH784" s="98"/>
    </row>
    <row r="785" spans="2:34" x14ac:dyDescent="0.25">
      <c r="B785" s="75"/>
      <c r="C785" s="76"/>
      <c r="D785" s="83"/>
      <c r="E785" s="84"/>
      <c r="F785" s="84"/>
      <c r="G785" s="84"/>
      <c r="H785" s="84"/>
      <c r="I785" s="85"/>
      <c r="J785" s="90"/>
      <c r="K785" s="91"/>
      <c r="L785" s="90"/>
      <c r="M785" s="91"/>
      <c r="N785" s="83"/>
      <c r="O785" s="85"/>
      <c r="P785" s="96"/>
      <c r="Q785" s="97"/>
      <c r="S785" s="99"/>
      <c r="T785" s="99"/>
      <c r="U785" s="99"/>
      <c r="V785" s="99"/>
      <c r="W785" s="99"/>
      <c r="X785" s="99"/>
      <c r="Y785" s="99"/>
      <c r="Z785" s="99"/>
      <c r="AA785" s="99"/>
      <c r="AB785" s="99"/>
      <c r="AC785" s="98"/>
      <c r="AD785" s="98"/>
      <c r="AE785" s="98"/>
      <c r="AF785" s="98"/>
      <c r="AG785" s="98"/>
      <c r="AH785" s="98"/>
    </row>
    <row r="786" spans="2:34" x14ac:dyDescent="0.25">
      <c r="B786" s="71"/>
      <c r="C786" s="72"/>
      <c r="D786" s="77"/>
      <c r="E786" s="78"/>
      <c r="F786" s="78"/>
      <c r="G786" s="78"/>
      <c r="H786" s="78"/>
      <c r="I786" s="79"/>
      <c r="J786" s="86"/>
      <c r="K786" s="87"/>
      <c r="L786" s="86"/>
      <c r="M786" s="87"/>
      <c r="N786" s="77"/>
      <c r="O786" s="79"/>
      <c r="P786" s="92"/>
      <c r="Q786" s="93"/>
      <c r="S786" s="99"/>
      <c r="T786" s="99"/>
      <c r="U786" s="99"/>
      <c r="V786" s="99"/>
      <c r="W786" s="99"/>
      <c r="X786" s="99"/>
      <c r="Y786" s="99"/>
      <c r="Z786" s="99"/>
      <c r="AA786" s="99"/>
      <c r="AB786" s="99"/>
      <c r="AC786" s="98"/>
      <c r="AD786" s="98"/>
      <c r="AE786" s="98"/>
      <c r="AF786" s="98"/>
      <c r="AG786" s="98"/>
      <c r="AH786" s="98"/>
    </row>
    <row r="787" spans="2:34" x14ac:dyDescent="0.25">
      <c r="B787" s="73"/>
      <c r="C787" s="74"/>
      <c r="D787" s="80"/>
      <c r="E787" s="81"/>
      <c r="F787" s="81"/>
      <c r="G787" s="81"/>
      <c r="H787" s="81"/>
      <c r="I787" s="82"/>
      <c r="J787" s="88"/>
      <c r="K787" s="89"/>
      <c r="L787" s="88"/>
      <c r="M787" s="89"/>
      <c r="N787" s="80"/>
      <c r="O787" s="82"/>
      <c r="P787" s="94"/>
      <c r="Q787" s="95"/>
      <c r="S787" s="99"/>
      <c r="T787" s="99"/>
      <c r="U787" s="99"/>
      <c r="V787" s="99"/>
      <c r="W787" s="99"/>
      <c r="X787" s="99"/>
      <c r="Y787" s="99"/>
      <c r="Z787" s="99"/>
      <c r="AA787" s="99"/>
      <c r="AB787" s="99"/>
      <c r="AC787" s="98"/>
      <c r="AD787" s="98"/>
      <c r="AE787" s="98"/>
      <c r="AF787" s="98"/>
      <c r="AG787" s="98"/>
      <c r="AH787" s="98"/>
    </row>
    <row r="788" spans="2:34" x14ac:dyDescent="0.25">
      <c r="B788" s="75"/>
      <c r="C788" s="76"/>
      <c r="D788" s="83"/>
      <c r="E788" s="84"/>
      <c r="F788" s="84"/>
      <c r="G788" s="84"/>
      <c r="H788" s="84"/>
      <c r="I788" s="85"/>
      <c r="J788" s="90"/>
      <c r="K788" s="91"/>
      <c r="L788" s="90"/>
      <c r="M788" s="91"/>
      <c r="N788" s="83"/>
      <c r="O788" s="85"/>
      <c r="P788" s="96"/>
      <c r="Q788" s="97"/>
      <c r="S788" s="99"/>
      <c r="T788" s="99"/>
      <c r="U788" s="99"/>
      <c r="V788" s="99"/>
      <c r="W788" s="99"/>
      <c r="X788" s="99"/>
      <c r="Y788" s="99"/>
      <c r="Z788" s="99"/>
      <c r="AA788" s="99"/>
      <c r="AB788" s="99"/>
      <c r="AC788" s="98"/>
      <c r="AD788" s="98"/>
      <c r="AE788" s="98"/>
      <c r="AF788" s="98"/>
      <c r="AG788" s="98"/>
      <c r="AH788" s="98"/>
    </row>
    <row r="789" spans="2:34" x14ac:dyDescent="0.25">
      <c r="B789" s="71"/>
      <c r="C789" s="72"/>
      <c r="D789" s="77"/>
      <c r="E789" s="78"/>
      <c r="F789" s="78"/>
      <c r="G789" s="78"/>
      <c r="H789" s="78"/>
      <c r="I789" s="79"/>
      <c r="J789" s="86"/>
      <c r="K789" s="87"/>
      <c r="L789" s="86"/>
      <c r="M789" s="87"/>
      <c r="N789" s="77"/>
      <c r="O789" s="79"/>
      <c r="P789" s="92"/>
      <c r="Q789" s="93"/>
      <c r="S789" s="99"/>
      <c r="T789" s="99"/>
      <c r="U789" s="99"/>
      <c r="V789" s="99"/>
      <c r="W789" s="99"/>
      <c r="X789" s="99"/>
      <c r="Y789" s="99"/>
      <c r="Z789" s="99"/>
      <c r="AA789" s="99"/>
      <c r="AB789" s="99"/>
      <c r="AC789" s="98"/>
      <c r="AD789" s="98"/>
      <c r="AE789" s="98"/>
      <c r="AF789" s="98"/>
      <c r="AG789" s="98"/>
      <c r="AH789" s="98"/>
    </row>
    <row r="790" spans="2:34" x14ac:dyDescent="0.25">
      <c r="B790" s="73"/>
      <c r="C790" s="74"/>
      <c r="D790" s="80"/>
      <c r="E790" s="81"/>
      <c r="F790" s="81"/>
      <c r="G790" s="81"/>
      <c r="H790" s="81"/>
      <c r="I790" s="82"/>
      <c r="J790" s="88"/>
      <c r="K790" s="89"/>
      <c r="L790" s="88"/>
      <c r="M790" s="89"/>
      <c r="N790" s="80"/>
      <c r="O790" s="82"/>
      <c r="P790" s="94"/>
      <c r="Q790" s="95"/>
      <c r="S790" s="99"/>
      <c r="T790" s="99"/>
      <c r="U790" s="99"/>
      <c r="V790" s="99"/>
      <c r="W790" s="99"/>
      <c r="X790" s="99"/>
      <c r="Y790" s="99"/>
      <c r="Z790" s="99"/>
      <c r="AA790" s="99"/>
      <c r="AB790" s="99"/>
      <c r="AC790" s="98"/>
      <c r="AD790" s="98"/>
      <c r="AE790" s="98"/>
      <c r="AF790" s="98"/>
      <c r="AG790" s="98"/>
      <c r="AH790" s="98"/>
    </row>
    <row r="791" spans="2:34" x14ac:dyDescent="0.25">
      <c r="B791" s="75"/>
      <c r="C791" s="76"/>
      <c r="D791" s="83"/>
      <c r="E791" s="84"/>
      <c r="F791" s="84"/>
      <c r="G791" s="84"/>
      <c r="H791" s="84"/>
      <c r="I791" s="85"/>
      <c r="J791" s="90"/>
      <c r="K791" s="91"/>
      <c r="L791" s="90"/>
      <c r="M791" s="91"/>
      <c r="N791" s="83"/>
      <c r="O791" s="85"/>
      <c r="P791" s="96"/>
      <c r="Q791" s="97"/>
      <c r="S791" s="99"/>
      <c r="T791" s="99"/>
      <c r="U791" s="99"/>
      <c r="V791" s="99"/>
      <c r="W791" s="99"/>
      <c r="X791" s="99"/>
      <c r="Y791" s="99"/>
      <c r="Z791" s="99"/>
      <c r="AA791" s="99"/>
      <c r="AB791" s="99"/>
      <c r="AC791" s="98"/>
      <c r="AD791" s="98"/>
      <c r="AE791" s="98"/>
      <c r="AF791" s="98"/>
      <c r="AG791" s="98"/>
      <c r="AH791" s="98"/>
    </row>
    <row r="792" spans="2:34" x14ac:dyDescent="0.25">
      <c r="B792" s="71"/>
      <c r="C792" s="72"/>
      <c r="D792" s="77"/>
      <c r="E792" s="78"/>
      <c r="F792" s="78"/>
      <c r="G792" s="78"/>
      <c r="H792" s="78"/>
      <c r="I792" s="79"/>
      <c r="J792" s="86"/>
      <c r="K792" s="87"/>
      <c r="L792" s="86"/>
      <c r="M792" s="87"/>
      <c r="N792" s="77"/>
      <c r="O792" s="79"/>
      <c r="P792" s="92"/>
      <c r="Q792" s="93"/>
      <c r="S792" s="99"/>
      <c r="T792" s="99"/>
      <c r="U792" s="99"/>
      <c r="V792" s="99"/>
      <c r="W792" s="99"/>
      <c r="X792" s="99"/>
      <c r="Y792" s="99"/>
      <c r="Z792" s="99"/>
      <c r="AA792" s="99"/>
      <c r="AB792" s="99"/>
      <c r="AC792" s="98"/>
      <c r="AD792" s="98"/>
      <c r="AE792" s="98"/>
      <c r="AF792" s="98"/>
      <c r="AG792" s="98"/>
      <c r="AH792" s="98"/>
    </row>
    <row r="793" spans="2:34" x14ac:dyDescent="0.25">
      <c r="B793" s="73"/>
      <c r="C793" s="74"/>
      <c r="D793" s="80"/>
      <c r="E793" s="81"/>
      <c r="F793" s="81"/>
      <c r="G793" s="81"/>
      <c r="H793" s="81"/>
      <c r="I793" s="82"/>
      <c r="J793" s="88"/>
      <c r="K793" s="89"/>
      <c r="L793" s="88"/>
      <c r="M793" s="89"/>
      <c r="N793" s="80"/>
      <c r="O793" s="82"/>
      <c r="P793" s="94"/>
      <c r="Q793" s="95"/>
      <c r="S793" s="99"/>
      <c r="T793" s="99"/>
      <c r="U793" s="99"/>
      <c r="V793" s="99"/>
      <c r="W793" s="99"/>
      <c r="X793" s="99"/>
      <c r="Y793" s="99"/>
      <c r="Z793" s="99"/>
      <c r="AA793" s="99"/>
      <c r="AB793" s="99"/>
      <c r="AC793" s="98"/>
      <c r="AD793" s="98"/>
      <c r="AE793" s="98"/>
      <c r="AF793" s="98"/>
      <c r="AG793" s="98"/>
      <c r="AH793" s="98"/>
    </row>
    <row r="794" spans="2:34" x14ac:dyDescent="0.25">
      <c r="B794" s="75"/>
      <c r="C794" s="76"/>
      <c r="D794" s="83"/>
      <c r="E794" s="84"/>
      <c r="F794" s="84"/>
      <c r="G794" s="84"/>
      <c r="H794" s="84"/>
      <c r="I794" s="85"/>
      <c r="J794" s="90"/>
      <c r="K794" s="91"/>
      <c r="L794" s="90"/>
      <c r="M794" s="91"/>
      <c r="N794" s="83"/>
      <c r="O794" s="85"/>
      <c r="P794" s="96"/>
      <c r="Q794" s="97"/>
      <c r="S794" s="99"/>
      <c r="T794" s="99"/>
      <c r="U794" s="99"/>
      <c r="V794" s="99"/>
      <c r="W794" s="99"/>
      <c r="X794" s="99"/>
      <c r="Y794" s="99"/>
      <c r="Z794" s="99"/>
      <c r="AA794" s="99"/>
      <c r="AB794" s="99"/>
      <c r="AC794" s="98"/>
      <c r="AD794" s="98"/>
      <c r="AE794" s="98"/>
      <c r="AF794" s="98"/>
      <c r="AG794" s="98"/>
      <c r="AH794" s="98"/>
    </row>
    <row r="795" spans="2:34" x14ac:dyDescent="0.25">
      <c r="B795" s="71"/>
      <c r="C795" s="72"/>
      <c r="D795" s="77"/>
      <c r="E795" s="78"/>
      <c r="F795" s="78"/>
      <c r="G795" s="78"/>
      <c r="H795" s="78"/>
      <c r="I795" s="79"/>
      <c r="J795" s="86"/>
      <c r="K795" s="87"/>
      <c r="L795" s="86"/>
      <c r="M795" s="87"/>
      <c r="N795" s="77"/>
      <c r="O795" s="79"/>
      <c r="P795" s="92"/>
      <c r="Q795" s="93"/>
      <c r="S795" s="99"/>
      <c r="T795" s="99"/>
      <c r="U795" s="99"/>
      <c r="V795" s="99"/>
      <c r="W795" s="99"/>
      <c r="X795" s="99"/>
      <c r="Y795" s="99"/>
      <c r="Z795" s="99"/>
      <c r="AA795" s="99"/>
      <c r="AB795" s="99"/>
      <c r="AC795" s="98"/>
      <c r="AD795" s="98"/>
      <c r="AE795" s="98"/>
      <c r="AF795" s="98"/>
      <c r="AG795" s="98"/>
      <c r="AH795" s="98"/>
    </row>
    <row r="796" spans="2:34" x14ac:dyDescent="0.25">
      <c r="B796" s="73"/>
      <c r="C796" s="74"/>
      <c r="D796" s="80"/>
      <c r="E796" s="81"/>
      <c r="F796" s="81"/>
      <c r="G796" s="81"/>
      <c r="H796" s="81"/>
      <c r="I796" s="82"/>
      <c r="J796" s="88"/>
      <c r="K796" s="89"/>
      <c r="L796" s="88"/>
      <c r="M796" s="89"/>
      <c r="N796" s="80"/>
      <c r="O796" s="82"/>
      <c r="P796" s="94"/>
      <c r="Q796" s="95"/>
      <c r="S796" s="99"/>
      <c r="T796" s="99"/>
      <c r="U796" s="99"/>
      <c r="V796" s="99"/>
      <c r="W796" s="99"/>
      <c r="X796" s="99"/>
      <c r="Y796" s="99"/>
      <c r="Z796" s="99"/>
      <c r="AA796" s="99"/>
      <c r="AB796" s="99"/>
      <c r="AC796" s="98"/>
      <c r="AD796" s="98"/>
      <c r="AE796" s="98"/>
      <c r="AF796" s="98"/>
      <c r="AG796" s="98"/>
      <c r="AH796" s="98"/>
    </row>
    <row r="797" spans="2:34" x14ac:dyDescent="0.25">
      <c r="B797" s="75"/>
      <c r="C797" s="76"/>
      <c r="D797" s="83"/>
      <c r="E797" s="84"/>
      <c r="F797" s="84"/>
      <c r="G797" s="84"/>
      <c r="H797" s="84"/>
      <c r="I797" s="85"/>
      <c r="J797" s="90"/>
      <c r="K797" s="91"/>
      <c r="L797" s="90"/>
      <c r="M797" s="91"/>
      <c r="N797" s="83"/>
      <c r="O797" s="85"/>
      <c r="P797" s="96"/>
      <c r="Q797" s="97"/>
      <c r="S797" s="99"/>
      <c r="T797" s="99"/>
      <c r="U797" s="99"/>
      <c r="V797" s="99"/>
      <c r="W797" s="99"/>
      <c r="X797" s="99"/>
      <c r="Y797" s="99"/>
      <c r="Z797" s="99"/>
      <c r="AA797" s="99"/>
      <c r="AB797" s="99"/>
      <c r="AC797" s="98"/>
      <c r="AD797" s="98"/>
      <c r="AE797" s="98"/>
      <c r="AF797" s="98"/>
      <c r="AG797" s="98"/>
      <c r="AH797" s="98"/>
    </row>
    <row r="798" spans="2:34" x14ac:dyDescent="0.25">
      <c r="B798" s="71"/>
      <c r="C798" s="72"/>
      <c r="D798" s="77"/>
      <c r="E798" s="78"/>
      <c r="F798" s="78"/>
      <c r="G798" s="78"/>
      <c r="H798" s="78"/>
      <c r="I798" s="79"/>
      <c r="J798" s="86"/>
      <c r="K798" s="87"/>
      <c r="L798" s="86"/>
      <c r="M798" s="87"/>
      <c r="N798" s="77"/>
      <c r="O798" s="79"/>
      <c r="P798" s="92"/>
      <c r="Q798" s="93"/>
      <c r="S798" s="99"/>
      <c r="T798" s="99"/>
      <c r="U798" s="99"/>
      <c r="V798" s="99"/>
      <c r="W798" s="99"/>
      <c r="X798" s="99"/>
      <c r="Y798" s="99"/>
      <c r="Z798" s="99"/>
      <c r="AA798" s="99"/>
      <c r="AB798" s="99"/>
      <c r="AC798" s="98"/>
      <c r="AD798" s="98"/>
      <c r="AE798" s="98"/>
      <c r="AF798" s="98"/>
      <c r="AG798" s="98"/>
      <c r="AH798" s="98"/>
    </row>
    <row r="799" spans="2:34" x14ac:dyDescent="0.25">
      <c r="B799" s="73"/>
      <c r="C799" s="74"/>
      <c r="D799" s="80"/>
      <c r="E799" s="81"/>
      <c r="F799" s="81"/>
      <c r="G799" s="81"/>
      <c r="H799" s="81"/>
      <c r="I799" s="82"/>
      <c r="J799" s="88"/>
      <c r="K799" s="89"/>
      <c r="L799" s="88"/>
      <c r="M799" s="89"/>
      <c r="N799" s="80"/>
      <c r="O799" s="82"/>
      <c r="P799" s="94"/>
      <c r="Q799" s="95"/>
      <c r="S799" s="99"/>
      <c r="T799" s="99"/>
      <c r="U799" s="99"/>
      <c r="V799" s="99"/>
      <c r="W799" s="99"/>
      <c r="X799" s="99"/>
      <c r="Y799" s="99"/>
      <c r="Z799" s="99"/>
      <c r="AA799" s="99"/>
      <c r="AB799" s="99"/>
      <c r="AC799" s="98"/>
      <c r="AD799" s="98"/>
      <c r="AE799" s="98"/>
      <c r="AF799" s="98"/>
      <c r="AG799" s="98"/>
      <c r="AH799" s="98"/>
    </row>
    <row r="800" spans="2:34" x14ac:dyDescent="0.25">
      <c r="B800" s="75"/>
      <c r="C800" s="76"/>
      <c r="D800" s="83"/>
      <c r="E800" s="84"/>
      <c r="F800" s="84"/>
      <c r="G800" s="84"/>
      <c r="H800" s="84"/>
      <c r="I800" s="85"/>
      <c r="J800" s="90"/>
      <c r="K800" s="91"/>
      <c r="L800" s="90"/>
      <c r="M800" s="91"/>
      <c r="N800" s="83"/>
      <c r="O800" s="85"/>
      <c r="P800" s="96"/>
      <c r="Q800" s="97"/>
      <c r="S800" s="99"/>
      <c r="T800" s="99"/>
      <c r="U800" s="99"/>
      <c r="V800" s="99"/>
      <c r="W800" s="99"/>
      <c r="X800" s="99"/>
      <c r="Y800" s="99"/>
      <c r="Z800" s="99"/>
      <c r="AA800" s="99"/>
      <c r="AB800" s="99"/>
      <c r="AC800" s="98"/>
      <c r="AD800" s="98"/>
      <c r="AE800" s="98"/>
      <c r="AF800" s="98"/>
      <c r="AG800" s="98"/>
      <c r="AH800" s="98"/>
    </row>
    <row r="801" spans="2:34" x14ac:dyDescent="0.25">
      <c r="B801" s="71"/>
      <c r="C801" s="72"/>
      <c r="D801" s="77"/>
      <c r="E801" s="78"/>
      <c r="F801" s="78"/>
      <c r="G801" s="78"/>
      <c r="H801" s="78"/>
      <c r="I801" s="79"/>
      <c r="J801" s="86"/>
      <c r="K801" s="87"/>
      <c r="L801" s="86"/>
      <c r="M801" s="87"/>
      <c r="N801" s="77"/>
      <c r="O801" s="79"/>
      <c r="P801" s="92"/>
      <c r="Q801" s="93"/>
      <c r="S801" s="99"/>
      <c r="T801" s="99"/>
      <c r="U801" s="99"/>
      <c r="V801" s="99"/>
      <c r="W801" s="99"/>
      <c r="X801" s="99"/>
      <c r="Y801" s="99"/>
      <c r="Z801" s="99"/>
      <c r="AA801" s="99"/>
      <c r="AB801" s="99"/>
      <c r="AC801" s="98"/>
      <c r="AD801" s="98"/>
      <c r="AE801" s="98"/>
      <c r="AF801" s="98"/>
      <c r="AG801" s="98"/>
      <c r="AH801" s="98"/>
    </row>
    <row r="802" spans="2:34" x14ac:dyDescent="0.25">
      <c r="B802" s="73"/>
      <c r="C802" s="74"/>
      <c r="D802" s="80"/>
      <c r="E802" s="81"/>
      <c r="F802" s="81"/>
      <c r="G802" s="81"/>
      <c r="H802" s="81"/>
      <c r="I802" s="82"/>
      <c r="J802" s="88"/>
      <c r="K802" s="89"/>
      <c r="L802" s="88"/>
      <c r="M802" s="89"/>
      <c r="N802" s="80"/>
      <c r="O802" s="82"/>
      <c r="P802" s="94"/>
      <c r="Q802" s="95"/>
      <c r="S802" s="99"/>
      <c r="T802" s="99"/>
      <c r="U802" s="99"/>
      <c r="V802" s="99"/>
      <c r="W802" s="99"/>
      <c r="X802" s="99"/>
      <c r="Y802" s="99"/>
      <c r="Z802" s="99"/>
      <c r="AA802" s="99"/>
      <c r="AB802" s="99"/>
      <c r="AC802" s="98"/>
      <c r="AD802" s="98"/>
      <c r="AE802" s="98"/>
      <c r="AF802" s="98"/>
      <c r="AG802" s="98"/>
      <c r="AH802" s="98"/>
    </row>
    <row r="803" spans="2:34" x14ac:dyDescent="0.25">
      <c r="B803" s="75"/>
      <c r="C803" s="76"/>
      <c r="D803" s="83"/>
      <c r="E803" s="84"/>
      <c r="F803" s="84"/>
      <c r="G803" s="84"/>
      <c r="H803" s="84"/>
      <c r="I803" s="85"/>
      <c r="J803" s="90"/>
      <c r="K803" s="91"/>
      <c r="L803" s="90"/>
      <c r="M803" s="91"/>
      <c r="N803" s="83"/>
      <c r="O803" s="85"/>
      <c r="P803" s="96"/>
      <c r="Q803" s="97"/>
      <c r="S803" s="99"/>
      <c r="T803" s="99"/>
      <c r="U803" s="99"/>
      <c r="V803" s="99"/>
      <c r="W803" s="99"/>
      <c r="X803" s="99"/>
      <c r="Y803" s="99"/>
      <c r="Z803" s="99"/>
      <c r="AA803" s="99"/>
      <c r="AB803" s="99"/>
      <c r="AC803" s="98"/>
      <c r="AD803" s="98"/>
      <c r="AE803" s="98"/>
      <c r="AF803" s="98"/>
      <c r="AG803" s="98"/>
      <c r="AH803" s="98"/>
    </row>
    <row r="804" spans="2:34" x14ac:dyDescent="0.25">
      <c r="B804" s="71"/>
      <c r="C804" s="72"/>
      <c r="D804" s="77"/>
      <c r="E804" s="78"/>
      <c r="F804" s="78"/>
      <c r="G804" s="78"/>
      <c r="H804" s="78"/>
      <c r="I804" s="79"/>
      <c r="J804" s="86"/>
      <c r="K804" s="87"/>
      <c r="L804" s="86"/>
      <c r="M804" s="87"/>
      <c r="N804" s="77"/>
      <c r="O804" s="79"/>
      <c r="P804" s="92"/>
      <c r="Q804" s="93"/>
      <c r="S804" s="99"/>
      <c r="T804" s="99"/>
      <c r="U804" s="99"/>
      <c r="V804" s="99"/>
      <c r="W804" s="99"/>
      <c r="X804" s="99"/>
      <c r="Y804" s="99"/>
      <c r="Z804" s="99"/>
      <c r="AA804" s="99"/>
      <c r="AB804" s="99"/>
      <c r="AC804" s="98"/>
      <c r="AD804" s="98"/>
      <c r="AE804" s="98"/>
      <c r="AF804" s="98"/>
      <c r="AG804" s="98"/>
      <c r="AH804" s="98"/>
    </row>
    <row r="805" spans="2:34" x14ac:dyDescent="0.25">
      <c r="B805" s="73"/>
      <c r="C805" s="74"/>
      <c r="D805" s="80"/>
      <c r="E805" s="81"/>
      <c r="F805" s="81"/>
      <c r="G805" s="81"/>
      <c r="H805" s="81"/>
      <c r="I805" s="82"/>
      <c r="J805" s="88"/>
      <c r="K805" s="89"/>
      <c r="L805" s="88"/>
      <c r="M805" s="89"/>
      <c r="N805" s="80"/>
      <c r="O805" s="82"/>
      <c r="P805" s="94"/>
      <c r="Q805" s="95"/>
      <c r="S805" s="99"/>
      <c r="T805" s="99"/>
      <c r="U805" s="99"/>
      <c r="V805" s="99"/>
      <c r="W805" s="99"/>
      <c r="X805" s="99"/>
      <c r="Y805" s="99"/>
      <c r="Z805" s="99"/>
      <c r="AA805" s="99"/>
      <c r="AB805" s="99"/>
      <c r="AC805" s="98"/>
      <c r="AD805" s="98"/>
      <c r="AE805" s="98"/>
      <c r="AF805" s="98"/>
      <c r="AG805" s="98"/>
      <c r="AH805" s="98"/>
    </row>
    <row r="806" spans="2:34" x14ac:dyDescent="0.25">
      <c r="B806" s="75"/>
      <c r="C806" s="76"/>
      <c r="D806" s="83"/>
      <c r="E806" s="84"/>
      <c r="F806" s="84"/>
      <c r="G806" s="84"/>
      <c r="H806" s="84"/>
      <c r="I806" s="85"/>
      <c r="J806" s="90"/>
      <c r="K806" s="91"/>
      <c r="L806" s="90"/>
      <c r="M806" s="91"/>
      <c r="N806" s="83"/>
      <c r="O806" s="85"/>
      <c r="P806" s="96"/>
      <c r="Q806" s="97"/>
      <c r="S806" s="99"/>
      <c r="T806" s="99"/>
      <c r="U806" s="99"/>
      <c r="V806" s="99"/>
      <c r="W806" s="99"/>
      <c r="X806" s="99"/>
      <c r="Y806" s="99"/>
      <c r="Z806" s="99"/>
      <c r="AA806" s="99"/>
      <c r="AB806" s="99"/>
      <c r="AC806" s="98"/>
      <c r="AD806" s="98"/>
      <c r="AE806" s="98"/>
      <c r="AF806" s="98"/>
      <c r="AG806" s="98"/>
      <c r="AH806" s="98"/>
    </row>
    <row r="807" spans="2:34" x14ac:dyDescent="0.25">
      <c r="B807" s="71"/>
      <c r="C807" s="72"/>
      <c r="D807" s="77"/>
      <c r="E807" s="78"/>
      <c r="F807" s="78"/>
      <c r="G807" s="78"/>
      <c r="H807" s="78"/>
      <c r="I807" s="79"/>
      <c r="J807" s="86"/>
      <c r="K807" s="87"/>
      <c r="L807" s="86"/>
      <c r="M807" s="87"/>
      <c r="N807" s="77"/>
      <c r="O807" s="79"/>
      <c r="P807" s="92"/>
      <c r="Q807" s="93"/>
      <c r="S807" s="99"/>
      <c r="T807" s="99"/>
      <c r="U807" s="99"/>
      <c r="V807" s="99"/>
      <c r="W807" s="99"/>
      <c r="X807" s="99"/>
      <c r="Y807" s="99"/>
      <c r="Z807" s="99"/>
      <c r="AA807" s="99"/>
      <c r="AB807" s="99"/>
      <c r="AC807" s="98"/>
      <c r="AD807" s="98"/>
      <c r="AE807" s="98"/>
      <c r="AF807" s="98"/>
      <c r="AG807" s="98"/>
      <c r="AH807" s="98"/>
    </row>
    <row r="808" spans="2:34" x14ac:dyDescent="0.25">
      <c r="B808" s="73"/>
      <c r="C808" s="74"/>
      <c r="D808" s="80"/>
      <c r="E808" s="81"/>
      <c r="F808" s="81"/>
      <c r="G808" s="81"/>
      <c r="H808" s="81"/>
      <c r="I808" s="82"/>
      <c r="J808" s="88"/>
      <c r="K808" s="89"/>
      <c r="L808" s="88"/>
      <c r="M808" s="89"/>
      <c r="N808" s="80"/>
      <c r="O808" s="82"/>
      <c r="P808" s="94"/>
      <c r="Q808" s="95"/>
      <c r="S808" s="99"/>
      <c r="T808" s="99"/>
      <c r="U808" s="99"/>
      <c r="V808" s="99"/>
      <c r="W808" s="99"/>
      <c r="X808" s="99"/>
      <c r="Y808" s="99"/>
      <c r="Z808" s="99"/>
      <c r="AA808" s="99"/>
      <c r="AB808" s="99"/>
      <c r="AC808" s="98"/>
      <c r="AD808" s="98"/>
      <c r="AE808" s="98"/>
      <c r="AF808" s="98"/>
      <c r="AG808" s="98"/>
      <c r="AH808" s="98"/>
    </row>
    <row r="809" spans="2:34" x14ac:dyDescent="0.25">
      <c r="B809" s="75"/>
      <c r="C809" s="76"/>
      <c r="D809" s="83"/>
      <c r="E809" s="84"/>
      <c r="F809" s="84"/>
      <c r="G809" s="84"/>
      <c r="H809" s="84"/>
      <c r="I809" s="85"/>
      <c r="J809" s="90"/>
      <c r="K809" s="91"/>
      <c r="L809" s="90"/>
      <c r="M809" s="91"/>
      <c r="N809" s="83"/>
      <c r="O809" s="85"/>
      <c r="P809" s="96"/>
      <c r="Q809" s="97"/>
      <c r="S809" s="99"/>
      <c r="T809" s="99"/>
      <c r="U809" s="99"/>
      <c r="V809" s="99"/>
      <c r="W809" s="99"/>
      <c r="X809" s="99"/>
      <c r="Y809" s="99"/>
      <c r="Z809" s="99"/>
      <c r="AA809" s="99"/>
      <c r="AB809" s="99"/>
      <c r="AC809" s="98"/>
      <c r="AD809" s="98"/>
      <c r="AE809" s="98"/>
      <c r="AF809" s="98"/>
      <c r="AG809" s="98"/>
      <c r="AH809" s="98"/>
    </row>
    <row r="810" spans="2:34" x14ac:dyDescent="0.25">
      <c r="B810" s="71"/>
      <c r="C810" s="72"/>
      <c r="D810" s="77"/>
      <c r="E810" s="78"/>
      <c r="F810" s="78"/>
      <c r="G810" s="78"/>
      <c r="H810" s="78"/>
      <c r="I810" s="79"/>
      <c r="J810" s="86"/>
      <c r="K810" s="87"/>
      <c r="L810" s="86"/>
      <c r="M810" s="87"/>
      <c r="N810" s="77"/>
      <c r="O810" s="79"/>
      <c r="P810" s="92"/>
      <c r="Q810" s="93"/>
      <c r="S810" s="99"/>
      <c r="T810" s="99"/>
      <c r="U810" s="99"/>
      <c r="V810" s="99"/>
      <c r="W810" s="99"/>
      <c r="X810" s="99"/>
      <c r="Y810" s="99"/>
      <c r="Z810" s="99"/>
      <c r="AA810" s="99"/>
      <c r="AB810" s="99"/>
      <c r="AC810" s="98"/>
      <c r="AD810" s="98"/>
      <c r="AE810" s="98"/>
      <c r="AF810" s="98"/>
      <c r="AG810" s="98"/>
      <c r="AH810" s="98"/>
    </row>
    <row r="811" spans="2:34" x14ac:dyDescent="0.25">
      <c r="B811" s="73"/>
      <c r="C811" s="74"/>
      <c r="D811" s="80"/>
      <c r="E811" s="81"/>
      <c r="F811" s="81"/>
      <c r="G811" s="81"/>
      <c r="H811" s="81"/>
      <c r="I811" s="82"/>
      <c r="J811" s="88"/>
      <c r="K811" s="89"/>
      <c r="L811" s="88"/>
      <c r="M811" s="89"/>
      <c r="N811" s="80"/>
      <c r="O811" s="82"/>
      <c r="P811" s="94"/>
      <c r="Q811" s="95"/>
      <c r="S811" s="99"/>
      <c r="T811" s="99"/>
      <c r="U811" s="99"/>
      <c r="V811" s="99"/>
      <c r="W811" s="99"/>
      <c r="X811" s="99"/>
      <c r="Y811" s="99"/>
      <c r="Z811" s="99"/>
      <c r="AA811" s="99"/>
      <c r="AB811" s="99"/>
      <c r="AC811" s="98"/>
      <c r="AD811" s="98"/>
      <c r="AE811" s="98"/>
      <c r="AF811" s="98"/>
      <c r="AG811" s="98"/>
      <c r="AH811" s="98"/>
    </row>
    <row r="812" spans="2:34" x14ac:dyDescent="0.25">
      <c r="B812" s="75"/>
      <c r="C812" s="76"/>
      <c r="D812" s="83"/>
      <c r="E812" s="84"/>
      <c r="F812" s="84"/>
      <c r="G812" s="84"/>
      <c r="H812" s="84"/>
      <c r="I812" s="85"/>
      <c r="J812" s="90"/>
      <c r="K812" s="91"/>
      <c r="L812" s="90"/>
      <c r="M812" s="91"/>
      <c r="N812" s="83"/>
      <c r="O812" s="85"/>
      <c r="P812" s="96"/>
      <c r="Q812" s="97"/>
      <c r="S812" s="99"/>
      <c r="T812" s="99"/>
      <c r="U812" s="99"/>
      <c r="V812" s="99"/>
      <c r="W812" s="99"/>
      <c r="X812" s="99"/>
      <c r="Y812" s="99"/>
      <c r="Z812" s="99"/>
      <c r="AA812" s="99"/>
      <c r="AB812" s="99"/>
      <c r="AC812" s="98"/>
      <c r="AD812" s="98"/>
      <c r="AE812" s="98"/>
      <c r="AF812" s="98"/>
      <c r="AG812" s="98"/>
      <c r="AH812" s="98"/>
    </row>
    <row r="813" spans="2:34" x14ac:dyDescent="0.25">
      <c r="B813" s="71"/>
      <c r="C813" s="72"/>
      <c r="D813" s="77"/>
      <c r="E813" s="78"/>
      <c r="F813" s="78"/>
      <c r="G813" s="78"/>
      <c r="H813" s="78"/>
      <c r="I813" s="79"/>
      <c r="J813" s="86"/>
      <c r="K813" s="87"/>
      <c r="L813" s="86"/>
      <c r="M813" s="87"/>
      <c r="N813" s="77"/>
      <c r="O813" s="79"/>
      <c r="P813" s="92"/>
      <c r="Q813" s="93"/>
      <c r="S813" s="99"/>
      <c r="T813" s="99"/>
      <c r="U813" s="99"/>
      <c r="V813" s="99"/>
      <c r="W813" s="99"/>
      <c r="X813" s="99"/>
      <c r="Y813" s="99"/>
      <c r="Z813" s="99"/>
      <c r="AA813" s="99"/>
      <c r="AB813" s="99"/>
      <c r="AC813" s="98"/>
      <c r="AD813" s="98"/>
      <c r="AE813" s="98"/>
      <c r="AF813" s="98"/>
      <c r="AG813" s="98"/>
      <c r="AH813" s="98"/>
    </row>
    <row r="814" spans="2:34" x14ac:dyDescent="0.25">
      <c r="B814" s="73"/>
      <c r="C814" s="74"/>
      <c r="D814" s="80"/>
      <c r="E814" s="81"/>
      <c r="F814" s="81"/>
      <c r="G814" s="81"/>
      <c r="H814" s="81"/>
      <c r="I814" s="82"/>
      <c r="J814" s="88"/>
      <c r="K814" s="89"/>
      <c r="L814" s="88"/>
      <c r="M814" s="89"/>
      <c r="N814" s="80"/>
      <c r="O814" s="82"/>
      <c r="P814" s="94"/>
      <c r="Q814" s="95"/>
      <c r="S814" s="99"/>
      <c r="T814" s="99"/>
      <c r="U814" s="99"/>
      <c r="V814" s="99"/>
      <c r="W814" s="99"/>
      <c r="X814" s="99"/>
      <c r="Y814" s="99"/>
      <c r="Z814" s="99"/>
      <c r="AA814" s="99"/>
      <c r="AB814" s="99"/>
      <c r="AC814" s="98"/>
      <c r="AD814" s="98"/>
      <c r="AE814" s="98"/>
      <c r="AF814" s="98"/>
      <c r="AG814" s="98"/>
      <c r="AH814" s="98"/>
    </row>
    <row r="815" spans="2:34" x14ac:dyDescent="0.25">
      <c r="B815" s="75"/>
      <c r="C815" s="76"/>
      <c r="D815" s="83"/>
      <c r="E815" s="84"/>
      <c r="F815" s="84"/>
      <c r="G815" s="84"/>
      <c r="H815" s="84"/>
      <c r="I815" s="85"/>
      <c r="J815" s="90"/>
      <c r="K815" s="91"/>
      <c r="L815" s="90"/>
      <c r="M815" s="91"/>
      <c r="N815" s="83"/>
      <c r="O815" s="85"/>
      <c r="P815" s="96"/>
      <c r="Q815" s="97"/>
      <c r="S815" s="99"/>
      <c r="T815" s="99"/>
      <c r="U815" s="99"/>
      <c r="V815" s="99"/>
      <c r="W815" s="99"/>
      <c r="X815" s="99"/>
      <c r="Y815" s="99"/>
      <c r="Z815" s="99"/>
      <c r="AA815" s="99"/>
      <c r="AB815" s="99"/>
      <c r="AC815" s="98"/>
      <c r="AD815" s="98"/>
      <c r="AE815" s="98"/>
      <c r="AF815" s="98"/>
      <c r="AG815" s="98"/>
      <c r="AH815" s="98"/>
    </row>
    <row r="816" spans="2:34" x14ac:dyDescent="0.25">
      <c r="B816" s="71"/>
      <c r="C816" s="72"/>
      <c r="D816" s="77"/>
      <c r="E816" s="78"/>
      <c r="F816" s="78"/>
      <c r="G816" s="78"/>
      <c r="H816" s="78"/>
      <c r="I816" s="79"/>
      <c r="J816" s="86"/>
      <c r="K816" s="87"/>
      <c r="L816" s="86"/>
      <c r="M816" s="87"/>
      <c r="N816" s="77"/>
      <c r="O816" s="79"/>
      <c r="P816" s="92"/>
      <c r="Q816" s="93"/>
      <c r="S816" s="99"/>
      <c r="T816" s="99"/>
      <c r="U816" s="99"/>
      <c r="V816" s="99"/>
      <c r="W816" s="99"/>
      <c r="X816" s="99"/>
      <c r="Y816" s="99"/>
      <c r="Z816" s="99"/>
      <c r="AA816" s="99"/>
      <c r="AB816" s="99"/>
      <c r="AC816" s="98"/>
      <c r="AD816" s="98"/>
      <c r="AE816" s="98"/>
      <c r="AF816" s="98"/>
      <c r="AG816" s="98"/>
      <c r="AH816" s="98"/>
    </row>
    <row r="817" spans="2:34" x14ac:dyDescent="0.25">
      <c r="B817" s="73"/>
      <c r="C817" s="74"/>
      <c r="D817" s="80"/>
      <c r="E817" s="81"/>
      <c r="F817" s="81"/>
      <c r="G817" s="81"/>
      <c r="H817" s="81"/>
      <c r="I817" s="82"/>
      <c r="J817" s="88"/>
      <c r="K817" s="89"/>
      <c r="L817" s="88"/>
      <c r="M817" s="89"/>
      <c r="N817" s="80"/>
      <c r="O817" s="82"/>
      <c r="P817" s="94"/>
      <c r="Q817" s="95"/>
      <c r="S817" s="99"/>
      <c r="T817" s="99"/>
      <c r="U817" s="99"/>
      <c r="V817" s="99"/>
      <c r="W817" s="99"/>
      <c r="X817" s="99"/>
      <c r="Y817" s="99"/>
      <c r="Z817" s="99"/>
      <c r="AA817" s="99"/>
      <c r="AB817" s="99"/>
      <c r="AC817" s="98"/>
      <c r="AD817" s="98"/>
      <c r="AE817" s="98"/>
      <c r="AF817" s="98"/>
      <c r="AG817" s="98"/>
      <c r="AH817" s="98"/>
    </row>
    <row r="818" spans="2:34" x14ac:dyDescent="0.25">
      <c r="B818" s="75"/>
      <c r="C818" s="76"/>
      <c r="D818" s="83"/>
      <c r="E818" s="84"/>
      <c r="F818" s="84"/>
      <c r="G818" s="84"/>
      <c r="H818" s="84"/>
      <c r="I818" s="85"/>
      <c r="J818" s="90"/>
      <c r="K818" s="91"/>
      <c r="L818" s="90"/>
      <c r="M818" s="91"/>
      <c r="N818" s="83"/>
      <c r="O818" s="85"/>
      <c r="P818" s="96"/>
      <c r="Q818" s="97"/>
      <c r="S818" s="99"/>
      <c r="T818" s="99"/>
      <c r="U818" s="99"/>
      <c r="V818" s="99"/>
      <c r="W818" s="99"/>
      <c r="X818" s="99"/>
      <c r="Y818" s="99"/>
      <c r="Z818" s="99"/>
      <c r="AA818" s="99"/>
      <c r="AB818" s="99"/>
      <c r="AC818" s="98"/>
      <c r="AD818" s="98"/>
      <c r="AE818" s="98"/>
      <c r="AF818" s="98"/>
      <c r="AG818" s="98"/>
      <c r="AH818" s="98"/>
    </row>
    <row r="819" spans="2:34" x14ac:dyDescent="0.25">
      <c r="B819" s="71"/>
      <c r="C819" s="72"/>
      <c r="D819" s="77"/>
      <c r="E819" s="78"/>
      <c r="F819" s="78"/>
      <c r="G819" s="78"/>
      <c r="H819" s="78"/>
      <c r="I819" s="79"/>
      <c r="J819" s="86"/>
      <c r="K819" s="87"/>
      <c r="L819" s="86"/>
      <c r="M819" s="87"/>
      <c r="N819" s="77"/>
      <c r="O819" s="79"/>
      <c r="P819" s="92"/>
      <c r="Q819" s="93"/>
      <c r="S819" s="99"/>
      <c r="T819" s="99"/>
      <c r="U819" s="99"/>
      <c r="V819" s="99"/>
      <c r="W819" s="99"/>
      <c r="X819" s="99"/>
      <c r="Y819" s="99"/>
      <c r="Z819" s="99"/>
      <c r="AA819" s="99"/>
      <c r="AB819" s="99"/>
      <c r="AC819" s="98"/>
      <c r="AD819" s="98"/>
      <c r="AE819" s="98"/>
      <c r="AF819" s="98"/>
      <c r="AG819" s="98"/>
      <c r="AH819" s="98"/>
    </row>
    <row r="820" spans="2:34" x14ac:dyDescent="0.25">
      <c r="B820" s="73"/>
      <c r="C820" s="74"/>
      <c r="D820" s="80"/>
      <c r="E820" s="81"/>
      <c r="F820" s="81"/>
      <c r="G820" s="81"/>
      <c r="H820" s="81"/>
      <c r="I820" s="82"/>
      <c r="J820" s="88"/>
      <c r="K820" s="89"/>
      <c r="L820" s="88"/>
      <c r="M820" s="89"/>
      <c r="N820" s="80"/>
      <c r="O820" s="82"/>
      <c r="P820" s="94"/>
      <c r="Q820" s="95"/>
      <c r="S820" s="99"/>
      <c r="T820" s="99"/>
      <c r="U820" s="99"/>
      <c r="V820" s="99"/>
      <c r="W820" s="99"/>
      <c r="X820" s="99"/>
      <c r="Y820" s="99"/>
      <c r="Z820" s="99"/>
      <c r="AA820" s="99"/>
      <c r="AB820" s="99"/>
      <c r="AC820" s="98"/>
      <c r="AD820" s="98"/>
      <c r="AE820" s="98"/>
      <c r="AF820" s="98"/>
      <c r="AG820" s="98"/>
      <c r="AH820" s="98"/>
    </row>
    <row r="821" spans="2:34" x14ac:dyDescent="0.25">
      <c r="B821" s="75"/>
      <c r="C821" s="76"/>
      <c r="D821" s="83"/>
      <c r="E821" s="84"/>
      <c r="F821" s="84"/>
      <c r="G821" s="84"/>
      <c r="H821" s="84"/>
      <c r="I821" s="85"/>
      <c r="J821" s="90"/>
      <c r="K821" s="91"/>
      <c r="L821" s="90"/>
      <c r="M821" s="91"/>
      <c r="N821" s="83"/>
      <c r="O821" s="85"/>
      <c r="P821" s="96"/>
      <c r="Q821" s="97"/>
      <c r="S821" s="99"/>
      <c r="T821" s="99"/>
      <c r="U821" s="99"/>
      <c r="V821" s="99"/>
      <c r="W821" s="99"/>
      <c r="X821" s="99"/>
      <c r="Y821" s="99"/>
      <c r="Z821" s="99"/>
      <c r="AA821" s="99"/>
      <c r="AB821" s="99"/>
      <c r="AC821" s="98"/>
      <c r="AD821" s="98"/>
      <c r="AE821" s="98"/>
      <c r="AF821" s="98"/>
      <c r="AG821" s="98"/>
      <c r="AH821" s="98"/>
    </row>
    <row r="822" spans="2:34" x14ac:dyDescent="0.25">
      <c r="B822" s="71"/>
      <c r="C822" s="72"/>
      <c r="D822" s="77"/>
      <c r="E822" s="78"/>
      <c r="F822" s="78"/>
      <c r="G822" s="78"/>
      <c r="H822" s="78"/>
      <c r="I822" s="79"/>
      <c r="J822" s="86"/>
      <c r="K822" s="87"/>
      <c r="L822" s="86"/>
      <c r="M822" s="87"/>
      <c r="N822" s="77"/>
      <c r="O822" s="79"/>
      <c r="P822" s="92"/>
      <c r="Q822" s="93"/>
      <c r="S822" s="99"/>
      <c r="T822" s="99"/>
      <c r="U822" s="99"/>
      <c r="V822" s="99"/>
      <c r="W822" s="99"/>
      <c r="X822" s="99"/>
      <c r="Y822" s="99"/>
      <c r="Z822" s="99"/>
      <c r="AA822" s="99"/>
      <c r="AB822" s="99"/>
      <c r="AC822" s="98"/>
      <c r="AD822" s="98"/>
      <c r="AE822" s="98"/>
      <c r="AF822" s="98"/>
      <c r="AG822" s="98"/>
      <c r="AH822" s="98"/>
    </row>
    <row r="823" spans="2:34" x14ac:dyDescent="0.25">
      <c r="B823" s="73"/>
      <c r="C823" s="74"/>
      <c r="D823" s="80"/>
      <c r="E823" s="81"/>
      <c r="F823" s="81"/>
      <c r="G823" s="81"/>
      <c r="H823" s="81"/>
      <c r="I823" s="82"/>
      <c r="J823" s="88"/>
      <c r="K823" s="89"/>
      <c r="L823" s="88"/>
      <c r="M823" s="89"/>
      <c r="N823" s="80"/>
      <c r="O823" s="82"/>
      <c r="P823" s="94"/>
      <c r="Q823" s="95"/>
      <c r="S823" s="99"/>
      <c r="T823" s="99"/>
      <c r="U823" s="99"/>
      <c r="V823" s="99"/>
      <c r="W823" s="99"/>
      <c r="X823" s="99"/>
      <c r="Y823" s="99"/>
      <c r="Z823" s="99"/>
      <c r="AA823" s="99"/>
      <c r="AB823" s="99"/>
      <c r="AC823" s="98"/>
      <c r="AD823" s="98"/>
      <c r="AE823" s="98"/>
      <c r="AF823" s="98"/>
      <c r="AG823" s="98"/>
      <c r="AH823" s="98"/>
    </row>
    <row r="824" spans="2:34" x14ac:dyDescent="0.25">
      <c r="B824" s="75"/>
      <c r="C824" s="76"/>
      <c r="D824" s="83"/>
      <c r="E824" s="84"/>
      <c r="F824" s="84"/>
      <c r="G824" s="84"/>
      <c r="H824" s="84"/>
      <c r="I824" s="85"/>
      <c r="J824" s="90"/>
      <c r="K824" s="91"/>
      <c r="L824" s="90"/>
      <c r="M824" s="91"/>
      <c r="N824" s="83"/>
      <c r="O824" s="85"/>
      <c r="P824" s="96"/>
      <c r="Q824" s="97"/>
      <c r="S824" s="99"/>
      <c r="T824" s="99"/>
      <c r="U824" s="99"/>
      <c r="V824" s="99"/>
      <c r="W824" s="99"/>
      <c r="X824" s="99"/>
      <c r="Y824" s="99"/>
      <c r="Z824" s="99"/>
      <c r="AA824" s="99"/>
      <c r="AB824" s="99"/>
      <c r="AC824" s="98"/>
      <c r="AD824" s="98"/>
      <c r="AE824" s="98"/>
      <c r="AF824" s="98"/>
      <c r="AG824" s="98"/>
      <c r="AH824" s="98"/>
    </row>
    <row r="825" spans="2:34" x14ac:dyDescent="0.25">
      <c r="B825" s="71"/>
      <c r="C825" s="72"/>
      <c r="D825" s="77"/>
      <c r="E825" s="78"/>
      <c r="F825" s="78"/>
      <c r="G825" s="78"/>
      <c r="H825" s="78"/>
      <c r="I825" s="79"/>
      <c r="J825" s="86"/>
      <c r="K825" s="87"/>
      <c r="L825" s="86"/>
      <c r="M825" s="87"/>
      <c r="N825" s="77"/>
      <c r="O825" s="79"/>
      <c r="P825" s="92"/>
      <c r="Q825" s="93"/>
      <c r="S825" s="99"/>
      <c r="T825" s="99"/>
      <c r="U825" s="99"/>
      <c r="V825" s="99"/>
      <c r="W825" s="99"/>
      <c r="X825" s="99"/>
      <c r="Y825" s="99"/>
      <c r="Z825" s="99"/>
      <c r="AA825" s="99"/>
      <c r="AB825" s="99"/>
      <c r="AC825" s="98"/>
      <c r="AD825" s="98"/>
      <c r="AE825" s="98"/>
      <c r="AF825" s="98"/>
      <c r="AG825" s="98"/>
      <c r="AH825" s="98"/>
    </row>
    <row r="826" spans="2:34" x14ac:dyDescent="0.25">
      <c r="B826" s="73"/>
      <c r="C826" s="74"/>
      <c r="D826" s="80"/>
      <c r="E826" s="81"/>
      <c r="F826" s="81"/>
      <c r="G826" s="81"/>
      <c r="H826" s="81"/>
      <c r="I826" s="82"/>
      <c r="J826" s="88"/>
      <c r="K826" s="89"/>
      <c r="L826" s="88"/>
      <c r="M826" s="89"/>
      <c r="N826" s="80"/>
      <c r="O826" s="82"/>
      <c r="P826" s="94"/>
      <c r="Q826" s="95"/>
      <c r="S826" s="99"/>
      <c r="T826" s="99"/>
      <c r="U826" s="99"/>
      <c r="V826" s="99"/>
      <c r="W826" s="99"/>
      <c r="X826" s="99"/>
      <c r="Y826" s="99"/>
      <c r="Z826" s="99"/>
      <c r="AA826" s="99"/>
      <c r="AB826" s="99"/>
      <c r="AC826" s="98"/>
      <c r="AD826" s="98"/>
      <c r="AE826" s="98"/>
      <c r="AF826" s="98"/>
      <c r="AG826" s="98"/>
      <c r="AH826" s="98"/>
    </row>
    <row r="827" spans="2:34" x14ac:dyDescent="0.25">
      <c r="B827" s="75"/>
      <c r="C827" s="76"/>
      <c r="D827" s="83"/>
      <c r="E827" s="84"/>
      <c r="F827" s="84"/>
      <c r="G827" s="84"/>
      <c r="H827" s="84"/>
      <c r="I827" s="85"/>
      <c r="J827" s="90"/>
      <c r="K827" s="91"/>
      <c r="L827" s="90"/>
      <c r="M827" s="91"/>
      <c r="N827" s="83"/>
      <c r="O827" s="85"/>
      <c r="P827" s="96"/>
      <c r="Q827" s="97"/>
      <c r="S827" s="99"/>
      <c r="T827" s="99"/>
      <c r="U827" s="99"/>
      <c r="V827" s="99"/>
      <c r="W827" s="99"/>
      <c r="X827" s="99"/>
      <c r="Y827" s="99"/>
      <c r="Z827" s="99"/>
      <c r="AA827" s="99"/>
      <c r="AB827" s="99"/>
      <c r="AC827" s="98"/>
      <c r="AD827" s="98"/>
      <c r="AE827" s="98"/>
      <c r="AF827" s="98"/>
      <c r="AG827" s="98"/>
      <c r="AH827" s="98"/>
    </row>
    <row r="828" spans="2:34" x14ac:dyDescent="0.25">
      <c r="B828" s="71"/>
      <c r="C828" s="72"/>
      <c r="D828" s="77"/>
      <c r="E828" s="78"/>
      <c r="F828" s="78"/>
      <c r="G828" s="78"/>
      <c r="H828" s="78"/>
      <c r="I828" s="79"/>
      <c r="J828" s="86"/>
      <c r="K828" s="87"/>
      <c r="L828" s="86"/>
      <c r="M828" s="87"/>
      <c r="N828" s="77"/>
      <c r="O828" s="79"/>
      <c r="P828" s="92"/>
      <c r="Q828" s="93"/>
      <c r="S828" s="99"/>
      <c r="T828" s="99"/>
      <c r="U828" s="99"/>
      <c r="V828" s="99"/>
      <c r="W828" s="99"/>
      <c r="X828" s="99"/>
      <c r="Y828" s="99"/>
      <c r="Z828" s="99"/>
      <c r="AA828" s="99"/>
      <c r="AB828" s="99"/>
      <c r="AC828" s="98"/>
      <c r="AD828" s="98"/>
      <c r="AE828" s="98"/>
      <c r="AF828" s="98"/>
      <c r="AG828" s="98"/>
      <c r="AH828" s="98"/>
    </row>
    <row r="829" spans="2:34" x14ac:dyDescent="0.25">
      <c r="B829" s="73"/>
      <c r="C829" s="74"/>
      <c r="D829" s="80"/>
      <c r="E829" s="81"/>
      <c r="F829" s="81"/>
      <c r="G829" s="81"/>
      <c r="H829" s="81"/>
      <c r="I829" s="82"/>
      <c r="J829" s="88"/>
      <c r="K829" s="89"/>
      <c r="L829" s="88"/>
      <c r="M829" s="89"/>
      <c r="N829" s="80"/>
      <c r="O829" s="82"/>
      <c r="P829" s="94"/>
      <c r="Q829" s="95"/>
      <c r="S829" s="99"/>
      <c r="T829" s="99"/>
      <c r="U829" s="99"/>
      <c r="V829" s="99"/>
      <c r="W829" s="99"/>
      <c r="X829" s="99"/>
      <c r="Y829" s="99"/>
      <c r="Z829" s="99"/>
      <c r="AA829" s="99"/>
      <c r="AB829" s="99"/>
      <c r="AC829" s="98"/>
      <c r="AD829" s="98"/>
      <c r="AE829" s="98"/>
      <c r="AF829" s="98"/>
      <c r="AG829" s="98"/>
      <c r="AH829" s="98"/>
    </row>
    <row r="830" spans="2:34" x14ac:dyDescent="0.25">
      <c r="B830" s="75"/>
      <c r="C830" s="76"/>
      <c r="D830" s="83"/>
      <c r="E830" s="84"/>
      <c r="F830" s="84"/>
      <c r="G830" s="84"/>
      <c r="H830" s="84"/>
      <c r="I830" s="85"/>
      <c r="J830" s="90"/>
      <c r="K830" s="91"/>
      <c r="L830" s="90"/>
      <c r="M830" s="91"/>
      <c r="N830" s="83"/>
      <c r="O830" s="85"/>
      <c r="P830" s="96"/>
      <c r="Q830" s="97"/>
      <c r="S830" s="99"/>
      <c r="T830" s="99"/>
      <c r="U830" s="99"/>
      <c r="V830" s="99"/>
      <c r="W830" s="99"/>
      <c r="X830" s="99"/>
      <c r="Y830" s="99"/>
      <c r="Z830" s="99"/>
      <c r="AA830" s="99"/>
      <c r="AB830" s="99"/>
      <c r="AC830" s="98"/>
      <c r="AD830" s="98"/>
      <c r="AE830" s="98"/>
      <c r="AF830" s="98"/>
      <c r="AG830" s="98"/>
      <c r="AH830" s="98"/>
    </row>
    <row r="831" spans="2:34" x14ac:dyDescent="0.25">
      <c r="B831" s="71"/>
      <c r="C831" s="72"/>
      <c r="D831" s="77"/>
      <c r="E831" s="78"/>
      <c r="F831" s="78"/>
      <c r="G831" s="78"/>
      <c r="H831" s="78"/>
      <c r="I831" s="79"/>
      <c r="J831" s="86"/>
      <c r="K831" s="87"/>
      <c r="L831" s="86"/>
      <c r="M831" s="87"/>
      <c r="N831" s="77"/>
      <c r="O831" s="79"/>
      <c r="P831" s="92"/>
      <c r="Q831" s="93"/>
      <c r="S831" s="99"/>
      <c r="T831" s="99"/>
      <c r="U831" s="99"/>
      <c r="V831" s="99"/>
      <c r="W831" s="99"/>
      <c r="X831" s="99"/>
      <c r="Y831" s="99"/>
      <c r="Z831" s="99"/>
      <c r="AA831" s="99"/>
      <c r="AB831" s="99"/>
      <c r="AC831" s="98"/>
      <c r="AD831" s="98"/>
      <c r="AE831" s="98"/>
      <c r="AF831" s="98"/>
      <c r="AG831" s="98"/>
      <c r="AH831" s="98"/>
    </row>
    <row r="832" spans="2:34" x14ac:dyDescent="0.25">
      <c r="B832" s="73"/>
      <c r="C832" s="74"/>
      <c r="D832" s="80"/>
      <c r="E832" s="81"/>
      <c r="F832" s="81"/>
      <c r="G832" s="81"/>
      <c r="H832" s="81"/>
      <c r="I832" s="82"/>
      <c r="J832" s="88"/>
      <c r="K832" s="89"/>
      <c r="L832" s="88"/>
      <c r="M832" s="89"/>
      <c r="N832" s="80"/>
      <c r="O832" s="82"/>
      <c r="P832" s="94"/>
      <c r="Q832" s="95"/>
      <c r="S832" s="99"/>
      <c r="T832" s="99"/>
      <c r="U832" s="99"/>
      <c r="V832" s="99"/>
      <c r="W832" s="99"/>
      <c r="X832" s="99"/>
      <c r="Y832" s="99"/>
      <c r="Z832" s="99"/>
      <c r="AA832" s="99"/>
      <c r="AB832" s="99"/>
      <c r="AC832" s="98"/>
      <c r="AD832" s="98"/>
      <c r="AE832" s="98"/>
      <c r="AF832" s="98"/>
      <c r="AG832" s="98"/>
      <c r="AH832" s="98"/>
    </row>
    <row r="833" spans="2:34" x14ac:dyDescent="0.25">
      <c r="B833" s="75"/>
      <c r="C833" s="76"/>
      <c r="D833" s="83"/>
      <c r="E833" s="84"/>
      <c r="F833" s="84"/>
      <c r="G833" s="84"/>
      <c r="H833" s="84"/>
      <c r="I833" s="85"/>
      <c r="J833" s="90"/>
      <c r="K833" s="91"/>
      <c r="L833" s="90"/>
      <c r="M833" s="91"/>
      <c r="N833" s="83"/>
      <c r="O833" s="85"/>
      <c r="P833" s="96"/>
      <c r="Q833" s="97"/>
      <c r="S833" s="99"/>
      <c r="T833" s="99"/>
      <c r="U833" s="99"/>
      <c r="V833" s="99"/>
      <c r="W833" s="99"/>
      <c r="X833" s="99"/>
      <c r="Y833" s="99"/>
      <c r="Z833" s="99"/>
      <c r="AA833" s="99"/>
      <c r="AB833" s="99"/>
      <c r="AC833" s="98"/>
      <c r="AD833" s="98"/>
      <c r="AE833" s="98"/>
      <c r="AF833" s="98"/>
      <c r="AG833" s="98"/>
      <c r="AH833" s="98"/>
    </row>
    <row r="834" spans="2:34" x14ac:dyDescent="0.25">
      <c r="B834" s="71"/>
      <c r="C834" s="72"/>
      <c r="D834" s="77"/>
      <c r="E834" s="78"/>
      <c r="F834" s="78"/>
      <c r="G834" s="78"/>
      <c r="H834" s="78"/>
      <c r="I834" s="79"/>
      <c r="J834" s="86"/>
      <c r="K834" s="87"/>
      <c r="L834" s="86"/>
      <c r="M834" s="87"/>
      <c r="N834" s="77"/>
      <c r="O834" s="79"/>
      <c r="P834" s="92"/>
      <c r="Q834" s="93"/>
      <c r="S834" s="99"/>
      <c r="T834" s="99"/>
      <c r="U834" s="99"/>
      <c r="V834" s="99"/>
      <c r="W834" s="99"/>
      <c r="X834" s="99"/>
      <c r="Y834" s="99"/>
      <c r="Z834" s="99"/>
      <c r="AA834" s="99"/>
      <c r="AB834" s="99"/>
      <c r="AC834" s="98"/>
      <c r="AD834" s="98"/>
      <c r="AE834" s="98"/>
      <c r="AF834" s="98"/>
      <c r="AG834" s="98"/>
      <c r="AH834" s="98"/>
    </row>
    <row r="835" spans="2:34" x14ac:dyDescent="0.25">
      <c r="B835" s="73"/>
      <c r="C835" s="74"/>
      <c r="D835" s="80"/>
      <c r="E835" s="81"/>
      <c r="F835" s="81"/>
      <c r="G835" s="81"/>
      <c r="H835" s="81"/>
      <c r="I835" s="82"/>
      <c r="J835" s="88"/>
      <c r="K835" s="89"/>
      <c r="L835" s="88"/>
      <c r="M835" s="89"/>
      <c r="N835" s="80"/>
      <c r="O835" s="82"/>
      <c r="P835" s="94"/>
      <c r="Q835" s="95"/>
      <c r="S835" s="99"/>
      <c r="T835" s="99"/>
      <c r="U835" s="99"/>
      <c r="V835" s="99"/>
      <c r="W835" s="99"/>
      <c r="X835" s="99"/>
      <c r="Y835" s="99"/>
      <c r="Z835" s="99"/>
      <c r="AA835" s="99"/>
      <c r="AB835" s="99"/>
      <c r="AC835" s="98"/>
      <c r="AD835" s="98"/>
      <c r="AE835" s="98"/>
      <c r="AF835" s="98"/>
      <c r="AG835" s="98"/>
      <c r="AH835" s="98"/>
    </row>
    <row r="836" spans="2:34" x14ac:dyDescent="0.25">
      <c r="B836" s="75"/>
      <c r="C836" s="76"/>
      <c r="D836" s="83"/>
      <c r="E836" s="84"/>
      <c r="F836" s="84"/>
      <c r="G836" s="84"/>
      <c r="H836" s="84"/>
      <c r="I836" s="85"/>
      <c r="J836" s="90"/>
      <c r="K836" s="91"/>
      <c r="L836" s="90"/>
      <c r="M836" s="91"/>
      <c r="N836" s="83"/>
      <c r="O836" s="85"/>
      <c r="P836" s="96"/>
      <c r="Q836" s="97"/>
      <c r="S836" s="99"/>
      <c r="T836" s="99"/>
      <c r="U836" s="99"/>
      <c r="V836" s="99"/>
      <c r="W836" s="99"/>
      <c r="X836" s="99"/>
      <c r="Y836" s="99"/>
      <c r="Z836" s="99"/>
      <c r="AA836" s="99"/>
      <c r="AB836" s="99"/>
      <c r="AC836" s="98"/>
      <c r="AD836" s="98"/>
      <c r="AE836" s="98"/>
      <c r="AF836" s="98"/>
      <c r="AG836" s="98"/>
      <c r="AH836" s="98"/>
    </row>
    <row r="837" spans="2:34" x14ac:dyDescent="0.25">
      <c r="B837" s="71"/>
      <c r="C837" s="72"/>
      <c r="D837" s="77"/>
      <c r="E837" s="78"/>
      <c r="F837" s="78"/>
      <c r="G837" s="78"/>
      <c r="H837" s="78"/>
      <c r="I837" s="79"/>
      <c r="J837" s="86"/>
      <c r="K837" s="87"/>
      <c r="L837" s="86"/>
      <c r="M837" s="87"/>
      <c r="N837" s="77"/>
      <c r="O837" s="79"/>
      <c r="P837" s="92"/>
      <c r="Q837" s="93"/>
      <c r="S837" s="99"/>
      <c r="T837" s="99"/>
      <c r="U837" s="99"/>
      <c r="V837" s="99"/>
      <c r="W837" s="99"/>
      <c r="X837" s="99"/>
      <c r="Y837" s="99"/>
      <c r="Z837" s="99"/>
      <c r="AA837" s="99"/>
      <c r="AB837" s="99"/>
      <c r="AC837" s="98"/>
      <c r="AD837" s="98"/>
      <c r="AE837" s="98"/>
      <c r="AF837" s="98"/>
      <c r="AG837" s="98"/>
      <c r="AH837" s="98"/>
    </row>
    <row r="838" spans="2:34" x14ac:dyDescent="0.25">
      <c r="B838" s="73"/>
      <c r="C838" s="74"/>
      <c r="D838" s="80"/>
      <c r="E838" s="81"/>
      <c r="F838" s="81"/>
      <c r="G838" s="81"/>
      <c r="H838" s="81"/>
      <c r="I838" s="82"/>
      <c r="J838" s="88"/>
      <c r="K838" s="89"/>
      <c r="L838" s="88"/>
      <c r="M838" s="89"/>
      <c r="N838" s="80"/>
      <c r="O838" s="82"/>
      <c r="P838" s="94"/>
      <c r="Q838" s="95"/>
      <c r="S838" s="99"/>
      <c r="T838" s="99"/>
      <c r="U838" s="99"/>
      <c r="V838" s="99"/>
      <c r="W838" s="99"/>
      <c r="X838" s="99"/>
      <c r="Y838" s="99"/>
      <c r="Z838" s="99"/>
      <c r="AA838" s="99"/>
      <c r="AB838" s="99"/>
      <c r="AC838" s="98"/>
      <c r="AD838" s="98"/>
      <c r="AE838" s="98"/>
      <c r="AF838" s="98"/>
      <c r="AG838" s="98"/>
      <c r="AH838" s="98"/>
    </row>
    <row r="839" spans="2:34" x14ac:dyDescent="0.25">
      <c r="B839" s="75"/>
      <c r="C839" s="76"/>
      <c r="D839" s="83"/>
      <c r="E839" s="84"/>
      <c r="F839" s="84"/>
      <c r="G839" s="84"/>
      <c r="H839" s="84"/>
      <c r="I839" s="85"/>
      <c r="J839" s="90"/>
      <c r="K839" s="91"/>
      <c r="L839" s="90"/>
      <c r="M839" s="91"/>
      <c r="N839" s="83"/>
      <c r="O839" s="85"/>
      <c r="P839" s="96"/>
      <c r="Q839" s="97"/>
      <c r="S839" s="99"/>
      <c r="T839" s="99"/>
      <c r="U839" s="99"/>
      <c r="V839" s="99"/>
      <c r="W839" s="99"/>
      <c r="X839" s="99"/>
      <c r="Y839" s="99"/>
      <c r="Z839" s="99"/>
      <c r="AA839" s="99"/>
      <c r="AB839" s="99"/>
      <c r="AC839" s="98"/>
      <c r="AD839" s="98"/>
      <c r="AE839" s="98"/>
      <c r="AF839" s="98"/>
      <c r="AG839" s="98"/>
      <c r="AH839" s="98"/>
    </row>
    <row r="840" spans="2:34" x14ac:dyDescent="0.25">
      <c r="B840" s="71"/>
      <c r="C840" s="72"/>
      <c r="D840" s="77"/>
      <c r="E840" s="78"/>
      <c r="F840" s="78"/>
      <c r="G840" s="78"/>
      <c r="H840" s="78"/>
      <c r="I840" s="79"/>
      <c r="J840" s="86"/>
      <c r="K840" s="87"/>
      <c r="L840" s="86"/>
      <c r="M840" s="87"/>
      <c r="N840" s="77"/>
      <c r="O840" s="79"/>
      <c r="P840" s="92"/>
      <c r="Q840" s="93"/>
      <c r="S840" s="99"/>
      <c r="T840" s="99"/>
      <c r="U840" s="99"/>
      <c r="V840" s="99"/>
      <c r="W840" s="99"/>
      <c r="X840" s="99"/>
      <c r="Y840" s="99"/>
      <c r="Z840" s="99"/>
      <c r="AA840" s="99"/>
      <c r="AB840" s="99"/>
      <c r="AC840" s="98"/>
      <c r="AD840" s="98"/>
      <c r="AE840" s="98"/>
      <c r="AF840" s="98"/>
      <c r="AG840" s="98"/>
      <c r="AH840" s="98"/>
    </row>
    <row r="841" spans="2:34" x14ac:dyDescent="0.25">
      <c r="B841" s="73"/>
      <c r="C841" s="74"/>
      <c r="D841" s="80"/>
      <c r="E841" s="81"/>
      <c r="F841" s="81"/>
      <c r="G841" s="81"/>
      <c r="H841" s="81"/>
      <c r="I841" s="82"/>
      <c r="J841" s="88"/>
      <c r="K841" s="89"/>
      <c r="L841" s="88"/>
      <c r="M841" s="89"/>
      <c r="N841" s="80"/>
      <c r="O841" s="82"/>
      <c r="P841" s="94"/>
      <c r="Q841" s="95"/>
      <c r="S841" s="99"/>
      <c r="T841" s="99"/>
      <c r="U841" s="99"/>
      <c r="V841" s="99"/>
      <c r="W841" s="99"/>
      <c r="X841" s="99"/>
      <c r="Y841" s="99"/>
      <c r="Z841" s="99"/>
      <c r="AA841" s="99"/>
      <c r="AB841" s="99"/>
      <c r="AC841" s="98"/>
      <c r="AD841" s="98"/>
      <c r="AE841" s="98"/>
      <c r="AF841" s="98"/>
      <c r="AG841" s="98"/>
      <c r="AH841" s="98"/>
    </row>
    <row r="842" spans="2:34" x14ac:dyDescent="0.25">
      <c r="B842" s="75"/>
      <c r="C842" s="76"/>
      <c r="D842" s="83"/>
      <c r="E842" s="84"/>
      <c r="F842" s="84"/>
      <c r="G842" s="84"/>
      <c r="H842" s="84"/>
      <c r="I842" s="85"/>
      <c r="J842" s="90"/>
      <c r="K842" s="91"/>
      <c r="L842" s="90"/>
      <c r="M842" s="91"/>
      <c r="N842" s="83"/>
      <c r="O842" s="85"/>
      <c r="P842" s="96"/>
      <c r="Q842" s="97"/>
      <c r="S842" s="99"/>
      <c r="T842" s="99"/>
      <c r="U842" s="99"/>
      <c r="V842" s="99"/>
      <c r="W842" s="99"/>
      <c r="X842" s="99"/>
      <c r="Y842" s="99"/>
      <c r="Z842" s="99"/>
      <c r="AA842" s="99"/>
      <c r="AB842" s="99"/>
      <c r="AC842" s="98"/>
      <c r="AD842" s="98"/>
      <c r="AE842" s="98"/>
      <c r="AF842" s="98"/>
      <c r="AG842" s="98"/>
      <c r="AH842" s="98"/>
    </row>
    <row r="843" spans="2:34" x14ac:dyDescent="0.25">
      <c r="B843" s="71"/>
      <c r="C843" s="72"/>
      <c r="D843" s="77"/>
      <c r="E843" s="78"/>
      <c r="F843" s="78"/>
      <c r="G843" s="78"/>
      <c r="H843" s="78"/>
      <c r="I843" s="79"/>
      <c r="J843" s="86"/>
      <c r="K843" s="87"/>
      <c r="L843" s="86"/>
      <c r="M843" s="87"/>
      <c r="N843" s="77"/>
      <c r="O843" s="79"/>
      <c r="P843" s="92"/>
      <c r="Q843" s="93"/>
      <c r="S843" s="99"/>
      <c r="T843" s="99"/>
      <c r="U843" s="99"/>
      <c r="V843" s="99"/>
      <c r="W843" s="99"/>
      <c r="X843" s="99"/>
      <c r="Y843" s="99"/>
      <c r="Z843" s="99"/>
      <c r="AA843" s="99"/>
      <c r="AB843" s="99"/>
      <c r="AC843" s="98"/>
      <c r="AD843" s="98"/>
      <c r="AE843" s="98"/>
      <c r="AF843" s="98"/>
      <c r="AG843" s="98"/>
      <c r="AH843" s="98"/>
    </row>
    <row r="844" spans="2:34" x14ac:dyDescent="0.25">
      <c r="B844" s="73"/>
      <c r="C844" s="74"/>
      <c r="D844" s="80"/>
      <c r="E844" s="81"/>
      <c r="F844" s="81"/>
      <c r="G844" s="81"/>
      <c r="H844" s="81"/>
      <c r="I844" s="82"/>
      <c r="J844" s="88"/>
      <c r="K844" s="89"/>
      <c r="L844" s="88"/>
      <c r="M844" s="89"/>
      <c r="N844" s="80"/>
      <c r="O844" s="82"/>
      <c r="P844" s="94"/>
      <c r="Q844" s="95"/>
      <c r="S844" s="99"/>
      <c r="T844" s="99"/>
      <c r="U844" s="99"/>
      <c r="V844" s="99"/>
      <c r="W844" s="99"/>
      <c r="X844" s="99"/>
      <c r="Y844" s="99"/>
      <c r="Z844" s="99"/>
      <c r="AA844" s="99"/>
      <c r="AB844" s="99"/>
      <c r="AC844" s="98"/>
      <c r="AD844" s="98"/>
      <c r="AE844" s="98"/>
      <c r="AF844" s="98"/>
      <c r="AG844" s="98"/>
      <c r="AH844" s="98"/>
    </row>
    <row r="845" spans="2:34" x14ac:dyDescent="0.25">
      <c r="B845" s="75"/>
      <c r="C845" s="76"/>
      <c r="D845" s="83"/>
      <c r="E845" s="84"/>
      <c r="F845" s="84"/>
      <c r="G845" s="84"/>
      <c r="H845" s="84"/>
      <c r="I845" s="85"/>
      <c r="J845" s="90"/>
      <c r="K845" s="91"/>
      <c r="L845" s="90"/>
      <c r="M845" s="91"/>
      <c r="N845" s="83"/>
      <c r="O845" s="85"/>
      <c r="P845" s="96"/>
      <c r="Q845" s="97"/>
      <c r="S845" s="99"/>
      <c r="T845" s="99"/>
      <c r="U845" s="99"/>
      <c r="V845" s="99"/>
      <c r="W845" s="99"/>
      <c r="X845" s="99"/>
      <c r="Y845" s="99"/>
      <c r="Z845" s="99"/>
      <c r="AA845" s="99"/>
      <c r="AB845" s="99"/>
      <c r="AC845" s="98"/>
      <c r="AD845" s="98"/>
      <c r="AE845" s="98"/>
      <c r="AF845" s="98"/>
      <c r="AG845" s="98"/>
      <c r="AH845" s="98"/>
    </row>
    <row r="846" spans="2:34" x14ac:dyDescent="0.25">
      <c r="B846" s="71"/>
      <c r="C846" s="72"/>
      <c r="D846" s="77"/>
      <c r="E846" s="78"/>
      <c r="F846" s="78"/>
      <c r="G846" s="78"/>
      <c r="H846" s="78"/>
      <c r="I846" s="79"/>
      <c r="J846" s="86"/>
      <c r="K846" s="87"/>
      <c r="L846" s="86"/>
      <c r="M846" s="87"/>
      <c r="N846" s="77"/>
      <c r="O846" s="79"/>
      <c r="P846" s="92"/>
      <c r="Q846" s="93"/>
      <c r="S846" s="99"/>
      <c r="T846" s="99"/>
      <c r="U846" s="99"/>
      <c r="V846" s="99"/>
      <c r="W846" s="99"/>
      <c r="X846" s="99"/>
      <c r="Y846" s="99"/>
      <c r="Z846" s="99"/>
      <c r="AA846" s="99"/>
      <c r="AB846" s="99"/>
      <c r="AC846" s="98"/>
      <c r="AD846" s="98"/>
      <c r="AE846" s="98"/>
      <c r="AF846" s="98"/>
      <c r="AG846" s="98"/>
      <c r="AH846" s="98"/>
    </row>
    <row r="847" spans="2:34" x14ac:dyDescent="0.25">
      <c r="B847" s="73"/>
      <c r="C847" s="74"/>
      <c r="D847" s="80"/>
      <c r="E847" s="81"/>
      <c r="F847" s="81"/>
      <c r="G847" s="81"/>
      <c r="H847" s="81"/>
      <c r="I847" s="82"/>
      <c r="J847" s="88"/>
      <c r="K847" s="89"/>
      <c r="L847" s="88"/>
      <c r="M847" s="89"/>
      <c r="N847" s="80"/>
      <c r="O847" s="82"/>
      <c r="P847" s="94"/>
      <c r="Q847" s="95"/>
      <c r="S847" s="99"/>
      <c r="T847" s="99"/>
      <c r="U847" s="99"/>
      <c r="V847" s="99"/>
      <c r="W847" s="99"/>
      <c r="X847" s="99"/>
      <c r="Y847" s="99"/>
      <c r="Z847" s="99"/>
      <c r="AA847" s="99"/>
      <c r="AB847" s="99"/>
      <c r="AC847" s="98"/>
      <c r="AD847" s="98"/>
      <c r="AE847" s="98"/>
      <c r="AF847" s="98"/>
      <c r="AG847" s="98"/>
      <c r="AH847" s="98"/>
    </row>
    <row r="848" spans="2:34" x14ac:dyDescent="0.25">
      <c r="B848" s="75"/>
      <c r="C848" s="76"/>
      <c r="D848" s="83"/>
      <c r="E848" s="84"/>
      <c r="F848" s="84"/>
      <c r="G848" s="84"/>
      <c r="H848" s="84"/>
      <c r="I848" s="85"/>
      <c r="J848" s="90"/>
      <c r="K848" s="91"/>
      <c r="L848" s="90"/>
      <c r="M848" s="91"/>
      <c r="N848" s="83"/>
      <c r="O848" s="85"/>
      <c r="P848" s="96"/>
      <c r="Q848" s="97"/>
      <c r="S848" s="99"/>
      <c r="T848" s="99"/>
      <c r="U848" s="99"/>
      <c r="V848" s="99"/>
      <c r="W848" s="99"/>
      <c r="X848" s="99"/>
      <c r="Y848" s="99"/>
      <c r="Z848" s="99"/>
      <c r="AA848" s="99"/>
      <c r="AB848" s="99"/>
      <c r="AC848" s="98"/>
      <c r="AD848" s="98"/>
      <c r="AE848" s="98"/>
      <c r="AF848" s="98"/>
      <c r="AG848" s="98"/>
      <c r="AH848" s="98"/>
    </row>
    <row r="849" spans="2:34" x14ac:dyDescent="0.25">
      <c r="B849" s="71"/>
      <c r="C849" s="72"/>
      <c r="D849" s="77"/>
      <c r="E849" s="78"/>
      <c r="F849" s="78"/>
      <c r="G849" s="78"/>
      <c r="H849" s="78"/>
      <c r="I849" s="79"/>
      <c r="J849" s="86"/>
      <c r="K849" s="87"/>
      <c r="L849" s="86"/>
      <c r="M849" s="87"/>
      <c r="N849" s="77"/>
      <c r="O849" s="79"/>
      <c r="P849" s="92"/>
      <c r="Q849" s="93"/>
      <c r="S849" s="99"/>
      <c r="T849" s="99"/>
      <c r="U849" s="99"/>
      <c r="V849" s="99"/>
      <c r="W849" s="99"/>
      <c r="X849" s="99"/>
      <c r="Y849" s="99"/>
      <c r="Z849" s="99"/>
      <c r="AA849" s="99"/>
      <c r="AB849" s="99"/>
      <c r="AC849" s="98"/>
      <c r="AD849" s="98"/>
      <c r="AE849" s="98"/>
      <c r="AF849" s="98"/>
      <c r="AG849" s="98"/>
      <c r="AH849" s="98"/>
    </row>
    <row r="850" spans="2:34" x14ac:dyDescent="0.25">
      <c r="B850" s="73"/>
      <c r="C850" s="74"/>
      <c r="D850" s="80"/>
      <c r="E850" s="81"/>
      <c r="F850" s="81"/>
      <c r="G850" s="81"/>
      <c r="H850" s="81"/>
      <c r="I850" s="82"/>
      <c r="J850" s="88"/>
      <c r="K850" s="89"/>
      <c r="L850" s="88"/>
      <c r="M850" s="89"/>
      <c r="N850" s="80"/>
      <c r="O850" s="82"/>
      <c r="P850" s="94"/>
      <c r="Q850" s="95"/>
      <c r="S850" s="99"/>
      <c r="T850" s="99"/>
      <c r="U850" s="99"/>
      <c r="V850" s="99"/>
      <c r="W850" s="99"/>
      <c r="X850" s="99"/>
      <c r="Y850" s="99"/>
      <c r="Z850" s="99"/>
      <c r="AA850" s="99"/>
      <c r="AB850" s="99"/>
      <c r="AC850" s="98"/>
      <c r="AD850" s="98"/>
      <c r="AE850" s="98"/>
      <c r="AF850" s="98"/>
      <c r="AG850" s="98"/>
      <c r="AH850" s="98"/>
    </row>
    <row r="851" spans="2:34" x14ac:dyDescent="0.25">
      <c r="B851" s="75"/>
      <c r="C851" s="76"/>
      <c r="D851" s="83"/>
      <c r="E851" s="84"/>
      <c r="F851" s="84"/>
      <c r="G851" s="84"/>
      <c r="H851" s="84"/>
      <c r="I851" s="85"/>
      <c r="J851" s="90"/>
      <c r="K851" s="91"/>
      <c r="L851" s="90"/>
      <c r="M851" s="91"/>
      <c r="N851" s="83"/>
      <c r="O851" s="85"/>
      <c r="P851" s="96"/>
      <c r="Q851" s="97"/>
      <c r="S851" s="99"/>
      <c r="T851" s="99"/>
      <c r="U851" s="99"/>
      <c r="V851" s="99"/>
      <c r="W851" s="99"/>
      <c r="X851" s="99"/>
      <c r="Y851" s="99"/>
      <c r="Z851" s="99"/>
      <c r="AA851" s="99"/>
      <c r="AB851" s="99"/>
      <c r="AC851" s="98"/>
      <c r="AD851" s="98"/>
      <c r="AE851" s="98"/>
      <c r="AF851" s="98"/>
      <c r="AG851" s="98"/>
      <c r="AH851" s="98"/>
    </row>
    <row r="852" spans="2:34" x14ac:dyDescent="0.25">
      <c r="B852" s="71"/>
      <c r="C852" s="72"/>
      <c r="D852" s="77"/>
      <c r="E852" s="78"/>
      <c r="F852" s="78"/>
      <c r="G852" s="78"/>
      <c r="H852" s="78"/>
      <c r="I852" s="79"/>
      <c r="J852" s="86"/>
      <c r="K852" s="87"/>
      <c r="L852" s="86"/>
      <c r="M852" s="87"/>
      <c r="N852" s="77"/>
      <c r="O852" s="79"/>
      <c r="P852" s="92"/>
      <c r="Q852" s="93"/>
      <c r="S852" s="99"/>
      <c r="T852" s="99"/>
      <c r="U852" s="99"/>
      <c r="V852" s="99"/>
      <c r="W852" s="99"/>
      <c r="X852" s="99"/>
      <c r="Y852" s="99"/>
      <c r="Z852" s="99"/>
      <c r="AA852" s="99"/>
      <c r="AB852" s="99"/>
      <c r="AC852" s="98"/>
      <c r="AD852" s="98"/>
      <c r="AE852" s="98"/>
      <c r="AF852" s="98"/>
      <c r="AG852" s="98"/>
      <c r="AH852" s="98"/>
    </row>
    <row r="853" spans="2:34" x14ac:dyDescent="0.25">
      <c r="B853" s="73"/>
      <c r="C853" s="74"/>
      <c r="D853" s="80"/>
      <c r="E853" s="81"/>
      <c r="F853" s="81"/>
      <c r="G853" s="81"/>
      <c r="H853" s="81"/>
      <c r="I853" s="82"/>
      <c r="J853" s="88"/>
      <c r="K853" s="89"/>
      <c r="L853" s="88"/>
      <c r="M853" s="89"/>
      <c r="N853" s="80"/>
      <c r="O853" s="82"/>
      <c r="P853" s="94"/>
      <c r="Q853" s="95"/>
      <c r="S853" s="99"/>
      <c r="T853" s="99"/>
      <c r="U853" s="99"/>
      <c r="V853" s="99"/>
      <c r="W853" s="99"/>
      <c r="X853" s="99"/>
      <c r="Y853" s="99"/>
      <c r="Z853" s="99"/>
      <c r="AA853" s="99"/>
      <c r="AB853" s="99"/>
      <c r="AC853" s="98"/>
      <c r="AD853" s="98"/>
      <c r="AE853" s="98"/>
      <c r="AF853" s="98"/>
      <c r="AG853" s="98"/>
      <c r="AH853" s="98"/>
    </row>
    <row r="854" spans="2:34" x14ac:dyDescent="0.25">
      <c r="B854" s="75"/>
      <c r="C854" s="76"/>
      <c r="D854" s="83"/>
      <c r="E854" s="84"/>
      <c r="F854" s="84"/>
      <c r="G854" s="84"/>
      <c r="H854" s="84"/>
      <c r="I854" s="85"/>
      <c r="J854" s="90"/>
      <c r="K854" s="91"/>
      <c r="L854" s="90"/>
      <c r="M854" s="91"/>
      <c r="N854" s="83"/>
      <c r="O854" s="85"/>
      <c r="P854" s="96"/>
      <c r="Q854" s="97"/>
      <c r="S854" s="99"/>
      <c r="T854" s="99"/>
      <c r="U854" s="99"/>
      <c r="V854" s="99"/>
      <c r="W854" s="99"/>
      <c r="X854" s="99"/>
      <c r="Y854" s="99"/>
      <c r="Z854" s="99"/>
      <c r="AA854" s="99"/>
      <c r="AB854" s="99"/>
      <c r="AC854" s="98"/>
      <c r="AD854" s="98"/>
      <c r="AE854" s="98"/>
      <c r="AF854" s="98"/>
      <c r="AG854" s="98"/>
      <c r="AH854" s="98"/>
    </row>
    <row r="855" spans="2:34" x14ac:dyDescent="0.25">
      <c r="B855" s="71"/>
      <c r="C855" s="72"/>
      <c r="D855" s="77"/>
      <c r="E855" s="78"/>
      <c r="F855" s="78"/>
      <c r="G855" s="78"/>
      <c r="H855" s="78"/>
      <c r="I855" s="79"/>
      <c r="J855" s="86"/>
      <c r="K855" s="87"/>
      <c r="L855" s="86"/>
      <c r="M855" s="87"/>
      <c r="N855" s="77"/>
      <c r="O855" s="79"/>
      <c r="P855" s="92"/>
      <c r="Q855" s="93"/>
      <c r="S855" s="99"/>
      <c r="T855" s="99"/>
      <c r="U855" s="99"/>
      <c r="V855" s="99"/>
      <c r="W855" s="99"/>
      <c r="X855" s="99"/>
      <c r="Y855" s="99"/>
      <c r="Z855" s="99"/>
      <c r="AA855" s="99"/>
      <c r="AB855" s="99"/>
      <c r="AC855" s="98"/>
      <c r="AD855" s="98"/>
      <c r="AE855" s="98"/>
      <c r="AF855" s="98"/>
      <c r="AG855" s="98"/>
      <c r="AH855" s="98"/>
    </row>
    <row r="856" spans="2:34" x14ac:dyDescent="0.25">
      <c r="B856" s="73"/>
      <c r="C856" s="74"/>
      <c r="D856" s="80"/>
      <c r="E856" s="81"/>
      <c r="F856" s="81"/>
      <c r="G856" s="81"/>
      <c r="H856" s="81"/>
      <c r="I856" s="82"/>
      <c r="J856" s="88"/>
      <c r="K856" s="89"/>
      <c r="L856" s="88"/>
      <c r="M856" s="89"/>
      <c r="N856" s="80"/>
      <c r="O856" s="82"/>
      <c r="P856" s="94"/>
      <c r="Q856" s="95"/>
      <c r="S856" s="99"/>
      <c r="T856" s="99"/>
      <c r="U856" s="99"/>
      <c r="V856" s="99"/>
      <c r="W856" s="99"/>
      <c r="X856" s="99"/>
      <c r="Y856" s="99"/>
      <c r="Z856" s="99"/>
      <c r="AA856" s="99"/>
      <c r="AB856" s="99"/>
      <c r="AC856" s="98"/>
      <c r="AD856" s="98"/>
      <c r="AE856" s="98"/>
      <c r="AF856" s="98"/>
      <c r="AG856" s="98"/>
      <c r="AH856" s="98"/>
    </row>
    <row r="857" spans="2:34" x14ac:dyDescent="0.25">
      <c r="B857" s="75"/>
      <c r="C857" s="76"/>
      <c r="D857" s="83"/>
      <c r="E857" s="84"/>
      <c r="F857" s="84"/>
      <c r="G857" s="84"/>
      <c r="H857" s="84"/>
      <c r="I857" s="85"/>
      <c r="J857" s="90"/>
      <c r="K857" s="91"/>
      <c r="L857" s="90"/>
      <c r="M857" s="91"/>
      <c r="N857" s="83"/>
      <c r="O857" s="85"/>
      <c r="P857" s="96"/>
      <c r="Q857" s="97"/>
      <c r="S857" s="99"/>
      <c r="T857" s="99"/>
      <c r="U857" s="99"/>
      <c r="V857" s="99"/>
      <c r="W857" s="99"/>
      <c r="X857" s="99"/>
      <c r="Y857" s="99"/>
      <c r="Z857" s="99"/>
      <c r="AA857" s="99"/>
      <c r="AB857" s="99"/>
      <c r="AC857" s="98"/>
      <c r="AD857" s="98"/>
      <c r="AE857" s="98"/>
      <c r="AF857" s="98"/>
      <c r="AG857" s="98"/>
      <c r="AH857" s="98"/>
    </row>
    <row r="858" spans="2:34" x14ac:dyDescent="0.25">
      <c r="B858" s="71"/>
      <c r="C858" s="72"/>
      <c r="D858" s="77"/>
      <c r="E858" s="78"/>
      <c r="F858" s="78"/>
      <c r="G858" s="78"/>
      <c r="H858" s="78"/>
      <c r="I858" s="79"/>
      <c r="J858" s="86"/>
      <c r="K858" s="87"/>
      <c r="L858" s="86"/>
      <c r="M858" s="87"/>
      <c r="N858" s="77"/>
      <c r="O858" s="79"/>
      <c r="P858" s="92"/>
      <c r="Q858" s="93"/>
      <c r="S858" s="99"/>
      <c r="T858" s="99"/>
      <c r="U858" s="99"/>
      <c r="V858" s="99"/>
      <c r="W858" s="99"/>
      <c r="X858" s="99"/>
      <c r="Y858" s="99"/>
      <c r="Z858" s="99"/>
      <c r="AA858" s="99"/>
      <c r="AB858" s="99"/>
      <c r="AC858" s="98"/>
      <c r="AD858" s="98"/>
      <c r="AE858" s="98"/>
      <c r="AF858" s="98"/>
      <c r="AG858" s="98"/>
      <c r="AH858" s="98"/>
    </row>
    <row r="859" spans="2:34" x14ac:dyDescent="0.25">
      <c r="B859" s="73"/>
      <c r="C859" s="74"/>
      <c r="D859" s="80"/>
      <c r="E859" s="81"/>
      <c r="F859" s="81"/>
      <c r="G859" s="81"/>
      <c r="H859" s="81"/>
      <c r="I859" s="82"/>
      <c r="J859" s="88"/>
      <c r="K859" s="89"/>
      <c r="L859" s="88"/>
      <c r="M859" s="89"/>
      <c r="N859" s="80"/>
      <c r="O859" s="82"/>
      <c r="P859" s="94"/>
      <c r="Q859" s="95"/>
      <c r="S859" s="99"/>
      <c r="T859" s="99"/>
      <c r="U859" s="99"/>
      <c r="V859" s="99"/>
      <c r="W859" s="99"/>
      <c r="X859" s="99"/>
      <c r="Y859" s="99"/>
      <c r="Z859" s="99"/>
      <c r="AA859" s="99"/>
      <c r="AB859" s="99"/>
      <c r="AC859" s="98"/>
      <c r="AD859" s="98"/>
      <c r="AE859" s="98"/>
      <c r="AF859" s="98"/>
      <c r="AG859" s="98"/>
      <c r="AH859" s="98"/>
    </row>
    <row r="860" spans="2:34" x14ac:dyDescent="0.25">
      <c r="B860" s="75"/>
      <c r="C860" s="76"/>
      <c r="D860" s="83"/>
      <c r="E860" s="84"/>
      <c r="F860" s="84"/>
      <c r="G860" s="84"/>
      <c r="H860" s="84"/>
      <c r="I860" s="85"/>
      <c r="J860" s="90"/>
      <c r="K860" s="91"/>
      <c r="L860" s="90"/>
      <c r="M860" s="91"/>
      <c r="N860" s="83"/>
      <c r="O860" s="85"/>
      <c r="P860" s="96"/>
      <c r="Q860" s="97"/>
      <c r="S860" s="99"/>
      <c r="T860" s="99"/>
      <c r="U860" s="99"/>
      <c r="V860" s="99"/>
      <c r="W860" s="99"/>
      <c r="X860" s="99"/>
      <c r="Y860" s="99"/>
      <c r="Z860" s="99"/>
      <c r="AA860" s="99"/>
      <c r="AB860" s="99"/>
      <c r="AC860" s="98"/>
      <c r="AD860" s="98"/>
      <c r="AE860" s="98"/>
      <c r="AF860" s="98"/>
      <c r="AG860" s="98"/>
      <c r="AH860" s="98"/>
    </row>
    <row r="861" spans="2:34" x14ac:dyDescent="0.25">
      <c r="B861" s="71"/>
      <c r="C861" s="72"/>
      <c r="D861" s="77"/>
      <c r="E861" s="78"/>
      <c r="F861" s="78"/>
      <c r="G861" s="78"/>
      <c r="H861" s="78"/>
      <c r="I861" s="79"/>
      <c r="J861" s="86"/>
      <c r="K861" s="87"/>
      <c r="L861" s="86"/>
      <c r="M861" s="87"/>
      <c r="N861" s="77"/>
      <c r="O861" s="79"/>
      <c r="P861" s="92"/>
      <c r="Q861" s="93"/>
      <c r="S861" s="99"/>
      <c r="T861" s="99"/>
      <c r="U861" s="99"/>
      <c r="V861" s="99"/>
      <c r="W861" s="99"/>
      <c r="X861" s="99"/>
      <c r="Y861" s="99"/>
      <c r="Z861" s="99"/>
      <c r="AA861" s="99"/>
      <c r="AB861" s="99"/>
      <c r="AC861" s="98"/>
      <c r="AD861" s="98"/>
      <c r="AE861" s="98"/>
      <c r="AF861" s="98"/>
      <c r="AG861" s="98"/>
      <c r="AH861" s="98"/>
    </row>
    <row r="862" spans="2:34" x14ac:dyDescent="0.25">
      <c r="B862" s="73"/>
      <c r="C862" s="74"/>
      <c r="D862" s="80"/>
      <c r="E862" s="81"/>
      <c r="F862" s="81"/>
      <c r="G862" s="81"/>
      <c r="H862" s="81"/>
      <c r="I862" s="82"/>
      <c r="J862" s="88"/>
      <c r="K862" s="89"/>
      <c r="L862" s="88"/>
      <c r="M862" s="89"/>
      <c r="N862" s="80"/>
      <c r="O862" s="82"/>
      <c r="P862" s="94"/>
      <c r="Q862" s="95"/>
      <c r="S862" s="99"/>
      <c r="T862" s="99"/>
      <c r="U862" s="99"/>
      <c r="V862" s="99"/>
      <c r="W862" s="99"/>
      <c r="X862" s="99"/>
      <c r="Y862" s="99"/>
      <c r="Z862" s="99"/>
      <c r="AA862" s="99"/>
      <c r="AB862" s="99"/>
      <c r="AC862" s="98"/>
      <c r="AD862" s="98"/>
      <c r="AE862" s="98"/>
      <c r="AF862" s="98"/>
      <c r="AG862" s="98"/>
      <c r="AH862" s="98"/>
    </row>
    <row r="863" spans="2:34" x14ac:dyDescent="0.25">
      <c r="B863" s="75"/>
      <c r="C863" s="76"/>
      <c r="D863" s="83"/>
      <c r="E863" s="84"/>
      <c r="F863" s="84"/>
      <c r="G863" s="84"/>
      <c r="H863" s="84"/>
      <c r="I863" s="85"/>
      <c r="J863" s="90"/>
      <c r="K863" s="91"/>
      <c r="L863" s="90"/>
      <c r="M863" s="91"/>
      <c r="N863" s="83"/>
      <c r="O863" s="85"/>
      <c r="P863" s="96"/>
      <c r="Q863" s="97"/>
      <c r="S863" s="99"/>
      <c r="T863" s="99"/>
      <c r="U863" s="99"/>
      <c r="V863" s="99"/>
      <c r="W863" s="99"/>
      <c r="X863" s="99"/>
      <c r="Y863" s="99"/>
      <c r="Z863" s="99"/>
      <c r="AA863" s="99"/>
      <c r="AB863" s="99"/>
      <c r="AC863" s="98"/>
      <c r="AD863" s="98"/>
      <c r="AE863" s="98"/>
      <c r="AF863" s="98"/>
      <c r="AG863" s="98"/>
      <c r="AH863" s="98"/>
    </row>
    <row r="864" spans="2:34" x14ac:dyDescent="0.25">
      <c r="B864" s="71"/>
      <c r="C864" s="72"/>
      <c r="D864" s="77"/>
      <c r="E864" s="78"/>
      <c r="F864" s="78"/>
      <c r="G864" s="78"/>
      <c r="H864" s="78"/>
      <c r="I864" s="79"/>
      <c r="J864" s="86"/>
      <c r="K864" s="87"/>
      <c r="L864" s="86"/>
      <c r="M864" s="87"/>
      <c r="N864" s="77"/>
      <c r="O864" s="79"/>
      <c r="P864" s="92"/>
      <c r="Q864" s="93"/>
      <c r="S864" s="99"/>
      <c r="T864" s="99"/>
      <c r="U864" s="99"/>
      <c r="V864" s="99"/>
      <c r="W864" s="99"/>
      <c r="X864" s="99"/>
      <c r="Y864" s="99"/>
      <c r="Z864" s="99"/>
      <c r="AA864" s="99"/>
      <c r="AB864" s="99"/>
      <c r="AC864" s="98"/>
      <c r="AD864" s="98"/>
      <c r="AE864" s="98"/>
      <c r="AF864" s="98"/>
      <c r="AG864" s="98"/>
      <c r="AH864" s="98"/>
    </row>
    <row r="865" spans="2:34" x14ac:dyDescent="0.25">
      <c r="B865" s="73"/>
      <c r="C865" s="74"/>
      <c r="D865" s="80"/>
      <c r="E865" s="81"/>
      <c r="F865" s="81"/>
      <c r="G865" s="81"/>
      <c r="H865" s="81"/>
      <c r="I865" s="82"/>
      <c r="J865" s="88"/>
      <c r="K865" s="89"/>
      <c r="L865" s="88"/>
      <c r="M865" s="89"/>
      <c r="N865" s="80"/>
      <c r="O865" s="82"/>
      <c r="P865" s="94"/>
      <c r="Q865" s="95"/>
      <c r="S865" s="99"/>
      <c r="T865" s="99"/>
      <c r="U865" s="99"/>
      <c r="V865" s="99"/>
      <c r="W865" s="99"/>
      <c r="X865" s="99"/>
      <c r="Y865" s="99"/>
      <c r="Z865" s="99"/>
      <c r="AA865" s="99"/>
      <c r="AB865" s="99"/>
      <c r="AC865" s="98"/>
      <c r="AD865" s="98"/>
      <c r="AE865" s="98"/>
      <c r="AF865" s="98"/>
      <c r="AG865" s="98"/>
      <c r="AH865" s="98"/>
    </row>
    <row r="866" spans="2:34" x14ac:dyDescent="0.25">
      <c r="B866" s="75"/>
      <c r="C866" s="76"/>
      <c r="D866" s="83"/>
      <c r="E866" s="84"/>
      <c r="F866" s="84"/>
      <c r="G866" s="84"/>
      <c r="H866" s="84"/>
      <c r="I866" s="85"/>
      <c r="J866" s="90"/>
      <c r="K866" s="91"/>
      <c r="L866" s="90"/>
      <c r="M866" s="91"/>
      <c r="N866" s="83"/>
      <c r="O866" s="85"/>
      <c r="P866" s="96"/>
      <c r="Q866" s="97"/>
      <c r="S866" s="99"/>
      <c r="T866" s="99"/>
      <c r="U866" s="99"/>
      <c r="V866" s="99"/>
      <c r="W866" s="99"/>
      <c r="X866" s="99"/>
      <c r="Y866" s="99"/>
      <c r="Z866" s="99"/>
      <c r="AA866" s="99"/>
      <c r="AB866" s="99"/>
      <c r="AC866" s="98"/>
      <c r="AD866" s="98"/>
      <c r="AE866" s="98"/>
      <c r="AF866" s="98"/>
      <c r="AG866" s="98"/>
      <c r="AH866" s="98"/>
    </row>
    <row r="867" spans="2:34" x14ac:dyDescent="0.25">
      <c r="B867" s="71"/>
      <c r="C867" s="72"/>
      <c r="D867" s="77"/>
      <c r="E867" s="78"/>
      <c r="F867" s="78"/>
      <c r="G867" s="78"/>
      <c r="H867" s="78"/>
      <c r="I867" s="79"/>
      <c r="J867" s="86"/>
      <c r="K867" s="87"/>
      <c r="L867" s="86"/>
      <c r="M867" s="87"/>
      <c r="N867" s="77"/>
      <c r="O867" s="79"/>
      <c r="P867" s="92"/>
      <c r="Q867" s="93"/>
      <c r="S867" s="99"/>
      <c r="T867" s="99"/>
      <c r="U867" s="99"/>
      <c r="V867" s="99"/>
      <c r="W867" s="99"/>
      <c r="X867" s="99"/>
      <c r="Y867" s="99"/>
      <c r="Z867" s="99"/>
      <c r="AA867" s="99"/>
      <c r="AB867" s="99"/>
      <c r="AC867" s="98"/>
      <c r="AD867" s="98"/>
      <c r="AE867" s="98"/>
      <c r="AF867" s="98"/>
      <c r="AG867" s="98"/>
      <c r="AH867" s="98"/>
    </row>
    <row r="868" spans="2:34" x14ac:dyDescent="0.25">
      <c r="B868" s="73"/>
      <c r="C868" s="74"/>
      <c r="D868" s="80"/>
      <c r="E868" s="81"/>
      <c r="F868" s="81"/>
      <c r="G868" s="81"/>
      <c r="H868" s="81"/>
      <c r="I868" s="82"/>
      <c r="J868" s="88"/>
      <c r="K868" s="89"/>
      <c r="L868" s="88"/>
      <c r="M868" s="89"/>
      <c r="N868" s="80"/>
      <c r="O868" s="82"/>
      <c r="P868" s="94"/>
      <c r="Q868" s="95"/>
      <c r="S868" s="99"/>
      <c r="T868" s="99"/>
      <c r="U868" s="99"/>
      <c r="V868" s="99"/>
      <c r="W868" s="99"/>
      <c r="X868" s="99"/>
      <c r="Y868" s="99"/>
      <c r="Z868" s="99"/>
      <c r="AA868" s="99"/>
      <c r="AB868" s="99"/>
      <c r="AC868" s="98"/>
      <c r="AD868" s="98"/>
      <c r="AE868" s="98"/>
      <c r="AF868" s="98"/>
      <c r="AG868" s="98"/>
      <c r="AH868" s="98"/>
    </row>
    <row r="869" spans="2:34" x14ac:dyDescent="0.25">
      <c r="B869" s="75"/>
      <c r="C869" s="76"/>
      <c r="D869" s="83"/>
      <c r="E869" s="84"/>
      <c r="F869" s="84"/>
      <c r="G869" s="84"/>
      <c r="H869" s="84"/>
      <c r="I869" s="85"/>
      <c r="J869" s="90"/>
      <c r="K869" s="91"/>
      <c r="L869" s="90"/>
      <c r="M869" s="91"/>
      <c r="N869" s="83"/>
      <c r="O869" s="85"/>
      <c r="P869" s="96"/>
      <c r="Q869" s="97"/>
      <c r="S869" s="99"/>
      <c r="T869" s="99"/>
      <c r="U869" s="99"/>
      <c r="V869" s="99"/>
      <c r="W869" s="99"/>
      <c r="X869" s="99"/>
      <c r="Y869" s="99"/>
      <c r="Z869" s="99"/>
      <c r="AA869" s="99"/>
      <c r="AB869" s="99"/>
      <c r="AC869" s="98"/>
      <c r="AD869" s="98"/>
      <c r="AE869" s="98"/>
      <c r="AF869" s="98"/>
      <c r="AG869" s="98"/>
      <c r="AH869" s="98"/>
    </row>
    <row r="870" spans="2:34" x14ac:dyDescent="0.25">
      <c r="B870" s="71"/>
      <c r="C870" s="72"/>
      <c r="D870" s="77"/>
      <c r="E870" s="78"/>
      <c r="F870" s="78"/>
      <c r="G870" s="78"/>
      <c r="H870" s="78"/>
      <c r="I870" s="79"/>
      <c r="J870" s="86"/>
      <c r="K870" s="87"/>
      <c r="L870" s="86"/>
      <c r="M870" s="87"/>
      <c r="N870" s="77"/>
      <c r="O870" s="79"/>
      <c r="P870" s="92"/>
      <c r="Q870" s="93"/>
      <c r="S870" s="99"/>
      <c r="T870" s="99"/>
      <c r="U870" s="99"/>
      <c r="V870" s="99"/>
      <c r="W870" s="99"/>
      <c r="X870" s="99"/>
      <c r="Y870" s="99"/>
      <c r="Z870" s="99"/>
      <c r="AA870" s="99"/>
      <c r="AB870" s="99"/>
      <c r="AC870" s="98"/>
      <c r="AD870" s="98"/>
      <c r="AE870" s="98"/>
      <c r="AF870" s="98"/>
      <c r="AG870" s="98"/>
      <c r="AH870" s="98"/>
    </row>
    <row r="871" spans="2:34" x14ac:dyDescent="0.25">
      <c r="B871" s="73"/>
      <c r="C871" s="74"/>
      <c r="D871" s="80"/>
      <c r="E871" s="81"/>
      <c r="F871" s="81"/>
      <c r="G871" s="81"/>
      <c r="H871" s="81"/>
      <c r="I871" s="82"/>
      <c r="J871" s="88"/>
      <c r="K871" s="89"/>
      <c r="L871" s="88"/>
      <c r="M871" s="89"/>
      <c r="N871" s="80"/>
      <c r="O871" s="82"/>
      <c r="P871" s="94"/>
      <c r="Q871" s="95"/>
      <c r="S871" s="99"/>
      <c r="T871" s="99"/>
      <c r="U871" s="99"/>
      <c r="V871" s="99"/>
      <c r="W871" s="99"/>
      <c r="X871" s="99"/>
      <c r="Y871" s="99"/>
      <c r="Z871" s="99"/>
      <c r="AA871" s="99"/>
      <c r="AB871" s="99"/>
      <c r="AC871" s="98"/>
      <c r="AD871" s="98"/>
      <c r="AE871" s="98"/>
      <c r="AF871" s="98"/>
      <c r="AG871" s="98"/>
      <c r="AH871" s="98"/>
    </row>
    <row r="872" spans="2:34" x14ac:dyDescent="0.25">
      <c r="B872" s="75"/>
      <c r="C872" s="76"/>
      <c r="D872" s="83"/>
      <c r="E872" s="84"/>
      <c r="F872" s="84"/>
      <c r="G872" s="84"/>
      <c r="H872" s="84"/>
      <c r="I872" s="85"/>
      <c r="J872" s="90"/>
      <c r="K872" s="91"/>
      <c r="L872" s="90"/>
      <c r="M872" s="91"/>
      <c r="N872" s="83"/>
      <c r="O872" s="85"/>
      <c r="P872" s="96"/>
      <c r="Q872" s="97"/>
      <c r="S872" s="99"/>
      <c r="T872" s="99"/>
      <c r="U872" s="99"/>
      <c r="V872" s="99"/>
      <c r="W872" s="99"/>
      <c r="X872" s="99"/>
      <c r="Y872" s="99"/>
      <c r="Z872" s="99"/>
      <c r="AA872" s="99"/>
      <c r="AB872" s="99"/>
      <c r="AC872" s="98"/>
      <c r="AD872" s="98"/>
      <c r="AE872" s="98"/>
      <c r="AF872" s="98"/>
      <c r="AG872" s="98"/>
      <c r="AH872" s="98"/>
    </row>
  </sheetData>
  <mergeCells count="3480">
    <mergeCell ref="S870:T872"/>
    <mergeCell ref="U870:Z872"/>
    <mergeCell ref="AA870:AB872"/>
    <mergeCell ref="AC870:AD872"/>
    <mergeCell ref="AE870:AF872"/>
    <mergeCell ref="AG870:AH872"/>
    <mergeCell ref="B870:C872"/>
    <mergeCell ref="D870:I872"/>
    <mergeCell ref="J870:K872"/>
    <mergeCell ref="L870:M872"/>
    <mergeCell ref="N870:O872"/>
    <mergeCell ref="P870:Q872"/>
    <mergeCell ref="S867:T869"/>
    <mergeCell ref="U867:Z869"/>
    <mergeCell ref="AA867:AB869"/>
    <mergeCell ref="AC867:AD869"/>
    <mergeCell ref="AE867:AF869"/>
    <mergeCell ref="AG867:AH869"/>
    <mergeCell ref="B867:C869"/>
    <mergeCell ref="D867:I869"/>
    <mergeCell ref="J867:K869"/>
    <mergeCell ref="L867:M869"/>
    <mergeCell ref="N867:O869"/>
    <mergeCell ref="P867:Q869"/>
    <mergeCell ref="S864:T866"/>
    <mergeCell ref="U864:Z866"/>
    <mergeCell ref="AA864:AB866"/>
    <mergeCell ref="AC864:AD866"/>
    <mergeCell ref="AE864:AF866"/>
    <mergeCell ref="AG864:AH866"/>
    <mergeCell ref="B864:C866"/>
    <mergeCell ref="D864:I866"/>
    <mergeCell ref="J864:K866"/>
    <mergeCell ref="L864:M866"/>
    <mergeCell ref="N864:O866"/>
    <mergeCell ref="P864:Q866"/>
    <mergeCell ref="S861:T863"/>
    <mergeCell ref="U861:Z863"/>
    <mergeCell ref="AA861:AB863"/>
    <mergeCell ref="AC861:AD863"/>
    <mergeCell ref="AE861:AF863"/>
    <mergeCell ref="AG861:AH863"/>
    <mergeCell ref="B861:C863"/>
    <mergeCell ref="D861:I863"/>
    <mergeCell ref="J861:K863"/>
    <mergeCell ref="L861:M863"/>
    <mergeCell ref="N861:O863"/>
    <mergeCell ref="P861:Q863"/>
    <mergeCell ref="S858:T860"/>
    <mergeCell ref="U858:Z860"/>
    <mergeCell ref="AA858:AB860"/>
    <mergeCell ref="AC858:AD860"/>
    <mergeCell ref="AE858:AF860"/>
    <mergeCell ref="AG858:AH860"/>
    <mergeCell ref="B858:C860"/>
    <mergeCell ref="D858:I860"/>
    <mergeCell ref="J858:K860"/>
    <mergeCell ref="L858:M860"/>
    <mergeCell ref="N858:O860"/>
    <mergeCell ref="P858:Q860"/>
    <mergeCell ref="S855:T857"/>
    <mergeCell ref="U855:Z857"/>
    <mergeCell ref="AA855:AB857"/>
    <mergeCell ref="AC855:AD857"/>
    <mergeCell ref="AE855:AF857"/>
    <mergeCell ref="AG855:AH857"/>
    <mergeCell ref="B855:C857"/>
    <mergeCell ref="D855:I857"/>
    <mergeCell ref="J855:K857"/>
    <mergeCell ref="L855:M857"/>
    <mergeCell ref="N855:O857"/>
    <mergeCell ref="P855:Q857"/>
    <mergeCell ref="S852:T854"/>
    <mergeCell ref="U852:Z854"/>
    <mergeCell ref="AA852:AB854"/>
    <mergeCell ref="AC852:AD854"/>
    <mergeCell ref="AE852:AF854"/>
    <mergeCell ref="AG852:AH854"/>
    <mergeCell ref="B852:C854"/>
    <mergeCell ref="D852:I854"/>
    <mergeCell ref="J852:K854"/>
    <mergeCell ref="L852:M854"/>
    <mergeCell ref="N852:O854"/>
    <mergeCell ref="P852:Q854"/>
    <mergeCell ref="S849:T851"/>
    <mergeCell ref="U849:Z851"/>
    <mergeCell ref="AA849:AB851"/>
    <mergeCell ref="AC849:AD851"/>
    <mergeCell ref="AE849:AF851"/>
    <mergeCell ref="AG849:AH851"/>
    <mergeCell ref="B849:C851"/>
    <mergeCell ref="D849:I851"/>
    <mergeCell ref="J849:K851"/>
    <mergeCell ref="L849:M851"/>
    <mergeCell ref="N849:O851"/>
    <mergeCell ref="P849:Q851"/>
    <mergeCell ref="S846:T848"/>
    <mergeCell ref="U846:Z848"/>
    <mergeCell ref="AA846:AB848"/>
    <mergeCell ref="AC846:AD848"/>
    <mergeCell ref="AE846:AF848"/>
    <mergeCell ref="AG846:AH848"/>
    <mergeCell ref="B846:C848"/>
    <mergeCell ref="D846:I848"/>
    <mergeCell ref="J846:K848"/>
    <mergeCell ref="L846:M848"/>
    <mergeCell ref="N846:O848"/>
    <mergeCell ref="P846:Q848"/>
    <mergeCell ref="S843:T845"/>
    <mergeCell ref="U843:Z845"/>
    <mergeCell ref="AA843:AB845"/>
    <mergeCell ref="AC843:AD845"/>
    <mergeCell ref="AE843:AF845"/>
    <mergeCell ref="AG843:AH845"/>
    <mergeCell ref="B843:C845"/>
    <mergeCell ref="D843:I845"/>
    <mergeCell ref="J843:K845"/>
    <mergeCell ref="L843:M845"/>
    <mergeCell ref="N843:O845"/>
    <mergeCell ref="P843:Q845"/>
    <mergeCell ref="S840:T842"/>
    <mergeCell ref="U840:Z842"/>
    <mergeCell ref="AA840:AB842"/>
    <mergeCell ref="AC840:AD842"/>
    <mergeCell ref="AE840:AF842"/>
    <mergeCell ref="AG840:AH842"/>
    <mergeCell ref="B840:C842"/>
    <mergeCell ref="D840:I842"/>
    <mergeCell ref="J840:K842"/>
    <mergeCell ref="L840:M842"/>
    <mergeCell ref="N840:O842"/>
    <mergeCell ref="P840:Q842"/>
    <mergeCell ref="S837:T839"/>
    <mergeCell ref="U837:Z839"/>
    <mergeCell ref="AA837:AB839"/>
    <mergeCell ref="AC837:AD839"/>
    <mergeCell ref="AE837:AF839"/>
    <mergeCell ref="AG837:AH839"/>
    <mergeCell ref="B837:C839"/>
    <mergeCell ref="D837:I839"/>
    <mergeCell ref="J837:K839"/>
    <mergeCell ref="L837:M839"/>
    <mergeCell ref="N837:O839"/>
    <mergeCell ref="P837:Q839"/>
    <mergeCell ref="S834:T836"/>
    <mergeCell ref="U834:Z836"/>
    <mergeCell ref="AA834:AB836"/>
    <mergeCell ref="AC834:AD836"/>
    <mergeCell ref="AE834:AF836"/>
    <mergeCell ref="AG834:AH836"/>
    <mergeCell ref="B834:C836"/>
    <mergeCell ref="D834:I836"/>
    <mergeCell ref="J834:K836"/>
    <mergeCell ref="L834:M836"/>
    <mergeCell ref="N834:O836"/>
    <mergeCell ref="P834:Q836"/>
    <mergeCell ref="S831:T833"/>
    <mergeCell ref="U831:Z833"/>
    <mergeCell ref="AA831:AB833"/>
    <mergeCell ref="AC831:AD833"/>
    <mergeCell ref="AE831:AF833"/>
    <mergeCell ref="AG831:AH833"/>
    <mergeCell ref="B831:C833"/>
    <mergeCell ref="D831:I833"/>
    <mergeCell ref="J831:K833"/>
    <mergeCell ref="L831:M833"/>
    <mergeCell ref="N831:O833"/>
    <mergeCell ref="P831:Q833"/>
    <mergeCell ref="S828:T830"/>
    <mergeCell ref="U828:Z830"/>
    <mergeCell ref="AA828:AB830"/>
    <mergeCell ref="AC828:AD830"/>
    <mergeCell ref="AE828:AF830"/>
    <mergeCell ref="AG828:AH830"/>
    <mergeCell ref="B828:C830"/>
    <mergeCell ref="D828:I830"/>
    <mergeCell ref="J828:K830"/>
    <mergeCell ref="L828:M830"/>
    <mergeCell ref="N828:O830"/>
    <mergeCell ref="P828:Q830"/>
    <mergeCell ref="S825:T827"/>
    <mergeCell ref="U825:Z827"/>
    <mergeCell ref="AA825:AB827"/>
    <mergeCell ref="AC825:AD827"/>
    <mergeCell ref="AE825:AF827"/>
    <mergeCell ref="AG825:AH827"/>
    <mergeCell ref="B825:C827"/>
    <mergeCell ref="D825:I827"/>
    <mergeCell ref="J825:K827"/>
    <mergeCell ref="L825:M827"/>
    <mergeCell ref="N825:O827"/>
    <mergeCell ref="P825:Q827"/>
    <mergeCell ref="S822:T824"/>
    <mergeCell ref="U822:Z824"/>
    <mergeCell ref="AA822:AB824"/>
    <mergeCell ref="AC822:AD824"/>
    <mergeCell ref="AE822:AF824"/>
    <mergeCell ref="AG822:AH824"/>
    <mergeCell ref="B822:C824"/>
    <mergeCell ref="D822:I824"/>
    <mergeCell ref="J822:K824"/>
    <mergeCell ref="L822:M824"/>
    <mergeCell ref="N822:O824"/>
    <mergeCell ref="P822:Q824"/>
    <mergeCell ref="S819:T821"/>
    <mergeCell ref="U819:Z821"/>
    <mergeCell ref="AA819:AB821"/>
    <mergeCell ref="AC819:AD821"/>
    <mergeCell ref="AE819:AF821"/>
    <mergeCell ref="AG819:AH821"/>
    <mergeCell ref="B819:C821"/>
    <mergeCell ref="D819:I821"/>
    <mergeCell ref="J819:K821"/>
    <mergeCell ref="L819:M821"/>
    <mergeCell ref="N819:O821"/>
    <mergeCell ref="P819:Q821"/>
    <mergeCell ref="S816:T818"/>
    <mergeCell ref="U816:Z818"/>
    <mergeCell ref="AA816:AB818"/>
    <mergeCell ref="AC816:AD818"/>
    <mergeCell ref="AE816:AF818"/>
    <mergeCell ref="AG816:AH818"/>
    <mergeCell ref="B816:C818"/>
    <mergeCell ref="D816:I818"/>
    <mergeCell ref="J816:K818"/>
    <mergeCell ref="L816:M818"/>
    <mergeCell ref="N816:O818"/>
    <mergeCell ref="P816:Q818"/>
    <mergeCell ref="S813:T815"/>
    <mergeCell ref="U813:Z815"/>
    <mergeCell ref="AA813:AB815"/>
    <mergeCell ref="AC813:AD815"/>
    <mergeCell ref="AE813:AF815"/>
    <mergeCell ref="AG813:AH815"/>
    <mergeCell ref="B813:C815"/>
    <mergeCell ref="D813:I815"/>
    <mergeCell ref="J813:K815"/>
    <mergeCell ref="L813:M815"/>
    <mergeCell ref="N813:O815"/>
    <mergeCell ref="P813:Q815"/>
    <mergeCell ref="S810:T812"/>
    <mergeCell ref="U810:Z812"/>
    <mergeCell ref="AA810:AB812"/>
    <mergeCell ref="AC810:AD812"/>
    <mergeCell ref="AE810:AF812"/>
    <mergeCell ref="AG810:AH812"/>
    <mergeCell ref="B810:C812"/>
    <mergeCell ref="D810:I812"/>
    <mergeCell ref="J810:K812"/>
    <mergeCell ref="L810:M812"/>
    <mergeCell ref="N810:O812"/>
    <mergeCell ref="P810:Q812"/>
    <mergeCell ref="S807:T809"/>
    <mergeCell ref="U807:Z809"/>
    <mergeCell ref="AA807:AB809"/>
    <mergeCell ref="AC807:AD809"/>
    <mergeCell ref="AE807:AF809"/>
    <mergeCell ref="AG807:AH809"/>
    <mergeCell ref="B807:C809"/>
    <mergeCell ref="D807:I809"/>
    <mergeCell ref="J807:K809"/>
    <mergeCell ref="L807:M809"/>
    <mergeCell ref="N807:O809"/>
    <mergeCell ref="P807:Q809"/>
    <mergeCell ref="S804:T806"/>
    <mergeCell ref="U804:Z806"/>
    <mergeCell ref="AA804:AB806"/>
    <mergeCell ref="AC804:AD806"/>
    <mergeCell ref="AE804:AF806"/>
    <mergeCell ref="AG804:AH806"/>
    <mergeCell ref="B804:C806"/>
    <mergeCell ref="D804:I806"/>
    <mergeCell ref="J804:K806"/>
    <mergeCell ref="L804:M806"/>
    <mergeCell ref="N804:O806"/>
    <mergeCell ref="P804:Q806"/>
    <mergeCell ref="S801:T803"/>
    <mergeCell ref="U801:Z803"/>
    <mergeCell ref="AA801:AB803"/>
    <mergeCell ref="AC801:AD803"/>
    <mergeCell ref="AE801:AF803"/>
    <mergeCell ref="AG801:AH803"/>
    <mergeCell ref="B801:C803"/>
    <mergeCell ref="D801:I803"/>
    <mergeCell ref="J801:K803"/>
    <mergeCell ref="L801:M803"/>
    <mergeCell ref="N801:O803"/>
    <mergeCell ref="P801:Q803"/>
    <mergeCell ref="S798:T800"/>
    <mergeCell ref="U798:Z800"/>
    <mergeCell ref="AA798:AB800"/>
    <mergeCell ref="AC798:AD800"/>
    <mergeCell ref="AE798:AF800"/>
    <mergeCell ref="AG798:AH800"/>
    <mergeCell ref="B798:C800"/>
    <mergeCell ref="D798:I800"/>
    <mergeCell ref="J798:K800"/>
    <mergeCell ref="L798:M800"/>
    <mergeCell ref="N798:O800"/>
    <mergeCell ref="P798:Q800"/>
    <mergeCell ref="S795:T797"/>
    <mergeCell ref="U795:Z797"/>
    <mergeCell ref="AA795:AB797"/>
    <mergeCell ref="AC795:AD797"/>
    <mergeCell ref="AE795:AF797"/>
    <mergeCell ref="AG795:AH797"/>
    <mergeCell ref="B795:C797"/>
    <mergeCell ref="D795:I797"/>
    <mergeCell ref="J795:K797"/>
    <mergeCell ref="L795:M797"/>
    <mergeCell ref="N795:O797"/>
    <mergeCell ref="P795:Q797"/>
    <mergeCell ref="S792:T794"/>
    <mergeCell ref="U792:Z794"/>
    <mergeCell ref="AA792:AB794"/>
    <mergeCell ref="AC792:AD794"/>
    <mergeCell ref="AE792:AF794"/>
    <mergeCell ref="AG792:AH794"/>
    <mergeCell ref="B792:C794"/>
    <mergeCell ref="D792:I794"/>
    <mergeCell ref="J792:K794"/>
    <mergeCell ref="L792:M794"/>
    <mergeCell ref="N792:O794"/>
    <mergeCell ref="P792:Q794"/>
    <mergeCell ref="S789:T791"/>
    <mergeCell ref="U789:Z791"/>
    <mergeCell ref="AA789:AB791"/>
    <mergeCell ref="AC789:AD791"/>
    <mergeCell ref="AE789:AF791"/>
    <mergeCell ref="AG789:AH791"/>
    <mergeCell ref="B789:C791"/>
    <mergeCell ref="D789:I791"/>
    <mergeCell ref="J789:K791"/>
    <mergeCell ref="L789:M791"/>
    <mergeCell ref="N789:O791"/>
    <mergeCell ref="P789:Q791"/>
    <mergeCell ref="S786:T788"/>
    <mergeCell ref="U786:Z788"/>
    <mergeCell ref="AA786:AB788"/>
    <mergeCell ref="AC786:AD788"/>
    <mergeCell ref="AE786:AF788"/>
    <mergeCell ref="AG786:AH788"/>
    <mergeCell ref="B786:C788"/>
    <mergeCell ref="D786:I788"/>
    <mergeCell ref="J786:K788"/>
    <mergeCell ref="L786:M788"/>
    <mergeCell ref="N786:O788"/>
    <mergeCell ref="P786:Q788"/>
    <mergeCell ref="S783:T785"/>
    <mergeCell ref="U783:Z785"/>
    <mergeCell ref="AA783:AB785"/>
    <mergeCell ref="AC783:AD785"/>
    <mergeCell ref="AE783:AF785"/>
    <mergeCell ref="AG783:AH785"/>
    <mergeCell ref="B783:C785"/>
    <mergeCell ref="D783:I785"/>
    <mergeCell ref="J783:K785"/>
    <mergeCell ref="L783:M785"/>
    <mergeCell ref="N783:O785"/>
    <mergeCell ref="P783:Q785"/>
    <mergeCell ref="S780:T782"/>
    <mergeCell ref="U780:Z782"/>
    <mergeCell ref="AA780:AB782"/>
    <mergeCell ref="AC780:AD782"/>
    <mergeCell ref="AE780:AF782"/>
    <mergeCell ref="AG780:AH782"/>
    <mergeCell ref="B780:C782"/>
    <mergeCell ref="D780:I782"/>
    <mergeCell ref="J780:K782"/>
    <mergeCell ref="L780:M782"/>
    <mergeCell ref="N780:O782"/>
    <mergeCell ref="P780:Q782"/>
    <mergeCell ref="S777:T779"/>
    <mergeCell ref="U777:Z779"/>
    <mergeCell ref="AA777:AB779"/>
    <mergeCell ref="AC777:AD779"/>
    <mergeCell ref="AE777:AF779"/>
    <mergeCell ref="AG777:AH779"/>
    <mergeCell ref="B777:C779"/>
    <mergeCell ref="D777:I779"/>
    <mergeCell ref="J777:K779"/>
    <mergeCell ref="L777:M779"/>
    <mergeCell ref="N777:O779"/>
    <mergeCell ref="P777:Q779"/>
    <mergeCell ref="S774:T776"/>
    <mergeCell ref="U774:Z776"/>
    <mergeCell ref="AA774:AB776"/>
    <mergeCell ref="AC774:AD776"/>
    <mergeCell ref="AE774:AF776"/>
    <mergeCell ref="AG774:AH776"/>
    <mergeCell ref="B774:C776"/>
    <mergeCell ref="D774:I776"/>
    <mergeCell ref="J774:K776"/>
    <mergeCell ref="L774:M776"/>
    <mergeCell ref="N774:O776"/>
    <mergeCell ref="P774:Q776"/>
    <mergeCell ref="S771:T773"/>
    <mergeCell ref="U771:Z773"/>
    <mergeCell ref="AA771:AB773"/>
    <mergeCell ref="AC771:AD773"/>
    <mergeCell ref="AE771:AF773"/>
    <mergeCell ref="AG771:AH773"/>
    <mergeCell ref="B771:C773"/>
    <mergeCell ref="D771:I773"/>
    <mergeCell ref="J771:K773"/>
    <mergeCell ref="L771:M773"/>
    <mergeCell ref="N771:O773"/>
    <mergeCell ref="P771:Q773"/>
    <mergeCell ref="S768:T770"/>
    <mergeCell ref="U768:Z770"/>
    <mergeCell ref="AA768:AB770"/>
    <mergeCell ref="AC768:AD770"/>
    <mergeCell ref="AE768:AF770"/>
    <mergeCell ref="AG768:AH770"/>
    <mergeCell ref="B768:C770"/>
    <mergeCell ref="D768:I770"/>
    <mergeCell ref="J768:K770"/>
    <mergeCell ref="L768:M770"/>
    <mergeCell ref="N768:O770"/>
    <mergeCell ref="P768:Q770"/>
    <mergeCell ref="S765:T767"/>
    <mergeCell ref="U765:Z767"/>
    <mergeCell ref="AA765:AB767"/>
    <mergeCell ref="AC765:AD767"/>
    <mergeCell ref="AE765:AF767"/>
    <mergeCell ref="AG765:AH767"/>
    <mergeCell ref="B765:C767"/>
    <mergeCell ref="D765:I767"/>
    <mergeCell ref="J765:K767"/>
    <mergeCell ref="L765:M767"/>
    <mergeCell ref="N765:O767"/>
    <mergeCell ref="P765:Q767"/>
    <mergeCell ref="S762:T764"/>
    <mergeCell ref="U762:Z764"/>
    <mergeCell ref="AA762:AB764"/>
    <mergeCell ref="AC762:AD764"/>
    <mergeCell ref="AE762:AF764"/>
    <mergeCell ref="AG762:AH764"/>
    <mergeCell ref="B762:C764"/>
    <mergeCell ref="D762:I764"/>
    <mergeCell ref="J762:K764"/>
    <mergeCell ref="L762:M764"/>
    <mergeCell ref="N762:O764"/>
    <mergeCell ref="P762:Q764"/>
    <mergeCell ref="S759:T761"/>
    <mergeCell ref="U759:Z761"/>
    <mergeCell ref="AA759:AB761"/>
    <mergeCell ref="AC759:AD761"/>
    <mergeCell ref="AE759:AF761"/>
    <mergeCell ref="AG759:AH761"/>
    <mergeCell ref="B759:C761"/>
    <mergeCell ref="D759:I761"/>
    <mergeCell ref="J759:K761"/>
    <mergeCell ref="L759:M761"/>
    <mergeCell ref="N759:O761"/>
    <mergeCell ref="P759:Q761"/>
    <mergeCell ref="S756:T758"/>
    <mergeCell ref="U756:Z758"/>
    <mergeCell ref="AA756:AB758"/>
    <mergeCell ref="AC756:AD758"/>
    <mergeCell ref="AE756:AF758"/>
    <mergeCell ref="AG756:AH758"/>
    <mergeCell ref="B756:C758"/>
    <mergeCell ref="D756:I758"/>
    <mergeCell ref="J756:K758"/>
    <mergeCell ref="L756:M758"/>
    <mergeCell ref="N756:O758"/>
    <mergeCell ref="P756:Q758"/>
    <mergeCell ref="S753:T755"/>
    <mergeCell ref="U753:Z755"/>
    <mergeCell ref="AA753:AB755"/>
    <mergeCell ref="AC753:AD755"/>
    <mergeCell ref="AE753:AF755"/>
    <mergeCell ref="AG753:AH755"/>
    <mergeCell ref="B753:C755"/>
    <mergeCell ref="D753:I755"/>
    <mergeCell ref="J753:K755"/>
    <mergeCell ref="L753:M755"/>
    <mergeCell ref="N753:O755"/>
    <mergeCell ref="P753:Q755"/>
    <mergeCell ref="S750:T752"/>
    <mergeCell ref="U750:Z752"/>
    <mergeCell ref="AA750:AB752"/>
    <mergeCell ref="AC750:AD752"/>
    <mergeCell ref="AE750:AF752"/>
    <mergeCell ref="AG750:AH752"/>
    <mergeCell ref="B750:C752"/>
    <mergeCell ref="D750:I752"/>
    <mergeCell ref="J750:K752"/>
    <mergeCell ref="L750:M752"/>
    <mergeCell ref="N750:O752"/>
    <mergeCell ref="P750:Q752"/>
    <mergeCell ref="S747:T749"/>
    <mergeCell ref="U747:Z749"/>
    <mergeCell ref="AA747:AB749"/>
    <mergeCell ref="AC747:AD749"/>
    <mergeCell ref="AE747:AF749"/>
    <mergeCell ref="AG747:AH749"/>
    <mergeCell ref="B747:C749"/>
    <mergeCell ref="D747:I749"/>
    <mergeCell ref="J747:K749"/>
    <mergeCell ref="L747:M749"/>
    <mergeCell ref="N747:O749"/>
    <mergeCell ref="P747:Q749"/>
    <mergeCell ref="S744:T746"/>
    <mergeCell ref="U744:Z746"/>
    <mergeCell ref="AA744:AB746"/>
    <mergeCell ref="AC744:AD746"/>
    <mergeCell ref="AE744:AF746"/>
    <mergeCell ref="AG744:AH746"/>
    <mergeCell ref="B744:C746"/>
    <mergeCell ref="D744:I746"/>
    <mergeCell ref="J744:K746"/>
    <mergeCell ref="L744:M746"/>
    <mergeCell ref="N744:O746"/>
    <mergeCell ref="P744:Q746"/>
    <mergeCell ref="S741:T743"/>
    <mergeCell ref="U741:Z743"/>
    <mergeCell ref="AA741:AB743"/>
    <mergeCell ref="AC741:AD743"/>
    <mergeCell ref="AE741:AF743"/>
    <mergeCell ref="AG741:AH743"/>
    <mergeCell ref="B741:C743"/>
    <mergeCell ref="D741:I743"/>
    <mergeCell ref="J741:K743"/>
    <mergeCell ref="L741:M743"/>
    <mergeCell ref="N741:O743"/>
    <mergeCell ref="P741:Q743"/>
    <mergeCell ref="S738:T740"/>
    <mergeCell ref="U738:Z740"/>
    <mergeCell ref="AA738:AB740"/>
    <mergeCell ref="AC738:AD740"/>
    <mergeCell ref="AE738:AF740"/>
    <mergeCell ref="AG738:AH740"/>
    <mergeCell ref="B738:C740"/>
    <mergeCell ref="D738:I740"/>
    <mergeCell ref="J738:K740"/>
    <mergeCell ref="L738:M740"/>
    <mergeCell ref="N738:O740"/>
    <mergeCell ref="P738:Q740"/>
    <mergeCell ref="S735:T737"/>
    <mergeCell ref="U735:Z737"/>
    <mergeCell ref="AA735:AB737"/>
    <mergeCell ref="AC735:AD737"/>
    <mergeCell ref="AE735:AF737"/>
    <mergeCell ref="AG735:AH737"/>
    <mergeCell ref="B735:C737"/>
    <mergeCell ref="D735:I737"/>
    <mergeCell ref="J735:K737"/>
    <mergeCell ref="L735:M737"/>
    <mergeCell ref="N735:O737"/>
    <mergeCell ref="P735:Q737"/>
    <mergeCell ref="S732:T734"/>
    <mergeCell ref="U732:Z734"/>
    <mergeCell ref="AA732:AB734"/>
    <mergeCell ref="AC732:AD734"/>
    <mergeCell ref="AE732:AF734"/>
    <mergeCell ref="AG732:AH734"/>
    <mergeCell ref="B732:C734"/>
    <mergeCell ref="D732:I734"/>
    <mergeCell ref="J732:K734"/>
    <mergeCell ref="L732:M734"/>
    <mergeCell ref="N732:O734"/>
    <mergeCell ref="P732:Q734"/>
    <mergeCell ref="S729:T731"/>
    <mergeCell ref="U729:Z731"/>
    <mergeCell ref="AA729:AB731"/>
    <mergeCell ref="AC729:AD731"/>
    <mergeCell ref="AE729:AF731"/>
    <mergeCell ref="AG729:AH731"/>
    <mergeCell ref="B729:C731"/>
    <mergeCell ref="D729:I731"/>
    <mergeCell ref="J729:K731"/>
    <mergeCell ref="L729:M731"/>
    <mergeCell ref="N729:O731"/>
    <mergeCell ref="P729:Q731"/>
    <mergeCell ref="S726:T728"/>
    <mergeCell ref="U726:Z728"/>
    <mergeCell ref="AA726:AB728"/>
    <mergeCell ref="AC726:AD728"/>
    <mergeCell ref="AE726:AF728"/>
    <mergeCell ref="AG726:AH728"/>
    <mergeCell ref="B726:C728"/>
    <mergeCell ref="D726:I728"/>
    <mergeCell ref="J726:K728"/>
    <mergeCell ref="L726:M728"/>
    <mergeCell ref="N726:O728"/>
    <mergeCell ref="P726:Q728"/>
    <mergeCell ref="S723:T725"/>
    <mergeCell ref="U723:Z725"/>
    <mergeCell ref="AA723:AB725"/>
    <mergeCell ref="AC723:AD725"/>
    <mergeCell ref="AE723:AF725"/>
    <mergeCell ref="AG723:AH725"/>
    <mergeCell ref="B723:C725"/>
    <mergeCell ref="D723:I725"/>
    <mergeCell ref="J723:K725"/>
    <mergeCell ref="L723:M725"/>
    <mergeCell ref="N723:O725"/>
    <mergeCell ref="P723:Q725"/>
    <mergeCell ref="S720:T722"/>
    <mergeCell ref="U720:Z722"/>
    <mergeCell ref="AA720:AB722"/>
    <mergeCell ref="AC720:AD722"/>
    <mergeCell ref="AE720:AF722"/>
    <mergeCell ref="AG720:AH722"/>
    <mergeCell ref="B720:C722"/>
    <mergeCell ref="D720:I722"/>
    <mergeCell ref="J720:K722"/>
    <mergeCell ref="L720:M722"/>
    <mergeCell ref="N720:O722"/>
    <mergeCell ref="P720:Q722"/>
    <mergeCell ref="S717:T719"/>
    <mergeCell ref="U717:Z719"/>
    <mergeCell ref="AA717:AB719"/>
    <mergeCell ref="AC717:AD719"/>
    <mergeCell ref="AE717:AF719"/>
    <mergeCell ref="AG717:AH719"/>
    <mergeCell ref="B717:C719"/>
    <mergeCell ref="D717:I719"/>
    <mergeCell ref="J717:K719"/>
    <mergeCell ref="L717:M719"/>
    <mergeCell ref="N717:O719"/>
    <mergeCell ref="P717:Q719"/>
    <mergeCell ref="S714:T716"/>
    <mergeCell ref="U714:Z716"/>
    <mergeCell ref="AA714:AB716"/>
    <mergeCell ref="AC714:AD716"/>
    <mergeCell ref="AE714:AF716"/>
    <mergeCell ref="AG714:AH716"/>
    <mergeCell ref="B714:C716"/>
    <mergeCell ref="D714:I716"/>
    <mergeCell ref="J714:K716"/>
    <mergeCell ref="L714:M716"/>
    <mergeCell ref="N714:O716"/>
    <mergeCell ref="P714:Q716"/>
    <mergeCell ref="S711:T713"/>
    <mergeCell ref="U711:Z713"/>
    <mergeCell ref="AA711:AB713"/>
    <mergeCell ref="AC711:AD713"/>
    <mergeCell ref="AE711:AF713"/>
    <mergeCell ref="AG711:AH713"/>
    <mergeCell ref="B711:C713"/>
    <mergeCell ref="D711:I713"/>
    <mergeCell ref="J711:K713"/>
    <mergeCell ref="L711:M713"/>
    <mergeCell ref="N711:O713"/>
    <mergeCell ref="P711:Q713"/>
    <mergeCell ref="S708:T710"/>
    <mergeCell ref="U708:Z710"/>
    <mergeCell ref="AA708:AB710"/>
    <mergeCell ref="AC708:AD710"/>
    <mergeCell ref="AE708:AF710"/>
    <mergeCell ref="AG708:AH710"/>
    <mergeCell ref="B708:C710"/>
    <mergeCell ref="D708:I710"/>
    <mergeCell ref="J708:K710"/>
    <mergeCell ref="L708:M710"/>
    <mergeCell ref="N708:O710"/>
    <mergeCell ref="P708:Q710"/>
    <mergeCell ref="S705:T707"/>
    <mergeCell ref="U705:Z707"/>
    <mergeCell ref="AA705:AB707"/>
    <mergeCell ref="AC705:AD707"/>
    <mergeCell ref="AE705:AF707"/>
    <mergeCell ref="AG705:AH707"/>
    <mergeCell ref="B705:C707"/>
    <mergeCell ref="D705:I707"/>
    <mergeCell ref="J705:K707"/>
    <mergeCell ref="L705:M707"/>
    <mergeCell ref="N705:O707"/>
    <mergeCell ref="P705:Q707"/>
    <mergeCell ref="S702:T704"/>
    <mergeCell ref="U702:Z704"/>
    <mergeCell ref="AA702:AB704"/>
    <mergeCell ref="AC702:AD704"/>
    <mergeCell ref="AE702:AF704"/>
    <mergeCell ref="AG702:AH704"/>
    <mergeCell ref="B702:C704"/>
    <mergeCell ref="D702:I704"/>
    <mergeCell ref="J702:K704"/>
    <mergeCell ref="L702:M704"/>
    <mergeCell ref="N702:O704"/>
    <mergeCell ref="P702:Q704"/>
    <mergeCell ref="S699:T701"/>
    <mergeCell ref="U699:Z701"/>
    <mergeCell ref="AA699:AB701"/>
    <mergeCell ref="AC699:AD701"/>
    <mergeCell ref="AE699:AF701"/>
    <mergeCell ref="AG699:AH701"/>
    <mergeCell ref="B699:C701"/>
    <mergeCell ref="D699:I701"/>
    <mergeCell ref="J699:K701"/>
    <mergeCell ref="L699:M701"/>
    <mergeCell ref="N699:O701"/>
    <mergeCell ref="P699:Q701"/>
    <mergeCell ref="S696:T698"/>
    <mergeCell ref="U696:Z698"/>
    <mergeCell ref="AA696:AB698"/>
    <mergeCell ref="AC696:AD698"/>
    <mergeCell ref="AE696:AF698"/>
    <mergeCell ref="AG696:AH698"/>
    <mergeCell ref="B696:C698"/>
    <mergeCell ref="D696:I698"/>
    <mergeCell ref="J696:K698"/>
    <mergeCell ref="L696:M698"/>
    <mergeCell ref="N696:O698"/>
    <mergeCell ref="P696:Q698"/>
    <mergeCell ref="S693:T695"/>
    <mergeCell ref="U693:Z695"/>
    <mergeCell ref="AA693:AB695"/>
    <mergeCell ref="AC693:AD695"/>
    <mergeCell ref="AE693:AF695"/>
    <mergeCell ref="AG693:AH695"/>
    <mergeCell ref="B693:C695"/>
    <mergeCell ref="D693:I695"/>
    <mergeCell ref="J693:K695"/>
    <mergeCell ref="L693:M695"/>
    <mergeCell ref="N693:O695"/>
    <mergeCell ref="P693:Q695"/>
    <mergeCell ref="S690:T692"/>
    <mergeCell ref="U690:Z692"/>
    <mergeCell ref="AA690:AB692"/>
    <mergeCell ref="AC690:AD692"/>
    <mergeCell ref="AE690:AF692"/>
    <mergeCell ref="AG690:AH692"/>
    <mergeCell ref="B690:C692"/>
    <mergeCell ref="D690:I692"/>
    <mergeCell ref="J690:K692"/>
    <mergeCell ref="L690:M692"/>
    <mergeCell ref="N690:O692"/>
    <mergeCell ref="P690:Q692"/>
    <mergeCell ref="S687:T689"/>
    <mergeCell ref="U687:Z689"/>
    <mergeCell ref="AA687:AB689"/>
    <mergeCell ref="AC687:AD689"/>
    <mergeCell ref="AE687:AF689"/>
    <mergeCell ref="AG687:AH689"/>
    <mergeCell ref="B687:C689"/>
    <mergeCell ref="D687:I689"/>
    <mergeCell ref="J687:K689"/>
    <mergeCell ref="L687:M689"/>
    <mergeCell ref="N687:O689"/>
    <mergeCell ref="P687:Q689"/>
    <mergeCell ref="S684:T686"/>
    <mergeCell ref="U684:Z686"/>
    <mergeCell ref="AA684:AB686"/>
    <mergeCell ref="AC684:AD686"/>
    <mergeCell ref="AE684:AF686"/>
    <mergeCell ref="AG684:AH686"/>
    <mergeCell ref="B684:C686"/>
    <mergeCell ref="D684:I686"/>
    <mergeCell ref="J684:K686"/>
    <mergeCell ref="L684:M686"/>
    <mergeCell ref="N684:O686"/>
    <mergeCell ref="P684:Q686"/>
    <mergeCell ref="S681:T683"/>
    <mergeCell ref="U681:Z683"/>
    <mergeCell ref="AA681:AB683"/>
    <mergeCell ref="AC681:AD683"/>
    <mergeCell ref="AE681:AF683"/>
    <mergeCell ref="AG681:AH683"/>
    <mergeCell ref="B681:C683"/>
    <mergeCell ref="D681:I683"/>
    <mergeCell ref="J681:K683"/>
    <mergeCell ref="L681:M683"/>
    <mergeCell ref="N681:O683"/>
    <mergeCell ref="P681:Q683"/>
    <mergeCell ref="S678:T680"/>
    <mergeCell ref="U678:Z680"/>
    <mergeCell ref="AA678:AB680"/>
    <mergeCell ref="AC678:AD680"/>
    <mergeCell ref="AE678:AF680"/>
    <mergeCell ref="AG678:AH680"/>
    <mergeCell ref="B678:C680"/>
    <mergeCell ref="D678:I680"/>
    <mergeCell ref="J678:K680"/>
    <mergeCell ref="L678:M680"/>
    <mergeCell ref="N678:O680"/>
    <mergeCell ref="P678:Q680"/>
    <mergeCell ref="S675:T677"/>
    <mergeCell ref="U675:Z677"/>
    <mergeCell ref="AA675:AB677"/>
    <mergeCell ref="AC675:AD677"/>
    <mergeCell ref="AE675:AF677"/>
    <mergeCell ref="AG675:AH677"/>
    <mergeCell ref="B675:C677"/>
    <mergeCell ref="D675:I677"/>
    <mergeCell ref="J675:K677"/>
    <mergeCell ref="L675:M677"/>
    <mergeCell ref="N675:O677"/>
    <mergeCell ref="P675:Q677"/>
    <mergeCell ref="S672:T674"/>
    <mergeCell ref="U672:Z674"/>
    <mergeCell ref="AA672:AB674"/>
    <mergeCell ref="AC672:AD674"/>
    <mergeCell ref="AE672:AF674"/>
    <mergeCell ref="AG672:AH674"/>
    <mergeCell ref="B672:C674"/>
    <mergeCell ref="D672:I674"/>
    <mergeCell ref="J672:K674"/>
    <mergeCell ref="L672:M674"/>
    <mergeCell ref="N672:O674"/>
    <mergeCell ref="P672:Q674"/>
    <mergeCell ref="S669:T671"/>
    <mergeCell ref="U669:Z671"/>
    <mergeCell ref="AA669:AB671"/>
    <mergeCell ref="AC669:AD671"/>
    <mergeCell ref="AE669:AF671"/>
    <mergeCell ref="AG669:AH671"/>
    <mergeCell ref="B669:C671"/>
    <mergeCell ref="D669:I671"/>
    <mergeCell ref="J669:K671"/>
    <mergeCell ref="L669:M671"/>
    <mergeCell ref="N669:O671"/>
    <mergeCell ref="P669:Q671"/>
    <mergeCell ref="S666:T668"/>
    <mergeCell ref="U666:Z668"/>
    <mergeCell ref="AA666:AB668"/>
    <mergeCell ref="AC666:AD668"/>
    <mergeCell ref="AE666:AF668"/>
    <mergeCell ref="AG666:AH668"/>
    <mergeCell ref="B666:C668"/>
    <mergeCell ref="D666:I668"/>
    <mergeCell ref="J666:K668"/>
    <mergeCell ref="L666:M668"/>
    <mergeCell ref="N666:O668"/>
    <mergeCell ref="P666:Q668"/>
    <mergeCell ref="S663:T665"/>
    <mergeCell ref="U663:Z665"/>
    <mergeCell ref="AA663:AB665"/>
    <mergeCell ref="AC663:AD665"/>
    <mergeCell ref="AE663:AF665"/>
    <mergeCell ref="AG663:AH665"/>
    <mergeCell ref="B663:C665"/>
    <mergeCell ref="D663:I665"/>
    <mergeCell ref="J663:K665"/>
    <mergeCell ref="L663:M665"/>
    <mergeCell ref="N663:O665"/>
    <mergeCell ref="P663:Q665"/>
    <mergeCell ref="S660:T662"/>
    <mergeCell ref="U660:Z662"/>
    <mergeCell ref="AA660:AB662"/>
    <mergeCell ref="AC660:AD662"/>
    <mergeCell ref="AE660:AF662"/>
    <mergeCell ref="AG660:AH662"/>
    <mergeCell ref="B660:C662"/>
    <mergeCell ref="D660:I662"/>
    <mergeCell ref="J660:K662"/>
    <mergeCell ref="L660:M662"/>
    <mergeCell ref="N660:O662"/>
    <mergeCell ref="P660:Q662"/>
    <mergeCell ref="S657:T659"/>
    <mergeCell ref="U657:Z659"/>
    <mergeCell ref="AA657:AB659"/>
    <mergeCell ref="AC657:AD659"/>
    <mergeCell ref="AE657:AF659"/>
    <mergeCell ref="AG657:AH659"/>
    <mergeCell ref="B657:C659"/>
    <mergeCell ref="D657:I659"/>
    <mergeCell ref="J657:K659"/>
    <mergeCell ref="L657:M659"/>
    <mergeCell ref="N657:O659"/>
    <mergeCell ref="P657:Q659"/>
    <mergeCell ref="S654:T656"/>
    <mergeCell ref="U654:Z656"/>
    <mergeCell ref="AA654:AB656"/>
    <mergeCell ref="AC654:AD656"/>
    <mergeCell ref="AE654:AF656"/>
    <mergeCell ref="AG654:AH656"/>
    <mergeCell ref="B654:C656"/>
    <mergeCell ref="D654:I656"/>
    <mergeCell ref="J654:K656"/>
    <mergeCell ref="L654:M656"/>
    <mergeCell ref="N654:O656"/>
    <mergeCell ref="P654:Q656"/>
    <mergeCell ref="S651:T653"/>
    <mergeCell ref="U651:Z653"/>
    <mergeCell ref="AA651:AB653"/>
    <mergeCell ref="AC651:AD653"/>
    <mergeCell ref="AE651:AF653"/>
    <mergeCell ref="AG651:AH653"/>
    <mergeCell ref="B651:C653"/>
    <mergeCell ref="D651:I653"/>
    <mergeCell ref="J651:K653"/>
    <mergeCell ref="L651:M653"/>
    <mergeCell ref="N651:O653"/>
    <mergeCell ref="P651:Q653"/>
    <mergeCell ref="S648:T650"/>
    <mergeCell ref="U648:Z650"/>
    <mergeCell ref="AA648:AB650"/>
    <mergeCell ref="AC648:AD650"/>
    <mergeCell ref="AE648:AF650"/>
    <mergeCell ref="AG648:AH650"/>
    <mergeCell ref="B648:C650"/>
    <mergeCell ref="D648:I650"/>
    <mergeCell ref="J648:K650"/>
    <mergeCell ref="L648:M650"/>
    <mergeCell ref="N648:O650"/>
    <mergeCell ref="P648:Q650"/>
    <mergeCell ref="S645:T647"/>
    <mergeCell ref="U645:Z647"/>
    <mergeCell ref="AA645:AB647"/>
    <mergeCell ref="AC645:AD647"/>
    <mergeCell ref="AE645:AF647"/>
    <mergeCell ref="AG645:AH647"/>
    <mergeCell ref="B645:C647"/>
    <mergeCell ref="D645:I647"/>
    <mergeCell ref="J645:K647"/>
    <mergeCell ref="L645:M647"/>
    <mergeCell ref="N645:O647"/>
    <mergeCell ref="P645:Q647"/>
    <mergeCell ref="S642:T644"/>
    <mergeCell ref="U642:Z644"/>
    <mergeCell ref="AA642:AB644"/>
    <mergeCell ref="AC642:AD644"/>
    <mergeCell ref="AE642:AF644"/>
    <mergeCell ref="AG642:AH644"/>
    <mergeCell ref="B642:C644"/>
    <mergeCell ref="D642:I644"/>
    <mergeCell ref="J642:K644"/>
    <mergeCell ref="L642:M644"/>
    <mergeCell ref="N642:O644"/>
    <mergeCell ref="P642:Q644"/>
    <mergeCell ref="S639:T641"/>
    <mergeCell ref="U639:Z641"/>
    <mergeCell ref="AA639:AB641"/>
    <mergeCell ref="AC639:AD641"/>
    <mergeCell ref="AE639:AF641"/>
    <mergeCell ref="AG639:AH641"/>
    <mergeCell ref="B639:C641"/>
    <mergeCell ref="D639:I641"/>
    <mergeCell ref="J639:K641"/>
    <mergeCell ref="L639:M641"/>
    <mergeCell ref="N639:O641"/>
    <mergeCell ref="P639:Q641"/>
    <mergeCell ref="S636:T638"/>
    <mergeCell ref="U636:Z638"/>
    <mergeCell ref="AA636:AB638"/>
    <mergeCell ref="AC636:AD638"/>
    <mergeCell ref="AE636:AF638"/>
    <mergeCell ref="AG636:AH638"/>
    <mergeCell ref="B636:C638"/>
    <mergeCell ref="D636:I638"/>
    <mergeCell ref="J636:K638"/>
    <mergeCell ref="L636:M638"/>
    <mergeCell ref="N636:O638"/>
    <mergeCell ref="P636:Q638"/>
    <mergeCell ref="S633:T635"/>
    <mergeCell ref="U633:Z635"/>
    <mergeCell ref="AA633:AB635"/>
    <mergeCell ref="AC633:AD635"/>
    <mergeCell ref="AE633:AF635"/>
    <mergeCell ref="AG633:AH635"/>
    <mergeCell ref="B633:C635"/>
    <mergeCell ref="D633:I635"/>
    <mergeCell ref="J633:K635"/>
    <mergeCell ref="L633:M635"/>
    <mergeCell ref="N633:O635"/>
    <mergeCell ref="P633:Q635"/>
    <mergeCell ref="S630:T632"/>
    <mergeCell ref="U630:Z632"/>
    <mergeCell ref="AA630:AB632"/>
    <mergeCell ref="AC630:AD632"/>
    <mergeCell ref="AE630:AF632"/>
    <mergeCell ref="AG630:AH632"/>
    <mergeCell ref="B630:C632"/>
    <mergeCell ref="D630:I632"/>
    <mergeCell ref="J630:K632"/>
    <mergeCell ref="L630:M632"/>
    <mergeCell ref="N630:O632"/>
    <mergeCell ref="P630:Q632"/>
    <mergeCell ref="S627:T629"/>
    <mergeCell ref="U627:Z629"/>
    <mergeCell ref="AA627:AB629"/>
    <mergeCell ref="AC627:AD629"/>
    <mergeCell ref="AE627:AF629"/>
    <mergeCell ref="AG627:AH629"/>
    <mergeCell ref="B627:C629"/>
    <mergeCell ref="D627:I629"/>
    <mergeCell ref="J627:K629"/>
    <mergeCell ref="L627:M629"/>
    <mergeCell ref="N627:O629"/>
    <mergeCell ref="P627:Q629"/>
    <mergeCell ref="S624:T626"/>
    <mergeCell ref="U624:Z626"/>
    <mergeCell ref="AA624:AB626"/>
    <mergeCell ref="AC624:AD626"/>
    <mergeCell ref="AE624:AF626"/>
    <mergeCell ref="AG624:AH626"/>
    <mergeCell ref="B624:C626"/>
    <mergeCell ref="D624:I626"/>
    <mergeCell ref="J624:K626"/>
    <mergeCell ref="L624:M626"/>
    <mergeCell ref="N624:O626"/>
    <mergeCell ref="P624:Q626"/>
    <mergeCell ref="S621:T623"/>
    <mergeCell ref="U621:Z623"/>
    <mergeCell ref="AA621:AB623"/>
    <mergeCell ref="AC621:AD623"/>
    <mergeCell ref="AE621:AF623"/>
    <mergeCell ref="AG621:AH623"/>
    <mergeCell ref="B621:C623"/>
    <mergeCell ref="D621:I623"/>
    <mergeCell ref="J621:K623"/>
    <mergeCell ref="L621:M623"/>
    <mergeCell ref="N621:O623"/>
    <mergeCell ref="P621:Q623"/>
    <mergeCell ref="S618:T620"/>
    <mergeCell ref="U618:Z620"/>
    <mergeCell ref="AA618:AB620"/>
    <mergeCell ref="AC618:AD620"/>
    <mergeCell ref="AE618:AF620"/>
    <mergeCell ref="AG618:AH620"/>
    <mergeCell ref="B618:C620"/>
    <mergeCell ref="D618:I620"/>
    <mergeCell ref="J618:K620"/>
    <mergeCell ref="L618:M620"/>
    <mergeCell ref="N618:O620"/>
    <mergeCell ref="P618:Q620"/>
    <mergeCell ref="S615:T617"/>
    <mergeCell ref="U615:Z617"/>
    <mergeCell ref="AA615:AB617"/>
    <mergeCell ref="AC615:AD617"/>
    <mergeCell ref="AE615:AF617"/>
    <mergeCell ref="AG615:AH617"/>
    <mergeCell ref="B615:C617"/>
    <mergeCell ref="D615:I617"/>
    <mergeCell ref="J615:K617"/>
    <mergeCell ref="L615:M617"/>
    <mergeCell ref="N615:O617"/>
    <mergeCell ref="P615:Q617"/>
    <mergeCell ref="S612:T614"/>
    <mergeCell ref="U612:Z614"/>
    <mergeCell ref="AA612:AB614"/>
    <mergeCell ref="AC612:AD614"/>
    <mergeCell ref="AE612:AF614"/>
    <mergeCell ref="AG612:AH614"/>
    <mergeCell ref="B612:C614"/>
    <mergeCell ref="D612:I614"/>
    <mergeCell ref="J612:K614"/>
    <mergeCell ref="L612:M614"/>
    <mergeCell ref="N612:O614"/>
    <mergeCell ref="P612:Q614"/>
    <mergeCell ref="S609:T611"/>
    <mergeCell ref="U609:Z611"/>
    <mergeCell ref="AA609:AB611"/>
    <mergeCell ref="AC609:AD611"/>
    <mergeCell ref="AE609:AF611"/>
    <mergeCell ref="AG609:AH611"/>
    <mergeCell ref="B609:C611"/>
    <mergeCell ref="D609:I611"/>
    <mergeCell ref="J609:K611"/>
    <mergeCell ref="L609:M611"/>
    <mergeCell ref="N609:O611"/>
    <mergeCell ref="P609:Q611"/>
    <mergeCell ref="S606:T608"/>
    <mergeCell ref="U606:Z608"/>
    <mergeCell ref="AA606:AB608"/>
    <mergeCell ref="AC606:AD608"/>
    <mergeCell ref="AE606:AF608"/>
    <mergeCell ref="AG606:AH608"/>
    <mergeCell ref="B606:C608"/>
    <mergeCell ref="D606:I608"/>
    <mergeCell ref="J606:K608"/>
    <mergeCell ref="L606:M608"/>
    <mergeCell ref="N606:O608"/>
    <mergeCell ref="P606:Q608"/>
    <mergeCell ref="S603:T605"/>
    <mergeCell ref="U603:Z605"/>
    <mergeCell ref="AA603:AB605"/>
    <mergeCell ref="AC603:AD605"/>
    <mergeCell ref="AE603:AF605"/>
    <mergeCell ref="AG603:AH605"/>
    <mergeCell ref="B603:C605"/>
    <mergeCell ref="D603:I605"/>
    <mergeCell ref="J603:K605"/>
    <mergeCell ref="L603:M605"/>
    <mergeCell ref="N603:O605"/>
    <mergeCell ref="P603:Q605"/>
    <mergeCell ref="S600:T602"/>
    <mergeCell ref="U600:Z602"/>
    <mergeCell ref="AA600:AB602"/>
    <mergeCell ref="AC600:AD602"/>
    <mergeCell ref="AE600:AF602"/>
    <mergeCell ref="AG600:AH602"/>
    <mergeCell ref="B600:C602"/>
    <mergeCell ref="D600:I602"/>
    <mergeCell ref="J600:K602"/>
    <mergeCell ref="L600:M602"/>
    <mergeCell ref="N600:O602"/>
    <mergeCell ref="P600:Q602"/>
    <mergeCell ref="S597:T599"/>
    <mergeCell ref="U597:Z599"/>
    <mergeCell ref="AA597:AB599"/>
    <mergeCell ref="AC597:AD599"/>
    <mergeCell ref="AE597:AF599"/>
    <mergeCell ref="AG597:AH599"/>
    <mergeCell ref="B597:C599"/>
    <mergeCell ref="D597:I599"/>
    <mergeCell ref="J597:K599"/>
    <mergeCell ref="L597:M599"/>
    <mergeCell ref="N597:O599"/>
    <mergeCell ref="P597:Q599"/>
    <mergeCell ref="S594:T596"/>
    <mergeCell ref="U594:Z596"/>
    <mergeCell ref="AA594:AB596"/>
    <mergeCell ref="AC594:AD596"/>
    <mergeCell ref="AE594:AF596"/>
    <mergeCell ref="AG594:AH596"/>
    <mergeCell ref="B594:C596"/>
    <mergeCell ref="D594:I596"/>
    <mergeCell ref="J594:K596"/>
    <mergeCell ref="L594:M596"/>
    <mergeCell ref="N594:O596"/>
    <mergeCell ref="P594:Q596"/>
    <mergeCell ref="S591:T593"/>
    <mergeCell ref="U591:Z593"/>
    <mergeCell ref="AA591:AB593"/>
    <mergeCell ref="AC591:AD593"/>
    <mergeCell ref="AE591:AF593"/>
    <mergeCell ref="AG591:AH593"/>
    <mergeCell ref="B591:C593"/>
    <mergeCell ref="D591:I593"/>
    <mergeCell ref="J591:K593"/>
    <mergeCell ref="L591:M593"/>
    <mergeCell ref="N591:O593"/>
    <mergeCell ref="P591:Q593"/>
    <mergeCell ref="S588:T590"/>
    <mergeCell ref="U588:Z590"/>
    <mergeCell ref="AA588:AB590"/>
    <mergeCell ref="AC588:AD590"/>
    <mergeCell ref="AE588:AF590"/>
    <mergeCell ref="AG588:AH590"/>
    <mergeCell ref="B588:C590"/>
    <mergeCell ref="D588:I590"/>
    <mergeCell ref="J588:K590"/>
    <mergeCell ref="L588:M590"/>
    <mergeCell ref="N588:O590"/>
    <mergeCell ref="P588:Q590"/>
    <mergeCell ref="S585:T587"/>
    <mergeCell ref="U585:Z587"/>
    <mergeCell ref="AA585:AB587"/>
    <mergeCell ref="AC585:AD587"/>
    <mergeCell ref="AE585:AF587"/>
    <mergeCell ref="AG585:AH587"/>
    <mergeCell ref="B585:C587"/>
    <mergeCell ref="D585:I587"/>
    <mergeCell ref="J585:K587"/>
    <mergeCell ref="L585:M587"/>
    <mergeCell ref="N585:O587"/>
    <mergeCell ref="P585:Q587"/>
    <mergeCell ref="S582:T584"/>
    <mergeCell ref="U582:Z584"/>
    <mergeCell ref="AA582:AB584"/>
    <mergeCell ref="AC582:AD584"/>
    <mergeCell ref="AE582:AF584"/>
    <mergeCell ref="AG582:AH584"/>
    <mergeCell ref="B582:C584"/>
    <mergeCell ref="D582:I584"/>
    <mergeCell ref="J582:K584"/>
    <mergeCell ref="L582:M584"/>
    <mergeCell ref="N582:O584"/>
    <mergeCell ref="P582:Q584"/>
    <mergeCell ref="S579:T581"/>
    <mergeCell ref="U579:Z581"/>
    <mergeCell ref="AA579:AB581"/>
    <mergeCell ref="AC579:AD581"/>
    <mergeCell ref="AE579:AF581"/>
    <mergeCell ref="AG579:AH581"/>
    <mergeCell ref="B579:C581"/>
    <mergeCell ref="D579:I581"/>
    <mergeCell ref="J579:K581"/>
    <mergeCell ref="L579:M581"/>
    <mergeCell ref="N579:O581"/>
    <mergeCell ref="P579:Q581"/>
    <mergeCell ref="S576:T578"/>
    <mergeCell ref="U576:Z578"/>
    <mergeCell ref="AA576:AB578"/>
    <mergeCell ref="AC576:AD578"/>
    <mergeCell ref="AE576:AF578"/>
    <mergeCell ref="AG576:AH578"/>
    <mergeCell ref="B576:C578"/>
    <mergeCell ref="D576:I578"/>
    <mergeCell ref="J576:K578"/>
    <mergeCell ref="L576:M578"/>
    <mergeCell ref="N576:O578"/>
    <mergeCell ref="P576:Q578"/>
    <mergeCell ref="S573:T575"/>
    <mergeCell ref="U573:Z575"/>
    <mergeCell ref="AA573:AB575"/>
    <mergeCell ref="AC573:AD575"/>
    <mergeCell ref="AE573:AF575"/>
    <mergeCell ref="AG573:AH575"/>
    <mergeCell ref="B573:C575"/>
    <mergeCell ref="D573:I575"/>
    <mergeCell ref="J573:K575"/>
    <mergeCell ref="L573:M575"/>
    <mergeCell ref="N573:O575"/>
    <mergeCell ref="P573:Q575"/>
    <mergeCell ref="S570:T572"/>
    <mergeCell ref="U570:Z572"/>
    <mergeCell ref="AA570:AB572"/>
    <mergeCell ref="AC570:AD572"/>
    <mergeCell ref="AE570:AF572"/>
    <mergeCell ref="AG570:AH572"/>
    <mergeCell ref="B570:C572"/>
    <mergeCell ref="D570:I572"/>
    <mergeCell ref="J570:K572"/>
    <mergeCell ref="L570:M572"/>
    <mergeCell ref="N570:O572"/>
    <mergeCell ref="P570:Q572"/>
    <mergeCell ref="S567:T569"/>
    <mergeCell ref="U567:Z569"/>
    <mergeCell ref="AA567:AB569"/>
    <mergeCell ref="AC567:AD569"/>
    <mergeCell ref="AE567:AF569"/>
    <mergeCell ref="AG567:AH569"/>
    <mergeCell ref="B567:C569"/>
    <mergeCell ref="D567:I569"/>
    <mergeCell ref="J567:K569"/>
    <mergeCell ref="L567:M569"/>
    <mergeCell ref="N567:O569"/>
    <mergeCell ref="P567:Q569"/>
    <mergeCell ref="S564:T566"/>
    <mergeCell ref="U564:Z566"/>
    <mergeCell ref="AA564:AB566"/>
    <mergeCell ref="AC564:AD566"/>
    <mergeCell ref="AE564:AF566"/>
    <mergeCell ref="AG564:AH566"/>
    <mergeCell ref="B564:C566"/>
    <mergeCell ref="D564:I566"/>
    <mergeCell ref="J564:K566"/>
    <mergeCell ref="L564:M566"/>
    <mergeCell ref="N564:O566"/>
    <mergeCell ref="P564:Q566"/>
    <mergeCell ref="S561:T563"/>
    <mergeCell ref="U561:Z563"/>
    <mergeCell ref="AA561:AB563"/>
    <mergeCell ref="AC561:AD563"/>
    <mergeCell ref="AE561:AF563"/>
    <mergeCell ref="AG561:AH563"/>
    <mergeCell ref="B561:C563"/>
    <mergeCell ref="D561:I563"/>
    <mergeCell ref="J561:K563"/>
    <mergeCell ref="L561:M563"/>
    <mergeCell ref="N561:O563"/>
    <mergeCell ref="P561:Q563"/>
    <mergeCell ref="S558:T560"/>
    <mergeCell ref="U558:Z560"/>
    <mergeCell ref="AA558:AB560"/>
    <mergeCell ref="AC558:AD560"/>
    <mergeCell ref="AE558:AF560"/>
    <mergeCell ref="AG558:AH560"/>
    <mergeCell ref="B558:C560"/>
    <mergeCell ref="D558:I560"/>
    <mergeCell ref="J558:K560"/>
    <mergeCell ref="L558:M560"/>
    <mergeCell ref="N558:O560"/>
    <mergeCell ref="P558:Q560"/>
    <mergeCell ref="S555:T557"/>
    <mergeCell ref="U555:Z557"/>
    <mergeCell ref="AA555:AB557"/>
    <mergeCell ref="AC555:AD557"/>
    <mergeCell ref="AE555:AF557"/>
    <mergeCell ref="AG555:AH557"/>
    <mergeCell ref="B555:C557"/>
    <mergeCell ref="D555:I557"/>
    <mergeCell ref="J555:K557"/>
    <mergeCell ref="L555:M557"/>
    <mergeCell ref="N555:O557"/>
    <mergeCell ref="P555:Q557"/>
    <mergeCell ref="S552:T554"/>
    <mergeCell ref="U552:Z554"/>
    <mergeCell ref="AA552:AB554"/>
    <mergeCell ref="AC552:AD554"/>
    <mergeCell ref="AE552:AF554"/>
    <mergeCell ref="AG552:AH554"/>
    <mergeCell ref="B552:C554"/>
    <mergeCell ref="D552:I554"/>
    <mergeCell ref="J552:K554"/>
    <mergeCell ref="L552:M554"/>
    <mergeCell ref="N552:O554"/>
    <mergeCell ref="P552:Q554"/>
    <mergeCell ref="S549:T551"/>
    <mergeCell ref="U549:Z551"/>
    <mergeCell ref="AA549:AB551"/>
    <mergeCell ref="AC549:AD551"/>
    <mergeCell ref="AE549:AF551"/>
    <mergeCell ref="AG549:AH551"/>
    <mergeCell ref="B549:C551"/>
    <mergeCell ref="D549:I551"/>
    <mergeCell ref="J549:K551"/>
    <mergeCell ref="L549:M551"/>
    <mergeCell ref="N549:O551"/>
    <mergeCell ref="P549:Q551"/>
    <mergeCell ref="S546:T548"/>
    <mergeCell ref="U546:Z548"/>
    <mergeCell ref="AA546:AB548"/>
    <mergeCell ref="AC546:AD548"/>
    <mergeCell ref="AE546:AF548"/>
    <mergeCell ref="AG546:AH548"/>
    <mergeCell ref="B546:C548"/>
    <mergeCell ref="D546:I548"/>
    <mergeCell ref="J546:K548"/>
    <mergeCell ref="L546:M548"/>
    <mergeCell ref="N546:O548"/>
    <mergeCell ref="P546:Q548"/>
    <mergeCell ref="S543:T545"/>
    <mergeCell ref="U543:Z545"/>
    <mergeCell ref="AA543:AB545"/>
    <mergeCell ref="AC543:AD545"/>
    <mergeCell ref="AE543:AF545"/>
    <mergeCell ref="AG543:AH545"/>
    <mergeCell ref="B543:C545"/>
    <mergeCell ref="D543:I545"/>
    <mergeCell ref="J543:K545"/>
    <mergeCell ref="L543:M545"/>
    <mergeCell ref="N543:O545"/>
    <mergeCell ref="P543:Q545"/>
    <mergeCell ref="S540:T542"/>
    <mergeCell ref="U540:Z542"/>
    <mergeCell ref="AA540:AB542"/>
    <mergeCell ref="AC540:AD542"/>
    <mergeCell ref="AE540:AF542"/>
    <mergeCell ref="AG540:AH542"/>
    <mergeCell ref="B540:C542"/>
    <mergeCell ref="D540:I542"/>
    <mergeCell ref="J540:K542"/>
    <mergeCell ref="L540:M542"/>
    <mergeCell ref="N540:O542"/>
    <mergeCell ref="P540:Q542"/>
    <mergeCell ref="S537:T539"/>
    <mergeCell ref="U537:Z539"/>
    <mergeCell ref="AA537:AB539"/>
    <mergeCell ref="AC537:AD539"/>
    <mergeCell ref="AE537:AF539"/>
    <mergeCell ref="AG537:AH539"/>
    <mergeCell ref="B537:C539"/>
    <mergeCell ref="D537:I539"/>
    <mergeCell ref="J537:K539"/>
    <mergeCell ref="L537:M539"/>
    <mergeCell ref="N537:O539"/>
    <mergeCell ref="P537:Q539"/>
    <mergeCell ref="S534:T536"/>
    <mergeCell ref="U534:Z536"/>
    <mergeCell ref="AA534:AB536"/>
    <mergeCell ref="AC534:AD536"/>
    <mergeCell ref="AE534:AF536"/>
    <mergeCell ref="AG534:AH536"/>
    <mergeCell ref="B534:C536"/>
    <mergeCell ref="D534:I536"/>
    <mergeCell ref="J534:K536"/>
    <mergeCell ref="L534:M536"/>
    <mergeCell ref="N534:O536"/>
    <mergeCell ref="P534:Q536"/>
    <mergeCell ref="S531:T533"/>
    <mergeCell ref="U531:Z533"/>
    <mergeCell ref="AA531:AB533"/>
    <mergeCell ref="AC531:AD533"/>
    <mergeCell ref="AE531:AF533"/>
    <mergeCell ref="AG531:AH533"/>
    <mergeCell ref="B531:C533"/>
    <mergeCell ref="D531:I533"/>
    <mergeCell ref="J531:K533"/>
    <mergeCell ref="L531:M533"/>
    <mergeCell ref="N531:O533"/>
    <mergeCell ref="P531:Q533"/>
    <mergeCell ref="S528:T530"/>
    <mergeCell ref="U528:Z530"/>
    <mergeCell ref="AA528:AB530"/>
    <mergeCell ref="AC528:AD530"/>
    <mergeCell ref="AE528:AF530"/>
    <mergeCell ref="AG528:AH530"/>
    <mergeCell ref="B528:C530"/>
    <mergeCell ref="D528:I530"/>
    <mergeCell ref="J528:K530"/>
    <mergeCell ref="L528:M530"/>
    <mergeCell ref="N528:O530"/>
    <mergeCell ref="P528:Q530"/>
    <mergeCell ref="S525:T527"/>
    <mergeCell ref="U525:Z527"/>
    <mergeCell ref="AA525:AB527"/>
    <mergeCell ref="AC525:AD527"/>
    <mergeCell ref="AE525:AF527"/>
    <mergeCell ref="AG525:AH527"/>
    <mergeCell ref="B525:C527"/>
    <mergeCell ref="D525:I527"/>
    <mergeCell ref="J525:K527"/>
    <mergeCell ref="L525:M527"/>
    <mergeCell ref="N525:O527"/>
    <mergeCell ref="P525:Q527"/>
    <mergeCell ref="S522:T524"/>
    <mergeCell ref="U522:Z524"/>
    <mergeCell ref="AA522:AB524"/>
    <mergeCell ref="AC522:AD524"/>
    <mergeCell ref="AE522:AF524"/>
    <mergeCell ref="AG522:AH524"/>
    <mergeCell ref="B522:C524"/>
    <mergeCell ref="D522:I524"/>
    <mergeCell ref="J522:K524"/>
    <mergeCell ref="L522:M524"/>
    <mergeCell ref="N522:O524"/>
    <mergeCell ref="P522:Q524"/>
    <mergeCell ref="S519:T521"/>
    <mergeCell ref="U519:Z521"/>
    <mergeCell ref="AA519:AB521"/>
    <mergeCell ref="AC519:AD521"/>
    <mergeCell ref="AE519:AF521"/>
    <mergeCell ref="AG519:AH521"/>
    <mergeCell ref="B519:C521"/>
    <mergeCell ref="D519:I521"/>
    <mergeCell ref="J519:K521"/>
    <mergeCell ref="L519:M521"/>
    <mergeCell ref="N519:O521"/>
    <mergeCell ref="P519:Q521"/>
    <mergeCell ref="S516:T518"/>
    <mergeCell ref="U516:Z518"/>
    <mergeCell ref="AA516:AB518"/>
    <mergeCell ref="AC516:AD518"/>
    <mergeCell ref="AE516:AF518"/>
    <mergeCell ref="AG516:AH518"/>
    <mergeCell ref="B516:C518"/>
    <mergeCell ref="D516:I518"/>
    <mergeCell ref="J516:K518"/>
    <mergeCell ref="L516:M518"/>
    <mergeCell ref="N516:O518"/>
    <mergeCell ref="P516:Q518"/>
    <mergeCell ref="S513:T515"/>
    <mergeCell ref="U513:Z515"/>
    <mergeCell ref="AA513:AB515"/>
    <mergeCell ref="AC513:AD515"/>
    <mergeCell ref="AE513:AF515"/>
    <mergeCell ref="AG513:AH515"/>
    <mergeCell ref="B513:C515"/>
    <mergeCell ref="D513:I515"/>
    <mergeCell ref="J513:K515"/>
    <mergeCell ref="L513:M515"/>
    <mergeCell ref="N513:O515"/>
    <mergeCell ref="P513:Q515"/>
    <mergeCell ref="S510:T512"/>
    <mergeCell ref="U510:Z512"/>
    <mergeCell ref="AA510:AB512"/>
    <mergeCell ref="AC510:AD512"/>
    <mergeCell ref="AE510:AF512"/>
    <mergeCell ref="AG510:AH512"/>
    <mergeCell ref="B510:C512"/>
    <mergeCell ref="D510:I512"/>
    <mergeCell ref="J510:K512"/>
    <mergeCell ref="L510:M512"/>
    <mergeCell ref="N510:O512"/>
    <mergeCell ref="P510:Q512"/>
    <mergeCell ref="S507:T509"/>
    <mergeCell ref="U507:Z509"/>
    <mergeCell ref="AA507:AB509"/>
    <mergeCell ref="AC507:AD509"/>
    <mergeCell ref="AE507:AF509"/>
    <mergeCell ref="AG507:AH509"/>
    <mergeCell ref="B507:C509"/>
    <mergeCell ref="D507:I509"/>
    <mergeCell ref="J507:K509"/>
    <mergeCell ref="L507:M509"/>
    <mergeCell ref="N507:O509"/>
    <mergeCell ref="P507:Q509"/>
    <mergeCell ref="S504:T506"/>
    <mergeCell ref="U504:Z506"/>
    <mergeCell ref="AA504:AB506"/>
    <mergeCell ref="AC504:AD506"/>
    <mergeCell ref="AE504:AF506"/>
    <mergeCell ref="AG504:AH506"/>
    <mergeCell ref="B504:C506"/>
    <mergeCell ref="D504:I506"/>
    <mergeCell ref="J504:K506"/>
    <mergeCell ref="L504:M506"/>
    <mergeCell ref="N504:O506"/>
    <mergeCell ref="P504:Q506"/>
    <mergeCell ref="S501:T503"/>
    <mergeCell ref="U501:Z503"/>
    <mergeCell ref="AA501:AB503"/>
    <mergeCell ref="AC501:AD503"/>
    <mergeCell ref="AE501:AF503"/>
    <mergeCell ref="AG501:AH503"/>
    <mergeCell ref="B501:C503"/>
    <mergeCell ref="D501:I503"/>
    <mergeCell ref="J501:K503"/>
    <mergeCell ref="L501:M503"/>
    <mergeCell ref="N501:O503"/>
    <mergeCell ref="P501:Q503"/>
    <mergeCell ref="S498:T500"/>
    <mergeCell ref="U498:Z500"/>
    <mergeCell ref="AA498:AB500"/>
    <mergeCell ref="AC498:AD500"/>
    <mergeCell ref="AE498:AF500"/>
    <mergeCell ref="AG498:AH500"/>
    <mergeCell ref="B498:C500"/>
    <mergeCell ref="D498:I500"/>
    <mergeCell ref="J498:K500"/>
    <mergeCell ref="L498:M500"/>
    <mergeCell ref="N498:O500"/>
    <mergeCell ref="P498:Q500"/>
    <mergeCell ref="S495:T497"/>
    <mergeCell ref="U495:Z497"/>
    <mergeCell ref="AA495:AB497"/>
    <mergeCell ref="AC495:AD497"/>
    <mergeCell ref="AE495:AF497"/>
    <mergeCell ref="AG495:AH497"/>
    <mergeCell ref="B495:C497"/>
    <mergeCell ref="D495:I497"/>
    <mergeCell ref="J495:K497"/>
    <mergeCell ref="L495:M497"/>
    <mergeCell ref="N495:O497"/>
    <mergeCell ref="P495:Q497"/>
    <mergeCell ref="S492:T494"/>
    <mergeCell ref="U492:Z494"/>
    <mergeCell ref="AA492:AB494"/>
    <mergeCell ref="AC492:AD494"/>
    <mergeCell ref="AE492:AF494"/>
    <mergeCell ref="AG492:AH494"/>
    <mergeCell ref="B492:C494"/>
    <mergeCell ref="D492:I494"/>
    <mergeCell ref="J492:K494"/>
    <mergeCell ref="L492:M494"/>
    <mergeCell ref="N492:O494"/>
    <mergeCell ref="P492:Q494"/>
    <mergeCell ref="S489:T491"/>
    <mergeCell ref="U489:Z491"/>
    <mergeCell ref="AA489:AB491"/>
    <mergeCell ref="AC489:AD491"/>
    <mergeCell ref="AE489:AF491"/>
    <mergeCell ref="AG489:AH491"/>
    <mergeCell ref="B489:C491"/>
    <mergeCell ref="D489:I491"/>
    <mergeCell ref="J489:K491"/>
    <mergeCell ref="L489:M491"/>
    <mergeCell ref="N489:O491"/>
    <mergeCell ref="P489:Q491"/>
    <mergeCell ref="S486:T488"/>
    <mergeCell ref="U486:Z488"/>
    <mergeCell ref="AA486:AB488"/>
    <mergeCell ref="AC486:AD488"/>
    <mergeCell ref="AE486:AF488"/>
    <mergeCell ref="AG486:AH488"/>
    <mergeCell ref="B486:C488"/>
    <mergeCell ref="D486:I488"/>
    <mergeCell ref="J486:K488"/>
    <mergeCell ref="L486:M488"/>
    <mergeCell ref="N486:O488"/>
    <mergeCell ref="P486:Q488"/>
    <mergeCell ref="S483:T485"/>
    <mergeCell ref="U483:Z485"/>
    <mergeCell ref="AA483:AB485"/>
    <mergeCell ref="AC483:AD485"/>
    <mergeCell ref="AE483:AF485"/>
    <mergeCell ref="AG483:AH485"/>
    <mergeCell ref="B483:C485"/>
    <mergeCell ref="D483:I485"/>
    <mergeCell ref="J483:K485"/>
    <mergeCell ref="L483:M485"/>
    <mergeCell ref="N483:O485"/>
    <mergeCell ref="P483:Q485"/>
    <mergeCell ref="S480:T482"/>
    <mergeCell ref="U480:Z482"/>
    <mergeCell ref="AA480:AB482"/>
    <mergeCell ref="AC480:AD482"/>
    <mergeCell ref="AE480:AF482"/>
    <mergeCell ref="AG480:AH482"/>
    <mergeCell ref="B480:C482"/>
    <mergeCell ref="D480:I482"/>
    <mergeCell ref="J480:K482"/>
    <mergeCell ref="L480:M482"/>
    <mergeCell ref="N480:O482"/>
    <mergeCell ref="P480:Q482"/>
    <mergeCell ref="S477:T479"/>
    <mergeCell ref="U477:Z479"/>
    <mergeCell ref="AA477:AB479"/>
    <mergeCell ref="AC477:AD479"/>
    <mergeCell ref="AE477:AF479"/>
    <mergeCell ref="AG477:AH479"/>
    <mergeCell ref="B477:C479"/>
    <mergeCell ref="D477:I479"/>
    <mergeCell ref="J477:K479"/>
    <mergeCell ref="L477:M479"/>
    <mergeCell ref="N477:O479"/>
    <mergeCell ref="P477:Q479"/>
    <mergeCell ref="S474:T476"/>
    <mergeCell ref="U474:Z476"/>
    <mergeCell ref="AA474:AB476"/>
    <mergeCell ref="AC474:AD476"/>
    <mergeCell ref="AE474:AF476"/>
    <mergeCell ref="AG474:AH476"/>
    <mergeCell ref="B474:C476"/>
    <mergeCell ref="D474:I476"/>
    <mergeCell ref="J474:K476"/>
    <mergeCell ref="L474:M476"/>
    <mergeCell ref="N474:O476"/>
    <mergeCell ref="P474:Q476"/>
    <mergeCell ref="S471:T473"/>
    <mergeCell ref="U471:Z473"/>
    <mergeCell ref="AA471:AB473"/>
    <mergeCell ref="AC471:AD473"/>
    <mergeCell ref="AE471:AF473"/>
    <mergeCell ref="AG471:AH473"/>
    <mergeCell ref="B471:C473"/>
    <mergeCell ref="D471:I473"/>
    <mergeCell ref="J471:K473"/>
    <mergeCell ref="L471:M473"/>
    <mergeCell ref="N471:O473"/>
    <mergeCell ref="P471:Q473"/>
    <mergeCell ref="S468:T470"/>
    <mergeCell ref="U468:Z470"/>
    <mergeCell ref="AA468:AB470"/>
    <mergeCell ref="AC468:AD470"/>
    <mergeCell ref="AE468:AF470"/>
    <mergeCell ref="AG468:AH470"/>
    <mergeCell ref="B468:C470"/>
    <mergeCell ref="D468:I470"/>
    <mergeCell ref="J468:K470"/>
    <mergeCell ref="L468:M470"/>
    <mergeCell ref="N468:O470"/>
    <mergeCell ref="P468:Q470"/>
    <mergeCell ref="S465:T467"/>
    <mergeCell ref="U465:Z467"/>
    <mergeCell ref="AA465:AB467"/>
    <mergeCell ref="AC465:AD467"/>
    <mergeCell ref="AE465:AF467"/>
    <mergeCell ref="AG465:AH467"/>
    <mergeCell ref="B465:C467"/>
    <mergeCell ref="D465:I467"/>
    <mergeCell ref="J465:K467"/>
    <mergeCell ref="L465:M467"/>
    <mergeCell ref="N465:O467"/>
    <mergeCell ref="P465:Q467"/>
    <mergeCell ref="S462:T464"/>
    <mergeCell ref="U462:Z464"/>
    <mergeCell ref="AA462:AB464"/>
    <mergeCell ref="AC462:AD464"/>
    <mergeCell ref="AE462:AF464"/>
    <mergeCell ref="AG462:AH464"/>
    <mergeCell ref="B462:C464"/>
    <mergeCell ref="D462:I464"/>
    <mergeCell ref="J462:K464"/>
    <mergeCell ref="L462:M464"/>
    <mergeCell ref="N462:O464"/>
    <mergeCell ref="P462:Q464"/>
    <mergeCell ref="S459:T461"/>
    <mergeCell ref="U459:Z461"/>
    <mergeCell ref="AA459:AB461"/>
    <mergeCell ref="AC459:AD461"/>
    <mergeCell ref="AE459:AF461"/>
    <mergeCell ref="AG459:AH461"/>
    <mergeCell ref="B459:C461"/>
    <mergeCell ref="D459:I461"/>
    <mergeCell ref="J459:K461"/>
    <mergeCell ref="L459:M461"/>
    <mergeCell ref="N459:O461"/>
    <mergeCell ref="P459:Q461"/>
    <mergeCell ref="S456:T458"/>
    <mergeCell ref="U456:Z458"/>
    <mergeCell ref="AA456:AB458"/>
    <mergeCell ref="AC456:AD458"/>
    <mergeCell ref="AE456:AF458"/>
    <mergeCell ref="AG456:AH458"/>
    <mergeCell ref="B456:C458"/>
    <mergeCell ref="D456:I458"/>
    <mergeCell ref="J456:K458"/>
    <mergeCell ref="L456:M458"/>
    <mergeCell ref="N456:O458"/>
    <mergeCell ref="P456:Q458"/>
    <mergeCell ref="S453:T455"/>
    <mergeCell ref="U453:Z455"/>
    <mergeCell ref="AA453:AB455"/>
    <mergeCell ref="AC453:AD455"/>
    <mergeCell ref="AE453:AF455"/>
    <mergeCell ref="AG453:AH455"/>
    <mergeCell ref="B453:C455"/>
    <mergeCell ref="D453:I455"/>
    <mergeCell ref="J453:K455"/>
    <mergeCell ref="L453:M455"/>
    <mergeCell ref="N453:O455"/>
    <mergeCell ref="P453:Q455"/>
    <mergeCell ref="S450:T452"/>
    <mergeCell ref="U450:Z452"/>
    <mergeCell ref="AA450:AB452"/>
    <mergeCell ref="AC450:AD452"/>
    <mergeCell ref="AE450:AF452"/>
    <mergeCell ref="AG450:AH452"/>
    <mergeCell ref="B450:C452"/>
    <mergeCell ref="D450:I452"/>
    <mergeCell ref="J450:K452"/>
    <mergeCell ref="L450:M452"/>
    <mergeCell ref="N450:O452"/>
    <mergeCell ref="P450:Q452"/>
    <mergeCell ref="S447:T449"/>
    <mergeCell ref="U447:Z449"/>
    <mergeCell ref="AA447:AB449"/>
    <mergeCell ref="AC447:AD449"/>
    <mergeCell ref="AE447:AF449"/>
    <mergeCell ref="AG447:AH449"/>
    <mergeCell ref="B447:C449"/>
    <mergeCell ref="D447:I449"/>
    <mergeCell ref="J447:K449"/>
    <mergeCell ref="L447:M449"/>
    <mergeCell ref="N447:O449"/>
    <mergeCell ref="P447:Q449"/>
    <mergeCell ref="S444:T446"/>
    <mergeCell ref="U444:Z446"/>
    <mergeCell ref="AA444:AB446"/>
    <mergeCell ref="AC444:AD446"/>
    <mergeCell ref="AE444:AF446"/>
    <mergeCell ref="AG444:AH446"/>
    <mergeCell ref="B444:C446"/>
    <mergeCell ref="D444:I446"/>
    <mergeCell ref="J444:K446"/>
    <mergeCell ref="L444:M446"/>
    <mergeCell ref="N444:O446"/>
    <mergeCell ref="P444:Q446"/>
    <mergeCell ref="S441:T443"/>
    <mergeCell ref="U441:Z443"/>
    <mergeCell ref="AA441:AB443"/>
    <mergeCell ref="AC441:AD443"/>
    <mergeCell ref="AE441:AF443"/>
    <mergeCell ref="AG441:AH443"/>
    <mergeCell ref="B441:C443"/>
    <mergeCell ref="D441:I443"/>
    <mergeCell ref="J441:K443"/>
    <mergeCell ref="L441:M443"/>
    <mergeCell ref="N441:O443"/>
    <mergeCell ref="P441:Q443"/>
    <mergeCell ref="S438:T440"/>
    <mergeCell ref="U438:Z440"/>
    <mergeCell ref="AA438:AB440"/>
    <mergeCell ref="AC438:AD440"/>
    <mergeCell ref="AE438:AF440"/>
    <mergeCell ref="AG438:AH440"/>
    <mergeCell ref="B438:C440"/>
    <mergeCell ref="D438:I440"/>
    <mergeCell ref="J438:K440"/>
    <mergeCell ref="L438:M440"/>
    <mergeCell ref="N438:O440"/>
    <mergeCell ref="P438:Q440"/>
    <mergeCell ref="S435:T437"/>
    <mergeCell ref="U435:Z437"/>
    <mergeCell ref="AA435:AB437"/>
    <mergeCell ref="AC435:AD437"/>
    <mergeCell ref="AE435:AF437"/>
    <mergeCell ref="AG435:AH437"/>
    <mergeCell ref="B435:C437"/>
    <mergeCell ref="D435:I437"/>
    <mergeCell ref="J435:K437"/>
    <mergeCell ref="L435:M437"/>
    <mergeCell ref="N435:O437"/>
    <mergeCell ref="P435:Q437"/>
    <mergeCell ref="S432:T434"/>
    <mergeCell ref="U432:Z434"/>
    <mergeCell ref="AA432:AB434"/>
    <mergeCell ref="AC432:AD434"/>
    <mergeCell ref="AE432:AF434"/>
    <mergeCell ref="AG432:AH434"/>
    <mergeCell ref="B432:C434"/>
    <mergeCell ref="D432:I434"/>
    <mergeCell ref="J432:K434"/>
    <mergeCell ref="L432:M434"/>
    <mergeCell ref="N432:O434"/>
    <mergeCell ref="P432:Q434"/>
    <mergeCell ref="S429:T431"/>
    <mergeCell ref="U429:Z431"/>
    <mergeCell ref="AA429:AB431"/>
    <mergeCell ref="AC429:AD431"/>
    <mergeCell ref="AE429:AF431"/>
    <mergeCell ref="AG429:AH431"/>
    <mergeCell ref="B429:C431"/>
    <mergeCell ref="D429:I431"/>
    <mergeCell ref="J429:K431"/>
    <mergeCell ref="L429:M431"/>
    <mergeCell ref="N429:O431"/>
    <mergeCell ref="P429:Q431"/>
    <mergeCell ref="S426:T428"/>
    <mergeCell ref="U426:Z428"/>
    <mergeCell ref="AA426:AB428"/>
    <mergeCell ref="AC426:AD428"/>
    <mergeCell ref="AE426:AF428"/>
    <mergeCell ref="AG426:AH428"/>
    <mergeCell ref="B426:C428"/>
    <mergeCell ref="D426:I428"/>
    <mergeCell ref="J426:K428"/>
    <mergeCell ref="L426:M428"/>
    <mergeCell ref="N426:O428"/>
    <mergeCell ref="P426:Q428"/>
    <mergeCell ref="S423:T425"/>
    <mergeCell ref="U423:Z425"/>
    <mergeCell ref="AA423:AB425"/>
    <mergeCell ref="AC423:AD425"/>
    <mergeCell ref="AE423:AF425"/>
    <mergeCell ref="AG423:AH425"/>
    <mergeCell ref="B423:C425"/>
    <mergeCell ref="D423:I425"/>
    <mergeCell ref="J423:K425"/>
    <mergeCell ref="L423:M425"/>
    <mergeCell ref="N423:O425"/>
    <mergeCell ref="P423:Q425"/>
    <mergeCell ref="S420:T422"/>
    <mergeCell ref="U420:Z422"/>
    <mergeCell ref="AA420:AB422"/>
    <mergeCell ref="AC420:AD422"/>
    <mergeCell ref="AE420:AF422"/>
    <mergeCell ref="AG420:AH422"/>
    <mergeCell ref="B420:C422"/>
    <mergeCell ref="D420:I422"/>
    <mergeCell ref="J420:K422"/>
    <mergeCell ref="L420:M422"/>
    <mergeCell ref="N420:O422"/>
    <mergeCell ref="P420:Q422"/>
    <mergeCell ref="S417:T419"/>
    <mergeCell ref="U417:Z419"/>
    <mergeCell ref="AA417:AB419"/>
    <mergeCell ref="AC417:AD419"/>
    <mergeCell ref="AE417:AF419"/>
    <mergeCell ref="AG417:AH419"/>
    <mergeCell ref="B417:C419"/>
    <mergeCell ref="D417:I419"/>
    <mergeCell ref="J417:K419"/>
    <mergeCell ref="L417:M419"/>
    <mergeCell ref="N417:O419"/>
    <mergeCell ref="P417:Q419"/>
    <mergeCell ref="S414:T416"/>
    <mergeCell ref="U414:Z416"/>
    <mergeCell ref="AA414:AB416"/>
    <mergeCell ref="AC414:AD416"/>
    <mergeCell ref="AE414:AF416"/>
    <mergeCell ref="AG414:AH416"/>
    <mergeCell ref="B414:C416"/>
    <mergeCell ref="D414:I416"/>
    <mergeCell ref="J414:K416"/>
    <mergeCell ref="L414:M416"/>
    <mergeCell ref="N414:O416"/>
    <mergeCell ref="P414:Q416"/>
    <mergeCell ref="S411:T413"/>
    <mergeCell ref="U411:Z413"/>
    <mergeCell ref="AA411:AB413"/>
    <mergeCell ref="AC411:AD413"/>
    <mergeCell ref="AE411:AF413"/>
    <mergeCell ref="AG411:AH413"/>
    <mergeCell ref="B411:C413"/>
    <mergeCell ref="D411:I413"/>
    <mergeCell ref="J411:K413"/>
    <mergeCell ref="L411:M413"/>
    <mergeCell ref="N411:O413"/>
    <mergeCell ref="P411:Q413"/>
    <mergeCell ref="S408:T410"/>
    <mergeCell ref="U408:Z410"/>
    <mergeCell ref="AA408:AB410"/>
    <mergeCell ref="AC408:AD410"/>
    <mergeCell ref="AE408:AF410"/>
    <mergeCell ref="AG408:AH410"/>
    <mergeCell ref="B408:C410"/>
    <mergeCell ref="D408:I410"/>
    <mergeCell ref="J408:K410"/>
    <mergeCell ref="L408:M410"/>
    <mergeCell ref="N408:O410"/>
    <mergeCell ref="P408:Q410"/>
    <mergeCell ref="S405:T407"/>
    <mergeCell ref="U405:Z407"/>
    <mergeCell ref="AA405:AB407"/>
    <mergeCell ref="AC405:AD407"/>
    <mergeCell ref="AE405:AF407"/>
    <mergeCell ref="AG405:AH407"/>
    <mergeCell ref="B405:C407"/>
    <mergeCell ref="D405:I407"/>
    <mergeCell ref="J405:K407"/>
    <mergeCell ref="L405:M407"/>
    <mergeCell ref="N405:O407"/>
    <mergeCell ref="P405:Q407"/>
    <mergeCell ref="S402:T404"/>
    <mergeCell ref="U402:Z404"/>
    <mergeCell ref="AA402:AB404"/>
    <mergeCell ref="AC402:AD404"/>
    <mergeCell ref="AE402:AF404"/>
    <mergeCell ref="AG402:AH404"/>
    <mergeCell ref="B402:C404"/>
    <mergeCell ref="D402:I404"/>
    <mergeCell ref="J402:K404"/>
    <mergeCell ref="L402:M404"/>
    <mergeCell ref="N402:O404"/>
    <mergeCell ref="P402:Q404"/>
    <mergeCell ref="S399:T401"/>
    <mergeCell ref="U399:Z401"/>
    <mergeCell ref="AA399:AB401"/>
    <mergeCell ref="AC399:AD401"/>
    <mergeCell ref="AE399:AF401"/>
    <mergeCell ref="AG399:AH401"/>
    <mergeCell ref="B399:C401"/>
    <mergeCell ref="D399:I401"/>
    <mergeCell ref="J399:K401"/>
    <mergeCell ref="L399:M401"/>
    <mergeCell ref="N399:O401"/>
    <mergeCell ref="P399:Q401"/>
    <mergeCell ref="S396:T398"/>
    <mergeCell ref="U396:Z398"/>
    <mergeCell ref="AA396:AB398"/>
    <mergeCell ref="AC396:AD398"/>
    <mergeCell ref="AE396:AF398"/>
    <mergeCell ref="AG396:AH398"/>
    <mergeCell ref="B396:C398"/>
    <mergeCell ref="D396:I398"/>
    <mergeCell ref="J396:K398"/>
    <mergeCell ref="L396:M398"/>
    <mergeCell ref="N396:O398"/>
    <mergeCell ref="P396:Q398"/>
    <mergeCell ref="S393:T395"/>
    <mergeCell ref="U393:Z395"/>
    <mergeCell ref="AA393:AB395"/>
    <mergeCell ref="AC393:AD395"/>
    <mergeCell ref="AE393:AF395"/>
    <mergeCell ref="AG393:AH395"/>
    <mergeCell ref="B393:C395"/>
    <mergeCell ref="D393:I395"/>
    <mergeCell ref="J393:K395"/>
    <mergeCell ref="L393:M395"/>
    <mergeCell ref="N393:O395"/>
    <mergeCell ref="P393:Q395"/>
    <mergeCell ref="S390:T392"/>
    <mergeCell ref="U390:Z392"/>
    <mergeCell ref="AA390:AB392"/>
    <mergeCell ref="AC390:AD392"/>
    <mergeCell ref="AE390:AF392"/>
    <mergeCell ref="AG390:AH392"/>
    <mergeCell ref="B390:C392"/>
    <mergeCell ref="D390:I392"/>
    <mergeCell ref="J390:K392"/>
    <mergeCell ref="L390:M392"/>
    <mergeCell ref="N390:O392"/>
    <mergeCell ref="P390:Q392"/>
    <mergeCell ref="S387:T389"/>
    <mergeCell ref="U387:Z389"/>
    <mergeCell ref="AA387:AB389"/>
    <mergeCell ref="AC387:AD389"/>
    <mergeCell ref="AE387:AF389"/>
    <mergeCell ref="AG387:AH389"/>
    <mergeCell ref="B387:C389"/>
    <mergeCell ref="D387:I389"/>
    <mergeCell ref="J387:K389"/>
    <mergeCell ref="L387:M389"/>
    <mergeCell ref="N387:O389"/>
    <mergeCell ref="P387:Q389"/>
    <mergeCell ref="S384:T386"/>
    <mergeCell ref="U384:Z386"/>
    <mergeCell ref="AA384:AB386"/>
    <mergeCell ref="AC384:AD386"/>
    <mergeCell ref="AE384:AF386"/>
    <mergeCell ref="AG384:AH386"/>
    <mergeCell ref="B384:C386"/>
    <mergeCell ref="D384:I386"/>
    <mergeCell ref="J384:K386"/>
    <mergeCell ref="L384:M386"/>
    <mergeCell ref="N384:O386"/>
    <mergeCell ref="P384:Q386"/>
    <mergeCell ref="S381:T383"/>
    <mergeCell ref="U381:Z383"/>
    <mergeCell ref="AA381:AB383"/>
    <mergeCell ref="AC381:AD383"/>
    <mergeCell ref="AE381:AF383"/>
    <mergeCell ref="AG381:AH383"/>
    <mergeCell ref="B381:C383"/>
    <mergeCell ref="D381:I383"/>
    <mergeCell ref="J381:K383"/>
    <mergeCell ref="L381:M383"/>
    <mergeCell ref="N381:O383"/>
    <mergeCell ref="P381:Q383"/>
    <mergeCell ref="S378:T380"/>
    <mergeCell ref="U378:Z380"/>
    <mergeCell ref="AA378:AB380"/>
    <mergeCell ref="AC378:AD380"/>
    <mergeCell ref="AE378:AF380"/>
    <mergeCell ref="AG378:AH380"/>
    <mergeCell ref="B378:C380"/>
    <mergeCell ref="D378:I380"/>
    <mergeCell ref="J378:K380"/>
    <mergeCell ref="L378:M380"/>
    <mergeCell ref="N378:O380"/>
    <mergeCell ref="P378:Q380"/>
    <mergeCell ref="S375:T377"/>
    <mergeCell ref="U375:Z377"/>
    <mergeCell ref="AA375:AB377"/>
    <mergeCell ref="AC375:AD377"/>
    <mergeCell ref="AE375:AF377"/>
    <mergeCell ref="AG375:AH377"/>
    <mergeCell ref="B375:C377"/>
    <mergeCell ref="D375:I377"/>
    <mergeCell ref="J375:K377"/>
    <mergeCell ref="L375:M377"/>
    <mergeCell ref="N375:O377"/>
    <mergeCell ref="P375:Q377"/>
    <mergeCell ref="S372:T374"/>
    <mergeCell ref="U372:Z374"/>
    <mergeCell ref="AA372:AB374"/>
    <mergeCell ref="AC372:AD374"/>
    <mergeCell ref="AE372:AF374"/>
    <mergeCell ref="AG372:AH374"/>
    <mergeCell ref="B372:C374"/>
    <mergeCell ref="D372:I374"/>
    <mergeCell ref="J372:K374"/>
    <mergeCell ref="L372:M374"/>
    <mergeCell ref="N372:O374"/>
    <mergeCell ref="P372:Q374"/>
    <mergeCell ref="S369:T371"/>
    <mergeCell ref="U369:Z371"/>
    <mergeCell ref="AA369:AB371"/>
    <mergeCell ref="AC369:AD371"/>
    <mergeCell ref="AE369:AF371"/>
    <mergeCell ref="AG369:AH371"/>
    <mergeCell ref="B369:C371"/>
    <mergeCell ref="D369:I371"/>
    <mergeCell ref="J369:K371"/>
    <mergeCell ref="L369:M371"/>
    <mergeCell ref="N369:O371"/>
    <mergeCell ref="P369:Q371"/>
    <mergeCell ref="S366:T368"/>
    <mergeCell ref="U366:Z368"/>
    <mergeCell ref="AA366:AB368"/>
    <mergeCell ref="AC366:AD368"/>
    <mergeCell ref="AE366:AF368"/>
    <mergeCell ref="AG366:AH368"/>
    <mergeCell ref="B366:C368"/>
    <mergeCell ref="D366:I368"/>
    <mergeCell ref="J366:K368"/>
    <mergeCell ref="L366:M368"/>
    <mergeCell ref="N366:O368"/>
    <mergeCell ref="P366:Q368"/>
    <mergeCell ref="S363:T365"/>
    <mergeCell ref="U363:Z365"/>
    <mergeCell ref="AA363:AB365"/>
    <mergeCell ref="AC363:AD365"/>
    <mergeCell ref="AE363:AF365"/>
    <mergeCell ref="AG363:AH365"/>
    <mergeCell ref="B363:C365"/>
    <mergeCell ref="D363:I365"/>
    <mergeCell ref="J363:K365"/>
    <mergeCell ref="L363:M365"/>
    <mergeCell ref="N363:O365"/>
    <mergeCell ref="P363:Q365"/>
    <mergeCell ref="S360:T362"/>
    <mergeCell ref="U360:Z362"/>
    <mergeCell ref="AA360:AB362"/>
    <mergeCell ref="AC360:AD362"/>
    <mergeCell ref="AE360:AF362"/>
    <mergeCell ref="AG360:AH362"/>
    <mergeCell ref="B360:C362"/>
    <mergeCell ref="D360:I362"/>
    <mergeCell ref="J360:K362"/>
    <mergeCell ref="L360:M362"/>
    <mergeCell ref="N360:O362"/>
    <mergeCell ref="P360:Q362"/>
    <mergeCell ref="S357:T359"/>
    <mergeCell ref="U357:Z359"/>
    <mergeCell ref="AA357:AB359"/>
    <mergeCell ref="AC357:AD359"/>
    <mergeCell ref="AE357:AF359"/>
    <mergeCell ref="AG357:AH359"/>
    <mergeCell ref="B357:C359"/>
    <mergeCell ref="D357:I359"/>
    <mergeCell ref="J357:K359"/>
    <mergeCell ref="L357:M359"/>
    <mergeCell ref="N357:O359"/>
    <mergeCell ref="P357:Q359"/>
    <mergeCell ref="S354:T356"/>
    <mergeCell ref="U354:Z356"/>
    <mergeCell ref="AA354:AB356"/>
    <mergeCell ref="AC354:AD356"/>
    <mergeCell ref="AE354:AF356"/>
    <mergeCell ref="AG354:AH356"/>
    <mergeCell ref="B354:C356"/>
    <mergeCell ref="D354:I356"/>
    <mergeCell ref="J354:K356"/>
    <mergeCell ref="L354:M356"/>
    <mergeCell ref="N354:O356"/>
    <mergeCell ref="P354:Q356"/>
    <mergeCell ref="S351:T353"/>
    <mergeCell ref="U351:Z353"/>
    <mergeCell ref="AA351:AB353"/>
    <mergeCell ref="AC351:AD353"/>
    <mergeCell ref="AE351:AF353"/>
    <mergeCell ref="AG351:AH353"/>
    <mergeCell ref="B351:C353"/>
    <mergeCell ref="D351:I353"/>
    <mergeCell ref="J351:K353"/>
    <mergeCell ref="L351:M353"/>
    <mergeCell ref="N351:O353"/>
    <mergeCell ref="P351:Q353"/>
    <mergeCell ref="S348:T350"/>
    <mergeCell ref="U348:Z350"/>
    <mergeCell ref="AA348:AB350"/>
    <mergeCell ref="AC348:AD350"/>
    <mergeCell ref="AE348:AF350"/>
    <mergeCell ref="AG348:AH350"/>
    <mergeCell ref="B348:C350"/>
    <mergeCell ref="D348:I350"/>
    <mergeCell ref="J348:K350"/>
    <mergeCell ref="L348:M350"/>
    <mergeCell ref="N348:O350"/>
    <mergeCell ref="P348:Q350"/>
    <mergeCell ref="S345:T347"/>
    <mergeCell ref="U345:Z347"/>
    <mergeCell ref="AA345:AB347"/>
    <mergeCell ref="AC345:AD347"/>
    <mergeCell ref="AE345:AF347"/>
    <mergeCell ref="AG345:AH347"/>
    <mergeCell ref="B345:C347"/>
    <mergeCell ref="D345:I347"/>
    <mergeCell ref="J345:K347"/>
    <mergeCell ref="L345:M347"/>
    <mergeCell ref="N345:O347"/>
    <mergeCell ref="P345:Q347"/>
    <mergeCell ref="S342:T344"/>
    <mergeCell ref="U342:Z344"/>
    <mergeCell ref="AA342:AB344"/>
    <mergeCell ref="AC342:AD344"/>
    <mergeCell ref="AE342:AF344"/>
    <mergeCell ref="AG342:AH344"/>
    <mergeCell ref="B342:C344"/>
    <mergeCell ref="D342:I344"/>
    <mergeCell ref="J342:K344"/>
    <mergeCell ref="L342:M344"/>
    <mergeCell ref="N342:O344"/>
    <mergeCell ref="P342:Q344"/>
    <mergeCell ref="S339:T341"/>
    <mergeCell ref="U339:Z341"/>
    <mergeCell ref="AA339:AB341"/>
    <mergeCell ref="AC339:AD341"/>
    <mergeCell ref="AE339:AF341"/>
    <mergeCell ref="AG339:AH341"/>
    <mergeCell ref="B339:C341"/>
    <mergeCell ref="D339:I341"/>
    <mergeCell ref="J339:K341"/>
    <mergeCell ref="L339:M341"/>
    <mergeCell ref="N339:O341"/>
    <mergeCell ref="P339:Q341"/>
    <mergeCell ref="S336:T338"/>
    <mergeCell ref="U336:Z338"/>
    <mergeCell ref="AA336:AB338"/>
    <mergeCell ref="AC336:AD338"/>
    <mergeCell ref="AE336:AF338"/>
    <mergeCell ref="AG336:AH338"/>
    <mergeCell ref="B336:C338"/>
    <mergeCell ref="D336:I338"/>
    <mergeCell ref="J336:K338"/>
    <mergeCell ref="L336:M338"/>
    <mergeCell ref="N336:O338"/>
    <mergeCell ref="P336:Q338"/>
    <mergeCell ref="S333:T335"/>
    <mergeCell ref="U333:Z335"/>
    <mergeCell ref="AA333:AB335"/>
    <mergeCell ref="AC333:AD335"/>
    <mergeCell ref="AE333:AF335"/>
    <mergeCell ref="AG333:AH335"/>
    <mergeCell ref="B333:C335"/>
    <mergeCell ref="D333:I335"/>
    <mergeCell ref="J333:K335"/>
    <mergeCell ref="L333:M335"/>
    <mergeCell ref="N333:O335"/>
    <mergeCell ref="P333:Q335"/>
    <mergeCell ref="S330:T332"/>
    <mergeCell ref="U330:Z332"/>
    <mergeCell ref="AA330:AB332"/>
    <mergeCell ref="AC330:AD332"/>
    <mergeCell ref="AE330:AF332"/>
    <mergeCell ref="AG330:AH332"/>
    <mergeCell ref="B330:C332"/>
    <mergeCell ref="D330:I332"/>
    <mergeCell ref="J330:K332"/>
    <mergeCell ref="L330:M332"/>
    <mergeCell ref="N330:O332"/>
    <mergeCell ref="P330:Q332"/>
    <mergeCell ref="S327:T329"/>
    <mergeCell ref="U327:Z329"/>
    <mergeCell ref="AA327:AB329"/>
    <mergeCell ref="AC327:AD329"/>
    <mergeCell ref="AE327:AF329"/>
    <mergeCell ref="AG327:AH329"/>
    <mergeCell ref="B327:C329"/>
    <mergeCell ref="D327:I329"/>
    <mergeCell ref="J327:K329"/>
    <mergeCell ref="L327:M329"/>
    <mergeCell ref="N327:O329"/>
    <mergeCell ref="P327:Q329"/>
    <mergeCell ref="S324:T326"/>
    <mergeCell ref="U324:Z326"/>
    <mergeCell ref="AA324:AB326"/>
    <mergeCell ref="AC324:AD326"/>
    <mergeCell ref="AE324:AF326"/>
    <mergeCell ref="AG324:AH326"/>
    <mergeCell ref="B324:C326"/>
    <mergeCell ref="D324:I326"/>
    <mergeCell ref="J324:K326"/>
    <mergeCell ref="L324:M326"/>
    <mergeCell ref="N324:O326"/>
    <mergeCell ref="P324:Q326"/>
    <mergeCell ref="S321:T323"/>
    <mergeCell ref="U321:Z323"/>
    <mergeCell ref="AA321:AB323"/>
    <mergeCell ref="AC321:AD323"/>
    <mergeCell ref="AE321:AF323"/>
    <mergeCell ref="AG321:AH323"/>
    <mergeCell ref="B321:C323"/>
    <mergeCell ref="D321:I323"/>
    <mergeCell ref="J321:K323"/>
    <mergeCell ref="L321:M323"/>
    <mergeCell ref="N321:O323"/>
    <mergeCell ref="P321:Q323"/>
    <mergeCell ref="S318:T320"/>
    <mergeCell ref="U318:Z320"/>
    <mergeCell ref="AA318:AB320"/>
    <mergeCell ref="AC318:AD320"/>
    <mergeCell ref="AE318:AF320"/>
    <mergeCell ref="AG318:AH320"/>
    <mergeCell ref="B318:C320"/>
    <mergeCell ref="D318:I320"/>
    <mergeCell ref="J318:K320"/>
    <mergeCell ref="L318:M320"/>
    <mergeCell ref="N318:O320"/>
    <mergeCell ref="P318:Q320"/>
    <mergeCell ref="S315:T317"/>
    <mergeCell ref="U315:Z317"/>
    <mergeCell ref="AA315:AB317"/>
    <mergeCell ref="AC315:AD317"/>
    <mergeCell ref="AE315:AF317"/>
    <mergeCell ref="AG315:AH317"/>
    <mergeCell ref="B315:C317"/>
    <mergeCell ref="D315:I317"/>
    <mergeCell ref="J315:K317"/>
    <mergeCell ref="L315:M317"/>
    <mergeCell ref="N315:O317"/>
    <mergeCell ref="P315:Q317"/>
    <mergeCell ref="S312:T314"/>
    <mergeCell ref="U312:Z314"/>
    <mergeCell ref="AA312:AB314"/>
    <mergeCell ref="AC312:AD314"/>
    <mergeCell ref="AE312:AF314"/>
    <mergeCell ref="AG312:AH314"/>
    <mergeCell ref="B312:C314"/>
    <mergeCell ref="D312:I314"/>
    <mergeCell ref="J312:K314"/>
    <mergeCell ref="L312:M314"/>
    <mergeCell ref="N312:O314"/>
    <mergeCell ref="P312:Q314"/>
    <mergeCell ref="S309:T311"/>
    <mergeCell ref="U309:Z311"/>
    <mergeCell ref="AA309:AB311"/>
    <mergeCell ref="AC309:AD311"/>
    <mergeCell ref="AE309:AF311"/>
    <mergeCell ref="AG309:AH311"/>
    <mergeCell ref="B309:C311"/>
    <mergeCell ref="D309:I311"/>
    <mergeCell ref="J309:K311"/>
    <mergeCell ref="L309:M311"/>
    <mergeCell ref="N309:O311"/>
    <mergeCell ref="P309:Q311"/>
    <mergeCell ref="S306:T308"/>
    <mergeCell ref="U306:Z308"/>
    <mergeCell ref="AA306:AB308"/>
    <mergeCell ref="AC306:AD308"/>
    <mergeCell ref="AE306:AF308"/>
    <mergeCell ref="AG306:AH308"/>
    <mergeCell ref="B306:C308"/>
    <mergeCell ref="D306:I308"/>
    <mergeCell ref="J306:K308"/>
    <mergeCell ref="L306:M308"/>
    <mergeCell ref="N306:O308"/>
    <mergeCell ref="P306:Q308"/>
    <mergeCell ref="S303:T305"/>
    <mergeCell ref="U303:Z305"/>
    <mergeCell ref="AA303:AB305"/>
    <mergeCell ref="AC303:AD305"/>
    <mergeCell ref="AE303:AF305"/>
    <mergeCell ref="AG303:AH305"/>
    <mergeCell ref="B303:C305"/>
    <mergeCell ref="D303:I305"/>
    <mergeCell ref="J303:K305"/>
    <mergeCell ref="L303:M305"/>
    <mergeCell ref="N303:O305"/>
    <mergeCell ref="P303:Q305"/>
    <mergeCell ref="S300:T302"/>
    <mergeCell ref="U300:Z302"/>
    <mergeCell ref="AA300:AB302"/>
    <mergeCell ref="AC300:AD302"/>
    <mergeCell ref="AE300:AF302"/>
    <mergeCell ref="AG300:AH302"/>
    <mergeCell ref="B300:C302"/>
    <mergeCell ref="D300:I302"/>
    <mergeCell ref="J300:K302"/>
    <mergeCell ref="L300:M302"/>
    <mergeCell ref="N300:O302"/>
    <mergeCell ref="P300:Q302"/>
    <mergeCell ref="S297:T299"/>
    <mergeCell ref="U297:Z299"/>
    <mergeCell ref="AA297:AB299"/>
    <mergeCell ref="AC297:AD299"/>
    <mergeCell ref="AE297:AF299"/>
    <mergeCell ref="AG297:AH299"/>
    <mergeCell ref="B297:C299"/>
    <mergeCell ref="D297:I299"/>
    <mergeCell ref="J297:K299"/>
    <mergeCell ref="L297:M299"/>
    <mergeCell ref="N297:O299"/>
    <mergeCell ref="P297:Q299"/>
    <mergeCell ref="S294:T296"/>
    <mergeCell ref="U294:Z296"/>
    <mergeCell ref="AA294:AB296"/>
    <mergeCell ref="AC294:AD296"/>
    <mergeCell ref="AE294:AF296"/>
    <mergeCell ref="AG294:AH296"/>
    <mergeCell ref="B294:C296"/>
    <mergeCell ref="D294:I296"/>
    <mergeCell ref="J294:K296"/>
    <mergeCell ref="L294:M296"/>
    <mergeCell ref="N294:O296"/>
    <mergeCell ref="P294:Q296"/>
    <mergeCell ref="S291:T293"/>
    <mergeCell ref="U291:Z293"/>
    <mergeCell ref="AA291:AB293"/>
    <mergeCell ref="AC291:AD293"/>
    <mergeCell ref="AE291:AF293"/>
    <mergeCell ref="AG291:AH293"/>
    <mergeCell ref="B291:C293"/>
    <mergeCell ref="D291:I293"/>
    <mergeCell ref="J291:K293"/>
    <mergeCell ref="L291:M293"/>
    <mergeCell ref="N291:O293"/>
    <mergeCell ref="P291:Q293"/>
    <mergeCell ref="S288:T290"/>
    <mergeCell ref="U288:Z290"/>
    <mergeCell ref="AA288:AB290"/>
    <mergeCell ref="AC288:AD290"/>
    <mergeCell ref="AE288:AF290"/>
    <mergeCell ref="AG288:AH290"/>
    <mergeCell ref="B288:C290"/>
    <mergeCell ref="D288:I290"/>
    <mergeCell ref="J288:K290"/>
    <mergeCell ref="L288:M290"/>
    <mergeCell ref="N288:O290"/>
    <mergeCell ref="P288:Q290"/>
    <mergeCell ref="S285:T287"/>
    <mergeCell ref="U285:Z287"/>
    <mergeCell ref="AA285:AB287"/>
    <mergeCell ref="AC285:AD287"/>
    <mergeCell ref="AE285:AF287"/>
    <mergeCell ref="AG285:AH287"/>
    <mergeCell ref="B285:C287"/>
    <mergeCell ref="D285:I287"/>
    <mergeCell ref="J285:K287"/>
    <mergeCell ref="L285:M287"/>
    <mergeCell ref="N285:O287"/>
    <mergeCell ref="P285:Q287"/>
    <mergeCell ref="S282:T284"/>
    <mergeCell ref="U282:Z284"/>
    <mergeCell ref="AA282:AB284"/>
    <mergeCell ref="AC282:AD284"/>
    <mergeCell ref="AE282:AF284"/>
    <mergeCell ref="AG282:AH284"/>
    <mergeCell ref="B282:C284"/>
    <mergeCell ref="D282:I284"/>
    <mergeCell ref="J282:K284"/>
    <mergeCell ref="L282:M284"/>
    <mergeCell ref="N282:O284"/>
    <mergeCell ref="P282:Q284"/>
    <mergeCell ref="S279:T281"/>
    <mergeCell ref="U279:Z281"/>
    <mergeCell ref="AA279:AB281"/>
    <mergeCell ref="AC279:AD281"/>
    <mergeCell ref="AE279:AF281"/>
    <mergeCell ref="AG279:AH281"/>
    <mergeCell ref="B279:C281"/>
    <mergeCell ref="D279:I281"/>
    <mergeCell ref="J279:K281"/>
    <mergeCell ref="L279:M281"/>
    <mergeCell ref="N279:O281"/>
    <mergeCell ref="P279:Q281"/>
    <mergeCell ref="S276:T278"/>
    <mergeCell ref="U276:Z278"/>
    <mergeCell ref="AA276:AB278"/>
    <mergeCell ref="AC276:AD278"/>
    <mergeCell ref="AE276:AF278"/>
    <mergeCell ref="AG276:AH278"/>
    <mergeCell ref="B276:C278"/>
    <mergeCell ref="D276:I278"/>
    <mergeCell ref="J276:K278"/>
    <mergeCell ref="L276:M278"/>
    <mergeCell ref="N276:O278"/>
    <mergeCell ref="P276:Q278"/>
    <mergeCell ref="S273:T275"/>
    <mergeCell ref="U273:Z275"/>
    <mergeCell ref="AA273:AB275"/>
    <mergeCell ref="AC273:AD275"/>
    <mergeCell ref="AE273:AF275"/>
    <mergeCell ref="AG273:AH275"/>
    <mergeCell ref="B273:C275"/>
    <mergeCell ref="D273:I275"/>
    <mergeCell ref="J273:K275"/>
    <mergeCell ref="L273:M275"/>
    <mergeCell ref="N273:O275"/>
    <mergeCell ref="P273:Q275"/>
    <mergeCell ref="S270:T272"/>
    <mergeCell ref="U270:Z272"/>
    <mergeCell ref="AA270:AB272"/>
    <mergeCell ref="AC270:AD272"/>
    <mergeCell ref="AE270:AF272"/>
    <mergeCell ref="AG270:AH272"/>
    <mergeCell ref="B270:C272"/>
    <mergeCell ref="D270:I272"/>
    <mergeCell ref="J270:K272"/>
    <mergeCell ref="L270:M272"/>
    <mergeCell ref="N270:O272"/>
    <mergeCell ref="P270:Q272"/>
    <mergeCell ref="S267:T269"/>
    <mergeCell ref="U267:Z269"/>
    <mergeCell ref="AA267:AB269"/>
    <mergeCell ref="AC267:AD269"/>
    <mergeCell ref="AE267:AF269"/>
    <mergeCell ref="AG267:AH269"/>
    <mergeCell ref="B267:C269"/>
    <mergeCell ref="D267:I269"/>
    <mergeCell ref="J267:K269"/>
    <mergeCell ref="L267:M269"/>
    <mergeCell ref="N267:O269"/>
    <mergeCell ref="P267:Q269"/>
    <mergeCell ref="S264:T266"/>
    <mergeCell ref="U264:Z266"/>
    <mergeCell ref="AA264:AB266"/>
    <mergeCell ref="AC264:AD266"/>
    <mergeCell ref="AE264:AF266"/>
    <mergeCell ref="AG264:AH266"/>
    <mergeCell ref="B264:C266"/>
    <mergeCell ref="D264:I266"/>
    <mergeCell ref="J264:K266"/>
    <mergeCell ref="L264:M266"/>
    <mergeCell ref="N264:O266"/>
    <mergeCell ref="P264:Q266"/>
    <mergeCell ref="S261:T263"/>
    <mergeCell ref="U261:Z263"/>
    <mergeCell ref="AA261:AB263"/>
    <mergeCell ref="AC261:AD263"/>
    <mergeCell ref="AE261:AF263"/>
    <mergeCell ref="AG261:AH263"/>
    <mergeCell ref="B261:C263"/>
    <mergeCell ref="D261:I263"/>
    <mergeCell ref="J261:K263"/>
    <mergeCell ref="L261:M263"/>
    <mergeCell ref="N261:O263"/>
    <mergeCell ref="P261:Q263"/>
    <mergeCell ref="S258:T260"/>
    <mergeCell ref="U258:Z260"/>
    <mergeCell ref="AA258:AB260"/>
    <mergeCell ref="AC258:AD260"/>
    <mergeCell ref="AE258:AF260"/>
    <mergeCell ref="AG258:AH260"/>
    <mergeCell ref="B258:C260"/>
    <mergeCell ref="D258:I260"/>
    <mergeCell ref="J258:K260"/>
    <mergeCell ref="L258:M260"/>
    <mergeCell ref="N258:O260"/>
    <mergeCell ref="P258:Q260"/>
    <mergeCell ref="S255:T257"/>
    <mergeCell ref="U255:Z257"/>
    <mergeCell ref="AA255:AB257"/>
    <mergeCell ref="AC255:AD257"/>
    <mergeCell ref="AE255:AF257"/>
    <mergeCell ref="AG255:AH257"/>
    <mergeCell ref="B255:C257"/>
    <mergeCell ref="D255:I257"/>
    <mergeCell ref="J255:K257"/>
    <mergeCell ref="L255:M257"/>
    <mergeCell ref="N255:O257"/>
    <mergeCell ref="P255:Q257"/>
    <mergeCell ref="S252:T254"/>
    <mergeCell ref="U252:Z254"/>
    <mergeCell ref="AA252:AB254"/>
    <mergeCell ref="AC252:AD254"/>
    <mergeCell ref="AE252:AF254"/>
    <mergeCell ref="AG252:AH254"/>
    <mergeCell ref="B252:C254"/>
    <mergeCell ref="D252:I254"/>
    <mergeCell ref="J252:K254"/>
    <mergeCell ref="L252:M254"/>
    <mergeCell ref="N252:O254"/>
    <mergeCell ref="P252:Q254"/>
    <mergeCell ref="S249:T251"/>
    <mergeCell ref="U249:Z251"/>
    <mergeCell ref="AA249:AB251"/>
    <mergeCell ref="AC249:AD251"/>
    <mergeCell ref="AE249:AF251"/>
    <mergeCell ref="AG249:AH251"/>
    <mergeCell ref="B249:C251"/>
    <mergeCell ref="D249:I251"/>
    <mergeCell ref="J249:K251"/>
    <mergeCell ref="L249:M251"/>
    <mergeCell ref="N249:O251"/>
    <mergeCell ref="P249:Q251"/>
    <mergeCell ref="S246:T248"/>
    <mergeCell ref="U246:Z248"/>
    <mergeCell ref="AA246:AB248"/>
    <mergeCell ref="AC246:AD248"/>
    <mergeCell ref="AE246:AF248"/>
    <mergeCell ref="AG246:AH248"/>
    <mergeCell ref="B246:C248"/>
    <mergeCell ref="D246:I248"/>
    <mergeCell ref="J246:K248"/>
    <mergeCell ref="L246:M248"/>
    <mergeCell ref="N246:O248"/>
    <mergeCell ref="P246:Q248"/>
    <mergeCell ref="S243:T245"/>
    <mergeCell ref="U243:Z245"/>
    <mergeCell ref="AA243:AB245"/>
    <mergeCell ref="AC243:AD245"/>
    <mergeCell ref="AE243:AF245"/>
    <mergeCell ref="AG243:AH245"/>
    <mergeCell ref="B243:C245"/>
    <mergeCell ref="D243:I245"/>
    <mergeCell ref="J243:K245"/>
    <mergeCell ref="L243:M245"/>
    <mergeCell ref="N243:O245"/>
    <mergeCell ref="P243:Q245"/>
    <mergeCell ref="S240:T242"/>
    <mergeCell ref="U240:Z242"/>
    <mergeCell ref="AA240:AB242"/>
    <mergeCell ref="AC240:AD242"/>
    <mergeCell ref="AE240:AF242"/>
    <mergeCell ref="AG240:AH242"/>
    <mergeCell ref="B240:C242"/>
    <mergeCell ref="D240:I242"/>
    <mergeCell ref="J240:K242"/>
    <mergeCell ref="L240:M242"/>
    <mergeCell ref="N240:O242"/>
    <mergeCell ref="P240:Q242"/>
    <mergeCell ref="S237:T239"/>
    <mergeCell ref="U237:Z239"/>
    <mergeCell ref="AA237:AB239"/>
    <mergeCell ref="AC237:AD239"/>
    <mergeCell ref="AE237:AF239"/>
    <mergeCell ref="AG237:AH239"/>
    <mergeCell ref="B237:C239"/>
    <mergeCell ref="D237:I239"/>
    <mergeCell ref="J237:K239"/>
    <mergeCell ref="L237:M239"/>
    <mergeCell ref="N237:O239"/>
    <mergeCell ref="P237:Q239"/>
    <mergeCell ref="S234:T236"/>
    <mergeCell ref="U234:Z236"/>
    <mergeCell ref="AA234:AB236"/>
    <mergeCell ref="AC234:AD236"/>
    <mergeCell ref="AE234:AF236"/>
    <mergeCell ref="AG234:AH236"/>
    <mergeCell ref="B234:C236"/>
    <mergeCell ref="D234:I236"/>
    <mergeCell ref="J234:K236"/>
    <mergeCell ref="L234:M236"/>
    <mergeCell ref="N234:O236"/>
    <mergeCell ref="P234:Q236"/>
    <mergeCell ref="S231:T233"/>
    <mergeCell ref="U231:Z233"/>
    <mergeCell ref="AA231:AB233"/>
    <mergeCell ref="AC231:AD233"/>
    <mergeCell ref="AE231:AF233"/>
    <mergeCell ref="AG231:AH233"/>
    <mergeCell ref="B231:C233"/>
    <mergeCell ref="D231:I233"/>
    <mergeCell ref="J231:K233"/>
    <mergeCell ref="L231:M233"/>
    <mergeCell ref="N231:O233"/>
    <mergeCell ref="P231:Q233"/>
    <mergeCell ref="S228:T230"/>
    <mergeCell ref="U228:Z230"/>
    <mergeCell ref="AA228:AB230"/>
    <mergeCell ref="AC228:AD230"/>
    <mergeCell ref="AE228:AF230"/>
    <mergeCell ref="AG228:AH230"/>
    <mergeCell ref="B228:C230"/>
    <mergeCell ref="D228:I230"/>
    <mergeCell ref="J228:K230"/>
    <mergeCell ref="L228:M230"/>
    <mergeCell ref="N228:O230"/>
    <mergeCell ref="P228:Q230"/>
    <mergeCell ref="S225:T227"/>
    <mergeCell ref="U225:Z227"/>
    <mergeCell ref="AA225:AB227"/>
    <mergeCell ref="AC225:AD227"/>
    <mergeCell ref="AE225:AF227"/>
    <mergeCell ref="AG225:AH227"/>
    <mergeCell ref="B225:C227"/>
    <mergeCell ref="D225:I227"/>
    <mergeCell ref="J225:K227"/>
    <mergeCell ref="L225:M227"/>
    <mergeCell ref="N225:O227"/>
    <mergeCell ref="P225:Q227"/>
    <mergeCell ref="S222:T224"/>
    <mergeCell ref="U222:Z224"/>
    <mergeCell ref="AA222:AB224"/>
    <mergeCell ref="AC222:AD224"/>
    <mergeCell ref="AE222:AF224"/>
    <mergeCell ref="AG222:AH224"/>
    <mergeCell ref="B222:C224"/>
    <mergeCell ref="D222:I224"/>
    <mergeCell ref="J222:K224"/>
    <mergeCell ref="L222:M224"/>
    <mergeCell ref="N222:O224"/>
    <mergeCell ref="P222:Q224"/>
    <mergeCell ref="S219:T221"/>
    <mergeCell ref="U219:Z221"/>
    <mergeCell ref="AA219:AB221"/>
    <mergeCell ref="AC219:AD221"/>
    <mergeCell ref="AE219:AF221"/>
    <mergeCell ref="AG219:AH221"/>
    <mergeCell ref="B219:C221"/>
    <mergeCell ref="D219:I221"/>
    <mergeCell ref="J219:K221"/>
    <mergeCell ref="L219:M221"/>
    <mergeCell ref="N219:O221"/>
    <mergeCell ref="P219:Q221"/>
    <mergeCell ref="S216:T218"/>
    <mergeCell ref="U216:Z218"/>
    <mergeCell ref="AA216:AB218"/>
    <mergeCell ref="AC216:AD218"/>
    <mergeCell ref="AE216:AF218"/>
    <mergeCell ref="AG216:AH218"/>
    <mergeCell ref="B216:C218"/>
    <mergeCell ref="D216:I218"/>
    <mergeCell ref="J216:K218"/>
    <mergeCell ref="L216:M218"/>
    <mergeCell ref="N216:O218"/>
    <mergeCell ref="P216:Q218"/>
    <mergeCell ref="S213:T215"/>
    <mergeCell ref="U213:Z215"/>
    <mergeCell ref="AA213:AB215"/>
    <mergeCell ref="AC213:AD215"/>
    <mergeCell ref="AE213:AF215"/>
    <mergeCell ref="AG213:AH215"/>
    <mergeCell ref="B213:C215"/>
    <mergeCell ref="D213:I215"/>
    <mergeCell ref="J213:K215"/>
    <mergeCell ref="L213:M215"/>
    <mergeCell ref="N213:O215"/>
    <mergeCell ref="P213:Q215"/>
    <mergeCell ref="S210:T212"/>
    <mergeCell ref="U210:Z212"/>
    <mergeCell ref="AA210:AB212"/>
    <mergeCell ref="AC210:AD212"/>
    <mergeCell ref="AE210:AF212"/>
    <mergeCell ref="AG210:AH212"/>
    <mergeCell ref="B210:C212"/>
    <mergeCell ref="D210:I212"/>
    <mergeCell ref="J210:K212"/>
    <mergeCell ref="L210:M212"/>
    <mergeCell ref="N210:O212"/>
    <mergeCell ref="P210:Q212"/>
    <mergeCell ref="S207:T209"/>
    <mergeCell ref="U207:Z209"/>
    <mergeCell ref="AA207:AB209"/>
    <mergeCell ref="AC207:AD209"/>
    <mergeCell ref="AE207:AF209"/>
    <mergeCell ref="AG207:AH209"/>
    <mergeCell ref="B207:C209"/>
    <mergeCell ref="D207:I209"/>
    <mergeCell ref="J207:K209"/>
    <mergeCell ref="L207:M209"/>
    <mergeCell ref="N207:O209"/>
    <mergeCell ref="P207:Q209"/>
    <mergeCell ref="S204:T206"/>
    <mergeCell ref="U204:Z206"/>
    <mergeCell ref="AA204:AB206"/>
    <mergeCell ref="AC204:AD206"/>
    <mergeCell ref="AE204:AF206"/>
    <mergeCell ref="AG204:AH206"/>
    <mergeCell ref="B204:C206"/>
    <mergeCell ref="D204:I206"/>
    <mergeCell ref="J204:K206"/>
    <mergeCell ref="L204:M206"/>
    <mergeCell ref="N204:O206"/>
    <mergeCell ref="P204:Q206"/>
    <mergeCell ref="S201:T203"/>
    <mergeCell ref="U201:Z203"/>
    <mergeCell ref="AA201:AB203"/>
    <mergeCell ref="AC201:AD203"/>
    <mergeCell ref="AE201:AF203"/>
    <mergeCell ref="AG201:AH203"/>
    <mergeCell ref="B201:C203"/>
    <mergeCell ref="D201:I203"/>
    <mergeCell ref="J201:K203"/>
    <mergeCell ref="L201:M203"/>
    <mergeCell ref="N201:O203"/>
    <mergeCell ref="P201:Q203"/>
    <mergeCell ref="S198:T200"/>
    <mergeCell ref="U198:Z200"/>
    <mergeCell ref="AA198:AB200"/>
    <mergeCell ref="AC198:AD200"/>
    <mergeCell ref="AE198:AF200"/>
    <mergeCell ref="AG198:AH200"/>
    <mergeCell ref="B198:C200"/>
    <mergeCell ref="D198:I200"/>
    <mergeCell ref="J198:K200"/>
    <mergeCell ref="L198:M200"/>
    <mergeCell ref="N198:O200"/>
    <mergeCell ref="P198:Q200"/>
    <mergeCell ref="S195:T197"/>
    <mergeCell ref="U195:Z197"/>
    <mergeCell ref="AA195:AB197"/>
    <mergeCell ref="AC195:AD197"/>
    <mergeCell ref="AE195:AF197"/>
    <mergeCell ref="AG195:AH197"/>
    <mergeCell ref="B195:C197"/>
    <mergeCell ref="D195:I197"/>
    <mergeCell ref="J195:K197"/>
    <mergeCell ref="L195:M197"/>
    <mergeCell ref="N195:O197"/>
    <mergeCell ref="P195:Q197"/>
    <mergeCell ref="S192:T194"/>
    <mergeCell ref="U192:Z194"/>
    <mergeCell ref="AA192:AB194"/>
    <mergeCell ref="AC192:AD194"/>
    <mergeCell ref="AE192:AF194"/>
    <mergeCell ref="AG192:AH194"/>
    <mergeCell ref="B192:C194"/>
    <mergeCell ref="D192:I194"/>
    <mergeCell ref="J192:K194"/>
    <mergeCell ref="L192:M194"/>
    <mergeCell ref="N192:O194"/>
    <mergeCell ref="P192:Q194"/>
    <mergeCell ref="S189:T191"/>
    <mergeCell ref="U189:Z191"/>
    <mergeCell ref="AA189:AB191"/>
    <mergeCell ref="AC189:AD191"/>
    <mergeCell ref="AE189:AF191"/>
    <mergeCell ref="AG189:AH191"/>
    <mergeCell ref="B189:C191"/>
    <mergeCell ref="D189:I191"/>
    <mergeCell ref="J189:K191"/>
    <mergeCell ref="L189:M191"/>
    <mergeCell ref="N189:O191"/>
    <mergeCell ref="P189:Q191"/>
    <mergeCell ref="S186:T188"/>
    <mergeCell ref="U186:Z188"/>
    <mergeCell ref="AA186:AB188"/>
    <mergeCell ref="AC186:AD188"/>
    <mergeCell ref="AE186:AF188"/>
    <mergeCell ref="AG186:AH188"/>
    <mergeCell ref="B186:C188"/>
    <mergeCell ref="D186:I188"/>
    <mergeCell ref="J186:K188"/>
    <mergeCell ref="L186:M188"/>
    <mergeCell ref="N186:O188"/>
    <mergeCell ref="P186:Q188"/>
    <mergeCell ref="S183:T185"/>
    <mergeCell ref="U183:Z185"/>
    <mergeCell ref="AA183:AB185"/>
    <mergeCell ref="AC183:AD185"/>
    <mergeCell ref="AE183:AF185"/>
    <mergeCell ref="AG183:AH185"/>
    <mergeCell ref="B183:C185"/>
    <mergeCell ref="D183:I185"/>
    <mergeCell ref="J183:K185"/>
    <mergeCell ref="L183:M185"/>
    <mergeCell ref="N183:O185"/>
    <mergeCell ref="P183:Q185"/>
    <mergeCell ref="S180:T182"/>
    <mergeCell ref="U180:Z182"/>
    <mergeCell ref="AA180:AB182"/>
    <mergeCell ref="AC180:AD182"/>
    <mergeCell ref="AE180:AF182"/>
    <mergeCell ref="AG180:AH182"/>
    <mergeCell ref="B180:C182"/>
    <mergeCell ref="D180:I182"/>
    <mergeCell ref="J180:K182"/>
    <mergeCell ref="L180:M182"/>
    <mergeCell ref="N180:O182"/>
    <mergeCell ref="P180:Q182"/>
    <mergeCell ref="S177:T179"/>
    <mergeCell ref="U177:Z179"/>
    <mergeCell ref="AA177:AB179"/>
    <mergeCell ref="AC177:AD179"/>
    <mergeCell ref="AE177:AF179"/>
    <mergeCell ref="AG177:AH179"/>
    <mergeCell ref="B177:C179"/>
    <mergeCell ref="D177:I179"/>
    <mergeCell ref="J177:K179"/>
    <mergeCell ref="L177:M179"/>
    <mergeCell ref="N177:O179"/>
    <mergeCell ref="P177:Q179"/>
    <mergeCell ref="S174:T176"/>
    <mergeCell ref="U174:Z176"/>
    <mergeCell ref="AA174:AB176"/>
    <mergeCell ref="AC174:AD176"/>
    <mergeCell ref="AE174:AF176"/>
    <mergeCell ref="AG174:AH176"/>
    <mergeCell ref="B174:C176"/>
    <mergeCell ref="D174:I176"/>
    <mergeCell ref="J174:K176"/>
    <mergeCell ref="L174:M176"/>
    <mergeCell ref="N174:O176"/>
    <mergeCell ref="P174:Q176"/>
    <mergeCell ref="S171:T173"/>
    <mergeCell ref="U171:Z173"/>
    <mergeCell ref="AA171:AB173"/>
    <mergeCell ref="AC171:AD173"/>
    <mergeCell ref="AE171:AF173"/>
    <mergeCell ref="AG171:AH173"/>
    <mergeCell ref="B171:C173"/>
    <mergeCell ref="D171:I173"/>
    <mergeCell ref="J171:K173"/>
    <mergeCell ref="L171:M173"/>
    <mergeCell ref="N171:O173"/>
    <mergeCell ref="P171:Q173"/>
    <mergeCell ref="S168:T170"/>
    <mergeCell ref="U168:Z170"/>
    <mergeCell ref="AA168:AB170"/>
    <mergeCell ref="AC168:AD170"/>
    <mergeCell ref="AE168:AF170"/>
    <mergeCell ref="AG168:AH170"/>
    <mergeCell ref="B168:C170"/>
    <mergeCell ref="D168:I170"/>
    <mergeCell ref="J168:K170"/>
    <mergeCell ref="L168:M170"/>
    <mergeCell ref="N168:O170"/>
    <mergeCell ref="P168:Q170"/>
    <mergeCell ref="S165:T167"/>
    <mergeCell ref="U165:Z167"/>
    <mergeCell ref="AA165:AB167"/>
    <mergeCell ref="AC165:AD167"/>
    <mergeCell ref="AE165:AF167"/>
    <mergeCell ref="AG165:AH167"/>
    <mergeCell ref="B165:C167"/>
    <mergeCell ref="D165:I167"/>
    <mergeCell ref="J165:K167"/>
    <mergeCell ref="L165:M167"/>
    <mergeCell ref="N165:O167"/>
    <mergeCell ref="P165:Q167"/>
    <mergeCell ref="S162:T164"/>
    <mergeCell ref="U162:Z164"/>
    <mergeCell ref="AA162:AB164"/>
    <mergeCell ref="AC162:AD164"/>
    <mergeCell ref="AE162:AF164"/>
    <mergeCell ref="AG162:AH164"/>
    <mergeCell ref="B162:C164"/>
    <mergeCell ref="D162:I164"/>
    <mergeCell ref="J162:K164"/>
    <mergeCell ref="L162:M164"/>
    <mergeCell ref="N162:O164"/>
    <mergeCell ref="P162:Q164"/>
    <mergeCell ref="S159:T161"/>
    <mergeCell ref="U159:Z161"/>
    <mergeCell ref="AA159:AB161"/>
    <mergeCell ref="AC159:AD161"/>
    <mergeCell ref="AE159:AF161"/>
    <mergeCell ref="AG159:AH161"/>
    <mergeCell ref="B159:C161"/>
    <mergeCell ref="D159:I161"/>
    <mergeCell ref="J159:K161"/>
    <mergeCell ref="L159:M161"/>
    <mergeCell ref="N159:O161"/>
    <mergeCell ref="P159:Q161"/>
    <mergeCell ref="S156:T158"/>
    <mergeCell ref="U156:Z158"/>
    <mergeCell ref="AA156:AB158"/>
    <mergeCell ref="AC156:AD158"/>
    <mergeCell ref="AE156:AF158"/>
    <mergeCell ref="AG156:AH158"/>
    <mergeCell ref="B156:C158"/>
    <mergeCell ref="D156:I158"/>
    <mergeCell ref="J156:K158"/>
    <mergeCell ref="L156:M158"/>
    <mergeCell ref="N156:O158"/>
    <mergeCell ref="P156:Q158"/>
    <mergeCell ref="S153:T155"/>
    <mergeCell ref="U153:Z155"/>
    <mergeCell ref="AA153:AB155"/>
    <mergeCell ref="AC153:AD155"/>
    <mergeCell ref="AE153:AF155"/>
    <mergeCell ref="AG153:AH155"/>
    <mergeCell ref="B153:C155"/>
    <mergeCell ref="D153:I155"/>
    <mergeCell ref="J153:K155"/>
    <mergeCell ref="L153:M155"/>
    <mergeCell ref="N153:O155"/>
    <mergeCell ref="P153:Q155"/>
    <mergeCell ref="S150:T152"/>
    <mergeCell ref="U150:Z152"/>
    <mergeCell ref="AA150:AB152"/>
    <mergeCell ref="AC150:AD152"/>
    <mergeCell ref="AE150:AF152"/>
    <mergeCell ref="AG150:AH152"/>
    <mergeCell ref="B150:C152"/>
    <mergeCell ref="D150:I152"/>
    <mergeCell ref="J150:K152"/>
    <mergeCell ref="L150:M152"/>
    <mergeCell ref="N150:O152"/>
    <mergeCell ref="P150:Q152"/>
    <mergeCell ref="S147:T149"/>
    <mergeCell ref="U147:Z149"/>
    <mergeCell ref="AA147:AB149"/>
    <mergeCell ref="AC147:AD149"/>
    <mergeCell ref="AE147:AF149"/>
    <mergeCell ref="AG147:AH149"/>
    <mergeCell ref="B147:C149"/>
    <mergeCell ref="D147:I149"/>
    <mergeCell ref="J147:K149"/>
    <mergeCell ref="L147:M149"/>
    <mergeCell ref="N147:O149"/>
    <mergeCell ref="P147:Q149"/>
    <mergeCell ref="S144:T146"/>
    <mergeCell ref="U144:Z146"/>
    <mergeCell ref="AA144:AB146"/>
    <mergeCell ref="AC144:AD146"/>
    <mergeCell ref="AE144:AF146"/>
    <mergeCell ref="AG144:AH146"/>
    <mergeCell ref="B144:C146"/>
    <mergeCell ref="D144:I146"/>
    <mergeCell ref="J144:K146"/>
    <mergeCell ref="L144:M146"/>
    <mergeCell ref="N144:O146"/>
    <mergeCell ref="P144:Q146"/>
    <mergeCell ref="S141:T143"/>
    <mergeCell ref="U141:Z143"/>
    <mergeCell ref="AA141:AB143"/>
    <mergeCell ref="AC141:AD143"/>
    <mergeCell ref="AE141:AF143"/>
    <mergeCell ref="AG141:AH143"/>
    <mergeCell ref="B141:C143"/>
    <mergeCell ref="D141:I143"/>
    <mergeCell ref="J141:K143"/>
    <mergeCell ref="L141:M143"/>
    <mergeCell ref="N141:O143"/>
    <mergeCell ref="P141:Q143"/>
    <mergeCell ref="S138:T140"/>
    <mergeCell ref="U138:Z140"/>
    <mergeCell ref="AA138:AB140"/>
    <mergeCell ref="AC138:AD140"/>
    <mergeCell ref="AE138:AF140"/>
    <mergeCell ref="AG138:AH140"/>
    <mergeCell ref="B138:C140"/>
    <mergeCell ref="D138:I140"/>
    <mergeCell ref="J138:K140"/>
    <mergeCell ref="L138:M140"/>
    <mergeCell ref="N138:O140"/>
    <mergeCell ref="P138:Q140"/>
    <mergeCell ref="S135:T137"/>
    <mergeCell ref="U135:Z137"/>
    <mergeCell ref="AA135:AB137"/>
    <mergeCell ref="AC135:AD137"/>
    <mergeCell ref="AE135:AF137"/>
    <mergeCell ref="AG135:AH137"/>
    <mergeCell ref="B135:C137"/>
    <mergeCell ref="D135:I137"/>
    <mergeCell ref="J135:K137"/>
    <mergeCell ref="L135:M137"/>
    <mergeCell ref="N135:O137"/>
    <mergeCell ref="P135:Q137"/>
    <mergeCell ref="S132:T134"/>
    <mergeCell ref="U132:Z134"/>
    <mergeCell ref="AA132:AB134"/>
    <mergeCell ref="AC132:AD134"/>
    <mergeCell ref="AE132:AF134"/>
    <mergeCell ref="AG132:AH134"/>
    <mergeCell ref="B132:C134"/>
    <mergeCell ref="D132:I134"/>
    <mergeCell ref="J132:K134"/>
    <mergeCell ref="L132:M134"/>
    <mergeCell ref="N132:O134"/>
    <mergeCell ref="P132:Q134"/>
    <mergeCell ref="S129:T131"/>
    <mergeCell ref="U129:Z131"/>
    <mergeCell ref="AA129:AB131"/>
    <mergeCell ref="AC129:AD131"/>
    <mergeCell ref="AE129:AF131"/>
    <mergeCell ref="AG129:AH131"/>
    <mergeCell ref="B129:C131"/>
    <mergeCell ref="D129:I131"/>
    <mergeCell ref="J129:K131"/>
    <mergeCell ref="L129:M131"/>
    <mergeCell ref="N129:O131"/>
    <mergeCell ref="P129:Q131"/>
    <mergeCell ref="S126:T128"/>
    <mergeCell ref="U126:Z128"/>
    <mergeCell ref="AA126:AB128"/>
    <mergeCell ref="AC126:AD128"/>
    <mergeCell ref="AE126:AF128"/>
    <mergeCell ref="AG126:AH128"/>
    <mergeCell ref="B126:C128"/>
    <mergeCell ref="D126:I128"/>
    <mergeCell ref="J126:K128"/>
    <mergeCell ref="L126:M128"/>
    <mergeCell ref="N126:O128"/>
    <mergeCell ref="P126:Q128"/>
    <mergeCell ref="S123:T125"/>
    <mergeCell ref="U123:Z125"/>
    <mergeCell ref="AA123:AB125"/>
    <mergeCell ref="AC123:AD125"/>
    <mergeCell ref="AE123:AF125"/>
    <mergeCell ref="AG123:AH125"/>
    <mergeCell ref="B123:C125"/>
    <mergeCell ref="D123:I125"/>
    <mergeCell ref="J123:K125"/>
    <mergeCell ref="L123:M125"/>
    <mergeCell ref="N123:O125"/>
    <mergeCell ref="P123:Q125"/>
    <mergeCell ref="S120:T122"/>
    <mergeCell ref="U120:Z122"/>
    <mergeCell ref="AA120:AB122"/>
    <mergeCell ref="AC120:AD122"/>
    <mergeCell ref="AE120:AF122"/>
    <mergeCell ref="AG120:AH122"/>
    <mergeCell ref="B120:C122"/>
    <mergeCell ref="D120:I122"/>
    <mergeCell ref="J120:K122"/>
    <mergeCell ref="L120:M122"/>
    <mergeCell ref="N120:O122"/>
    <mergeCell ref="P120:Q122"/>
    <mergeCell ref="S117:T119"/>
    <mergeCell ref="U117:Z119"/>
    <mergeCell ref="AA117:AB119"/>
    <mergeCell ref="AC117:AD119"/>
    <mergeCell ref="AE117:AF119"/>
    <mergeCell ref="AG117:AH119"/>
    <mergeCell ref="B117:C119"/>
    <mergeCell ref="D117:I119"/>
    <mergeCell ref="J117:K119"/>
    <mergeCell ref="L117:M119"/>
    <mergeCell ref="N117:O119"/>
    <mergeCell ref="P117:Q119"/>
    <mergeCell ref="S114:T116"/>
    <mergeCell ref="U114:Z116"/>
    <mergeCell ref="AA114:AB116"/>
    <mergeCell ref="AC114:AD116"/>
    <mergeCell ref="AE114:AF116"/>
    <mergeCell ref="AG114:AH116"/>
    <mergeCell ref="B114:C116"/>
    <mergeCell ref="D114:I116"/>
    <mergeCell ref="J114:K116"/>
    <mergeCell ref="L114:M116"/>
    <mergeCell ref="N114:O116"/>
    <mergeCell ref="P114:Q116"/>
    <mergeCell ref="S111:T113"/>
    <mergeCell ref="U111:Z113"/>
    <mergeCell ref="AA111:AB113"/>
    <mergeCell ref="AC111:AD113"/>
    <mergeCell ref="AE111:AF113"/>
    <mergeCell ref="AG111:AH113"/>
    <mergeCell ref="B111:C113"/>
    <mergeCell ref="D111:I113"/>
    <mergeCell ref="J111:K113"/>
    <mergeCell ref="L111:M113"/>
    <mergeCell ref="N111:O113"/>
    <mergeCell ref="P111:Q113"/>
    <mergeCell ref="S108:T110"/>
    <mergeCell ref="U108:Z110"/>
    <mergeCell ref="AA108:AB110"/>
    <mergeCell ref="AC108:AD110"/>
    <mergeCell ref="AE108:AF110"/>
    <mergeCell ref="AG108:AH110"/>
    <mergeCell ref="B108:C110"/>
    <mergeCell ref="D108:I110"/>
    <mergeCell ref="J108:K110"/>
    <mergeCell ref="L108:M110"/>
    <mergeCell ref="N108:O110"/>
    <mergeCell ref="P108:Q110"/>
    <mergeCell ref="S105:T107"/>
    <mergeCell ref="U105:Z107"/>
    <mergeCell ref="AA105:AB107"/>
    <mergeCell ref="AC105:AD107"/>
    <mergeCell ref="AE105:AF107"/>
    <mergeCell ref="AG105:AH107"/>
    <mergeCell ref="B105:C107"/>
    <mergeCell ref="D105:I107"/>
    <mergeCell ref="J105:K107"/>
    <mergeCell ref="L105:M107"/>
    <mergeCell ref="N105:O107"/>
    <mergeCell ref="P105:Q107"/>
    <mergeCell ref="S102:T104"/>
    <mergeCell ref="U102:Z104"/>
    <mergeCell ref="AA102:AB104"/>
    <mergeCell ref="AC102:AD104"/>
    <mergeCell ref="AE102:AF104"/>
    <mergeCell ref="AG102:AH104"/>
    <mergeCell ref="B102:C104"/>
    <mergeCell ref="D102:I104"/>
    <mergeCell ref="J102:K104"/>
    <mergeCell ref="L102:M104"/>
    <mergeCell ref="N102:O104"/>
    <mergeCell ref="P102:Q104"/>
    <mergeCell ref="S99:T101"/>
    <mergeCell ref="U99:Z101"/>
    <mergeCell ref="AA99:AB101"/>
    <mergeCell ref="AC99:AD101"/>
    <mergeCell ref="AE99:AF101"/>
    <mergeCell ref="AG99:AH101"/>
    <mergeCell ref="B99:C101"/>
    <mergeCell ref="D99:I101"/>
    <mergeCell ref="J99:K101"/>
    <mergeCell ref="L99:M101"/>
    <mergeCell ref="N99:O101"/>
    <mergeCell ref="P99:Q101"/>
    <mergeCell ref="S96:T98"/>
    <mergeCell ref="U96:Z98"/>
    <mergeCell ref="AA96:AB98"/>
    <mergeCell ref="AC96:AD98"/>
    <mergeCell ref="AE96:AF98"/>
    <mergeCell ref="AG96:AH98"/>
    <mergeCell ref="B96:C98"/>
    <mergeCell ref="D96:I98"/>
    <mergeCell ref="J96:K98"/>
    <mergeCell ref="L96:M98"/>
    <mergeCell ref="N96:O98"/>
    <mergeCell ref="P96:Q98"/>
    <mergeCell ref="S93:T95"/>
    <mergeCell ref="U93:Z95"/>
    <mergeCell ref="AA93:AB95"/>
    <mergeCell ref="AC93:AD95"/>
    <mergeCell ref="AE93:AF95"/>
    <mergeCell ref="AG93:AH95"/>
    <mergeCell ref="B93:C95"/>
    <mergeCell ref="D93:I95"/>
    <mergeCell ref="J93:K95"/>
    <mergeCell ref="L93:M95"/>
    <mergeCell ref="N93:O95"/>
    <mergeCell ref="P93:Q95"/>
    <mergeCell ref="S90:T92"/>
    <mergeCell ref="U90:Z92"/>
    <mergeCell ref="AA90:AB92"/>
    <mergeCell ref="AC90:AD92"/>
    <mergeCell ref="AE90:AF92"/>
    <mergeCell ref="AG90:AH92"/>
    <mergeCell ref="B90:C92"/>
    <mergeCell ref="D90:I92"/>
    <mergeCell ref="J90:K92"/>
    <mergeCell ref="L90:M92"/>
    <mergeCell ref="N90:O92"/>
    <mergeCell ref="P90:Q92"/>
    <mergeCell ref="S87:T89"/>
    <mergeCell ref="U87:Z89"/>
    <mergeCell ref="AA87:AB89"/>
    <mergeCell ref="AC87:AD89"/>
    <mergeCell ref="AE87:AF89"/>
    <mergeCell ref="AG87:AH89"/>
    <mergeCell ref="B87:C89"/>
    <mergeCell ref="D87:I89"/>
    <mergeCell ref="J87:K89"/>
    <mergeCell ref="L87:M89"/>
    <mergeCell ref="N87:O89"/>
    <mergeCell ref="P87:Q89"/>
    <mergeCell ref="S84:T86"/>
    <mergeCell ref="U84:Z86"/>
    <mergeCell ref="AA84:AB86"/>
    <mergeCell ref="AC84:AD86"/>
    <mergeCell ref="AE84:AF86"/>
    <mergeCell ref="AG84:AH86"/>
    <mergeCell ref="B84:C86"/>
    <mergeCell ref="D84:I86"/>
    <mergeCell ref="J84:K86"/>
    <mergeCell ref="L84:M86"/>
    <mergeCell ref="N84:O86"/>
    <mergeCell ref="P84:Q86"/>
    <mergeCell ref="S81:T83"/>
    <mergeCell ref="U81:Z83"/>
    <mergeCell ref="AA81:AB83"/>
    <mergeCell ref="AC81:AD83"/>
    <mergeCell ref="AE81:AF83"/>
    <mergeCell ref="AG81:AH83"/>
    <mergeCell ref="B81:C83"/>
    <mergeCell ref="D81:I83"/>
    <mergeCell ref="J81:K83"/>
    <mergeCell ref="L81:M83"/>
    <mergeCell ref="N81:O83"/>
    <mergeCell ref="P81:Q83"/>
    <mergeCell ref="S78:T80"/>
    <mergeCell ref="U78:Z80"/>
    <mergeCell ref="AA78:AB80"/>
    <mergeCell ref="AC78:AD80"/>
    <mergeCell ref="AE78:AF80"/>
    <mergeCell ref="AG78:AH80"/>
    <mergeCell ref="B78:C80"/>
    <mergeCell ref="D78:I80"/>
    <mergeCell ref="J78:K80"/>
    <mergeCell ref="L78:M80"/>
    <mergeCell ref="N78:O80"/>
    <mergeCell ref="P78:Q80"/>
    <mergeCell ref="S75:T77"/>
    <mergeCell ref="U75:Z77"/>
    <mergeCell ref="AA75:AB77"/>
    <mergeCell ref="AC75:AD77"/>
    <mergeCell ref="AE75:AF77"/>
    <mergeCell ref="AG75:AH77"/>
    <mergeCell ref="B75:C77"/>
    <mergeCell ref="D75:I77"/>
    <mergeCell ref="J75:K77"/>
    <mergeCell ref="L75:M77"/>
    <mergeCell ref="N75:O77"/>
    <mergeCell ref="P75:Q77"/>
    <mergeCell ref="S72:T74"/>
    <mergeCell ref="U72:Z74"/>
    <mergeCell ref="AA72:AB74"/>
    <mergeCell ref="AC72:AD74"/>
    <mergeCell ref="AE72:AF74"/>
    <mergeCell ref="AG72:AH74"/>
    <mergeCell ref="B72:C74"/>
    <mergeCell ref="D72:I74"/>
    <mergeCell ref="J72:K74"/>
    <mergeCell ref="L72:M74"/>
    <mergeCell ref="N72:O74"/>
    <mergeCell ref="P72:Q74"/>
    <mergeCell ref="S69:T71"/>
    <mergeCell ref="U69:Z71"/>
    <mergeCell ref="AA69:AB71"/>
    <mergeCell ref="AC69:AD71"/>
    <mergeCell ref="AE69:AF71"/>
    <mergeCell ref="AG69:AH71"/>
    <mergeCell ref="B69:C71"/>
    <mergeCell ref="D69:I71"/>
    <mergeCell ref="J69:K71"/>
    <mergeCell ref="L69:M71"/>
    <mergeCell ref="N69:O71"/>
    <mergeCell ref="P69:Q71"/>
    <mergeCell ref="S66:T68"/>
    <mergeCell ref="U66:Z68"/>
    <mergeCell ref="AA66:AB68"/>
    <mergeCell ref="AC66:AD68"/>
    <mergeCell ref="AE66:AF68"/>
    <mergeCell ref="AG66:AH68"/>
    <mergeCell ref="B66:C68"/>
    <mergeCell ref="D66:I68"/>
    <mergeCell ref="J66:K68"/>
    <mergeCell ref="L66:M68"/>
    <mergeCell ref="N66:O68"/>
    <mergeCell ref="P66:Q68"/>
    <mergeCell ref="S63:T65"/>
    <mergeCell ref="U63:Z65"/>
    <mergeCell ref="AA63:AB65"/>
    <mergeCell ref="AC63:AD65"/>
    <mergeCell ref="AE63:AF65"/>
    <mergeCell ref="AG63:AH65"/>
    <mergeCell ref="B63:C65"/>
    <mergeCell ref="D63:I65"/>
    <mergeCell ref="J63:K65"/>
    <mergeCell ref="L63:M65"/>
    <mergeCell ref="N63:O65"/>
    <mergeCell ref="P63:Q65"/>
    <mergeCell ref="S60:T62"/>
    <mergeCell ref="U60:Z62"/>
    <mergeCell ref="AA60:AB62"/>
    <mergeCell ref="AC60:AD62"/>
    <mergeCell ref="AE60:AF62"/>
    <mergeCell ref="AG60:AH62"/>
    <mergeCell ref="B60:C62"/>
    <mergeCell ref="D60:I62"/>
    <mergeCell ref="J60:K62"/>
    <mergeCell ref="L60:M62"/>
    <mergeCell ref="N60:O62"/>
    <mergeCell ref="P60:Q62"/>
    <mergeCell ref="S57:T59"/>
    <mergeCell ref="U57:Z59"/>
    <mergeCell ref="AA57:AB59"/>
    <mergeCell ref="AC57:AD59"/>
    <mergeCell ref="AE57:AF59"/>
    <mergeCell ref="AG57:AH59"/>
    <mergeCell ref="B57:C59"/>
    <mergeCell ref="D57:I59"/>
    <mergeCell ref="J57:K59"/>
    <mergeCell ref="L57:M59"/>
    <mergeCell ref="N57:O59"/>
    <mergeCell ref="P57:Q59"/>
    <mergeCell ref="S54:T56"/>
    <mergeCell ref="U54:Z56"/>
    <mergeCell ref="AA54:AB56"/>
    <mergeCell ref="AC54:AD56"/>
    <mergeCell ref="AE54:AF56"/>
    <mergeCell ref="AG54:AH56"/>
    <mergeCell ref="B54:C56"/>
    <mergeCell ref="D54:I56"/>
    <mergeCell ref="J54:K56"/>
    <mergeCell ref="L54:M56"/>
    <mergeCell ref="N54:O56"/>
    <mergeCell ref="P54:Q56"/>
    <mergeCell ref="S51:T53"/>
    <mergeCell ref="U51:Z53"/>
    <mergeCell ref="AA51:AB53"/>
    <mergeCell ref="AC51:AD53"/>
    <mergeCell ref="AE51:AF53"/>
    <mergeCell ref="AG51:AH53"/>
    <mergeCell ref="B51:C53"/>
    <mergeCell ref="D51:I53"/>
    <mergeCell ref="J51:K53"/>
    <mergeCell ref="L51:M53"/>
    <mergeCell ref="N51:O53"/>
    <mergeCell ref="P51:Q53"/>
    <mergeCell ref="S48:T50"/>
    <mergeCell ref="U48:Z50"/>
    <mergeCell ref="AA48:AB50"/>
    <mergeCell ref="AC48:AD50"/>
    <mergeCell ref="AE48:AF50"/>
    <mergeCell ref="AG48:AH50"/>
    <mergeCell ref="B48:C50"/>
    <mergeCell ref="D48:I50"/>
    <mergeCell ref="J48:K50"/>
    <mergeCell ref="L48:M50"/>
    <mergeCell ref="N48:O50"/>
    <mergeCell ref="P48:Q50"/>
    <mergeCell ref="S45:T47"/>
    <mergeCell ref="U45:Z47"/>
    <mergeCell ref="AA45:AB47"/>
    <mergeCell ref="AC45:AD47"/>
    <mergeCell ref="AE45:AF47"/>
    <mergeCell ref="AG45:AH47"/>
    <mergeCell ref="B45:C47"/>
    <mergeCell ref="D45:I47"/>
    <mergeCell ref="J45:K47"/>
    <mergeCell ref="L45:M47"/>
    <mergeCell ref="N45:O47"/>
    <mergeCell ref="P45:Q47"/>
    <mergeCell ref="S42:T44"/>
    <mergeCell ref="U42:Z44"/>
    <mergeCell ref="AA42:AB44"/>
    <mergeCell ref="AC42:AD44"/>
    <mergeCell ref="AE42:AF44"/>
    <mergeCell ref="AG42:AH44"/>
    <mergeCell ref="B42:C44"/>
    <mergeCell ref="D42:I44"/>
    <mergeCell ref="J42:K44"/>
    <mergeCell ref="L42:M44"/>
    <mergeCell ref="N42:O44"/>
    <mergeCell ref="P42:Q44"/>
    <mergeCell ref="S39:T41"/>
    <mergeCell ref="U39:Z41"/>
    <mergeCell ref="AA39:AB41"/>
    <mergeCell ref="AC39:AD41"/>
    <mergeCell ref="AE39:AF41"/>
    <mergeCell ref="AG39:AH41"/>
    <mergeCell ref="B39:C41"/>
    <mergeCell ref="D39:I41"/>
    <mergeCell ref="J39:K41"/>
    <mergeCell ref="L39:M41"/>
    <mergeCell ref="N39:O41"/>
    <mergeCell ref="P39:Q41"/>
    <mergeCell ref="S36:T38"/>
    <mergeCell ref="U36:Z38"/>
    <mergeCell ref="AA36:AB38"/>
    <mergeCell ref="AC36:AD38"/>
    <mergeCell ref="AE36:AF38"/>
    <mergeCell ref="AG36:AH38"/>
    <mergeCell ref="B36:C38"/>
    <mergeCell ref="D36:I38"/>
    <mergeCell ref="J36:K38"/>
    <mergeCell ref="L36:M38"/>
    <mergeCell ref="N36:O38"/>
    <mergeCell ref="P36:Q38"/>
    <mergeCell ref="S33:T35"/>
    <mergeCell ref="U33:Z35"/>
    <mergeCell ref="AA33:AB35"/>
    <mergeCell ref="AC33:AD35"/>
    <mergeCell ref="AE33:AF35"/>
    <mergeCell ref="AG33:AH35"/>
    <mergeCell ref="B33:C35"/>
    <mergeCell ref="D33:I35"/>
    <mergeCell ref="J33:K35"/>
    <mergeCell ref="L33:M35"/>
    <mergeCell ref="N33:O35"/>
    <mergeCell ref="P33:Q35"/>
    <mergeCell ref="S30:T32"/>
    <mergeCell ref="U30:Z32"/>
    <mergeCell ref="AA30:AB32"/>
    <mergeCell ref="AC30:AD32"/>
    <mergeCell ref="AE30:AF32"/>
    <mergeCell ref="AG30:AH32"/>
    <mergeCell ref="B30:C32"/>
    <mergeCell ref="D30:I32"/>
    <mergeCell ref="J30:K32"/>
    <mergeCell ref="L30:M32"/>
    <mergeCell ref="N30:O32"/>
    <mergeCell ref="P30:Q32"/>
    <mergeCell ref="S27:T29"/>
    <mergeCell ref="U27:Z29"/>
    <mergeCell ref="AA27:AB29"/>
    <mergeCell ref="AC27:AD29"/>
    <mergeCell ref="AE27:AF29"/>
    <mergeCell ref="AG27:AH29"/>
    <mergeCell ref="B27:C29"/>
    <mergeCell ref="D27:I29"/>
    <mergeCell ref="J27:K29"/>
    <mergeCell ref="L27:M29"/>
    <mergeCell ref="N27:O29"/>
    <mergeCell ref="P27:Q29"/>
    <mergeCell ref="S24:T26"/>
    <mergeCell ref="U24:Z26"/>
    <mergeCell ref="AA24:AB26"/>
    <mergeCell ref="AC24:AD26"/>
    <mergeCell ref="AE24:AF26"/>
    <mergeCell ref="AG24:AH26"/>
    <mergeCell ref="B24:C26"/>
    <mergeCell ref="D24:I26"/>
    <mergeCell ref="J24:K26"/>
    <mergeCell ref="L24:M26"/>
    <mergeCell ref="N24:O26"/>
    <mergeCell ref="P24:Q26"/>
    <mergeCell ref="S21:T23"/>
    <mergeCell ref="U21:Z23"/>
    <mergeCell ref="AA21:AB23"/>
    <mergeCell ref="AC21:AD23"/>
    <mergeCell ref="AE21:AF23"/>
    <mergeCell ref="AG21:AH23"/>
    <mergeCell ref="B21:C23"/>
    <mergeCell ref="D21:I23"/>
    <mergeCell ref="J21:K23"/>
    <mergeCell ref="L21:M23"/>
    <mergeCell ref="N21:O23"/>
    <mergeCell ref="P21:Q23"/>
    <mergeCell ref="S18:T20"/>
    <mergeCell ref="U18:Z20"/>
    <mergeCell ref="AA18:AB20"/>
    <mergeCell ref="AC18:AD20"/>
    <mergeCell ref="AE18:AF20"/>
    <mergeCell ref="AG18:AH20"/>
    <mergeCell ref="B18:C20"/>
    <mergeCell ref="D18:I20"/>
    <mergeCell ref="J18:K20"/>
    <mergeCell ref="L18:M20"/>
    <mergeCell ref="N18:O20"/>
    <mergeCell ref="P18:Q20"/>
    <mergeCell ref="S15:T17"/>
    <mergeCell ref="U15:Z17"/>
    <mergeCell ref="AA15:AB17"/>
    <mergeCell ref="AC15:AD17"/>
    <mergeCell ref="AE15:AF17"/>
    <mergeCell ref="AG15:AH17"/>
    <mergeCell ref="B15:C17"/>
    <mergeCell ref="D15:I17"/>
    <mergeCell ref="J15:K17"/>
    <mergeCell ref="L15:M17"/>
    <mergeCell ref="N15:O17"/>
    <mergeCell ref="P15:Q17"/>
    <mergeCell ref="S12:T14"/>
    <mergeCell ref="U12:Z14"/>
    <mergeCell ref="AA12:AB14"/>
    <mergeCell ref="AC12:AD14"/>
    <mergeCell ref="AE12:AF14"/>
    <mergeCell ref="AG12:AH14"/>
    <mergeCell ref="B12:C14"/>
    <mergeCell ref="D12:I14"/>
    <mergeCell ref="J12:K14"/>
    <mergeCell ref="L12:M14"/>
    <mergeCell ref="N12:O14"/>
    <mergeCell ref="P12:Q14"/>
    <mergeCell ref="S9:T11"/>
    <mergeCell ref="U9:Z11"/>
    <mergeCell ref="AA9:AB11"/>
    <mergeCell ref="AC9:AD11"/>
    <mergeCell ref="AE9:AF11"/>
    <mergeCell ref="AG9:AH11"/>
    <mergeCell ref="B9:C11"/>
    <mergeCell ref="D9:I11"/>
    <mergeCell ref="J9:K11"/>
    <mergeCell ref="L9:M11"/>
    <mergeCell ref="N9:O11"/>
    <mergeCell ref="P9:Q11"/>
    <mergeCell ref="S6:T8"/>
    <mergeCell ref="U6:Z8"/>
    <mergeCell ref="AA6:AB8"/>
    <mergeCell ref="AC6:AD8"/>
    <mergeCell ref="AE6:AF8"/>
    <mergeCell ref="AG6:AH8"/>
    <mergeCell ref="B6:C8"/>
    <mergeCell ref="D6:I8"/>
    <mergeCell ref="J6:K8"/>
    <mergeCell ref="L6:M8"/>
    <mergeCell ref="N6:O8"/>
    <mergeCell ref="P6:Q8"/>
    <mergeCell ref="S3:T5"/>
    <mergeCell ref="U3:Z5"/>
    <mergeCell ref="AA3:AB5"/>
    <mergeCell ref="AC3:AD5"/>
    <mergeCell ref="AE3:AF5"/>
    <mergeCell ref="AG3:AH5"/>
    <mergeCell ref="B3:C5"/>
    <mergeCell ref="D3:I5"/>
    <mergeCell ref="J3:K5"/>
    <mergeCell ref="L3:M5"/>
    <mergeCell ref="N3:O5"/>
    <mergeCell ref="P3:Q5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2C1448-117A-4007-B83A-A5C9086511BC}">
          <x14:formula1>
            <xm:f>DataBase!$F$3:$F$5</xm:f>
          </x14:formula1>
          <xm:sqref>AG6:AH23 P6:Q872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C9029-DEA9-4CF8-B005-FA3BF69B0CEF}">
  <sheetPr codeName="Planilha6"/>
  <dimension ref="A1:X298"/>
  <sheetViews>
    <sheetView showGridLines="0" showRowColHeaders="0" workbookViewId="0">
      <pane ySplit="5" topLeftCell="A6" activePane="bottomLeft" state="frozen"/>
      <selection pane="bottomLeft" activeCell="B11" sqref="B11:Q13"/>
    </sheetView>
  </sheetViews>
  <sheetFormatPr defaultRowHeight="15" x14ac:dyDescent="0.25"/>
  <sheetData>
    <row r="1" spans="1:24" ht="15" customHeight="1" x14ac:dyDescent="0.25">
      <c r="A1" s="32"/>
      <c r="B1" s="32"/>
      <c r="C1" s="32"/>
      <c r="D1" s="5"/>
      <c r="E1" s="35"/>
      <c r="F1" s="35"/>
      <c r="G1" s="116" t="s">
        <v>3</v>
      </c>
      <c r="H1" s="4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2"/>
      <c r="B2" s="32"/>
      <c r="C2" s="32"/>
      <c r="D2" s="5"/>
      <c r="E2" s="35"/>
      <c r="F2" s="35"/>
      <c r="G2" s="46"/>
      <c r="H2" s="4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3"/>
      <c r="B3" s="33"/>
      <c r="C3" s="33"/>
      <c r="D3" s="4"/>
      <c r="E3" s="36"/>
      <c r="F3" s="36"/>
      <c r="G3" s="46"/>
      <c r="H3" s="46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29"/>
      <c r="F5" s="129"/>
      <c r="G5" s="115"/>
      <c r="H5" s="115"/>
      <c r="I5" s="115"/>
      <c r="J5" s="115"/>
      <c r="K5" s="115"/>
      <c r="L5" s="115"/>
      <c r="M5" s="130"/>
      <c r="N5" s="130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x14ac:dyDescent="0.25">
      <c r="B8" s="119" t="s">
        <v>9</v>
      </c>
      <c r="C8" s="119"/>
      <c r="D8" s="118" t="s">
        <v>10</v>
      </c>
      <c r="E8" s="118"/>
      <c r="F8" s="118"/>
      <c r="G8" s="118"/>
      <c r="H8" s="118"/>
      <c r="I8" s="118"/>
      <c r="J8" s="119" t="s">
        <v>11</v>
      </c>
      <c r="K8" s="119"/>
      <c r="L8" s="119" t="s">
        <v>12</v>
      </c>
      <c r="M8" s="119"/>
      <c r="N8" s="119" t="s">
        <v>13</v>
      </c>
      <c r="O8" s="119"/>
      <c r="P8" s="119" t="s">
        <v>14</v>
      </c>
      <c r="Q8" s="119"/>
      <c r="R8" s="8"/>
    </row>
    <row r="9" spans="1:24" x14ac:dyDescent="0.25">
      <c r="B9" s="119"/>
      <c r="C9" s="119"/>
      <c r="D9" s="118"/>
      <c r="E9" s="118"/>
      <c r="F9" s="118"/>
      <c r="G9" s="118"/>
      <c r="H9" s="118"/>
      <c r="I9" s="118"/>
      <c r="J9" s="119"/>
      <c r="K9" s="119"/>
      <c r="L9" s="119"/>
      <c r="M9" s="119"/>
      <c r="N9" s="119"/>
      <c r="O9" s="119"/>
      <c r="P9" s="119"/>
      <c r="Q9" s="119"/>
      <c r="R9" s="8"/>
    </row>
    <row r="10" spans="1:24" x14ac:dyDescent="0.25">
      <c r="B10" s="119"/>
      <c r="C10" s="119"/>
      <c r="D10" s="118"/>
      <c r="E10" s="118"/>
      <c r="F10" s="118"/>
      <c r="G10" s="118"/>
      <c r="H10" s="118"/>
      <c r="I10" s="118"/>
      <c r="J10" s="119"/>
      <c r="K10" s="119"/>
      <c r="L10" s="119"/>
      <c r="M10" s="119"/>
      <c r="N10" s="119"/>
      <c r="O10" s="119"/>
      <c r="P10" s="119"/>
      <c r="Q10" s="119"/>
      <c r="R10" s="8"/>
    </row>
    <row r="11" spans="1:24" x14ac:dyDescent="0.25">
      <c r="B11" s="77"/>
      <c r="C11" s="79"/>
      <c r="D11" s="77"/>
      <c r="E11" s="78"/>
      <c r="F11" s="78"/>
      <c r="G11" s="78"/>
      <c r="H11" s="78"/>
      <c r="I11" s="79"/>
      <c r="J11" s="86"/>
      <c r="K11" s="87"/>
      <c r="L11" s="86"/>
      <c r="M11" s="87"/>
      <c r="N11" s="77"/>
      <c r="O11" s="79"/>
      <c r="P11" s="92"/>
      <c r="Q11" s="93"/>
      <c r="R11" s="80" t="str">
        <f ca="1">IF(L11=""," ",IF(P11="Concluída"," ",IF(TODAY()&gt;L11,"EM ATRASO",IF(TODAY()=L11,"HOJE"," "))))</f>
        <v xml:space="preserve"> </v>
      </c>
      <c r="S11" s="81"/>
    </row>
    <row r="12" spans="1:24" x14ac:dyDescent="0.25">
      <c r="B12" s="80"/>
      <c r="C12" s="82"/>
      <c r="D12" s="80"/>
      <c r="E12" s="81"/>
      <c r="F12" s="81"/>
      <c r="G12" s="81"/>
      <c r="H12" s="81"/>
      <c r="I12" s="82"/>
      <c r="J12" s="88"/>
      <c r="K12" s="89"/>
      <c r="L12" s="88"/>
      <c r="M12" s="89"/>
      <c r="N12" s="80"/>
      <c r="O12" s="82"/>
      <c r="P12" s="94"/>
      <c r="Q12" s="95"/>
      <c r="R12" s="80"/>
      <c r="S12" s="81"/>
    </row>
    <row r="13" spans="1:24" x14ac:dyDescent="0.25">
      <c r="B13" s="83"/>
      <c r="C13" s="85"/>
      <c r="D13" s="83"/>
      <c r="E13" s="84"/>
      <c r="F13" s="84"/>
      <c r="G13" s="84"/>
      <c r="H13" s="84"/>
      <c r="I13" s="85"/>
      <c r="J13" s="90"/>
      <c r="K13" s="91"/>
      <c r="L13" s="90"/>
      <c r="M13" s="91"/>
      <c r="N13" s="83"/>
      <c r="O13" s="85"/>
      <c r="P13" s="96"/>
      <c r="Q13" s="97"/>
      <c r="R13" s="80"/>
      <c r="S13" s="81"/>
    </row>
    <row r="14" spans="1:24" x14ac:dyDescent="0.25">
      <c r="B14" s="77"/>
      <c r="C14" s="79"/>
      <c r="D14" s="77"/>
      <c r="E14" s="78"/>
      <c r="F14" s="78"/>
      <c r="G14" s="78"/>
      <c r="H14" s="78"/>
      <c r="I14" s="79"/>
      <c r="J14" s="86"/>
      <c r="K14" s="87"/>
      <c r="L14" s="86"/>
      <c r="M14" s="87"/>
      <c r="N14" s="77"/>
      <c r="O14" s="79"/>
      <c r="P14" s="92"/>
      <c r="Q14" s="93"/>
      <c r="R14" s="80" t="str">
        <f ca="1">IF(L14=""," ",IF(P14="Concluída"," ",IF(TODAY()&gt;L14,"EM ATRASO",IF(TODAY()=L14,"HOJE"," "))))</f>
        <v xml:space="preserve"> </v>
      </c>
      <c r="S14" s="81"/>
    </row>
    <row r="15" spans="1:24" x14ac:dyDescent="0.25">
      <c r="B15" s="80"/>
      <c r="C15" s="82"/>
      <c r="D15" s="80"/>
      <c r="E15" s="81"/>
      <c r="F15" s="81"/>
      <c r="G15" s="81"/>
      <c r="H15" s="81"/>
      <c r="I15" s="82"/>
      <c r="J15" s="88"/>
      <c r="K15" s="89"/>
      <c r="L15" s="88"/>
      <c r="M15" s="89"/>
      <c r="N15" s="80"/>
      <c r="O15" s="82"/>
      <c r="P15" s="94"/>
      <c r="Q15" s="95"/>
      <c r="R15" s="80"/>
      <c r="S15" s="81"/>
    </row>
    <row r="16" spans="1:24" x14ac:dyDescent="0.25">
      <c r="B16" s="83"/>
      <c r="C16" s="85"/>
      <c r="D16" s="83"/>
      <c r="E16" s="84"/>
      <c r="F16" s="84"/>
      <c r="G16" s="84"/>
      <c r="H16" s="84"/>
      <c r="I16" s="85"/>
      <c r="J16" s="90"/>
      <c r="K16" s="91"/>
      <c r="L16" s="90"/>
      <c r="M16" s="91"/>
      <c r="N16" s="83"/>
      <c r="O16" s="85"/>
      <c r="P16" s="96"/>
      <c r="Q16" s="97"/>
      <c r="R16" s="80"/>
      <c r="S16" s="81"/>
    </row>
    <row r="17" spans="2:19" x14ac:dyDescent="0.25">
      <c r="B17" s="77"/>
      <c r="C17" s="79"/>
      <c r="D17" s="77"/>
      <c r="E17" s="78"/>
      <c r="F17" s="78"/>
      <c r="G17" s="78"/>
      <c r="H17" s="78"/>
      <c r="I17" s="79"/>
      <c r="J17" s="86"/>
      <c r="K17" s="87"/>
      <c r="L17" s="86"/>
      <c r="M17" s="87"/>
      <c r="N17" s="77"/>
      <c r="O17" s="79"/>
      <c r="P17" s="92"/>
      <c r="Q17" s="93"/>
      <c r="R17" s="80" t="str">
        <f t="shared" ref="R17" ca="1" si="0">IF(L17=""," ",IF(P17="Concluída"," ",IF(TODAY()&gt;L17,"EM ATRASO",IF(TODAY()=L17,"HOJE"," "))))</f>
        <v xml:space="preserve"> </v>
      </c>
      <c r="S17" s="81"/>
    </row>
    <row r="18" spans="2:19" x14ac:dyDescent="0.25">
      <c r="B18" s="80"/>
      <c r="C18" s="82"/>
      <c r="D18" s="80"/>
      <c r="E18" s="81"/>
      <c r="F18" s="81"/>
      <c r="G18" s="81"/>
      <c r="H18" s="81"/>
      <c r="I18" s="82"/>
      <c r="J18" s="88"/>
      <c r="K18" s="89"/>
      <c r="L18" s="88"/>
      <c r="M18" s="89"/>
      <c r="N18" s="80"/>
      <c r="O18" s="82"/>
      <c r="P18" s="94"/>
      <c r="Q18" s="95"/>
      <c r="R18" s="80"/>
      <c r="S18" s="81"/>
    </row>
    <row r="19" spans="2:19" x14ac:dyDescent="0.25">
      <c r="B19" s="83"/>
      <c r="C19" s="85"/>
      <c r="D19" s="83"/>
      <c r="E19" s="84"/>
      <c r="F19" s="84"/>
      <c r="G19" s="84"/>
      <c r="H19" s="84"/>
      <c r="I19" s="85"/>
      <c r="J19" s="90"/>
      <c r="K19" s="91"/>
      <c r="L19" s="90"/>
      <c r="M19" s="91"/>
      <c r="N19" s="83"/>
      <c r="O19" s="85"/>
      <c r="P19" s="96"/>
      <c r="Q19" s="97"/>
      <c r="R19" s="80"/>
      <c r="S19" s="81"/>
    </row>
    <row r="20" spans="2:19" x14ac:dyDescent="0.25">
      <c r="B20" s="77"/>
      <c r="C20" s="79"/>
      <c r="D20" s="77"/>
      <c r="E20" s="78"/>
      <c r="F20" s="78"/>
      <c r="G20" s="78"/>
      <c r="H20" s="78"/>
      <c r="I20" s="79"/>
      <c r="J20" s="86"/>
      <c r="K20" s="87"/>
      <c r="L20" s="86"/>
      <c r="M20" s="87"/>
      <c r="N20" s="77"/>
      <c r="O20" s="79"/>
      <c r="P20" s="92"/>
      <c r="Q20" s="93"/>
      <c r="R20" s="80" t="str">
        <f t="shared" ref="R20" ca="1" si="1">IF(L20=""," ",IF(P20="Concluída"," ",IF(TODAY()&gt;L20,"EM ATRASO",IF(TODAY()=L20,"HOJE"," "))))</f>
        <v xml:space="preserve"> </v>
      </c>
      <c r="S20" s="81"/>
    </row>
    <row r="21" spans="2:19" x14ac:dyDescent="0.25">
      <c r="B21" s="80"/>
      <c r="C21" s="82"/>
      <c r="D21" s="80"/>
      <c r="E21" s="81"/>
      <c r="F21" s="81"/>
      <c r="G21" s="81"/>
      <c r="H21" s="81"/>
      <c r="I21" s="82"/>
      <c r="J21" s="88"/>
      <c r="K21" s="89"/>
      <c r="L21" s="88"/>
      <c r="M21" s="89"/>
      <c r="N21" s="80"/>
      <c r="O21" s="82"/>
      <c r="P21" s="94"/>
      <c r="Q21" s="95"/>
      <c r="R21" s="80"/>
      <c r="S21" s="81"/>
    </row>
    <row r="22" spans="2:19" ht="15" customHeight="1" x14ac:dyDescent="0.25">
      <c r="B22" s="83"/>
      <c r="C22" s="85"/>
      <c r="D22" s="83"/>
      <c r="E22" s="84"/>
      <c r="F22" s="84"/>
      <c r="G22" s="84"/>
      <c r="H22" s="84"/>
      <c r="I22" s="85"/>
      <c r="J22" s="90"/>
      <c r="K22" s="91"/>
      <c r="L22" s="90"/>
      <c r="M22" s="91"/>
      <c r="N22" s="83"/>
      <c r="O22" s="85"/>
      <c r="P22" s="96"/>
      <c r="Q22" s="97"/>
      <c r="R22" s="80"/>
      <c r="S22" s="81"/>
    </row>
    <row r="23" spans="2:19" ht="15" customHeight="1" x14ac:dyDescent="0.25">
      <c r="B23" s="71"/>
      <c r="C23" s="72"/>
      <c r="D23" s="77"/>
      <c r="E23" s="78"/>
      <c r="F23" s="78"/>
      <c r="G23" s="78"/>
      <c r="H23" s="78"/>
      <c r="I23" s="79"/>
      <c r="J23" s="77"/>
      <c r="K23" s="79"/>
      <c r="L23" s="77"/>
      <c r="M23" s="79"/>
      <c r="N23" s="77"/>
      <c r="O23" s="79"/>
      <c r="P23" s="92"/>
      <c r="Q23" s="93"/>
      <c r="R23" s="80" t="str">
        <f t="shared" ref="R23" ca="1" si="2">IF(L23=""," ",IF(P23="Concluída"," ",IF(TODAY()&gt;L23,"EM ATRASO",IF(TODAY()=L23,"HOJE"," "))))</f>
        <v xml:space="preserve"> </v>
      </c>
      <c r="S23" s="81"/>
    </row>
    <row r="24" spans="2:19" x14ac:dyDescent="0.25">
      <c r="B24" s="73"/>
      <c r="C24" s="74"/>
      <c r="D24" s="80"/>
      <c r="E24" s="81"/>
      <c r="F24" s="81"/>
      <c r="G24" s="81"/>
      <c r="H24" s="81"/>
      <c r="I24" s="82"/>
      <c r="J24" s="80"/>
      <c r="K24" s="82"/>
      <c r="L24" s="80"/>
      <c r="M24" s="82"/>
      <c r="N24" s="80"/>
      <c r="O24" s="82"/>
      <c r="P24" s="94"/>
      <c r="Q24" s="95"/>
      <c r="R24" s="80"/>
      <c r="S24" s="81"/>
    </row>
    <row r="25" spans="2:19" x14ac:dyDescent="0.25">
      <c r="B25" s="75"/>
      <c r="C25" s="76"/>
      <c r="D25" s="83"/>
      <c r="E25" s="84"/>
      <c r="F25" s="84"/>
      <c r="G25" s="84"/>
      <c r="H25" s="84"/>
      <c r="I25" s="85"/>
      <c r="J25" s="83"/>
      <c r="K25" s="85"/>
      <c r="L25" s="83"/>
      <c r="M25" s="85"/>
      <c r="N25" s="83"/>
      <c r="O25" s="85"/>
      <c r="P25" s="96"/>
      <c r="Q25" s="97"/>
      <c r="R25" s="80"/>
      <c r="S25" s="81"/>
    </row>
    <row r="26" spans="2:19" x14ac:dyDescent="0.25">
      <c r="B26" s="71"/>
      <c r="C26" s="72"/>
      <c r="D26" s="77"/>
      <c r="E26" s="78"/>
      <c r="F26" s="78"/>
      <c r="G26" s="78"/>
      <c r="H26" s="78"/>
      <c r="I26" s="79"/>
      <c r="J26" s="77"/>
      <c r="K26" s="79"/>
      <c r="L26" s="77"/>
      <c r="M26" s="79"/>
      <c r="N26" s="77"/>
      <c r="O26" s="79"/>
      <c r="P26" s="92"/>
      <c r="Q26" s="93"/>
      <c r="R26" s="80" t="str">
        <f t="shared" ref="R26" ca="1" si="3">IF(L26=""," ",IF(P26="Concluída"," ",IF(TODAY()&gt;L26,"EM ATRASO",IF(TODAY()=L26,"HOJE"," "))))</f>
        <v xml:space="preserve"> </v>
      </c>
      <c r="S26" s="81"/>
    </row>
    <row r="27" spans="2:19" x14ac:dyDescent="0.25">
      <c r="B27" s="73"/>
      <c r="C27" s="74"/>
      <c r="D27" s="80"/>
      <c r="E27" s="81"/>
      <c r="F27" s="81"/>
      <c r="G27" s="81"/>
      <c r="H27" s="81"/>
      <c r="I27" s="82"/>
      <c r="J27" s="80"/>
      <c r="K27" s="82"/>
      <c r="L27" s="80"/>
      <c r="M27" s="82"/>
      <c r="N27" s="80"/>
      <c r="O27" s="82"/>
      <c r="P27" s="94"/>
      <c r="Q27" s="95"/>
      <c r="R27" s="80"/>
      <c r="S27" s="81"/>
    </row>
    <row r="28" spans="2:19" x14ac:dyDescent="0.25">
      <c r="B28" s="75"/>
      <c r="C28" s="76"/>
      <c r="D28" s="83"/>
      <c r="E28" s="84"/>
      <c r="F28" s="84"/>
      <c r="G28" s="84"/>
      <c r="H28" s="84"/>
      <c r="I28" s="85"/>
      <c r="J28" s="83"/>
      <c r="K28" s="85"/>
      <c r="L28" s="83"/>
      <c r="M28" s="85"/>
      <c r="N28" s="83"/>
      <c r="O28" s="85"/>
      <c r="P28" s="96"/>
      <c r="Q28" s="97"/>
      <c r="R28" s="80"/>
      <c r="S28" s="81"/>
    </row>
    <row r="29" spans="2:19" x14ac:dyDescent="0.25">
      <c r="B29" s="71"/>
      <c r="C29" s="72"/>
      <c r="D29" s="77"/>
      <c r="E29" s="78"/>
      <c r="F29" s="78"/>
      <c r="G29" s="78"/>
      <c r="H29" s="78"/>
      <c r="I29" s="79"/>
      <c r="J29" s="77"/>
      <c r="K29" s="79"/>
      <c r="L29" s="77"/>
      <c r="M29" s="79"/>
      <c r="N29" s="77"/>
      <c r="O29" s="79"/>
      <c r="P29" s="92"/>
      <c r="Q29" s="93"/>
      <c r="R29" s="80" t="str">
        <f t="shared" ref="R29" ca="1" si="4">IF(L29=""," ",IF(P29="Concluída"," ",IF(TODAY()&gt;L29,"EM ATRASO",IF(TODAY()=L29,"HOJE"," "))))</f>
        <v xml:space="preserve"> </v>
      </c>
      <c r="S29" s="81"/>
    </row>
    <row r="30" spans="2:19" x14ac:dyDescent="0.25">
      <c r="B30" s="73"/>
      <c r="C30" s="74"/>
      <c r="D30" s="80"/>
      <c r="E30" s="81"/>
      <c r="F30" s="81"/>
      <c r="G30" s="81"/>
      <c r="H30" s="81"/>
      <c r="I30" s="82"/>
      <c r="J30" s="80"/>
      <c r="K30" s="82"/>
      <c r="L30" s="80"/>
      <c r="M30" s="82"/>
      <c r="N30" s="80"/>
      <c r="O30" s="82"/>
      <c r="P30" s="94"/>
      <c r="Q30" s="95"/>
      <c r="R30" s="80"/>
      <c r="S30" s="81"/>
    </row>
    <row r="31" spans="2:19" x14ac:dyDescent="0.25">
      <c r="B31" s="75"/>
      <c r="C31" s="76"/>
      <c r="D31" s="83"/>
      <c r="E31" s="84"/>
      <c r="F31" s="84"/>
      <c r="G31" s="84"/>
      <c r="H31" s="84"/>
      <c r="I31" s="85"/>
      <c r="J31" s="83"/>
      <c r="K31" s="85"/>
      <c r="L31" s="83"/>
      <c r="M31" s="85"/>
      <c r="N31" s="83"/>
      <c r="O31" s="85"/>
      <c r="P31" s="96"/>
      <c r="Q31" s="97"/>
      <c r="R31" s="80"/>
      <c r="S31" s="81"/>
    </row>
    <row r="32" spans="2:19" x14ac:dyDescent="0.25">
      <c r="B32" s="71"/>
      <c r="C32" s="72"/>
      <c r="D32" s="77"/>
      <c r="E32" s="78"/>
      <c r="F32" s="78"/>
      <c r="G32" s="78"/>
      <c r="H32" s="78"/>
      <c r="I32" s="79"/>
      <c r="J32" s="77"/>
      <c r="K32" s="79"/>
      <c r="L32" s="77"/>
      <c r="M32" s="79"/>
      <c r="N32" s="77"/>
      <c r="O32" s="79"/>
      <c r="P32" s="92"/>
      <c r="Q32" s="93"/>
      <c r="R32" s="80" t="str">
        <f t="shared" ref="R32" ca="1" si="5">IF(L32=""," ",IF(P32="Concluída"," ",IF(TODAY()&gt;L32,"EM ATRASO",IF(TODAY()=L32,"HOJE"," "))))</f>
        <v xml:space="preserve"> </v>
      </c>
      <c r="S32" s="81"/>
    </row>
    <row r="33" spans="2:19" x14ac:dyDescent="0.25">
      <c r="B33" s="73"/>
      <c r="C33" s="74"/>
      <c r="D33" s="80"/>
      <c r="E33" s="81"/>
      <c r="F33" s="81"/>
      <c r="G33" s="81"/>
      <c r="H33" s="81"/>
      <c r="I33" s="82"/>
      <c r="J33" s="80"/>
      <c r="K33" s="82"/>
      <c r="L33" s="80"/>
      <c r="M33" s="82"/>
      <c r="N33" s="80"/>
      <c r="O33" s="82"/>
      <c r="P33" s="94"/>
      <c r="Q33" s="95"/>
      <c r="R33" s="80"/>
      <c r="S33" s="81"/>
    </row>
    <row r="34" spans="2:19" x14ac:dyDescent="0.25">
      <c r="B34" s="75"/>
      <c r="C34" s="76"/>
      <c r="D34" s="83"/>
      <c r="E34" s="84"/>
      <c r="F34" s="84"/>
      <c r="G34" s="84"/>
      <c r="H34" s="84"/>
      <c r="I34" s="85"/>
      <c r="J34" s="83"/>
      <c r="K34" s="85"/>
      <c r="L34" s="83"/>
      <c r="M34" s="85"/>
      <c r="N34" s="83"/>
      <c r="O34" s="85"/>
      <c r="P34" s="96"/>
      <c r="Q34" s="97"/>
      <c r="R34" s="80"/>
      <c r="S34" s="81"/>
    </row>
    <row r="35" spans="2:19" x14ac:dyDescent="0.25">
      <c r="B35" s="71"/>
      <c r="C35" s="72"/>
      <c r="D35" s="77"/>
      <c r="E35" s="78"/>
      <c r="F35" s="78"/>
      <c r="G35" s="78"/>
      <c r="H35" s="78"/>
      <c r="I35" s="79"/>
      <c r="J35" s="77"/>
      <c r="K35" s="79"/>
      <c r="L35" s="77"/>
      <c r="M35" s="79"/>
      <c r="N35" s="77"/>
      <c r="O35" s="79"/>
      <c r="P35" s="92"/>
      <c r="Q35" s="93"/>
      <c r="R35" s="80" t="str">
        <f t="shared" ref="R35" ca="1" si="6">IF(L35=""," ",IF(P35="Concluída"," ",IF(TODAY()&gt;L35,"EM ATRASO",IF(TODAY()=L35,"HOJE"," "))))</f>
        <v xml:space="preserve"> </v>
      </c>
      <c r="S35" s="81"/>
    </row>
    <row r="36" spans="2:19" x14ac:dyDescent="0.25">
      <c r="B36" s="73"/>
      <c r="C36" s="74"/>
      <c r="D36" s="80"/>
      <c r="E36" s="81"/>
      <c r="F36" s="81"/>
      <c r="G36" s="81"/>
      <c r="H36" s="81"/>
      <c r="I36" s="82"/>
      <c r="J36" s="80"/>
      <c r="K36" s="82"/>
      <c r="L36" s="80"/>
      <c r="M36" s="82"/>
      <c r="N36" s="80"/>
      <c r="O36" s="82"/>
      <c r="P36" s="94"/>
      <c r="Q36" s="95"/>
      <c r="R36" s="80"/>
      <c r="S36" s="81"/>
    </row>
    <row r="37" spans="2:19" x14ac:dyDescent="0.25">
      <c r="B37" s="75"/>
      <c r="C37" s="76"/>
      <c r="D37" s="83"/>
      <c r="E37" s="84"/>
      <c r="F37" s="84"/>
      <c r="G37" s="84"/>
      <c r="H37" s="84"/>
      <c r="I37" s="85"/>
      <c r="J37" s="83"/>
      <c r="K37" s="85"/>
      <c r="L37" s="83"/>
      <c r="M37" s="85"/>
      <c r="N37" s="83"/>
      <c r="O37" s="85"/>
      <c r="P37" s="96"/>
      <c r="Q37" s="97"/>
      <c r="R37" s="80"/>
      <c r="S37" s="81"/>
    </row>
    <row r="38" spans="2:19" x14ac:dyDescent="0.25">
      <c r="B38" s="71"/>
      <c r="C38" s="72"/>
      <c r="D38" s="77"/>
      <c r="E38" s="78"/>
      <c r="F38" s="78"/>
      <c r="G38" s="78"/>
      <c r="H38" s="78"/>
      <c r="I38" s="79"/>
      <c r="J38" s="77"/>
      <c r="K38" s="79"/>
      <c r="L38" s="77"/>
      <c r="M38" s="79"/>
      <c r="N38" s="77"/>
      <c r="O38" s="79"/>
      <c r="P38" s="92"/>
      <c r="Q38" s="93"/>
      <c r="R38" s="80" t="str">
        <f t="shared" ref="R38" ca="1" si="7">IF(L38=""," ",IF(P38="Concluída"," ",IF(TODAY()&gt;L38,"EM ATRASO",IF(TODAY()=L38,"HOJE"," "))))</f>
        <v xml:space="preserve"> </v>
      </c>
      <c r="S38" s="81"/>
    </row>
    <row r="39" spans="2:19" x14ac:dyDescent="0.25">
      <c r="B39" s="73"/>
      <c r="C39" s="74"/>
      <c r="D39" s="80"/>
      <c r="E39" s="81"/>
      <c r="F39" s="81"/>
      <c r="G39" s="81"/>
      <c r="H39" s="81"/>
      <c r="I39" s="82"/>
      <c r="J39" s="80"/>
      <c r="K39" s="82"/>
      <c r="L39" s="80"/>
      <c r="M39" s="82"/>
      <c r="N39" s="80"/>
      <c r="O39" s="82"/>
      <c r="P39" s="94"/>
      <c r="Q39" s="95"/>
      <c r="R39" s="80"/>
      <c r="S39" s="81"/>
    </row>
    <row r="40" spans="2:19" x14ac:dyDescent="0.25">
      <c r="B40" s="75"/>
      <c r="C40" s="76"/>
      <c r="D40" s="83"/>
      <c r="E40" s="84"/>
      <c r="F40" s="84"/>
      <c r="G40" s="84"/>
      <c r="H40" s="84"/>
      <c r="I40" s="85"/>
      <c r="J40" s="83"/>
      <c r="K40" s="85"/>
      <c r="L40" s="83"/>
      <c r="M40" s="85"/>
      <c r="N40" s="83"/>
      <c r="O40" s="85"/>
      <c r="P40" s="96"/>
      <c r="Q40" s="97"/>
      <c r="R40" s="80"/>
      <c r="S40" s="81"/>
    </row>
    <row r="41" spans="2:19" x14ac:dyDescent="0.25">
      <c r="B41" s="71"/>
      <c r="C41" s="72"/>
      <c r="D41" s="77"/>
      <c r="E41" s="78"/>
      <c r="F41" s="78"/>
      <c r="G41" s="78"/>
      <c r="H41" s="78"/>
      <c r="I41" s="79"/>
      <c r="J41" s="77"/>
      <c r="K41" s="79"/>
      <c r="L41" s="77"/>
      <c r="M41" s="79"/>
      <c r="N41" s="77"/>
      <c r="O41" s="79"/>
      <c r="P41" s="92"/>
      <c r="Q41" s="93"/>
      <c r="R41" s="80" t="str">
        <f t="shared" ref="R41" ca="1" si="8">IF(L41=""," ",IF(P41="Concluída"," ",IF(TODAY()&gt;L41,"EM ATRASO",IF(TODAY()=L41,"HOJE"," "))))</f>
        <v xml:space="preserve"> </v>
      </c>
      <c r="S41" s="81"/>
    </row>
    <row r="42" spans="2:19" x14ac:dyDescent="0.25">
      <c r="B42" s="73"/>
      <c r="C42" s="74"/>
      <c r="D42" s="80"/>
      <c r="E42" s="81"/>
      <c r="F42" s="81"/>
      <c r="G42" s="81"/>
      <c r="H42" s="81"/>
      <c r="I42" s="82"/>
      <c r="J42" s="80"/>
      <c r="K42" s="82"/>
      <c r="L42" s="80"/>
      <c r="M42" s="82"/>
      <c r="N42" s="80"/>
      <c r="O42" s="82"/>
      <c r="P42" s="94"/>
      <c r="Q42" s="95"/>
      <c r="R42" s="80"/>
      <c r="S42" s="81"/>
    </row>
    <row r="43" spans="2:19" x14ac:dyDescent="0.25">
      <c r="B43" s="75"/>
      <c r="C43" s="76"/>
      <c r="D43" s="83"/>
      <c r="E43" s="84"/>
      <c r="F43" s="84"/>
      <c r="G43" s="84"/>
      <c r="H43" s="84"/>
      <c r="I43" s="85"/>
      <c r="J43" s="83"/>
      <c r="K43" s="85"/>
      <c r="L43" s="83"/>
      <c r="M43" s="85"/>
      <c r="N43" s="83"/>
      <c r="O43" s="85"/>
      <c r="P43" s="96"/>
      <c r="Q43" s="97"/>
      <c r="R43" s="80"/>
      <c r="S43" s="81"/>
    </row>
    <row r="44" spans="2:19" x14ac:dyDescent="0.25">
      <c r="B44" s="71"/>
      <c r="C44" s="72"/>
      <c r="D44" s="77"/>
      <c r="E44" s="78"/>
      <c r="F44" s="78"/>
      <c r="G44" s="78"/>
      <c r="H44" s="78"/>
      <c r="I44" s="79"/>
      <c r="J44" s="77"/>
      <c r="K44" s="79"/>
      <c r="L44" s="77"/>
      <c r="M44" s="79"/>
      <c r="N44" s="77"/>
      <c r="O44" s="79"/>
      <c r="P44" s="92"/>
      <c r="Q44" s="93"/>
      <c r="R44" s="80" t="str">
        <f t="shared" ref="R44" ca="1" si="9">IF(L44=""," ",IF(P44="Concluída"," ",IF(TODAY()&gt;L44,"EM ATRASO",IF(TODAY()=L44,"HOJE"," "))))</f>
        <v xml:space="preserve"> </v>
      </c>
      <c r="S44" s="81"/>
    </row>
    <row r="45" spans="2:19" x14ac:dyDescent="0.25">
      <c r="B45" s="73"/>
      <c r="C45" s="74"/>
      <c r="D45" s="80"/>
      <c r="E45" s="81"/>
      <c r="F45" s="81"/>
      <c r="G45" s="81"/>
      <c r="H45" s="81"/>
      <c r="I45" s="82"/>
      <c r="J45" s="80"/>
      <c r="K45" s="82"/>
      <c r="L45" s="80"/>
      <c r="M45" s="82"/>
      <c r="N45" s="80"/>
      <c r="O45" s="82"/>
      <c r="P45" s="94"/>
      <c r="Q45" s="95"/>
      <c r="R45" s="80"/>
      <c r="S45" s="81"/>
    </row>
    <row r="46" spans="2:19" x14ac:dyDescent="0.25">
      <c r="B46" s="75"/>
      <c r="C46" s="76"/>
      <c r="D46" s="83"/>
      <c r="E46" s="84"/>
      <c r="F46" s="84"/>
      <c r="G46" s="84"/>
      <c r="H46" s="84"/>
      <c r="I46" s="85"/>
      <c r="J46" s="83"/>
      <c r="K46" s="85"/>
      <c r="L46" s="83"/>
      <c r="M46" s="85"/>
      <c r="N46" s="83"/>
      <c r="O46" s="85"/>
      <c r="P46" s="96"/>
      <c r="Q46" s="97"/>
      <c r="R46" s="80"/>
      <c r="S46" s="81"/>
    </row>
    <row r="47" spans="2:19" x14ac:dyDescent="0.25">
      <c r="B47" s="71"/>
      <c r="C47" s="72"/>
      <c r="D47" s="77"/>
      <c r="E47" s="78"/>
      <c r="F47" s="78"/>
      <c r="G47" s="78"/>
      <c r="H47" s="78"/>
      <c r="I47" s="79"/>
      <c r="J47" s="77"/>
      <c r="K47" s="79"/>
      <c r="L47" s="77"/>
      <c r="M47" s="79"/>
      <c r="N47" s="77"/>
      <c r="O47" s="79"/>
      <c r="P47" s="92"/>
      <c r="Q47" s="93"/>
      <c r="R47" s="80" t="str">
        <f t="shared" ref="R47" ca="1" si="10">IF(L47=""," ",IF(P47="Concluída"," ",IF(TODAY()&gt;L47,"EM ATRASO",IF(TODAY()=L47,"HOJE"," "))))</f>
        <v xml:space="preserve"> </v>
      </c>
      <c r="S47" s="81"/>
    </row>
    <row r="48" spans="2:19" x14ac:dyDescent="0.25">
      <c r="B48" s="73"/>
      <c r="C48" s="74"/>
      <c r="D48" s="80"/>
      <c r="E48" s="81"/>
      <c r="F48" s="81"/>
      <c r="G48" s="81"/>
      <c r="H48" s="81"/>
      <c r="I48" s="82"/>
      <c r="J48" s="80"/>
      <c r="K48" s="82"/>
      <c r="L48" s="80"/>
      <c r="M48" s="82"/>
      <c r="N48" s="80"/>
      <c r="O48" s="82"/>
      <c r="P48" s="94"/>
      <c r="Q48" s="95"/>
      <c r="R48" s="80"/>
      <c r="S48" s="81"/>
    </row>
    <row r="49" spans="2:19" x14ac:dyDescent="0.25">
      <c r="B49" s="75"/>
      <c r="C49" s="76"/>
      <c r="D49" s="83"/>
      <c r="E49" s="84"/>
      <c r="F49" s="84"/>
      <c r="G49" s="84"/>
      <c r="H49" s="84"/>
      <c r="I49" s="85"/>
      <c r="J49" s="83"/>
      <c r="K49" s="85"/>
      <c r="L49" s="83"/>
      <c r="M49" s="85"/>
      <c r="N49" s="83"/>
      <c r="O49" s="85"/>
      <c r="P49" s="96"/>
      <c r="Q49" s="97"/>
      <c r="R49" s="80"/>
      <c r="S49" s="81"/>
    </row>
    <row r="50" spans="2:19" x14ac:dyDescent="0.25">
      <c r="B50" s="71"/>
      <c r="C50" s="72"/>
      <c r="D50" s="77"/>
      <c r="E50" s="78"/>
      <c r="F50" s="78"/>
      <c r="G50" s="78"/>
      <c r="H50" s="78"/>
      <c r="I50" s="79"/>
      <c r="J50" s="77"/>
      <c r="K50" s="79"/>
      <c r="L50" s="77"/>
      <c r="M50" s="79"/>
      <c r="N50" s="77"/>
      <c r="O50" s="79"/>
      <c r="P50" s="92"/>
      <c r="Q50" s="93"/>
      <c r="R50" s="80" t="str">
        <f t="shared" ref="R50" ca="1" si="11">IF(L50=""," ",IF(P50="Concluída"," ",IF(TODAY()&gt;L50,"EM ATRASO",IF(TODAY()=L50,"HOJE"," "))))</f>
        <v xml:space="preserve"> </v>
      </c>
      <c r="S50" s="81"/>
    </row>
    <row r="51" spans="2:19" x14ac:dyDescent="0.25">
      <c r="B51" s="73"/>
      <c r="C51" s="74"/>
      <c r="D51" s="80"/>
      <c r="E51" s="81"/>
      <c r="F51" s="81"/>
      <c r="G51" s="81"/>
      <c r="H51" s="81"/>
      <c r="I51" s="82"/>
      <c r="J51" s="80"/>
      <c r="K51" s="82"/>
      <c r="L51" s="80"/>
      <c r="M51" s="82"/>
      <c r="N51" s="80"/>
      <c r="O51" s="82"/>
      <c r="P51" s="94"/>
      <c r="Q51" s="95"/>
      <c r="R51" s="80"/>
      <c r="S51" s="81"/>
    </row>
    <row r="52" spans="2:19" x14ac:dyDescent="0.25">
      <c r="B52" s="75"/>
      <c r="C52" s="76"/>
      <c r="D52" s="83"/>
      <c r="E52" s="84"/>
      <c r="F52" s="84"/>
      <c r="G52" s="84"/>
      <c r="H52" s="84"/>
      <c r="I52" s="85"/>
      <c r="J52" s="83"/>
      <c r="K52" s="85"/>
      <c r="L52" s="83"/>
      <c r="M52" s="85"/>
      <c r="N52" s="83"/>
      <c r="O52" s="85"/>
      <c r="P52" s="96"/>
      <c r="Q52" s="97"/>
      <c r="R52" s="80"/>
      <c r="S52" s="81"/>
    </row>
    <row r="53" spans="2:19" x14ac:dyDescent="0.25">
      <c r="B53" s="71"/>
      <c r="C53" s="72"/>
      <c r="D53" s="77"/>
      <c r="E53" s="78"/>
      <c r="F53" s="78"/>
      <c r="G53" s="78"/>
      <c r="H53" s="78"/>
      <c r="I53" s="79"/>
      <c r="J53" s="77"/>
      <c r="K53" s="79"/>
      <c r="L53" s="77"/>
      <c r="M53" s="79"/>
      <c r="N53" s="77"/>
      <c r="O53" s="79"/>
      <c r="P53" s="92"/>
      <c r="Q53" s="93"/>
      <c r="R53" s="80" t="str">
        <f t="shared" ref="R53" ca="1" si="12">IF(L53=""," ",IF(P53="Concluída"," ",IF(TODAY()&gt;L53,"EM ATRASO",IF(TODAY()=L53,"HOJE"," "))))</f>
        <v xml:space="preserve"> </v>
      </c>
      <c r="S53" s="81"/>
    </row>
    <row r="54" spans="2:19" x14ac:dyDescent="0.25">
      <c r="B54" s="73"/>
      <c r="C54" s="74"/>
      <c r="D54" s="80"/>
      <c r="E54" s="81"/>
      <c r="F54" s="81"/>
      <c r="G54" s="81"/>
      <c r="H54" s="81"/>
      <c r="I54" s="82"/>
      <c r="J54" s="80"/>
      <c r="K54" s="82"/>
      <c r="L54" s="80"/>
      <c r="M54" s="82"/>
      <c r="N54" s="80"/>
      <c r="O54" s="82"/>
      <c r="P54" s="94"/>
      <c r="Q54" s="95"/>
      <c r="R54" s="80"/>
      <c r="S54" s="81"/>
    </row>
    <row r="55" spans="2:19" x14ac:dyDescent="0.25">
      <c r="B55" s="75"/>
      <c r="C55" s="76"/>
      <c r="D55" s="83"/>
      <c r="E55" s="84"/>
      <c r="F55" s="84"/>
      <c r="G55" s="84"/>
      <c r="H55" s="84"/>
      <c r="I55" s="85"/>
      <c r="J55" s="83"/>
      <c r="K55" s="85"/>
      <c r="L55" s="83"/>
      <c r="M55" s="85"/>
      <c r="N55" s="83"/>
      <c r="O55" s="85"/>
      <c r="P55" s="96"/>
      <c r="Q55" s="97"/>
      <c r="R55" s="80"/>
      <c r="S55" s="81"/>
    </row>
    <row r="56" spans="2:19" x14ac:dyDescent="0.25">
      <c r="B56" s="71"/>
      <c r="C56" s="72"/>
      <c r="D56" s="77"/>
      <c r="E56" s="78"/>
      <c r="F56" s="78"/>
      <c r="G56" s="78"/>
      <c r="H56" s="78"/>
      <c r="I56" s="79"/>
      <c r="J56" s="77"/>
      <c r="K56" s="79"/>
      <c r="L56" s="77"/>
      <c r="M56" s="79"/>
      <c r="N56" s="77"/>
      <c r="O56" s="79"/>
      <c r="P56" s="92"/>
      <c r="Q56" s="93"/>
      <c r="R56" s="80" t="str">
        <f t="shared" ref="R56" ca="1" si="13">IF(L56=""," ",IF(P56="Concluída"," ",IF(TODAY()&gt;L56,"EM ATRASO",IF(TODAY()=L56,"HOJE"," "))))</f>
        <v xml:space="preserve"> </v>
      </c>
      <c r="S56" s="81"/>
    </row>
    <row r="57" spans="2:19" x14ac:dyDescent="0.25">
      <c r="B57" s="73"/>
      <c r="C57" s="74"/>
      <c r="D57" s="80"/>
      <c r="E57" s="81"/>
      <c r="F57" s="81"/>
      <c r="G57" s="81"/>
      <c r="H57" s="81"/>
      <c r="I57" s="82"/>
      <c r="J57" s="80"/>
      <c r="K57" s="82"/>
      <c r="L57" s="80"/>
      <c r="M57" s="82"/>
      <c r="N57" s="80"/>
      <c r="O57" s="82"/>
      <c r="P57" s="94"/>
      <c r="Q57" s="95"/>
      <c r="R57" s="80"/>
      <c r="S57" s="81"/>
    </row>
    <row r="58" spans="2:19" x14ac:dyDescent="0.25">
      <c r="B58" s="75"/>
      <c r="C58" s="76"/>
      <c r="D58" s="83"/>
      <c r="E58" s="84"/>
      <c r="F58" s="84"/>
      <c r="G58" s="84"/>
      <c r="H58" s="84"/>
      <c r="I58" s="85"/>
      <c r="J58" s="83"/>
      <c r="K58" s="85"/>
      <c r="L58" s="83"/>
      <c r="M58" s="85"/>
      <c r="N58" s="83"/>
      <c r="O58" s="85"/>
      <c r="P58" s="96"/>
      <c r="Q58" s="97"/>
      <c r="R58" s="80"/>
      <c r="S58" s="81"/>
    </row>
    <row r="59" spans="2:19" x14ac:dyDescent="0.25">
      <c r="B59" s="71"/>
      <c r="C59" s="72"/>
      <c r="D59" s="77"/>
      <c r="E59" s="78"/>
      <c r="F59" s="78"/>
      <c r="G59" s="78"/>
      <c r="H59" s="78"/>
      <c r="I59" s="79"/>
      <c r="J59" s="77"/>
      <c r="K59" s="79"/>
      <c r="L59" s="77"/>
      <c r="M59" s="79"/>
      <c r="N59" s="77"/>
      <c r="O59" s="79"/>
      <c r="P59" s="92"/>
      <c r="Q59" s="93"/>
      <c r="R59" s="80" t="str">
        <f t="shared" ref="R59" ca="1" si="14">IF(L59=""," ",IF(P59="Concluída"," ",IF(TODAY()&gt;L59,"EM ATRASO",IF(TODAY()=L59,"HOJE"," "))))</f>
        <v xml:space="preserve"> </v>
      </c>
      <c r="S59" s="81"/>
    </row>
    <row r="60" spans="2:19" x14ac:dyDescent="0.25">
      <c r="B60" s="73"/>
      <c r="C60" s="74"/>
      <c r="D60" s="80"/>
      <c r="E60" s="81"/>
      <c r="F60" s="81"/>
      <c r="G60" s="81"/>
      <c r="H60" s="81"/>
      <c r="I60" s="82"/>
      <c r="J60" s="80"/>
      <c r="K60" s="82"/>
      <c r="L60" s="80"/>
      <c r="M60" s="82"/>
      <c r="N60" s="80"/>
      <c r="O60" s="82"/>
      <c r="P60" s="94"/>
      <c r="Q60" s="95"/>
      <c r="R60" s="80"/>
      <c r="S60" s="81"/>
    </row>
    <row r="61" spans="2:19" x14ac:dyDescent="0.25">
      <c r="B61" s="75"/>
      <c r="C61" s="76"/>
      <c r="D61" s="83"/>
      <c r="E61" s="84"/>
      <c r="F61" s="84"/>
      <c r="G61" s="84"/>
      <c r="H61" s="84"/>
      <c r="I61" s="85"/>
      <c r="J61" s="83"/>
      <c r="K61" s="85"/>
      <c r="L61" s="83"/>
      <c r="M61" s="85"/>
      <c r="N61" s="83"/>
      <c r="O61" s="85"/>
      <c r="P61" s="96"/>
      <c r="Q61" s="97"/>
      <c r="R61" s="80"/>
      <c r="S61" s="81"/>
    </row>
    <row r="62" spans="2:19" x14ac:dyDescent="0.25">
      <c r="B62" s="71"/>
      <c r="C62" s="72"/>
      <c r="D62" s="77"/>
      <c r="E62" s="78"/>
      <c r="F62" s="78"/>
      <c r="G62" s="78"/>
      <c r="H62" s="78"/>
      <c r="I62" s="79"/>
      <c r="J62" s="77"/>
      <c r="K62" s="79"/>
      <c r="L62" s="77"/>
      <c r="M62" s="79"/>
      <c r="N62" s="77"/>
      <c r="O62" s="79"/>
      <c r="P62" s="92"/>
      <c r="Q62" s="93"/>
      <c r="R62" s="80" t="str">
        <f t="shared" ref="R62" ca="1" si="15">IF(L62=""," ",IF(P62="Concluída"," ",IF(TODAY()&gt;L62,"EM ATRASO",IF(TODAY()=L62,"HOJE"," "))))</f>
        <v xml:space="preserve"> </v>
      </c>
      <c r="S62" s="81"/>
    </row>
    <row r="63" spans="2:19" x14ac:dyDescent="0.25">
      <c r="B63" s="73"/>
      <c r="C63" s="74"/>
      <c r="D63" s="80"/>
      <c r="E63" s="81"/>
      <c r="F63" s="81"/>
      <c r="G63" s="81"/>
      <c r="H63" s="81"/>
      <c r="I63" s="82"/>
      <c r="J63" s="80"/>
      <c r="K63" s="82"/>
      <c r="L63" s="80"/>
      <c r="M63" s="82"/>
      <c r="N63" s="80"/>
      <c r="O63" s="82"/>
      <c r="P63" s="94"/>
      <c r="Q63" s="95"/>
      <c r="R63" s="80"/>
      <c r="S63" s="81"/>
    </row>
    <row r="64" spans="2:19" x14ac:dyDescent="0.25">
      <c r="B64" s="75"/>
      <c r="C64" s="76"/>
      <c r="D64" s="83"/>
      <c r="E64" s="84"/>
      <c r="F64" s="84"/>
      <c r="G64" s="84"/>
      <c r="H64" s="84"/>
      <c r="I64" s="85"/>
      <c r="J64" s="83"/>
      <c r="K64" s="85"/>
      <c r="L64" s="83"/>
      <c r="M64" s="85"/>
      <c r="N64" s="83"/>
      <c r="O64" s="85"/>
      <c r="P64" s="96"/>
      <c r="Q64" s="97"/>
      <c r="R64" s="80"/>
      <c r="S64" s="81"/>
    </row>
    <row r="65" spans="2:19" x14ac:dyDescent="0.25">
      <c r="B65" s="71"/>
      <c r="C65" s="72"/>
      <c r="D65" s="77"/>
      <c r="E65" s="78"/>
      <c r="F65" s="78"/>
      <c r="G65" s="78"/>
      <c r="H65" s="78"/>
      <c r="I65" s="79"/>
      <c r="J65" s="77"/>
      <c r="K65" s="79"/>
      <c r="L65" s="77"/>
      <c r="M65" s="79"/>
      <c r="N65" s="77"/>
      <c r="O65" s="79"/>
      <c r="P65" s="92"/>
      <c r="Q65" s="93"/>
      <c r="R65" s="80" t="str">
        <f t="shared" ref="R65" ca="1" si="16">IF(L65=""," ",IF(P65="Concluída"," ",IF(TODAY()&gt;L65,"EM ATRASO",IF(TODAY()=L65,"HOJE"," "))))</f>
        <v xml:space="preserve"> </v>
      </c>
      <c r="S65" s="81"/>
    </row>
    <row r="66" spans="2:19" x14ac:dyDescent="0.25">
      <c r="B66" s="73"/>
      <c r="C66" s="74"/>
      <c r="D66" s="80"/>
      <c r="E66" s="81"/>
      <c r="F66" s="81"/>
      <c r="G66" s="81"/>
      <c r="H66" s="81"/>
      <c r="I66" s="82"/>
      <c r="J66" s="80"/>
      <c r="K66" s="82"/>
      <c r="L66" s="80"/>
      <c r="M66" s="82"/>
      <c r="N66" s="80"/>
      <c r="O66" s="82"/>
      <c r="P66" s="94"/>
      <c r="Q66" s="95"/>
      <c r="R66" s="80"/>
      <c r="S66" s="81"/>
    </row>
    <row r="67" spans="2:19" x14ac:dyDescent="0.25">
      <c r="B67" s="75"/>
      <c r="C67" s="76"/>
      <c r="D67" s="83"/>
      <c r="E67" s="84"/>
      <c r="F67" s="84"/>
      <c r="G67" s="84"/>
      <c r="H67" s="84"/>
      <c r="I67" s="85"/>
      <c r="J67" s="83"/>
      <c r="K67" s="85"/>
      <c r="L67" s="83"/>
      <c r="M67" s="85"/>
      <c r="N67" s="83"/>
      <c r="O67" s="85"/>
      <c r="P67" s="96"/>
      <c r="Q67" s="97"/>
      <c r="R67" s="80"/>
      <c r="S67" s="81"/>
    </row>
    <row r="68" spans="2:19" x14ac:dyDescent="0.25">
      <c r="B68" s="71"/>
      <c r="C68" s="72"/>
      <c r="D68" s="77"/>
      <c r="E68" s="78"/>
      <c r="F68" s="78"/>
      <c r="G68" s="78"/>
      <c r="H68" s="78"/>
      <c r="I68" s="79"/>
      <c r="J68" s="77"/>
      <c r="K68" s="79"/>
      <c r="L68" s="77"/>
      <c r="M68" s="79"/>
      <c r="N68" s="77"/>
      <c r="O68" s="79"/>
      <c r="P68" s="92"/>
      <c r="Q68" s="93"/>
      <c r="R68" s="80" t="str">
        <f t="shared" ref="R68" ca="1" si="17">IF(L68=""," ",IF(P68="Concluída"," ",IF(TODAY()&gt;L68,"EM ATRASO",IF(TODAY()=L68,"HOJE"," "))))</f>
        <v xml:space="preserve"> </v>
      </c>
      <c r="S68" s="81"/>
    </row>
    <row r="69" spans="2:19" x14ac:dyDescent="0.25">
      <c r="B69" s="73"/>
      <c r="C69" s="74"/>
      <c r="D69" s="80"/>
      <c r="E69" s="81"/>
      <c r="F69" s="81"/>
      <c r="G69" s="81"/>
      <c r="H69" s="81"/>
      <c r="I69" s="82"/>
      <c r="J69" s="80"/>
      <c r="K69" s="82"/>
      <c r="L69" s="80"/>
      <c r="M69" s="82"/>
      <c r="N69" s="80"/>
      <c r="O69" s="82"/>
      <c r="P69" s="94"/>
      <c r="Q69" s="95"/>
      <c r="R69" s="80"/>
      <c r="S69" s="81"/>
    </row>
    <row r="70" spans="2:19" x14ac:dyDescent="0.25">
      <c r="B70" s="75"/>
      <c r="C70" s="76"/>
      <c r="D70" s="83"/>
      <c r="E70" s="84"/>
      <c r="F70" s="84"/>
      <c r="G70" s="84"/>
      <c r="H70" s="84"/>
      <c r="I70" s="85"/>
      <c r="J70" s="83"/>
      <c r="K70" s="85"/>
      <c r="L70" s="83"/>
      <c r="M70" s="85"/>
      <c r="N70" s="83"/>
      <c r="O70" s="85"/>
      <c r="P70" s="96"/>
      <c r="Q70" s="97"/>
      <c r="R70" s="80"/>
      <c r="S70" s="81"/>
    </row>
    <row r="71" spans="2:19" x14ac:dyDescent="0.25">
      <c r="B71" s="71"/>
      <c r="C71" s="72"/>
      <c r="D71" s="77"/>
      <c r="E71" s="78"/>
      <c r="F71" s="78"/>
      <c r="G71" s="78"/>
      <c r="H71" s="78"/>
      <c r="I71" s="79"/>
      <c r="J71" s="77"/>
      <c r="K71" s="79"/>
      <c r="L71" s="77"/>
      <c r="M71" s="79"/>
      <c r="N71" s="77"/>
      <c r="O71" s="79"/>
      <c r="P71" s="92"/>
      <c r="Q71" s="93"/>
      <c r="R71" s="80" t="str">
        <f t="shared" ref="R71" ca="1" si="18">IF(L71=""," ",IF(P71="Concluída"," ",IF(TODAY()&gt;L71,"EM ATRASO",IF(TODAY()=L71,"HOJE"," "))))</f>
        <v xml:space="preserve"> </v>
      </c>
      <c r="S71" s="81"/>
    </row>
    <row r="72" spans="2:19" x14ac:dyDescent="0.25">
      <c r="B72" s="73"/>
      <c r="C72" s="74"/>
      <c r="D72" s="80"/>
      <c r="E72" s="81"/>
      <c r="F72" s="81"/>
      <c r="G72" s="81"/>
      <c r="H72" s="81"/>
      <c r="I72" s="82"/>
      <c r="J72" s="80"/>
      <c r="K72" s="82"/>
      <c r="L72" s="80"/>
      <c r="M72" s="82"/>
      <c r="N72" s="80"/>
      <c r="O72" s="82"/>
      <c r="P72" s="94"/>
      <c r="Q72" s="95"/>
      <c r="R72" s="80"/>
      <c r="S72" s="81"/>
    </row>
    <row r="73" spans="2:19" x14ac:dyDescent="0.25">
      <c r="B73" s="75"/>
      <c r="C73" s="76"/>
      <c r="D73" s="83"/>
      <c r="E73" s="84"/>
      <c r="F73" s="84"/>
      <c r="G73" s="84"/>
      <c r="H73" s="84"/>
      <c r="I73" s="85"/>
      <c r="J73" s="83"/>
      <c r="K73" s="85"/>
      <c r="L73" s="83"/>
      <c r="M73" s="85"/>
      <c r="N73" s="83"/>
      <c r="O73" s="85"/>
      <c r="P73" s="96"/>
      <c r="Q73" s="97"/>
      <c r="R73" s="80"/>
      <c r="S73" s="81"/>
    </row>
    <row r="74" spans="2:19" x14ac:dyDescent="0.25">
      <c r="B74" s="71"/>
      <c r="C74" s="72"/>
      <c r="D74" s="77"/>
      <c r="E74" s="78"/>
      <c r="F74" s="78"/>
      <c r="G74" s="78"/>
      <c r="H74" s="78"/>
      <c r="I74" s="79"/>
      <c r="J74" s="77"/>
      <c r="K74" s="79"/>
      <c r="L74" s="77"/>
      <c r="M74" s="79"/>
      <c r="N74" s="77"/>
      <c r="O74" s="79"/>
      <c r="P74" s="92"/>
      <c r="Q74" s="93"/>
      <c r="R74" s="80" t="str">
        <f t="shared" ref="R74" ca="1" si="19">IF(L74=""," ",IF(P74="Concluída"," ",IF(TODAY()&gt;L74,"EM ATRASO",IF(TODAY()=L74,"HOJE"," "))))</f>
        <v xml:space="preserve"> </v>
      </c>
      <c r="S74" s="81"/>
    </row>
    <row r="75" spans="2:19" x14ac:dyDescent="0.25">
      <c r="B75" s="73"/>
      <c r="C75" s="74"/>
      <c r="D75" s="80"/>
      <c r="E75" s="81"/>
      <c r="F75" s="81"/>
      <c r="G75" s="81"/>
      <c r="H75" s="81"/>
      <c r="I75" s="82"/>
      <c r="J75" s="80"/>
      <c r="K75" s="82"/>
      <c r="L75" s="80"/>
      <c r="M75" s="82"/>
      <c r="N75" s="80"/>
      <c r="O75" s="82"/>
      <c r="P75" s="94"/>
      <c r="Q75" s="95"/>
      <c r="R75" s="80"/>
      <c r="S75" s="81"/>
    </row>
    <row r="76" spans="2:19" x14ac:dyDescent="0.25">
      <c r="B76" s="75"/>
      <c r="C76" s="76"/>
      <c r="D76" s="83"/>
      <c r="E76" s="84"/>
      <c r="F76" s="84"/>
      <c r="G76" s="84"/>
      <c r="H76" s="84"/>
      <c r="I76" s="85"/>
      <c r="J76" s="83"/>
      <c r="K76" s="85"/>
      <c r="L76" s="83"/>
      <c r="M76" s="85"/>
      <c r="N76" s="83"/>
      <c r="O76" s="85"/>
      <c r="P76" s="96"/>
      <c r="Q76" s="97"/>
      <c r="R76" s="80"/>
      <c r="S76" s="81"/>
    </row>
    <row r="77" spans="2:19" x14ac:dyDescent="0.25">
      <c r="B77" s="71"/>
      <c r="C77" s="72"/>
      <c r="D77" s="77"/>
      <c r="E77" s="78"/>
      <c r="F77" s="78"/>
      <c r="G77" s="78"/>
      <c r="H77" s="78"/>
      <c r="I77" s="79"/>
      <c r="J77" s="77"/>
      <c r="K77" s="79"/>
      <c r="L77" s="77"/>
      <c r="M77" s="79"/>
      <c r="N77" s="77"/>
      <c r="O77" s="79"/>
      <c r="P77" s="92"/>
      <c r="Q77" s="93"/>
      <c r="R77" s="80" t="str">
        <f t="shared" ref="R77" ca="1" si="20">IF(L77=""," ",IF(P77="Concluída"," ",IF(TODAY()&gt;L77,"EM ATRASO",IF(TODAY()=L77,"HOJE"," "))))</f>
        <v xml:space="preserve"> </v>
      </c>
      <c r="S77" s="81"/>
    </row>
    <row r="78" spans="2:19" x14ac:dyDescent="0.25">
      <c r="B78" s="73"/>
      <c r="C78" s="74"/>
      <c r="D78" s="80"/>
      <c r="E78" s="81"/>
      <c r="F78" s="81"/>
      <c r="G78" s="81"/>
      <c r="H78" s="81"/>
      <c r="I78" s="82"/>
      <c r="J78" s="80"/>
      <c r="K78" s="82"/>
      <c r="L78" s="80"/>
      <c r="M78" s="82"/>
      <c r="N78" s="80"/>
      <c r="O78" s="82"/>
      <c r="P78" s="94"/>
      <c r="Q78" s="95"/>
      <c r="R78" s="80"/>
      <c r="S78" s="81"/>
    </row>
    <row r="79" spans="2:19" x14ac:dyDescent="0.25">
      <c r="B79" s="75"/>
      <c r="C79" s="76"/>
      <c r="D79" s="83"/>
      <c r="E79" s="84"/>
      <c r="F79" s="84"/>
      <c r="G79" s="84"/>
      <c r="H79" s="84"/>
      <c r="I79" s="85"/>
      <c r="J79" s="83"/>
      <c r="K79" s="85"/>
      <c r="L79" s="83"/>
      <c r="M79" s="85"/>
      <c r="N79" s="83"/>
      <c r="O79" s="85"/>
      <c r="P79" s="96"/>
      <c r="Q79" s="97"/>
      <c r="R79" s="80"/>
      <c r="S79" s="81"/>
    </row>
    <row r="80" spans="2:19" x14ac:dyDescent="0.25">
      <c r="B80" s="71"/>
      <c r="C80" s="72"/>
      <c r="D80" s="77"/>
      <c r="E80" s="78"/>
      <c r="F80" s="78"/>
      <c r="G80" s="78"/>
      <c r="H80" s="78"/>
      <c r="I80" s="79"/>
      <c r="J80" s="77"/>
      <c r="K80" s="79"/>
      <c r="L80" s="77"/>
      <c r="M80" s="79"/>
      <c r="N80" s="77"/>
      <c r="O80" s="79"/>
      <c r="P80" s="92"/>
      <c r="Q80" s="93"/>
      <c r="R80" s="80" t="str">
        <f t="shared" ref="R80" ca="1" si="21">IF(L80=""," ",IF(P80="Concluída"," ",IF(TODAY()&gt;L80,"EM ATRASO",IF(TODAY()=L80,"HOJE"," "))))</f>
        <v xml:space="preserve"> </v>
      </c>
      <c r="S80" s="81"/>
    </row>
    <row r="81" spans="2:19" x14ac:dyDescent="0.25">
      <c r="B81" s="73"/>
      <c r="C81" s="74"/>
      <c r="D81" s="80"/>
      <c r="E81" s="81"/>
      <c r="F81" s="81"/>
      <c r="G81" s="81"/>
      <c r="H81" s="81"/>
      <c r="I81" s="82"/>
      <c r="J81" s="80"/>
      <c r="K81" s="82"/>
      <c r="L81" s="80"/>
      <c r="M81" s="82"/>
      <c r="N81" s="80"/>
      <c r="O81" s="82"/>
      <c r="P81" s="94"/>
      <c r="Q81" s="95"/>
      <c r="R81" s="80"/>
      <c r="S81" s="81"/>
    </row>
    <row r="82" spans="2:19" x14ac:dyDescent="0.25">
      <c r="B82" s="75"/>
      <c r="C82" s="76"/>
      <c r="D82" s="83"/>
      <c r="E82" s="84"/>
      <c r="F82" s="84"/>
      <c r="G82" s="84"/>
      <c r="H82" s="84"/>
      <c r="I82" s="85"/>
      <c r="J82" s="83"/>
      <c r="K82" s="85"/>
      <c r="L82" s="83"/>
      <c r="M82" s="85"/>
      <c r="N82" s="83"/>
      <c r="O82" s="85"/>
      <c r="P82" s="96"/>
      <c r="Q82" s="97"/>
      <c r="R82" s="80"/>
      <c r="S82" s="81"/>
    </row>
    <row r="83" spans="2:19" x14ac:dyDescent="0.25">
      <c r="B83" s="71"/>
      <c r="C83" s="72"/>
      <c r="D83" s="77"/>
      <c r="E83" s="78"/>
      <c r="F83" s="78"/>
      <c r="G83" s="78"/>
      <c r="H83" s="78"/>
      <c r="I83" s="79"/>
      <c r="J83" s="77"/>
      <c r="K83" s="79"/>
      <c r="L83" s="77"/>
      <c r="M83" s="79"/>
      <c r="N83" s="77"/>
      <c r="O83" s="79"/>
      <c r="P83" s="92"/>
      <c r="Q83" s="93"/>
      <c r="R83" s="80" t="str">
        <f t="shared" ref="R83" ca="1" si="22">IF(L83=""," ",IF(P83="Concluída"," ",IF(TODAY()&gt;L83,"EM ATRASO",IF(TODAY()=L83,"HOJE"," "))))</f>
        <v xml:space="preserve"> </v>
      </c>
      <c r="S83" s="81"/>
    </row>
    <row r="84" spans="2:19" x14ac:dyDescent="0.25">
      <c r="B84" s="73"/>
      <c r="C84" s="74"/>
      <c r="D84" s="80"/>
      <c r="E84" s="81"/>
      <c r="F84" s="81"/>
      <c r="G84" s="81"/>
      <c r="H84" s="81"/>
      <c r="I84" s="82"/>
      <c r="J84" s="80"/>
      <c r="K84" s="82"/>
      <c r="L84" s="80"/>
      <c r="M84" s="82"/>
      <c r="N84" s="80"/>
      <c r="O84" s="82"/>
      <c r="P84" s="94"/>
      <c r="Q84" s="95"/>
      <c r="R84" s="80"/>
      <c r="S84" s="81"/>
    </row>
    <row r="85" spans="2:19" x14ac:dyDescent="0.25">
      <c r="B85" s="75"/>
      <c r="C85" s="76"/>
      <c r="D85" s="83"/>
      <c r="E85" s="84"/>
      <c r="F85" s="84"/>
      <c r="G85" s="84"/>
      <c r="H85" s="84"/>
      <c r="I85" s="85"/>
      <c r="J85" s="83"/>
      <c r="K85" s="85"/>
      <c r="L85" s="83"/>
      <c r="M85" s="85"/>
      <c r="N85" s="83"/>
      <c r="O85" s="85"/>
      <c r="P85" s="96"/>
      <c r="Q85" s="97"/>
      <c r="R85" s="80"/>
      <c r="S85" s="81"/>
    </row>
    <row r="86" spans="2:19" x14ac:dyDescent="0.25">
      <c r="B86" s="71"/>
      <c r="C86" s="72"/>
      <c r="D86" s="77"/>
      <c r="E86" s="78"/>
      <c r="F86" s="78"/>
      <c r="G86" s="78"/>
      <c r="H86" s="78"/>
      <c r="I86" s="79"/>
      <c r="J86" s="77"/>
      <c r="K86" s="79"/>
      <c r="L86" s="77"/>
      <c r="M86" s="79"/>
      <c r="N86" s="77"/>
      <c r="O86" s="79"/>
      <c r="P86" s="92"/>
      <c r="Q86" s="93"/>
      <c r="R86" s="80" t="str">
        <f t="shared" ref="R86" ca="1" si="23">IF(L86=""," ",IF(P86="Concluída"," ",IF(TODAY()&gt;L86,"EM ATRASO",IF(TODAY()=L86,"HOJE"," "))))</f>
        <v xml:space="preserve"> </v>
      </c>
      <c r="S86" s="81"/>
    </row>
    <row r="87" spans="2:19" x14ac:dyDescent="0.25">
      <c r="B87" s="73"/>
      <c r="C87" s="74"/>
      <c r="D87" s="80"/>
      <c r="E87" s="81"/>
      <c r="F87" s="81"/>
      <c r="G87" s="81"/>
      <c r="H87" s="81"/>
      <c r="I87" s="82"/>
      <c r="J87" s="80"/>
      <c r="K87" s="82"/>
      <c r="L87" s="80"/>
      <c r="M87" s="82"/>
      <c r="N87" s="80"/>
      <c r="O87" s="82"/>
      <c r="P87" s="94"/>
      <c r="Q87" s="95"/>
      <c r="R87" s="80"/>
      <c r="S87" s="81"/>
    </row>
    <row r="88" spans="2:19" x14ac:dyDescent="0.25">
      <c r="B88" s="75"/>
      <c r="C88" s="76"/>
      <c r="D88" s="83"/>
      <c r="E88" s="84"/>
      <c r="F88" s="84"/>
      <c r="G88" s="84"/>
      <c r="H88" s="84"/>
      <c r="I88" s="85"/>
      <c r="J88" s="83"/>
      <c r="K88" s="85"/>
      <c r="L88" s="83"/>
      <c r="M88" s="85"/>
      <c r="N88" s="83"/>
      <c r="O88" s="85"/>
      <c r="P88" s="96"/>
      <c r="Q88" s="97"/>
      <c r="R88" s="80"/>
      <c r="S88" s="81"/>
    </row>
    <row r="89" spans="2:19" x14ac:dyDescent="0.25">
      <c r="B89" s="71"/>
      <c r="C89" s="72"/>
      <c r="D89" s="77"/>
      <c r="E89" s="78"/>
      <c r="F89" s="78"/>
      <c r="G89" s="78"/>
      <c r="H89" s="78"/>
      <c r="I89" s="79"/>
      <c r="J89" s="77"/>
      <c r="K89" s="79"/>
      <c r="L89" s="77"/>
      <c r="M89" s="79"/>
      <c r="N89" s="77"/>
      <c r="O89" s="79"/>
      <c r="P89" s="92"/>
      <c r="Q89" s="93"/>
      <c r="R89" s="80" t="str">
        <f t="shared" ref="R89" ca="1" si="24">IF(L89=""," ",IF(P89="Concluída"," ",IF(TODAY()&gt;L89,"EM ATRASO",IF(TODAY()=L89,"HOJE"," "))))</f>
        <v xml:space="preserve"> </v>
      </c>
      <c r="S89" s="81"/>
    </row>
    <row r="90" spans="2:19" x14ac:dyDescent="0.25">
      <c r="B90" s="73"/>
      <c r="C90" s="74"/>
      <c r="D90" s="80"/>
      <c r="E90" s="81"/>
      <c r="F90" s="81"/>
      <c r="G90" s="81"/>
      <c r="H90" s="81"/>
      <c r="I90" s="82"/>
      <c r="J90" s="80"/>
      <c r="K90" s="82"/>
      <c r="L90" s="80"/>
      <c r="M90" s="82"/>
      <c r="N90" s="80"/>
      <c r="O90" s="82"/>
      <c r="P90" s="94"/>
      <c r="Q90" s="95"/>
      <c r="R90" s="80"/>
      <c r="S90" s="81"/>
    </row>
    <row r="91" spans="2:19" x14ac:dyDescent="0.25">
      <c r="B91" s="75"/>
      <c r="C91" s="76"/>
      <c r="D91" s="83"/>
      <c r="E91" s="84"/>
      <c r="F91" s="84"/>
      <c r="G91" s="84"/>
      <c r="H91" s="84"/>
      <c r="I91" s="85"/>
      <c r="J91" s="83"/>
      <c r="K91" s="85"/>
      <c r="L91" s="83"/>
      <c r="M91" s="85"/>
      <c r="N91" s="83"/>
      <c r="O91" s="85"/>
      <c r="P91" s="96"/>
      <c r="Q91" s="97"/>
      <c r="R91" s="80"/>
      <c r="S91" s="81"/>
    </row>
    <row r="92" spans="2:19" x14ac:dyDescent="0.25">
      <c r="B92" s="71"/>
      <c r="C92" s="72"/>
      <c r="D92" s="77"/>
      <c r="E92" s="78"/>
      <c r="F92" s="78"/>
      <c r="G92" s="78"/>
      <c r="H92" s="78"/>
      <c r="I92" s="79"/>
      <c r="J92" s="77"/>
      <c r="K92" s="79"/>
      <c r="L92" s="77"/>
      <c r="M92" s="79"/>
      <c r="N92" s="77"/>
      <c r="O92" s="79"/>
      <c r="P92" s="92"/>
      <c r="Q92" s="93"/>
      <c r="R92" s="80" t="str">
        <f t="shared" ref="R92" ca="1" si="25">IF(L92=""," ",IF(P92="Concluída"," ",IF(TODAY()&gt;L92,"EM ATRASO",IF(TODAY()=L92,"HOJE"," "))))</f>
        <v xml:space="preserve"> </v>
      </c>
      <c r="S92" s="81"/>
    </row>
    <row r="93" spans="2:19" x14ac:dyDescent="0.25">
      <c r="B93" s="73"/>
      <c r="C93" s="74"/>
      <c r="D93" s="80"/>
      <c r="E93" s="81"/>
      <c r="F93" s="81"/>
      <c r="G93" s="81"/>
      <c r="H93" s="81"/>
      <c r="I93" s="82"/>
      <c r="J93" s="80"/>
      <c r="K93" s="82"/>
      <c r="L93" s="80"/>
      <c r="M93" s="82"/>
      <c r="N93" s="80"/>
      <c r="O93" s="82"/>
      <c r="P93" s="94"/>
      <c r="Q93" s="95"/>
      <c r="R93" s="80"/>
      <c r="S93" s="81"/>
    </row>
    <row r="94" spans="2:19" x14ac:dyDescent="0.25">
      <c r="B94" s="75"/>
      <c r="C94" s="76"/>
      <c r="D94" s="83"/>
      <c r="E94" s="84"/>
      <c r="F94" s="84"/>
      <c r="G94" s="84"/>
      <c r="H94" s="84"/>
      <c r="I94" s="85"/>
      <c r="J94" s="83"/>
      <c r="K94" s="85"/>
      <c r="L94" s="83"/>
      <c r="M94" s="85"/>
      <c r="N94" s="83"/>
      <c r="O94" s="85"/>
      <c r="P94" s="96"/>
      <c r="Q94" s="97"/>
      <c r="R94" s="80"/>
      <c r="S94" s="81"/>
    </row>
    <row r="95" spans="2:19" x14ac:dyDescent="0.25">
      <c r="B95" s="71"/>
      <c r="C95" s="72"/>
      <c r="D95" s="77"/>
      <c r="E95" s="78"/>
      <c r="F95" s="78"/>
      <c r="G95" s="78"/>
      <c r="H95" s="78"/>
      <c r="I95" s="79"/>
      <c r="J95" s="77"/>
      <c r="K95" s="79"/>
      <c r="L95" s="77"/>
      <c r="M95" s="79"/>
      <c r="N95" s="77"/>
      <c r="O95" s="79"/>
      <c r="P95" s="92"/>
      <c r="Q95" s="93"/>
      <c r="R95" s="80" t="str">
        <f t="shared" ref="R95" ca="1" si="26">IF(L95=""," ",IF(P95="Concluída"," ",IF(TODAY()&gt;L95,"EM ATRASO",IF(TODAY()=L95,"HOJE"," "))))</f>
        <v xml:space="preserve"> </v>
      </c>
      <c r="S95" s="81"/>
    </row>
    <row r="96" spans="2:19" x14ac:dyDescent="0.25">
      <c r="B96" s="73"/>
      <c r="C96" s="74"/>
      <c r="D96" s="80"/>
      <c r="E96" s="81"/>
      <c r="F96" s="81"/>
      <c r="G96" s="81"/>
      <c r="H96" s="81"/>
      <c r="I96" s="82"/>
      <c r="J96" s="80"/>
      <c r="K96" s="82"/>
      <c r="L96" s="80"/>
      <c r="M96" s="82"/>
      <c r="N96" s="80"/>
      <c r="O96" s="82"/>
      <c r="P96" s="94"/>
      <c r="Q96" s="95"/>
      <c r="R96" s="80"/>
      <c r="S96" s="81"/>
    </row>
    <row r="97" spans="2:19" x14ac:dyDescent="0.25">
      <c r="B97" s="75"/>
      <c r="C97" s="76"/>
      <c r="D97" s="83"/>
      <c r="E97" s="84"/>
      <c r="F97" s="84"/>
      <c r="G97" s="84"/>
      <c r="H97" s="84"/>
      <c r="I97" s="85"/>
      <c r="J97" s="83"/>
      <c r="K97" s="85"/>
      <c r="L97" s="83"/>
      <c r="M97" s="85"/>
      <c r="N97" s="83"/>
      <c r="O97" s="85"/>
      <c r="P97" s="96"/>
      <c r="Q97" s="97"/>
      <c r="R97" s="80"/>
      <c r="S97" s="81"/>
    </row>
    <row r="98" spans="2:19" x14ac:dyDescent="0.25">
      <c r="B98" s="71"/>
      <c r="C98" s="72"/>
      <c r="D98" s="77"/>
      <c r="E98" s="78"/>
      <c r="F98" s="78"/>
      <c r="G98" s="78"/>
      <c r="H98" s="78"/>
      <c r="I98" s="79"/>
      <c r="J98" s="77"/>
      <c r="K98" s="79"/>
      <c r="L98" s="77"/>
      <c r="M98" s="79"/>
      <c r="N98" s="77"/>
      <c r="O98" s="79"/>
      <c r="P98" s="92"/>
      <c r="Q98" s="93"/>
      <c r="R98" s="80" t="str">
        <f t="shared" ref="R98" ca="1" si="27">IF(L98=""," ",IF(P98="Concluída"," ",IF(TODAY()&gt;L98,"EM ATRASO",IF(TODAY()=L98,"HOJE"," "))))</f>
        <v xml:space="preserve"> </v>
      </c>
      <c r="S98" s="81"/>
    </row>
    <row r="99" spans="2:19" x14ac:dyDescent="0.25">
      <c r="B99" s="73"/>
      <c r="C99" s="74"/>
      <c r="D99" s="80"/>
      <c r="E99" s="81"/>
      <c r="F99" s="81"/>
      <c r="G99" s="81"/>
      <c r="H99" s="81"/>
      <c r="I99" s="82"/>
      <c r="J99" s="80"/>
      <c r="K99" s="82"/>
      <c r="L99" s="80"/>
      <c r="M99" s="82"/>
      <c r="N99" s="80"/>
      <c r="O99" s="82"/>
      <c r="P99" s="94"/>
      <c r="Q99" s="95"/>
      <c r="R99" s="80"/>
      <c r="S99" s="81"/>
    </row>
    <row r="100" spans="2:19" x14ac:dyDescent="0.25">
      <c r="B100" s="75"/>
      <c r="C100" s="76"/>
      <c r="D100" s="83"/>
      <c r="E100" s="84"/>
      <c r="F100" s="84"/>
      <c r="G100" s="84"/>
      <c r="H100" s="84"/>
      <c r="I100" s="85"/>
      <c r="J100" s="83"/>
      <c r="K100" s="85"/>
      <c r="L100" s="83"/>
      <c r="M100" s="85"/>
      <c r="N100" s="83"/>
      <c r="O100" s="85"/>
      <c r="P100" s="96"/>
      <c r="Q100" s="97"/>
      <c r="R100" s="80"/>
      <c r="S100" s="81"/>
    </row>
    <row r="101" spans="2:19" x14ac:dyDescent="0.25">
      <c r="B101" s="71"/>
      <c r="C101" s="72"/>
      <c r="D101" s="77"/>
      <c r="E101" s="78"/>
      <c r="F101" s="78"/>
      <c r="G101" s="78"/>
      <c r="H101" s="78"/>
      <c r="I101" s="79"/>
      <c r="J101" s="77"/>
      <c r="K101" s="79"/>
      <c r="L101" s="77"/>
      <c r="M101" s="79"/>
      <c r="N101" s="77"/>
      <c r="O101" s="79"/>
      <c r="P101" s="92"/>
      <c r="Q101" s="93"/>
    </row>
    <row r="102" spans="2:19" x14ac:dyDescent="0.25">
      <c r="B102" s="73"/>
      <c r="C102" s="74"/>
      <c r="D102" s="80"/>
      <c r="E102" s="81"/>
      <c r="F102" s="81"/>
      <c r="G102" s="81"/>
      <c r="H102" s="81"/>
      <c r="I102" s="82"/>
      <c r="J102" s="80"/>
      <c r="K102" s="82"/>
      <c r="L102" s="80"/>
      <c r="M102" s="82"/>
      <c r="N102" s="80"/>
      <c r="O102" s="82"/>
      <c r="P102" s="94"/>
      <c r="Q102" s="95"/>
    </row>
    <row r="103" spans="2:19" x14ac:dyDescent="0.25">
      <c r="B103" s="75"/>
      <c r="C103" s="76"/>
      <c r="D103" s="83"/>
      <c r="E103" s="84"/>
      <c r="F103" s="84"/>
      <c r="G103" s="84"/>
      <c r="H103" s="84"/>
      <c r="I103" s="85"/>
      <c r="J103" s="83"/>
      <c r="K103" s="85"/>
      <c r="L103" s="83"/>
      <c r="M103" s="85"/>
      <c r="N103" s="83"/>
      <c r="O103" s="85"/>
      <c r="P103" s="96"/>
      <c r="Q103" s="97"/>
    </row>
    <row r="104" spans="2:19" x14ac:dyDescent="0.25">
      <c r="B104" s="71"/>
      <c r="C104" s="72"/>
      <c r="D104" s="77"/>
      <c r="E104" s="78"/>
      <c r="F104" s="78"/>
      <c r="G104" s="78"/>
      <c r="H104" s="78"/>
      <c r="I104" s="79"/>
      <c r="J104" s="77"/>
      <c r="K104" s="79"/>
      <c r="L104" s="77"/>
      <c r="M104" s="79"/>
      <c r="N104" s="77"/>
      <c r="O104" s="79"/>
      <c r="P104" s="92"/>
      <c r="Q104" s="93"/>
    </row>
    <row r="105" spans="2:19" x14ac:dyDescent="0.25">
      <c r="B105" s="73"/>
      <c r="C105" s="74"/>
      <c r="D105" s="80"/>
      <c r="E105" s="81"/>
      <c r="F105" s="81"/>
      <c r="G105" s="81"/>
      <c r="H105" s="81"/>
      <c r="I105" s="82"/>
      <c r="J105" s="80"/>
      <c r="K105" s="82"/>
      <c r="L105" s="80"/>
      <c r="M105" s="82"/>
      <c r="N105" s="80"/>
      <c r="O105" s="82"/>
      <c r="P105" s="94"/>
      <c r="Q105" s="95"/>
    </row>
    <row r="106" spans="2:19" x14ac:dyDescent="0.25">
      <c r="B106" s="75"/>
      <c r="C106" s="76"/>
      <c r="D106" s="83"/>
      <c r="E106" s="84"/>
      <c r="F106" s="84"/>
      <c r="G106" s="84"/>
      <c r="H106" s="84"/>
      <c r="I106" s="85"/>
      <c r="J106" s="83"/>
      <c r="K106" s="85"/>
      <c r="L106" s="83"/>
      <c r="M106" s="85"/>
      <c r="N106" s="83"/>
      <c r="O106" s="85"/>
      <c r="P106" s="96"/>
      <c r="Q106" s="97"/>
    </row>
    <row r="107" spans="2:19" x14ac:dyDescent="0.25">
      <c r="B107" s="71"/>
      <c r="C107" s="72"/>
      <c r="D107" s="77"/>
      <c r="E107" s="78"/>
      <c r="F107" s="78"/>
      <c r="G107" s="78"/>
      <c r="H107" s="78"/>
      <c r="I107" s="79"/>
      <c r="J107" s="77"/>
      <c r="K107" s="79"/>
      <c r="L107" s="77"/>
      <c r="M107" s="79"/>
      <c r="N107" s="77"/>
      <c r="O107" s="79"/>
      <c r="P107" s="92"/>
      <c r="Q107" s="93"/>
    </row>
    <row r="108" spans="2:19" x14ac:dyDescent="0.25">
      <c r="B108" s="73"/>
      <c r="C108" s="74"/>
      <c r="D108" s="80"/>
      <c r="E108" s="81"/>
      <c r="F108" s="81"/>
      <c r="G108" s="81"/>
      <c r="H108" s="81"/>
      <c r="I108" s="82"/>
      <c r="J108" s="80"/>
      <c r="K108" s="82"/>
      <c r="L108" s="80"/>
      <c r="M108" s="82"/>
      <c r="N108" s="80"/>
      <c r="O108" s="82"/>
      <c r="P108" s="94"/>
      <c r="Q108" s="95"/>
    </row>
    <row r="109" spans="2:19" x14ac:dyDescent="0.25">
      <c r="B109" s="75"/>
      <c r="C109" s="76"/>
      <c r="D109" s="83"/>
      <c r="E109" s="84"/>
      <c r="F109" s="84"/>
      <c r="G109" s="84"/>
      <c r="H109" s="84"/>
      <c r="I109" s="85"/>
      <c r="J109" s="83"/>
      <c r="K109" s="85"/>
      <c r="L109" s="83"/>
      <c r="M109" s="85"/>
      <c r="N109" s="83"/>
      <c r="O109" s="85"/>
      <c r="P109" s="96"/>
      <c r="Q109" s="97"/>
    </row>
    <row r="110" spans="2:19" x14ac:dyDescent="0.25">
      <c r="B110" s="71"/>
      <c r="C110" s="72"/>
      <c r="D110" s="77"/>
      <c r="E110" s="78"/>
      <c r="F110" s="78"/>
      <c r="G110" s="78"/>
      <c r="H110" s="78"/>
      <c r="I110" s="79"/>
      <c r="J110" s="77"/>
      <c r="K110" s="79"/>
      <c r="L110" s="77"/>
      <c r="M110" s="79"/>
      <c r="N110" s="77"/>
      <c r="O110" s="79"/>
      <c r="P110" s="92"/>
      <c r="Q110" s="93"/>
    </row>
    <row r="111" spans="2:19" x14ac:dyDescent="0.25">
      <c r="B111" s="73"/>
      <c r="C111" s="74"/>
      <c r="D111" s="80"/>
      <c r="E111" s="81"/>
      <c r="F111" s="81"/>
      <c r="G111" s="81"/>
      <c r="H111" s="81"/>
      <c r="I111" s="82"/>
      <c r="J111" s="80"/>
      <c r="K111" s="82"/>
      <c r="L111" s="80"/>
      <c r="M111" s="82"/>
      <c r="N111" s="80"/>
      <c r="O111" s="82"/>
      <c r="P111" s="94"/>
      <c r="Q111" s="95"/>
    </row>
    <row r="112" spans="2:19" x14ac:dyDescent="0.25">
      <c r="B112" s="75"/>
      <c r="C112" s="76"/>
      <c r="D112" s="83"/>
      <c r="E112" s="84"/>
      <c r="F112" s="84"/>
      <c r="G112" s="84"/>
      <c r="H112" s="84"/>
      <c r="I112" s="85"/>
      <c r="J112" s="83"/>
      <c r="K112" s="85"/>
      <c r="L112" s="83"/>
      <c r="M112" s="85"/>
      <c r="N112" s="83"/>
      <c r="O112" s="85"/>
      <c r="P112" s="96"/>
      <c r="Q112" s="97"/>
    </row>
    <row r="113" spans="2:17" x14ac:dyDescent="0.25">
      <c r="B113" s="71"/>
      <c r="C113" s="72"/>
      <c r="D113" s="77"/>
      <c r="E113" s="78"/>
      <c r="F113" s="78"/>
      <c r="G113" s="78"/>
      <c r="H113" s="78"/>
      <c r="I113" s="79"/>
      <c r="J113" s="77"/>
      <c r="K113" s="79"/>
      <c r="L113" s="77"/>
      <c r="M113" s="79"/>
      <c r="N113" s="77"/>
      <c r="O113" s="79"/>
      <c r="P113" s="92"/>
      <c r="Q113" s="93"/>
    </row>
    <row r="114" spans="2:17" x14ac:dyDescent="0.25">
      <c r="B114" s="73"/>
      <c r="C114" s="74"/>
      <c r="D114" s="80"/>
      <c r="E114" s="81"/>
      <c r="F114" s="81"/>
      <c r="G114" s="81"/>
      <c r="H114" s="81"/>
      <c r="I114" s="82"/>
      <c r="J114" s="80"/>
      <c r="K114" s="82"/>
      <c r="L114" s="80"/>
      <c r="M114" s="82"/>
      <c r="N114" s="80"/>
      <c r="O114" s="82"/>
      <c r="P114" s="94"/>
      <c r="Q114" s="95"/>
    </row>
    <row r="115" spans="2:17" x14ac:dyDescent="0.25">
      <c r="B115" s="75"/>
      <c r="C115" s="76"/>
      <c r="D115" s="83"/>
      <c r="E115" s="84"/>
      <c r="F115" s="84"/>
      <c r="G115" s="84"/>
      <c r="H115" s="84"/>
      <c r="I115" s="85"/>
      <c r="J115" s="83"/>
      <c r="K115" s="85"/>
      <c r="L115" s="83"/>
      <c r="M115" s="85"/>
      <c r="N115" s="83"/>
      <c r="O115" s="85"/>
      <c r="P115" s="96"/>
      <c r="Q115" s="97"/>
    </row>
    <row r="116" spans="2:17" x14ac:dyDescent="0.25">
      <c r="B116" s="71"/>
      <c r="C116" s="72"/>
      <c r="D116" s="77"/>
      <c r="E116" s="78"/>
      <c r="F116" s="78"/>
      <c r="G116" s="78"/>
      <c r="H116" s="78"/>
      <c r="I116" s="79"/>
      <c r="J116" s="77"/>
      <c r="K116" s="79"/>
      <c r="L116" s="77"/>
      <c r="M116" s="79"/>
      <c r="N116" s="77"/>
      <c r="O116" s="79"/>
      <c r="P116" s="92"/>
      <c r="Q116" s="93"/>
    </row>
    <row r="117" spans="2:17" x14ac:dyDescent="0.25">
      <c r="B117" s="73"/>
      <c r="C117" s="74"/>
      <c r="D117" s="80"/>
      <c r="E117" s="81"/>
      <c r="F117" s="81"/>
      <c r="G117" s="81"/>
      <c r="H117" s="81"/>
      <c r="I117" s="82"/>
      <c r="J117" s="80"/>
      <c r="K117" s="82"/>
      <c r="L117" s="80"/>
      <c r="M117" s="82"/>
      <c r="N117" s="80"/>
      <c r="O117" s="82"/>
      <c r="P117" s="94"/>
      <c r="Q117" s="95"/>
    </row>
    <row r="118" spans="2:17" x14ac:dyDescent="0.25">
      <c r="B118" s="75"/>
      <c r="C118" s="76"/>
      <c r="D118" s="83"/>
      <c r="E118" s="84"/>
      <c r="F118" s="84"/>
      <c r="G118" s="84"/>
      <c r="H118" s="84"/>
      <c r="I118" s="85"/>
      <c r="J118" s="83"/>
      <c r="K118" s="85"/>
      <c r="L118" s="83"/>
      <c r="M118" s="85"/>
      <c r="N118" s="83"/>
      <c r="O118" s="85"/>
      <c r="P118" s="96"/>
      <c r="Q118" s="97"/>
    </row>
    <row r="119" spans="2:17" x14ac:dyDescent="0.25">
      <c r="B119" s="71"/>
      <c r="C119" s="72"/>
      <c r="D119" s="77"/>
      <c r="E119" s="78"/>
      <c r="F119" s="78"/>
      <c r="G119" s="78"/>
      <c r="H119" s="78"/>
      <c r="I119" s="79"/>
      <c r="J119" s="77"/>
      <c r="K119" s="79"/>
      <c r="L119" s="77"/>
      <c r="M119" s="79"/>
      <c r="N119" s="77"/>
      <c r="O119" s="79"/>
      <c r="P119" s="92"/>
      <c r="Q119" s="93"/>
    </row>
    <row r="120" spans="2:17" x14ac:dyDescent="0.25">
      <c r="B120" s="73"/>
      <c r="C120" s="74"/>
      <c r="D120" s="80"/>
      <c r="E120" s="81"/>
      <c r="F120" s="81"/>
      <c r="G120" s="81"/>
      <c r="H120" s="81"/>
      <c r="I120" s="82"/>
      <c r="J120" s="80"/>
      <c r="K120" s="82"/>
      <c r="L120" s="80"/>
      <c r="M120" s="82"/>
      <c r="N120" s="80"/>
      <c r="O120" s="82"/>
      <c r="P120" s="94"/>
      <c r="Q120" s="95"/>
    </row>
    <row r="121" spans="2:17" x14ac:dyDescent="0.25">
      <c r="B121" s="75"/>
      <c r="C121" s="76"/>
      <c r="D121" s="83"/>
      <c r="E121" s="84"/>
      <c r="F121" s="84"/>
      <c r="G121" s="84"/>
      <c r="H121" s="84"/>
      <c r="I121" s="85"/>
      <c r="J121" s="83"/>
      <c r="K121" s="85"/>
      <c r="L121" s="83"/>
      <c r="M121" s="85"/>
      <c r="N121" s="83"/>
      <c r="O121" s="85"/>
      <c r="P121" s="96"/>
      <c r="Q121" s="97"/>
    </row>
    <row r="122" spans="2:17" x14ac:dyDescent="0.25">
      <c r="B122" s="71"/>
      <c r="C122" s="72"/>
      <c r="D122" s="77"/>
      <c r="E122" s="78"/>
      <c r="F122" s="78"/>
      <c r="G122" s="78"/>
      <c r="H122" s="78"/>
      <c r="I122" s="79"/>
      <c r="J122" s="77"/>
      <c r="K122" s="79"/>
      <c r="L122" s="77"/>
      <c r="M122" s="79"/>
      <c r="N122" s="77"/>
      <c r="O122" s="79"/>
      <c r="P122" s="92"/>
      <c r="Q122" s="93"/>
    </row>
    <row r="123" spans="2:17" x14ac:dyDescent="0.25">
      <c r="B123" s="73"/>
      <c r="C123" s="74"/>
      <c r="D123" s="80"/>
      <c r="E123" s="81"/>
      <c r="F123" s="81"/>
      <c r="G123" s="81"/>
      <c r="H123" s="81"/>
      <c r="I123" s="82"/>
      <c r="J123" s="80"/>
      <c r="K123" s="82"/>
      <c r="L123" s="80"/>
      <c r="M123" s="82"/>
      <c r="N123" s="80"/>
      <c r="O123" s="82"/>
      <c r="P123" s="94"/>
      <c r="Q123" s="95"/>
    </row>
    <row r="124" spans="2:17" x14ac:dyDescent="0.25">
      <c r="B124" s="75"/>
      <c r="C124" s="76"/>
      <c r="D124" s="83"/>
      <c r="E124" s="84"/>
      <c r="F124" s="84"/>
      <c r="G124" s="84"/>
      <c r="H124" s="84"/>
      <c r="I124" s="85"/>
      <c r="J124" s="83"/>
      <c r="K124" s="85"/>
      <c r="L124" s="83"/>
      <c r="M124" s="85"/>
      <c r="N124" s="83"/>
      <c r="O124" s="85"/>
      <c r="P124" s="96"/>
      <c r="Q124" s="97"/>
    </row>
    <row r="125" spans="2:17" x14ac:dyDescent="0.25">
      <c r="B125" s="71"/>
      <c r="C125" s="72"/>
      <c r="D125" s="77"/>
      <c r="E125" s="78"/>
      <c r="F125" s="78"/>
      <c r="G125" s="78"/>
      <c r="H125" s="78"/>
      <c r="I125" s="79"/>
      <c r="J125" s="77"/>
      <c r="K125" s="79"/>
      <c r="L125" s="77"/>
      <c r="M125" s="79"/>
      <c r="N125" s="77"/>
      <c r="O125" s="79"/>
      <c r="P125" s="92"/>
      <c r="Q125" s="93"/>
    </row>
    <row r="126" spans="2:17" x14ac:dyDescent="0.25">
      <c r="B126" s="73"/>
      <c r="C126" s="74"/>
      <c r="D126" s="80"/>
      <c r="E126" s="81"/>
      <c r="F126" s="81"/>
      <c r="G126" s="81"/>
      <c r="H126" s="81"/>
      <c r="I126" s="82"/>
      <c r="J126" s="80"/>
      <c r="K126" s="82"/>
      <c r="L126" s="80"/>
      <c r="M126" s="82"/>
      <c r="N126" s="80"/>
      <c r="O126" s="82"/>
      <c r="P126" s="94"/>
      <c r="Q126" s="95"/>
    </row>
    <row r="127" spans="2:17" x14ac:dyDescent="0.25">
      <c r="B127" s="75"/>
      <c r="C127" s="76"/>
      <c r="D127" s="83"/>
      <c r="E127" s="84"/>
      <c r="F127" s="84"/>
      <c r="G127" s="84"/>
      <c r="H127" s="84"/>
      <c r="I127" s="85"/>
      <c r="J127" s="83"/>
      <c r="K127" s="85"/>
      <c r="L127" s="83"/>
      <c r="M127" s="85"/>
      <c r="N127" s="83"/>
      <c r="O127" s="85"/>
      <c r="P127" s="96"/>
      <c r="Q127" s="97"/>
    </row>
    <row r="128" spans="2:17" x14ac:dyDescent="0.25">
      <c r="B128" s="71"/>
      <c r="C128" s="72"/>
      <c r="D128" s="77"/>
      <c r="E128" s="78"/>
      <c r="F128" s="78"/>
      <c r="G128" s="78"/>
      <c r="H128" s="78"/>
      <c r="I128" s="79"/>
      <c r="J128" s="77"/>
      <c r="K128" s="79"/>
      <c r="L128" s="77"/>
      <c r="M128" s="79"/>
      <c r="N128" s="77"/>
      <c r="O128" s="79"/>
      <c r="P128" s="92"/>
      <c r="Q128" s="93"/>
    </row>
    <row r="129" spans="2:17" x14ac:dyDescent="0.25">
      <c r="B129" s="73"/>
      <c r="C129" s="74"/>
      <c r="D129" s="80"/>
      <c r="E129" s="81"/>
      <c r="F129" s="81"/>
      <c r="G129" s="81"/>
      <c r="H129" s="81"/>
      <c r="I129" s="82"/>
      <c r="J129" s="80"/>
      <c r="K129" s="82"/>
      <c r="L129" s="80"/>
      <c r="M129" s="82"/>
      <c r="N129" s="80"/>
      <c r="O129" s="82"/>
      <c r="P129" s="94"/>
      <c r="Q129" s="95"/>
    </row>
    <row r="130" spans="2:17" x14ac:dyDescent="0.25">
      <c r="B130" s="75"/>
      <c r="C130" s="76"/>
      <c r="D130" s="83"/>
      <c r="E130" s="84"/>
      <c r="F130" s="84"/>
      <c r="G130" s="84"/>
      <c r="H130" s="84"/>
      <c r="I130" s="85"/>
      <c r="J130" s="83"/>
      <c r="K130" s="85"/>
      <c r="L130" s="83"/>
      <c r="M130" s="85"/>
      <c r="N130" s="83"/>
      <c r="O130" s="85"/>
      <c r="P130" s="96"/>
      <c r="Q130" s="97"/>
    </row>
    <row r="131" spans="2:17" x14ac:dyDescent="0.25">
      <c r="B131" s="71"/>
      <c r="C131" s="72"/>
      <c r="D131" s="77"/>
      <c r="E131" s="78"/>
      <c r="F131" s="78"/>
      <c r="G131" s="78"/>
      <c r="H131" s="78"/>
      <c r="I131" s="79"/>
      <c r="J131" s="77"/>
      <c r="K131" s="79"/>
      <c r="L131" s="77"/>
      <c r="M131" s="79"/>
      <c r="N131" s="77"/>
      <c r="O131" s="79"/>
      <c r="P131" s="92"/>
      <c r="Q131" s="93"/>
    </row>
    <row r="132" spans="2:17" x14ac:dyDescent="0.25">
      <c r="B132" s="73"/>
      <c r="C132" s="74"/>
      <c r="D132" s="80"/>
      <c r="E132" s="81"/>
      <c r="F132" s="81"/>
      <c r="G132" s="81"/>
      <c r="H132" s="81"/>
      <c r="I132" s="82"/>
      <c r="J132" s="80"/>
      <c r="K132" s="82"/>
      <c r="L132" s="80"/>
      <c r="M132" s="82"/>
      <c r="N132" s="80"/>
      <c r="O132" s="82"/>
      <c r="P132" s="94"/>
      <c r="Q132" s="95"/>
    </row>
    <row r="133" spans="2:17" x14ac:dyDescent="0.25">
      <c r="B133" s="75"/>
      <c r="C133" s="76"/>
      <c r="D133" s="83"/>
      <c r="E133" s="84"/>
      <c r="F133" s="84"/>
      <c r="G133" s="84"/>
      <c r="H133" s="84"/>
      <c r="I133" s="85"/>
      <c r="J133" s="83"/>
      <c r="K133" s="85"/>
      <c r="L133" s="83"/>
      <c r="M133" s="85"/>
      <c r="N133" s="83"/>
      <c r="O133" s="85"/>
      <c r="P133" s="96"/>
      <c r="Q133" s="97"/>
    </row>
    <row r="134" spans="2:17" x14ac:dyDescent="0.25">
      <c r="B134" s="71"/>
      <c r="C134" s="72"/>
      <c r="D134" s="77"/>
      <c r="E134" s="78"/>
      <c r="F134" s="78"/>
      <c r="G134" s="78"/>
      <c r="H134" s="78"/>
      <c r="I134" s="79"/>
      <c r="J134" s="77"/>
      <c r="K134" s="79"/>
      <c r="L134" s="77"/>
      <c r="M134" s="79"/>
      <c r="N134" s="77"/>
      <c r="O134" s="79"/>
      <c r="P134" s="92"/>
      <c r="Q134" s="93"/>
    </row>
    <row r="135" spans="2:17" x14ac:dyDescent="0.25">
      <c r="B135" s="73"/>
      <c r="C135" s="74"/>
      <c r="D135" s="80"/>
      <c r="E135" s="81"/>
      <c r="F135" s="81"/>
      <c r="G135" s="81"/>
      <c r="H135" s="81"/>
      <c r="I135" s="82"/>
      <c r="J135" s="80"/>
      <c r="K135" s="82"/>
      <c r="L135" s="80"/>
      <c r="M135" s="82"/>
      <c r="N135" s="80"/>
      <c r="O135" s="82"/>
      <c r="P135" s="94"/>
      <c r="Q135" s="95"/>
    </row>
    <row r="136" spans="2:17" x14ac:dyDescent="0.25">
      <c r="B136" s="75"/>
      <c r="C136" s="76"/>
      <c r="D136" s="83"/>
      <c r="E136" s="84"/>
      <c r="F136" s="84"/>
      <c r="G136" s="84"/>
      <c r="H136" s="84"/>
      <c r="I136" s="85"/>
      <c r="J136" s="83"/>
      <c r="K136" s="85"/>
      <c r="L136" s="83"/>
      <c r="M136" s="85"/>
      <c r="N136" s="83"/>
      <c r="O136" s="85"/>
      <c r="P136" s="96"/>
      <c r="Q136" s="97"/>
    </row>
    <row r="137" spans="2:17" x14ac:dyDescent="0.25">
      <c r="B137" s="71"/>
      <c r="C137" s="72"/>
      <c r="D137" s="77"/>
      <c r="E137" s="78"/>
      <c r="F137" s="78"/>
      <c r="G137" s="78"/>
      <c r="H137" s="78"/>
      <c r="I137" s="79"/>
      <c r="J137" s="77"/>
      <c r="K137" s="79"/>
      <c r="L137" s="77"/>
      <c r="M137" s="79"/>
      <c r="N137" s="77"/>
      <c r="O137" s="79"/>
      <c r="P137" s="92"/>
      <c r="Q137" s="93"/>
    </row>
    <row r="138" spans="2:17" x14ac:dyDescent="0.25">
      <c r="B138" s="73"/>
      <c r="C138" s="74"/>
      <c r="D138" s="80"/>
      <c r="E138" s="81"/>
      <c r="F138" s="81"/>
      <c r="G138" s="81"/>
      <c r="H138" s="81"/>
      <c r="I138" s="82"/>
      <c r="J138" s="80"/>
      <c r="K138" s="82"/>
      <c r="L138" s="80"/>
      <c r="M138" s="82"/>
      <c r="N138" s="80"/>
      <c r="O138" s="82"/>
      <c r="P138" s="94"/>
      <c r="Q138" s="95"/>
    </row>
    <row r="139" spans="2:17" x14ac:dyDescent="0.25">
      <c r="B139" s="75"/>
      <c r="C139" s="76"/>
      <c r="D139" s="83"/>
      <c r="E139" s="84"/>
      <c r="F139" s="84"/>
      <c r="G139" s="84"/>
      <c r="H139" s="84"/>
      <c r="I139" s="85"/>
      <c r="J139" s="83"/>
      <c r="K139" s="85"/>
      <c r="L139" s="83"/>
      <c r="M139" s="85"/>
      <c r="N139" s="83"/>
      <c r="O139" s="85"/>
      <c r="P139" s="96"/>
      <c r="Q139" s="97"/>
    </row>
    <row r="140" spans="2:17" x14ac:dyDescent="0.25">
      <c r="B140" s="71"/>
      <c r="C140" s="72"/>
      <c r="D140" s="77"/>
      <c r="E140" s="78"/>
      <c r="F140" s="78"/>
      <c r="G140" s="78"/>
      <c r="H140" s="78"/>
      <c r="I140" s="79"/>
      <c r="J140" s="77"/>
      <c r="K140" s="79"/>
      <c r="L140" s="77"/>
      <c r="M140" s="79"/>
      <c r="N140" s="77"/>
      <c r="O140" s="79"/>
      <c r="P140" s="92"/>
      <c r="Q140" s="93"/>
    </row>
    <row r="141" spans="2:17" x14ac:dyDescent="0.25">
      <c r="B141" s="73"/>
      <c r="C141" s="74"/>
      <c r="D141" s="80"/>
      <c r="E141" s="81"/>
      <c r="F141" s="81"/>
      <c r="G141" s="81"/>
      <c r="H141" s="81"/>
      <c r="I141" s="82"/>
      <c r="J141" s="80"/>
      <c r="K141" s="82"/>
      <c r="L141" s="80"/>
      <c r="M141" s="82"/>
      <c r="N141" s="80"/>
      <c r="O141" s="82"/>
      <c r="P141" s="94"/>
      <c r="Q141" s="95"/>
    </row>
    <row r="142" spans="2:17" x14ac:dyDescent="0.25">
      <c r="B142" s="75"/>
      <c r="C142" s="76"/>
      <c r="D142" s="83"/>
      <c r="E142" s="84"/>
      <c r="F142" s="84"/>
      <c r="G142" s="84"/>
      <c r="H142" s="84"/>
      <c r="I142" s="85"/>
      <c r="J142" s="83"/>
      <c r="K142" s="85"/>
      <c r="L142" s="83"/>
      <c r="M142" s="85"/>
      <c r="N142" s="83"/>
      <c r="O142" s="85"/>
      <c r="P142" s="96"/>
      <c r="Q142" s="97"/>
    </row>
    <row r="143" spans="2:17" x14ac:dyDescent="0.25">
      <c r="B143" s="71"/>
      <c r="C143" s="72"/>
      <c r="D143" s="77"/>
      <c r="E143" s="78"/>
      <c r="F143" s="78"/>
      <c r="G143" s="78"/>
      <c r="H143" s="78"/>
      <c r="I143" s="79"/>
      <c r="J143" s="77"/>
      <c r="K143" s="79"/>
      <c r="L143" s="77"/>
      <c r="M143" s="79"/>
      <c r="N143" s="77"/>
      <c r="O143" s="79"/>
      <c r="P143" s="92"/>
      <c r="Q143" s="93"/>
    </row>
    <row r="144" spans="2:17" x14ac:dyDescent="0.25">
      <c r="B144" s="73"/>
      <c r="C144" s="74"/>
      <c r="D144" s="80"/>
      <c r="E144" s="81"/>
      <c r="F144" s="81"/>
      <c r="G144" s="81"/>
      <c r="H144" s="81"/>
      <c r="I144" s="82"/>
      <c r="J144" s="80"/>
      <c r="K144" s="82"/>
      <c r="L144" s="80"/>
      <c r="M144" s="82"/>
      <c r="N144" s="80"/>
      <c r="O144" s="82"/>
      <c r="P144" s="94"/>
      <c r="Q144" s="95"/>
    </row>
    <row r="145" spans="2:17" x14ac:dyDescent="0.25">
      <c r="B145" s="75"/>
      <c r="C145" s="76"/>
      <c r="D145" s="83"/>
      <c r="E145" s="84"/>
      <c r="F145" s="84"/>
      <c r="G145" s="84"/>
      <c r="H145" s="84"/>
      <c r="I145" s="85"/>
      <c r="J145" s="83"/>
      <c r="K145" s="85"/>
      <c r="L145" s="83"/>
      <c r="M145" s="85"/>
      <c r="N145" s="83"/>
      <c r="O145" s="85"/>
      <c r="P145" s="96"/>
      <c r="Q145" s="97"/>
    </row>
    <row r="146" spans="2:17" x14ac:dyDescent="0.25">
      <c r="B146" s="71"/>
      <c r="C146" s="72"/>
      <c r="D146" s="77"/>
      <c r="E146" s="78"/>
      <c r="F146" s="78"/>
      <c r="G146" s="78"/>
      <c r="H146" s="78"/>
      <c r="I146" s="79"/>
      <c r="J146" s="77"/>
      <c r="K146" s="79"/>
      <c r="L146" s="77"/>
      <c r="M146" s="79"/>
      <c r="N146" s="77"/>
      <c r="O146" s="79"/>
      <c r="P146" s="92"/>
      <c r="Q146" s="93"/>
    </row>
    <row r="147" spans="2:17" x14ac:dyDescent="0.25">
      <c r="B147" s="73"/>
      <c r="C147" s="74"/>
      <c r="D147" s="80"/>
      <c r="E147" s="81"/>
      <c r="F147" s="81"/>
      <c r="G147" s="81"/>
      <c r="H147" s="81"/>
      <c r="I147" s="82"/>
      <c r="J147" s="80"/>
      <c r="K147" s="82"/>
      <c r="L147" s="80"/>
      <c r="M147" s="82"/>
      <c r="N147" s="80"/>
      <c r="O147" s="82"/>
      <c r="P147" s="94"/>
      <c r="Q147" s="95"/>
    </row>
    <row r="148" spans="2:17" x14ac:dyDescent="0.25">
      <c r="B148" s="75"/>
      <c r="C148" s="76"/>
      <c r="D148" s="83"/>
      <c r="E148" s="84"/>
      <c r="F148" s="84"/>
      <c r="G148" s="84"/>
      <c r="H148" s="84"/>
      <c r="I148" s="85"/>
      <c r="J148" s="83"/>
      <c r="K148" s="85"/>
      <c r="L148" s="83"/>
      <c r="M148" s="85"/>
      <c r="N148" s="83"/>
      <c r="O148" s="85"/>
      <c r="P148" s="96"/>
      <c r="Q148" s="97"/>
    </row>
    <row r="149" spans="2:17" x14ac:dyDescent="0.25">
      <c r="B149" s="71"/>
      <c r="C149" s="72"/>
      <c r="D149" s="77"/>
      <c r="E149" s="78"/>
      <c r="F149" s="78"/>
      <c r="G149" s="78"/>
      <c r="H149" s="78"/>
      <c r="I149" s="79"/>
      <c r="J149" s="77"/>
      <c r="K149" s="79"/>
      <c r="L149" s="77"/>
      <c r="M149" s="79"/>
      <c r="N149" s="77"/>
      <c r="O149" s="79"/>
      <c r="P149" s="92"/>
      <c r="Q149" s="93"/>
    </row>
    <row r="150" spans="2:17" x14ac:dyDescent="0.25">
      <c r="B150" s="73"/>
      <c r="C150" s="74"/>
      <c r="D150" s="80"/>
      <c r="E150" s="81"/>
      <c r="F150" s="81"/>
      <c r="G150" s="81"/>
      <c r="H150" s="81"/>
      <c r="I150" s="82"/>
      <c r="J150" s="80"/>
      <c r="K150" s="82"/>
      <c r="L150" s="80"/>
      <c r="M150" s="82"/>
      <c r="N150" s="80"/>
      <c r="O150" s="82"/>
      <c r="P150" s="94"/>
      <c r="Q150" s="95"/>
    </row>
    <row r="151" spans="2:17" x14ac:dyDescent="0.25">
      <c r="B151" s="75"/>
      <c r="C151" s="76"/>
      <c r="D151" s="83"/>
      <c r="E151" s="84"/>
      <c r="F151" s="84"/>
      <c r="G151" s="84"/>
      <c r="H151" s="84"/>
      <c r="I151" s="85"/>
      <c r="J151" s="83"/>
      <c r="K151" s="85"/>
      <c r="L151" s="83"/>
      <c r="M151" s="85"/>
      <c r="N151" s="83"/>
      <c r="O151" s="85"/>
      <c r="P151" s="96"/>
      <c r="Q151" s="97"/>
    </row>
    <row r="152" spans="2:17" x14ac:dyDescent="0.25">
      <c r="B152" s="71"/>
      <c r="C152" s="72"/>
      <c r="D152" s="77"/>
      <c r="E152" s="78"/>
      <c r="F152" s="78"/>
      <c r="G152" s="78"/>
      <c r="H152" s="78"/>
      <c r="I152" s="79"/>
      <c r="J152" s="77"/>
      <c r="K152" s="79"/>
      <c r="L152" s="77"/>
      <c r="M152" s="79"/>
      <c r="N152" s="77"/>
      <c r="O152" s="79"/>
      <c r="P152" s="92"/>
      <c r="Q152" s="93"/>
    </row>
    <row r="153" spans="2:17" x14ac:dyDescent="0.25">
      <c r="B153" s="73"/>
      <c r="C153" s="74"/>
      <c r="D153" s="80"/>
      <c r="E153" s="81"/>
      <c r="F153" s="81"/>
      <c r="G153" s="81"/>
      <c r="H153" s="81"/>
      <c r="I153" s="82"/>
      <c r="J153" s="80"/>
      <c r="K153" s="82"/>
      <c r="L153" s="80"/>
      <c r="M153" s="82"/>
      <c r="N153" s="80"/>
      <c r="O153" s="82"/>
      <c r="P153" s="94"/>
      <c r="Q153" s="95"/>
    </row>
    <row r="154" spans="2:17" x14ac:dyDescent="0.25">
      <c r="B154" s="75"/>
      <c r="C154" s="76"/>
      <c r="D154" s="83"/>
      <c r="E154" s="84"/>
      <c r="F154" s="84"/>
      <c r="G154" s="84"/>
      <c r="H154" s="84"/>
      <c r="I154" s="85"/>
      <c r="J154" s="83"/>
      <c r="K154" s="85"/>
      <c r="L154" s="83"/>
      <c r="M154" s="85"/>
      <c r="N154" s="83"/>
      <c r="O154" s="85"/>
      <c r="P154" s="96"/>
      <c r="Q154" s="97"/>
    </row>
    <row r="155" spans="2:17" x14ac:dyDescent="0.25">
      <c r="B155" s="71"/>
      <c r="C155" s="72"/>
      <c r="D155" s="77"/>
      <c r="E155" s="78"/>
      <c r="F155" s="78"/>
      <c r="G155" s="78"/>
      <c r="H155" s="78"/>
      <c r="I155" s="79"/>
      <c r="J155" s="77"/>
      <c r="K155" s="79"/>
      <c r="L155" s="77"/>
      <c r="M155" s="79"/>
      <c r="N155" s="77"/>
      <c r="O155" s="79"/>
      <c r="P155" s="92"/>
      <c r="Q155" s="93"/>
    </row>
    <row r="156" spans="2:17" x14ac:dyDescent="0.25">
      <c r="B156" s="73"/>
      <c r="C156" s="74"/>
      <c r="D156" s="80"/>
      <c r="E156" s="81"/>
      <c r="F156" s="81"/>
      <c r="G156" s="81"/>
      <c r="H156" s="81"/>
      <c r="I156" s="82"/>
      <c r="J156" s="80"/>
      <c r="K156" s="82"/>
      <c r="L156" s="80"/>
      <c r="M156" s="82"/>
      <c r="N156" s="80"/>
      <c r="O156" s="82"/>
      <c r="P156" s="94"/>
      <c r="Q156" s="95"/>
    </row>
    <row r="157" spans="2:17" x14ac:dyDescent="0.25">
      <c r="B157" s="75"/>
      <c r="C157" s="76"/>
      <c r="D157" s="83"/>
      <c r="E157" s="84"/>
      <c r="F157" s="84"/>
      <c r="G157" s="84"/>
      <c r="H157" s="84"/>
      <c r="I157" s="85"/>
      <c r="J157" s="83"/>
      <c r="K157" s="85"/>
      <c r="L157" s="83"/>
      <c r="M157" s="85"/>
      <c r="N157" s="83"/>
      <c r="O157" s="85"/>
      <c r="P157" s="96"/>
      <c r="Q157" s="97"/>
    </row>
    <row r="158" spans="2:17" x14ac:dyDescent="0.25">
      <c r="B158" s="71"/>
      <c r="C158" s="72"/>
      <c r="D158" s="77"/>
      <c r="E158" s="78"/>
      <c r="F158" s="78"/>
      <c r="G158" s="78"/>
      <c r="H158" s="78"/>
      <c r="I158" s="79"/>
      <c r="J158" s="77"/>
      <c r="K158" s="79"/>
      <c r="L158" s="77"/>
      <c r="M158" s="79"/>
      <c r="N158" s="77"/>
      <c r="O158" s="79"/>
      <c r="P158" s="92"/>
      <c r="Q158" s="93"/>
    </row>
    <row r="159" spans="2:17" x14ac:dyDescent="0.25">
      <c r="B159" s="73"/>
      <c r="C159" s="74"/>
      <c r="D159" s="80"/>
      <c r="E159" s="81"/>
      <c r="F159" s="81"/>
      <c r="G159" s="81"/>
      <c r="H159" s="81"/>
      <c r="I159" s="82"/>
      <c r="J159" s="80"/>
      <c r="K159" s="82"/>
      <c r="L159" s="80"/>
      <c r="M159" s="82"/>
      <c r="N159" s="80"/>
      <c r="O159" s="82"/>
      <c r="P159" s="94"/>
      <c r="Q159" s="95"/>
    </row>
    <row r="160" spans="2:17" x14ac:dyDescent="0.25">
      <c r="B160" s="75"/>
      <c r="C160" s="76"/>
      <c r="D160" s="83"/>
      <c r="E160" s="84"/>
      <c r="F160" s="84"/>
      <c r="G160" s="84"/>
      <c r="H160" s="84"/>
      <c r="I160" s="85"/>
      <c r="J160" s="83"/>
      <c r="K160" s="85"/>
      <c r="L160" s="83"/>
      <c r="M160" s="85"/>
      <c r="N160" s="83"/>
      <c r="O160" s="85"/>
      <c r="P160" s="96"/>
      <c r="Q160" s="97"/>
    </row>
    <row r="161" spans="2:17" x14ac:dyDescent="0.25">
      <c r="B161" s="71"/>
      <c r="C161" s="72"/>
      <c r="D161" s="77"/>
      <c r="E161" s="78"/>
      <c r="F161" s="78"/>
      <c r="G161" s="78"/>
      <c r="H161" s="78"/>
      <c r="I161" s="79"/>
      <c r="J161" s="77"/>
      <c r="K161" s="79"/>
      <c r="L161" s="77"/>
      <c r="M161" s="79"/>
      <c r="N161" s="77"/>
      <c r="O161" s="79"/>
      <c r="P161" s="92"/>
      <c r="Q161" s="93"/>
    </row>
    <row r="162" spans="2:17" x14ac:dyDescent="0.25">
      <c r="B162" s="73"/>
      <c r="C162" s="74"/>
      <c r="D162" s="80"/>
      <c r="E162" s="81"/>
      <c r="F162" s="81"/>
      <c r="G162" s="81"/>
      <c r="H162" s="81"/>
      <c r="I162" s="82"/>
      <c r="J162" s="80"/>
      <c r="K162" s="82"/>
      <c r="L162" s="80"/>
      <c r="M162" s="82"/>
      <c r="N162" s="80"/>
      <c r="O162" s="82"/>
      <c r="P162" s="94"/>
      <c r="Q162" s="95"/>
    </row>
    <row r="163" spans="2:17" x14ac:dyDescent="0.25">
      <c r="B163" s="75"/>
      <c r="C163" s="76"/>
      <c r="D163" s="83"/>
      <c r="E163" s="84"/>
      <c r="F163" s="84"/>
      <c r="G163" s="84"/>
      <c r="H163" s="84"/>
      <c r="I163" s="85"/>
      <c r="J163" s="83"/>
      <c r="K163" s="85"/>
      <c r="L163" s="83"/>
      <c r="M163" s="85"/>
      <c r="N163" s="83"/>
      <c r="O163" s="85"/>
      <c r="P163" s="96"/>
      <c r="Q163" s="97"/>
    </row>
    <row r="164" spans="2:17" x14ac:dyDescent="0.25">
      <c r="B164" s="71"/>
      <c r="C164" s="72"/>
      <c r="D164" s="77"/>
      <c r="E164" s="78"/>
      <c r="F164" s="78"/>
      <c r="G164" s="78"/>
      <c r="H164" s="78"/>
      <c r="I164" s="79"/>
      <c r="J164" s="77"/>
      <c r="K164" s="79"/>
      <c r="L164" s="77"/>
      <c r="M164" s="79"/>
      <c r="N164" s="77"/>
      <c r="O164" s="79"/>
      <c r="P164" s="92"/>
      <c r="Q164" s="93"/>
    </row>
    <row r="165" spans="2:17" x14ac:dyDescent="0.25">
      <c r="B165" s="73"/>
      <c r="C165" s="74"/>
      <c r="D165" s="80"/>
      <c r="E165" s="81"/>
      <c r="F165" s="81"/>
      <c r="G165" s="81"/>
      <c r="H165" s="81"/>
      <c r="I165" s="82"/>
      <c r="J165" s="80"/>
      <c r="K165" s="82"/>
      <c r="L165" s="80"/>
      <c r="M165" s="82"/>
      <c r="N165" s="80"/>
      <c r="O165" s="82"/>
      <c r="P165" s="94"/>
      <c r="Q165" s="95"/>
    </row>
    <row r="166" spans="2:17" x14ac:dyDescent="0.25">
      <c r="B166" s="75"/>
      <c r="C166" s="76"/>
      <c r="D166" s="83"/>
      <c r="E166" s="84"/>
      <c r="F166" s="84"/>
      <c r="G166" s="84"/>
      <c r="H166" s="84"/>
      <c r="I166" s="85"/>
      <c r="J166" s="83"/>
      <c r="K166" s="85"/>
      <c r="L166" s="83"/>
      <c r="M166" s="85"/>
      <c r="N166" s="83"/>
      <c r="O166" s="85"/>
      <c r="P166" s="96"/>
      <c r="Q166" s="97"/>
    </row>
    <row r="167" spans="2:17" x14ac:dyDescent="0.25">
      <c r="B167" s="71"/>
      <c r="C167" s="72"/>
      <c r="D167" s="77"/>
      <c r="E167" s="78"/>
      <c r="F167" s="78"/>
      <c r="G167" s="78"/>
      <c r="H167" s="78"/>
      <c r="I167" s="79"/>
      <c r="J167" s="77"/>
      <c r="K167" s="79"/>
      <c r="L167" s="77"/>
      <c r="M167" s="79"/>
      <c r="N167" s="77"/>
      <c r="O167" s="79"/>
      <c r="P167" s="92"/>
      <c r="Q167" s="93"/>
    </row>
    <row r="168" spans="2:17" x14ac:dyDescent="0.25">
      <c r="B168" s="73"/>
      <c r="C168" s="74"/>
      <c r="D168" s="80"/>
      <c r="E168" s="81"/>
      <c r="F168" s="81"/>
      <c r="G168" s="81"/>
      <c r="H168" s="81"/>
      <c r="I168" s="82"/>
      <c r="J168" s="80"/>
      <c r="K168" s="82"/>
      <c r="L168" s="80"/>
      <c r="M168" s="82"/>
      <c r="N168" s="80"/>
      <c r="O168" s="82"/>
      <c r="P168" s="94"/>
      <c r="Q168" s="95"/>
    </row>
    <row r="169" spans="2:17" x14ac:dyDescent="0.25">
      <c r="B169" s="75"/>
      <c r="C169" s="76"/>
      <c r="D169" s="83"/>
      <c r="E169" s="84"/>
      <c r="F169" s="84"/>
      <c r="G169" s="84"/>
      <c r="H169" s="84"/>
      <c r="I169" s="85"/>
      <c r="J169" s="83"/>
      <c r="K169" s="85"/>
      <c r="L169" s="83"/>
      <c r="M169" s="85"/>
      <c r="N169" s="83"/>
      <c r="O169" s="85"/>
      <c r="P169" s="96"/>
      <c r="Q169" s="97"/>
    </row>
    <row r="170" spans="2:17" x14ac:dyDescent="0.25">
      <c r="B170" s="71"/>
      <c r="C170" s="72"/>
      <c r="D170" s="77"/>
      <c r="E170" s="78"/>
      <c r="F170" s="78"/>
      <c r="G170" s="78"/>
      <c r="H170" s="78"/>
      <c r="I170" s="79"/>
      <c r="J170" s="77"/>
      <c r="K170" s="79"/>
      <c r="L170" s="77"/>
      <c r="M170" s="79"/>
      <c r="N170" s="77"/>
      <c r="O170" s="79"/>
      <c r="P170" s="92"/>
      <c r="Q170" s="93"/>
    </row>
    <row r="171" spans="2:17" x14ac:dyDescent="0.25">
      <c r="B171" s="73"/>
      <c r="C171" s="74"/>
      <c r="D171" s="80"/>
      <c r="E171" s="81"/>
      <c r="F171" s="81"/>
      <c r="G171" s="81"/>
      <c r="H171" s="81"/>
      <c r="I171" s="82"/>
      <c r="J171" s="80"/>
      <c r="K171" s="82"/>
      <c r="L171" s="80"/>
      <c r="M171" s="82"/>
      <c r="N171" s="80"/>
      <c r="O171" s="82"/>
      <c r="P171" s="94"/>
      <c r="Q171" s="95"/>
    </row>
    <row r="172" spans="2:17" x14ac:dyDescent="0.25">
      <c r="B172" s="75"/>
      <c r="C172" s="76"/>
      <c r="D172" s="83"/>
      <c r="E172" s="84"/>
      <c r="F172" s="84"/>
      <c r="G172" s="84"/>
      <c r="H172" s="84"/>
      <c r="I172" s="85"/>
      <c r="J172" s="83"/>
      <c r="K172" s="85"/>
      <c r="L172" s="83"/>
      <c r="M172" s="85"/>
      <c r="N172" s="83"/>
      <c r="O172" s="85"/>
      <c r="P172" s="96"/>
      <c r="Q172" s="97"/>
    </row>
    <row r="173" spans="2:17" x14ac:dyDescent="0.25">
      <c r="B173" s="71"/>
      <c r="C173" s="72"/>
      <c r="D173" s="77"/>
      <c r="E173" s="78"/>
      <c r="F173" s="78"/>
      <c r="G173" s="78"/>
      <c r="H173" s="78"/>
      <c r="I173" s="79"/>
      <c r="J173" s="77"/>
      <c r="K173" s="79"/>
      <c r="L173" s="77"/>
      <c r="M173" s="79"/>
      <c r="N173" s="77"/>
      <c r="O173" s="79"/>
      <c r="P173" s="92"/>
      <c r="Q173" s="93"/>
    </row>
    <row r="174" spans="2:17" x14ac:dyDescent="0.25">
      <c r="B174" s="73"/>
      <c r="C174" s="74"/>
      <c r="D174" s="80"/>
      <c r="E174" s="81"/>
      <c r="F174" s="81"/>
      <c r="G174" s="81"/>
      <c r="H174" s="81"/>
      <c r="I174" s="82"/>
      <c r="J174" s="80"/>
      <c r="K174" s="82"/>
      <c r="L174" s="80"/>
      <c r="M174" s="82"/>
      <c r="N174" s="80"/>
      <c r="O174" s="82"/>
      <c r="P174" s="94"/>
      <c r="Q174" s="95"/>
    </row>
    <row r="175" spans="2:17" x14ac:dyDescent="0.25">
      <c r="B175" s="75"/>
      <c r="C175" s="76"/>
      <c r="D175" s="83"/>
      <c r="E175" s="84"/>
      <c r="F175" s="84"/>
      <c r="G175" s="84"/>
      <c r="H175" s="84"/>
      <c r="I175" s="85"/>
      <c r="J175" s="83"/>
      <c r="K175" s="85"/>
      <c r="L175" s="83"/>
      <c r="M175" s="85"/>
      <c r="N175" s="83"/>
      <c r="O175" s="85"/>
      <c r="P175" s="96"/>
      <c r="Q175" s="97"/>
    </row>
    <row r="176" spans="2:17" x14ac:dyDescent="0.25">
      <c r="B176" s="71"/>
      <c r="C176" s="72"/>
      <c r="D176" s="77"/>
      <c r="E176" s="78"/>
      <c r="F176" s="78"/>
      <c r="G176" s="78"/>
      <c r="H176" s="78"/>
      <c r="I176" s="79"/>
      <c r="J176" s="77"/>
      <c r="K176" s="79"/>
      <c r="L176" s="77"/>
      <c r="M176" s="79"/>
      <c r="N176" s="77"/>
      <c r="O176" s="79"/>
      <c r="P176" s="92"/>
      <c r="Q176" s="93"/>
    </row>
    <row r="177" spans="2:17" x14ac:dyDescent="0.25">
      <c r="B177" s="73"/>
      <c r="C177" s="74"/>
      <c r="D177" s="80"/>
      <c r="E177" s="81"/>
      <c r="F177" s="81"/>
      <c r="G177" s="81"/>
      <c r="H177" s="81"/>
      <c r="I177" s="82"/>
      <c r="J177" s="80"/>
      <c r="K177" s="82"/>
      <c r="L177" s="80"/>
      <c r="M177" s="82"/>
      <c r="N177" s="80"/>
      <c r="O177" s="82"/>
      <c r="P177" s="94"/>
      <c r="Q177" s="95"/>
    </row>
    <row r="178" spans="2:17" x14ac:dyDescent="0.25">
      <c r="B178" s="75"/>
      <c r="C178" s="76"/>
      <c r="D178" s="83"/>
      <c r="E178" s="84"/>
      <c r="F178" s="84"/>
      <c r="G178" s="84"/>
      <c r="H178" s="84"/>
      <c r="I178" s="85"/>
      <c r="J178" s="83"/>
      <c r="K178" s="85"/>
      <c r="L178" s="83"/>
      <c r="M178" s="85"/>
      <c r="N178" s="83"/>
      <c r="O178" s="85"/>
      <c r="P178" s="96"/>
      <c r="Q178" s="97"/>
    </row>
    <row r="179" spans="2:17" x14ac:dyDescent="0.25">
      <c r="B179" s="71"/>
      <c r="C179" s="72"/>
      <c r="D179" s="77"/>
      <c r="E179" s="78"/>
      <c r="F179" s="78"/>
      <c r="G179" s="78"/>
      <c r="H179" s="78"/>
      <c r="I179" s="79"/>
      <c r="J179" s="77"/>
      <c r="K179" s="79"/>
      <c r="L179" s="77"/>
      <c r="M179" s="79"/>
      <c r="N179" s="77"/>
      <c r="O179" s="79"/>
      <c r="P179" s="92"/>
      <c r="Q179" s="93"/>
    </row>
    <row r="180" spans="2:17" x14ac:dyDescent="0.25">
      <c r="B180" s="73"/>
      <c r="C180" s="74"/>
      <c r="D180" s="80"/>
      <c r="E180" s="81"/>
      <c r="F180" s="81"/>
      <c r="G180" s="81"/>
      <c r="H180" s="81"/>
      <c r="I180" s="82"/>
      <c r="J180" s="80"/>
      <c r="K180" s="82"/>
      <c r="L180" s="80"/>
      <c r="M180" s="82"/>
      <c r="N180" s="80"/>
      <c r="O180" s="82"/>
      <c r="P180" s="94"/>
      <c r="Q180" s="95"/>
    </row>
    <row r="181" spans="2:17" x14ac:dyDescent="0.25">
      <c r="B181" s="75"/>
      <c r="C181" s="76"/>
      <c r="D181" s="83"/>
      <c r="E181" s="84"/>
      <c r="F181" s="84"/>
      <c r="G181" s="84"/>
      <c r="H181" s="84"/>
      <c r="I181" s="85"/>
      <c r="J181" s="83"/>
      <c r="K181" s="85"/>
      <c r="L181" s="83"/>
      <c r="M181" s="85"/>
      <c r="N181" s="83"/>
      <c r="O181" s="85"/>
      <c r="P181" s="96"/>
      <c r="Q181" s="97"/>
    </row>
    <row r="182" spans="2:17" x14ac:dyDescent="0.25">
      <c r="B182" s="71"/>
      <c r="C182" s="72"/>
      <c r="D182" s="77"/>
      <c r="E182" s="78"/>
      <c r="F182" s="78"/>
      <c r="G182" s="78"/>
      <c r="H182" s="78"/>
      <c r="I182" s="79"/>
      <c r="J182" s="77"/>
      <c r="K182" s="79"/>
      <c r="L182" s="77"/>
      <c r="M182" s="79"/>
      <c r="N182" s="77"/>
      <c r="O182" s="79"/>
      <c r="P182" s="92"/>
      <c r="Q182" s="93"/>
    </row>
    <row r="183" spans="2:17" x14ac:dyDescent="0.25">
      <c r="B183" s="73"/>
      <c r="C183" s="74"/>
      <c r="D183" s="80"/>
      <c r="E183" s="81"/>
      <c r="F183" s="81"/>
      <c r="G183" s="81"/>
      <c r="H183" s="81"/>
      <c r="I183" s="82"/>
      <c r="J183" s="80"/>
      <c r="K183" s="82"/>
      <c r="L183" s="80"/>
      <c r="M183" s="82"/>
      <c r="N183" s="80"/>
      <c r="O183" s="82"/>
      <c r="P183" s="94"/>
      <c r="Q183" s="95"/>
    </row>
    <row r="184" spans="2:17" x14ac:dyDescent="0.25">
      <c r="B184" s="75"/>
      <c r="C184" s="76"/>
      <c r="D184" s="83"/>
      <c r="E184" s="84"/>
      <c r="F184" s="84"/>
      <c r="G184" s="84"/>
      <c r="H184" s="84"/>
      <c r="I184" s="85"/>
      <c r="J184" s="83"/>
      <c r="K184" s="85"/>
      <c r="L184" s="83"/>
      <c r="M184" s="85"/>
      <c r="N184" s="83"/>
      <c r="O184" s="85"/>
      <c r="P184" s="96"/>
      <c r="Q184" s="97"/>
    </row>
    <row r="185" spans="2:17" x14ac:dyDescent="0.25">
      <c r="B185" s="71"/>
      <c r="C185" s="72"/>
      <c r="D185" s="77"/>
      <c r="E185" s="78"/>
      <c r="F185" s="78"/>
      <c r="G185" s="78"/>
      <c r="H185" s="78"/>
      <c r="I185" s="79"/>
      <c r="J185" s="77"/>
      <c r="K185" s="79"/>
      <c r="L185" s="77"/>
      <c r="M185" s="79"/>
      <c r="N185" s="77"/>
      <c r="O185" s="79"/>
      <c r="P185" s="92"/>
      <c r="Q185" s="93"/>
    </row>
    <row r="186" spans="2:17" x14ac:dyDescent="0.25">
      <c r="B186" s="73"/>
      <c r="C186" s="74"/>
      <c r="D186" s="80"/>
      <c r="E186" s="81"/>
      <c r="F186" s="81"/>
      <c r="G186" s="81"/>
      <c r="H186" s="81"/>
      <c r="I186" s="82"/>
      <c r="J186" s="80"/>
      <c r="K186" s="82"/>
      <c r="L186" s="80"/>
      <c r="M186" s="82"/>
      <c r="N186" s="80"/>
      <c r="O186" s="82"/>
      <c r="P186" s="94"/>
      <c r="Q186" s="95"/>
    </row>
    <row r="187" spans="2:17" x14ac:dyDescent="0.25">
      <c r="B187" s="75"/>
      <c r="C187" s="76"/>
      <c r="D187" s="83"/>
      <c r="E187" s="84"/>
      <c r="F187" s="84"/>
      <c r="G187" s="84"/>
      <c r="H187" s="84"/>
      <c r="I187" s="85"/>
      <c r="J187" s="83"/>
      <c r="K187" s="85"/>
      <c r="L187" s="83"/>
      <c r="M187" s="85"/>
      <c r="N187" s="83"/>
      <c r="O187" s="85"/>
      <c r="P187" s="96"/>
      <c r="Q187" s="97"/>
    </row>
    <row r="188" spans="2:17" x14ac:dyDescent="0.25">
      <c r="B188" s="71"/>
      <c r="C188" s="72"/>
      <c r="D188" s="77"/>
      <c r="E188" s="78"/>
      <c r="F188" s="78"/>
      <c r="G188" s="78"/>
      <c r="H188" s="78"/>
      <c r="I188" s="79"/>
      <c r="J188" s="77"/>
      <c r="K188" s="79"/>
      <c r="L188" s="77"/>
      <c r="M188" s="79"/>
      <c r="N188" s="77"/>
      <c r="O188" s="79"/>
      <c r="P188" s="92"/>
      <c r="Q188" s="93"/>
    </row>
    <row r="189" spans="2:17" x14ac:dyDescent="0.25">
      <c r="B189" s="73"/>
      <c r="C189" s="74"/>
      <c r="D189" s="80"/>
      <c r="E189" s="81"/>
      <c r="F189" s="81"/>
      <c r="G189" s="81"/>
      <c r="H189" s="81"/>
      <c r="I189" s="82"/>
      <c r="J189" s="80"/>
      <c r="K189" s="82"/>
      <c r="L189" s="80"/>
      <c r="M189" s="82"/>
      <c r="N189" s="80"/>
      <c r="O189" s="82"/>
      <c r="P189" s="94"/>
      <c r="Q189" s="95"/>
    </row>
    <row r="190" spans="2:17" x14ac:dyDescent="0.25">
      <c r="B190" s="75"/>
      <c r="C190" s="76"/>
      <c r="D190" s="83"/>
      <c r="E190" s="84"/>
      <c r="F190" s="84"/>
      <c r="G190" s="84"/>
      <c r="H190" s="84"/>
      <c r="I190" s="85"/>
      <c r="J190" s="83"/>
      <c r="K190" s="85"/>
      <c r="L190" s="83"/>
      <c r="M190" s="85"/>
      <c r="N190" s="83"/>
      <c r="O190" s="85"/>
      <c r="P190" s="96"/>
      <c r="Q190" s="97"/>
    </row>
    <row r="191" spans="2:17" x14ac:dyDescent="0.25">
      <c r="B191" s="71"/>
      <c r="C191" s="72"/>
      <c r="D191" s="77"/>
      <c r="E191" s="78"/>
      <c r="F191" s="78"/>
      <c r="G191" s="78"/>
      <c r="H191" s="78"/>
      <c r="I191" s="79"/>
      <c r="J191" s="77"/>
      <c r="K191" s="79"/>
      <c r="L191" s="77"/>
      <c r="M191" s="79"/>
      <c r="N191" s="77"/>
      <c r="O191" s="79"/>
      <c r="P191" s="92"/>
      <c r="Q191" s="93"/>
    </row>
    <row r="192" spans="2:17" x14ac:dyDescent="0.25">
      <c r="B192" s="73"/>
      <c r="C192" s="74"/>
      <c r="D192" s="80"/>
      <c r="E192" s="81"/>
      <c r="F192" s="81"/>
      <c r="G192" s="81"/>
      <c r="H192" s="81"/>
      <c r="I192" s="82"/>
      <c r="J192" s="80"/>
      <c r="K192" s="82"/>
      <c r="L192" s="80"/>
      <c r="M192" s="82"/>
      <c r="N192" s="80"/>
      <c r="O192" s="82"/>
      <c r="P192" s="94"/>
      <c r="Q192" s="95"/>
    </row>
    <row r="193" spans="2:17" x14ac:dyDescent="0.25">
      <c r="B193" s="75"/>
      <c r="C193" s="76"/>
      <c r="D193" s="83"/>
      <c r="E193" s="84"/>
      <c r="F193" s="84"/>
      <c r="G193" s="84"/>
      <c r="H193" s="84"/>
      <c r="I193" s="85"/>
      <c r="J193" s="83"/>
      <c r="K193" s="85"/>
      <c r="L193" s="83"/>
      <c r="M193" s="85"/>
      <c r="N193" s="83"/>
      <c r="O193" s="85"/>
      <c r="P193" s="96"/>
      <c r="Q193" s="97"/>
    </row>
    <row r="194" spans="2:17" x14ac:dyDescent="0.25">
      <c r="B194" s="71"/>
      <c r="C194" s="72"/>
      <c r="D194" s="77"/>
      <c r="E194" s="78"/>
      <c r="F194" s="78"/>
      <c r="G194" s="78"/>
      <c r="H194" s="78"/>
      <c r="I194" s="79"/>
      <c r="J194" s="77"/>
      <c r="K194" s="79"/>
      <c r="L194" s="77"/>
      <c r="M194" s="79"/>
      <c r="N194" s="77"/>
      <c r="O194" s="79"/>
      <c r="P194" s="92"/>
      <c r="Q194" s="93"/>
    </row>
    <row r="195" spans="2:17" x14ac:dyDescent="0.25">
      <c r="B195" s="73"/>
      <c r="C195" s="74"/>
      <c r="D195" s="80"/>
      <c r="E195" s="81"/>
      <c r="F195" s="81"/>
      <c r="G195" s="81"/>
      <c r="H195" s="81"/>
      <c r="I195" s="82"/>
      <c r="J195" s="80"/>
      <c r="K195" s="82"/>
      <c r="L195" s="80"/>
      <c r="M195" s="82"/>
      <c r="N195" s="80"/>
      <c r="O195" s="82"/>
      <c r="P195" s="94"/>
      <c r="Q195" s="95"/>
    </row>
    <row r="196" spans="2:17" x14ac:dyDescent="0.25">
      <c r="B196" s="75"/>
      <c r="C196" s="76"/>
      <c r="D196" s="83"/>
      <c r="E196" s="84"/>
      <c r="F196" s="84"/>
      <c r="G196" s="84"/>
      <c r="H196" s="84"/>
      <c r="I196" s="85"/>
      <c r="J196" s="83"/>
      <c r="K196" s="85"/>
      <c r="L196" s="83"/>
      <c r="M196" s="85"/>
      <c r="N196" s="83"/>
      <c r="O196" s="85"/>
      <c r="P196" s="96"/>
      <c r="Q196" s="97"/>
    </row>
    <row r="197" spans="2:17" x14ac:dyDescent="0.25">
      <c r="B197" s="71"/>
      <c r="C197" s="72"/>
      <c r="D197" s="77"/>
      <c r="E197" s="78"/>
      <c r="F197" s="78"/>
      <c r="G197" s="78"/>
      <c r="H197" s="78"/>
      <c r="I197" s="79"/>
      <c r="J197" s="77"/>
      <c r="K197" s="79"/>
      <c r="L197" s="77"/>
      <c r="M197" s="79"/>
      <c r="N197" s="77"/>
      <c r="O197" s="79"/>
      <c r="P197" s="92"/>
      <c r="Q197" s="93"/>
    </row>
    <row r="198" spans="2:17" x14ac:dyDescent="0.25">
      <c r="B198" s="73"/>
      <c r="C198" s="74"/>
      <c r="D198" s="80"/>
      <c r="E198" s="81"/>
      <c r="F198" s="81"/>
      <c r="G198" s="81"/>
      <c r="H198" s="81"/>
      <c r="I198" s="82"/>
      <c r="J198" s="80"/>
      <c r="K198" s="82"/>
      <c r="L198" s="80"/>
      <c r="M198" s="82"/>
      <c r="N198" s="80"/>
      <c r="O198" s="82"/>
      <c r="P198" s="94"/>
      <c r="Q198" s="95"/>
    </row>
    <row r="199" spans="2:17" x14ac:dyDescent="0.25">
      <c r="B199" s="75"/>
      <c r="C199" s="76"/>
      <c r="D199" s="83"/>
      <c r="E199" s="84"/>
      <c r="F199" s="84"/>
      <c r="G199" s="84"/>
      <c r="H199" s="84"/>
      <c r="I199" s="85"/>
      <c r="J199" s="83"/>
      <c r="K199" s="85"/>
      <c r="L199" s="83"/>
      <c r="M199" s="85"/>
      <c r="N199" s="83"/>
      <c r="O199" s="85"/>
      <c r="P199" s="96"/>
      <c r="Q199" s="97"/>
    </row>
    <row r="200" spans="2:17" x14ac:dyDescent="0.25">
      <c r="B200" s="71"/>
      <c r="C200" s="72"/>
      <c r="D200" s="77"/>
      <c r="E200" s="78"/>
      <c r="F200" s="78"/>
      <c r="G200" s="78"/>
      <c r="H200" s="78"/>
      <c r="I200" s="79"/>
      <c r="J200" s="77"/>
      <c r="K200" s="79"/>
      <c r="L200" s="77"/>
      <c r="M200" s="79"/>
      <c r="N200" s="77"/>
      <c r="O200" s="79"/>
      <c r="P200" s="92"/>
      <c r="Q200" s="93"/>
    </row>
    <row r="201" spans="2:17" x14ac:dyDescent="0.25">
      <c r="B201" s="73"/>
      <c r="C201" s="74"/>
      <c r="D201" s="80"/>
      <c r="E201" s="81"/>
      <c r="F201" s="81"/>
      <c r="G201" s="81"/>
      <c r="H201" s="81"/>
      <c r="I201" s="82"/>
      <c r="J201" s="80"/>
      <c r="K201" s="82"/>
      <c r="L201" s="80"/>
      <c r="M201" s="82"/>
      <c r="N201" s="80"/>
      <c r="O201" s="82"/>
      <c r="P201" s="94"/>
      <c r="Q201" s="95"/>
    </row>
    <row r="202" spans="2:17" x14ac:dyDescent="0.25">
      <c r="B202" s="75"/>
      <c r="C202" s="76"/>
      <c r="D202" s="83"/>
      <c r="E202" s="84"/>
      <c r="F202" s="84"/>
      <c r="G202" s="84"/>
      <c r="H202" s="84"/>
      <c r="I202" s="85"/>
      <c r="J202" s="83"/>
      <c r="K202" s="85"/>
      <c r="L202" s="83"/>
      <c r="M202" s="85"/>
      <c r="N202" s="83"/>
      <c r="O202" s="85"/>
      <c r="P202" s="96"/>
      <c r="Q202" s="97"/>
    </row>
    <row r="203" spans="2:17" x14ac:dyDescent="0.25">
      <c r="B203" s="71"/>
      <c r="C203" s="72"/>
      <c r="D203" s="77"/>
      <c r="E203" s="78"/>
      <c r="F203" s="78"/>
      <c r="G203" s="78"/>
      <c r="H203" s="78"/>
      <c r="I203" s="79"/>
      <c r="J203" s="77"/>
      <c r="K203" s="79"/>
      <c r="L203" s="77"/>
      <c r="M203" s="79"/>
      <c r="N203" s="77"/>
      <c r="O203" s="79"/>
      <c r="P203" s="92"/>
      <c r="Q203" s="93"/>
    </row>
    <row r="204" spans="2:17" x14ac:dyDescent="0.25">
      <c r="B204" s="73"/>
      <c r="C204" s="74"/>
      <c r="D204" s="80"/>
      <c r="E204" s="81"/>
      <c r="F204" s="81"/>
      <c r="G204" s="81"/>
      <c r="H204" s="81"/>
      <c r="I204" s="82"/>
      <c r="J204" s="80"/>
      <c r="K204" s="82"/>
      <c r="L204" s="80"/>
      <c r="M204" s="82"/>
      <c r="N204" s="80"/>
      <c r="O204" s="82"/>
      <c r="P204" s="94"/>
      <c r="Q204" s="95"/>
    </row>
    <row r="205" spans="2:17" x14ac:dyDescent="0.25">
      <c r="B205" s="75"/>
      <c r="C205" s="76"/>
      <c r="D205" s="83"/>
      <c r="E205" s="84"/>
      <c r="F205" s="84"/>
      <c r="G205" s="84"/>
      <c r="H205" s="84"/>
      <c r="I205" s="85"/>
      <c r="J205" s="83"/>
      <c r="K205" s="85"/>
      <c r="L205" s="83"/>
      <c r="M205" s="85"/>
      <c r="N205" s="83"/>
      <c r="O205" s="85"/>
      <c r="P205" s="96"/>
      <c r="Q205" s="97"/>
    </row>
    <row r="206" spans="2:17" x14ac:dyDescent="0.25">
      <c r="B206" s="71"/>
      <c r="C206" s="72"/>
      <c r="D206" s="77"/>
      <c r="E206" s="78"/>
      <c r="F206" s="78"/>
      <c r="G206" s="78"/>
      <c r="H206" s="78"/>
      <c r="I206" s="79"/>
      <c r="J206" s="77"/>
      <c r="K206" s="79"/>
      <c r="L206" s="77"/>
      <c r="M206" s="79"/>
      <c r="N206" s="77"/>
      <c r="O206" s="79"/>
      <c r="P206" s="92"/>
      <c r="Q206" s="93"/>
    </row>
    <row r="207" spans="2:17" x14ac:dyDescent="0.25">
      <c r="B207" s="73"/>
      <c r="C207" s="74"/>
      <c r="D207" s="80"/>
      <c r="E207" s="81"/>
      <c r="F207" s="81"/>
      <c r="G207" s="81"/>
      <c r="H207" s="81"/>
      <c r="I207" s="82"/>
      <c r="J207" s="80"/>
      <c r="K207" s="82"/>
      <c r="L207" s="80"/>
      <c r="M207" s="82"/>
      <c r="N207" s="80"/>
      <c r="O207" s="82"/>
      <c r="P207" s="94"/>
      <c r="Q207" s="95"/>
    </row>
    <row r="208" spans="2:17" x14ac:dyDescent="0.25">
      <c r="B208" s="75"/>
      <c r="C208" s="76"/>
      <c r="D208" s="83"/>
      <c r="E208" s="84"/>
      <c r="F208" s="84"/>
      <c r="G208" s="84"/>
      <c r="H208" s="84"/>
      <c r="I208" s="85"/>
      <c r="J208" s="83"/>
      <c r="K208" s="85"/>
      <c r="L208" s="83"/>
      <c r="M208" s="85"/>
      <c r="N208" s="83"/>
      <c r="O208" s="85"/>
      <c r="P208" s="96"/>
      <c r="Q208" s="97"/>
    </row>
    <row r="209" spans="2:17" x14ac:dyDescent="0.25">
      <c r="B209" s="71"/>
      <c r="C209" s="72"/>
      <c r="D209" s="77"/>
      <c r="E209" s="78"/>
      <c r="F209" s="78"/>
      <c r="G209" s="78"/>
      <c r="H209" s="78"/>
      <c r="I209" s="79"/>
      <c r="J209" s="77"/>
      <c r="K209" s="79"/>
      <c r="L209" s="77"/>
      <c r="M209" s="79"/>
      <c r="N209" s="77"/>
      <c r="O209" s="79"/>
      <c r="P209" s="92"/>
      <c r="Q209" s="93"/>
    </row>
    <row r="210" spans="2:17" x14ac:dyDescent="0.25">
      <c r="B210" s="73"/>
      <c r="C210" s="74"/>
      <c r="D210" s="80"/>
      <c r="E210" s="81"/>
      <c r="F210" s="81"/>
      <c r="G210" s="81"/>
      <c r="H210" s="81"/>
      <c r="I210" s="82"/>
      <c r="J210" s="80"/>
      <c r="K210" s="82"/>
      <c r="L210" s="80"/>
      <c r="M210" s="82"/>
      <c r="N210" s="80"/>
      <c r="O210" s="82"/>
      <c r="P210" s="94"/>
      <c r="Q210" s="95"/>
    </row>
    <row r="211" spans="2:17" x14ac:dyDescent="0.25">
      <c r="B211" s="75"/>
      <c r="C211" s="76"/>
      <c r="D211" s="83"/>
      <c r="E211" s="84"/>
      <c r="F211" s="84"/>
      <c r="G211" s="84"/>
      <c r="H211" s="84"/>
      <c r="I211" s="85"/>
      <c r="J211" s="83"/>
      <c r="K211" s="85"/>
      <c r="L211" s="83"/>
      <c r="M211" s="85"/>
      <c r="N211" s="83"/>
      <c r="O211" s="85"/>
      <c r="P211" s="96"/>
      <c r="Q211" s="97"/>
    </row>
    <row r="212" spans="2:17" x14ac:dyDescent="0.25">
      <c r="B212" s="71"/>
      <c r="C212" s="72"/>
      <c r="D212" s="77"/>
      <c r="E212" s="78"/>
      <c r="F212" s="78"/>
      <c r="G212" s="78"/>
      <c r="H212" s="78"/>
      <c r="I212" s="79"/>
      <c r="J212" s="77"/>
      <c r="K212" s="79"/>
      <c r="L212" s="77"/>
      <c r="M212" s="79"/>
      <c r="N212" s="77"/>
      <c r="O212" s="79"/>
      <c r="P212" s="92"/>
      <c r="Q212" s="93"/>
    </row>
    <row r="213" spans="2:17" x14ac:dyDescent="0.25">
      <c r="B213" s="73"/>
      <c r="C213" s="74"/>
      <c r="D213" s="80"/>
      <c r="E213" s="81"/>
      <c r="F213" s="81"/>
      <c r="G213" s="81"/>
      <c r="H213" s="81"/>
      <c r="I213" s="82"/>
      <c r="J213" s="80"/>
      <c r="K213" s="82"/>
      <c r="L213" s="80"/>
      <c r="M213" s="82"/>
      <c r="N213" s="80"/>
      <c r="O213" s="82"/>
      <c r="P213" s="94"/>
      <c r="Q213" s="95"/>
    </row>
    <row r="214" spans="2:17" x14ac:dyDescent="0.25">
      <c r="B214" s="75"/>
      <c r="C214" s="76"/>
      <c r="D214" s="83"/>
      <c r="E214" s="84"/>
      <c r="F214" s="84"/>
      <c r="G214" s="84"/>
      <c r="H214" s="84"/>
      <c r="I214" s="85"/>
      <c r="J214" s="83"/>
      <c r="K214" s="85"/>
      <c r="L214" s="83"/>
      <c r="M214" s="85"/>
      <c r="N214" s="83"/>
      <c r="O214" s="85"/>
      <c r="P214" s="96"/>
      <c r="Q214" s="97"/>
    </row>
    <row r="215" spans="2:17" x14ac:dyDescent="0.25">
      <c r="B215" s="71"/>
      <c r="C215" s="72"/>
      <c r="D215" s="77"/>
      <c r="E215" s="78"/>
      <c r="F215" s="78"/>
      <c r="G215" s="78"/>
      <c r="H215" s="78"/>
      <c r="I215" s="79"/>
      <c r="J215" s="77"/>
      <c r="K215" s="79"/>
      <c r="L215" s="77"/>
      <c r="M215" s="79"/>
      <c r="N215" s="77"/>
      <c r="O215" s="79"/>
      <c r="P215" s="92"/>
      <c r="Q215" s="93"/>
    </row>
    <row r="216" spans="2:17" x14ac:dyDescent="0.25">
      <c r="B216" s="73"/>
      <c r="C216" s="74"/>
      <c r="D216" s="80"/>
      <c r="E216" s="81"/>
      <c r="F216" s="81"/>
      <c r="G216" s="81"/>
      <c r="H216" s="81"/>
      <c r="I216" s="82"/>
      <c r="J216" s="80"/>
      <c r="K216" s="82"/>
      <c r="L216" s="80"/>
      <c r="M216" s="82"/>
      <c r="N216" s="80"/>
      <c r="O216" s="82"/>
      <c r="P216" s="94"/>
      <c r="Q216" s="95"/>
    </row>
    <row r="217" spans="2:17" x14ac:dyDescent="0.25">
      <c r="B217" s="75"/>
      <c r="C217" s="76"/>
      <c r="D217" s="83"/>
      <c r="E217" s="84"/>
      <c r="F217" s="84"/>
      <c r="G217" s="84"/>
      <c r="H217" s="84"/>
      <c r="I217" s="85"/>
      <c r="J217" s="83"/>
      <c r="K217" s="85"/>
      <c r="L217" s="83"/>
      <c r="M217" s="85"/>
      <c r="N217" s="83"/>
      <c r="O217" s="85"/>
      <c r="P217" s="96"/>
      <c r="Q217" s="97"/>
    </row>
    <row r="218" spans="2:17" x14ac:dyDescent="0.25">
      <c r="B218" s="71"/>
      <c r="C218" s="72"/>
      <c r="D218" s="77"/>
      <c r="E218" s="78"/>
      <c r="F218" s="78"/>
      <c r="G218" s="78"/>
      <c r="H218" s="78"/>
      <c r="I218" s="79"/>
      <c r="J218" s="77"/>
      <c r="K218" s="79"/>
      <c r="L218" s="77"/>
      <c r="M218" s="79"/>
      <c r="N218" s="77"/>
      <c r="O218" s="79"/>
      <c r="P218" s="92"/>
      <c r="Q218" s="93"/>
    </row>
    <row r="219" spans="2:17" x14ac:dyDescent="0.25">
      <c r="B219" s="73"/>
      <c r="C219" s="74"/>
      <c r="D219" s="80"/>
      <c r="E219" s="81"/>
      <c r="F219" s="81"/>
      <c r="G219" s="81"/>
      <c r="H219" s="81"/>
      <c r="I219" s="82"/>
      <c r="J219" s="80"/>
      <c r="K219" s="82"/>
      <c r="L219" s="80"/>
      <c r="M219" s="82"/>
      <c r="N219" s="80"/>
      <c r="O219" s="82"/>
      <c r="P219" s="94"/>
      <c r="Q219" s="95"/>
    </row>
    <row r="220" spans="2:17" x14ac:dyDescent="0.25">
      <c r="B220" s="75"/>
      <c r="C220" s="76"/>
      <c r="D220" s="83"/>
      <c r="E220" s="84"/>
      <c r="F220" s="84"/>
      <c r="G220" s="84"/>
      <c r="H220" s="84"/>
      <c r="I220" s="85"/>
      <c r="J220" s="83"/>
      <c r="K220" s="85"/>
      <c r="L220" s="83"/>
      <c r="M220" s="85"/>
      <c r="N220" s="83"/>
      <c r="O220" s="85"/>
      <c r="P220" s="96"/>
      <c r="Q220" s="97"/>
    </row>
    <row r="221" spans="2:17" x14ac:dyDescent="0.25">
      <c r="B221" s="71"/>
      <c r="C221" s="72"/>
      <c r="D221" s="77"/>
      <c r="E221" s="78"/>
      <c r="F221" s="78"/>
      <c r="G221" s="78"/>
      <c r="H221" s="78"/>
      <c r="I221" s="79"/>
      <c r="J221" s="77"/>
      <c r="K221" s="79"/>
      <c r="L221" s="77"/>
      <c r="M221" s="79"/>
      <c r="N221" s="77"/>
      <c r="O221" s="79"/>
      <c r="P221" s="92"/>
      <c r="Q221" s="93"/>
    </row>
    <row r="222" spans="2:17" x14ac:dyDescent="0.25">
      <c r="B222" s="73"/>
      <c r="C222" s="74"/>
      <c r="D222" s="80"/>
      <c r="E222" s="81"/>
      <c r="F222" s="81"/>
      <c r="G222" s="81"/>
      <c r="H222" s="81"/>
      <c r="I222" s="82"/>
      <c r="J222" s="80"/>
      <c r="K222" s="82"/>
      <c r="L222" s="80"/>
      <c r="M222" s="82"/>
      <c r="N222" s="80"/>
      <c r="O222" s="82"/>
      <c r="P222" s="94"/>
      <c r="Q222" s="95"/>
    </row>
    <row r="223" spans="2:17" x14ac:dyDescent="0.25">
      <c r="B223" s="75"/>
      <c r="C223" s="76"/>
      <c r="D223" s="83"/>
      <c r="E223" s="84"/>
      <c r="F223" s="84"/>
      <c r="G223" s="84"/>
      <c r="H223" s="84"/>
      <c r="I223" s="85"/>
      <c r="J223" s="83"/>
      <c r="K223" s="85"/>
      <c r="L223" s="83"/>
      <c r="M223" s="85"/>
      <c r="N223" s="83"/>
      <c r="O223" s="85"/>
      <c r="P223" s="96"/>
      <c r="Q223" s="97"/>
    </row>
    <row r="224" spans="2:17" x14ac:dyDescent="0.25">
      <c r="B224" s="71"/>
      <c r="C224" s="72"/>
      <c r="D224" s="77"/>
      <c r="E224" s="78"/>
      <c r="F224" s="78"/>
      <c r="G224" s="78"/>
      <c r="H224" s="78"/>
      <c r="I224" s="79"/>
      <c r="J224" s="77"/>
      <c r="K224" s="79"/>
      <c r="L224" s="77"/>
      <c r="M224" s="79"/>
      <c r="N224" s="77"/>
      <c r="O224" s="79"/>
      <c r="P224" s="92"/>
      <c r="Q224" s="93"/>
    </row>
    <row r="225" spans="2:17" x14ac:dyDescent="0.25">
      <c r="B225" s="73"/>
      <c r="C225" s="74"/>
      <c r="D225" s="80"/>
      <c r="E225" s="81"/>
      <c r="F225" s="81"/>
      <c r="G225" s="81"/>
      <c r="H225" s="81"/>
      <c r="I225" s="82"/>
      <c r="J225" s="80"/>
      <c r="K225" s="82"/>
      <c r="L225" s="80"/>
      <c r="M225" s="82"/>
      <c r="N225" s="80"/>
      <c r="O225" s="82"/>
      <c r="P225" s="94"/>
      <c r="Q225" s="95"/>
    </row>
    <row r="226" spans="2:17" x14ac:dyDescent="0.25">
      <c r="B226" s="75"/>
      <c r="C226" s="76"/>
      <c r="D226" s="83"/>
      <c r="E226" s="84"/>
      <c r="F226" s="84"/>
      <c r="G226" s="84"/>
      <c r="H226" s="84"/>
      <c r="I226" s="85"/>
      <c r="J226" s="83"/>
      <c r="K226" s="85"/>
      <c r="L226" s="83"/>
      <c r="M226" s="85"/>
      <c r="N226" s="83"/>
      <c r="O226" s="85"/>
      <c r="P226" s="96"/>
      <c r="Q226" s="97"/>
    </row>
    <row r="227" spans="2:17" x14ac:dyDescent="0.25">
      <c r="B227" s="71"/>
      <c r="C227" s="72"/>
      <c r="D227" s="77"/>
      <c r="E227" s="78"/>
      <c r="F227" s="78"/>
      <c r="G227" s="78"/>
      <c r="H227" s="78"/>
      <c r="I227" s="79"/>
      <c r="J227" s="77"/>
      <c r="K227" s="79"/>
      <c r="L227" s="77"/>
      <c r="M227" s="79"/>
      <c r="N227" s="77"/>
      <c r="O227" s="79"/>
      <c r="P227" s="92"/>
      <c r="Q227" s="93"/>
    </row>
    <row r="228" spans="2:17" x14ac:dyDescent="0.25">
      <c r="B228" s="73"/>
      <c r="C228" s="74"/>
      <c r="D228" s="80"/>
      <c r="E228" s="81"/>
      <c r="F228" s="81"/>
      <c r="G228" s="81"/>
      <c r="H228" s="81"/>
      <c r="I228" s="82"/>
      <c r="J228" s="80"/>
      <c r="K228" s="82"/>
      <c r="L228" s="80"/>
      <c r="M228" s="82"/>
      <c r="N228" s="80"/>
      <c r="O228" s="82"/>
      <c r="P228" s="94"/>
      <c r="Q228" s="95"/>
    </row>
    <row r="229" spans="2:17" x14ac:dyDescent="0.25">
      <c r="B229" s="75"/>
      <c r="C229" s="76"/>
      <c r="D229" s="83"/>
      <c r="E229" s="84"/>
      <c r="F229" s="84"/>
      <c r="G229" s="84"/>
      <c r="H229" s="84"/>
      <c r="I229" s="85"/>
      <c r="J229" s="83"/>
      <c r="K229" s="85"/>
      <c r="L229" s="83"/>
      <c r="M229" s="85"/>
      <c r="N229" s="83"/>
      <c r="O229" s="85"/>
      <c r="P229" s="96"/>
      <c r="Q229" s="97"/>
    </row>
    <row r="230" spans="2:17" x14ac:dyDescent="0.25">
      <c r="B230" s="71"/>
      <c r="C230" s="72"/>
      <c r="D230" s="77"/>
      <c r="E230" s="78"/>
      <c r="F230" s="78"/>
      <c r="G230" s="78"/>
      <c r="H230" s="78"/>
      <c r="I230" s="79"/>
      <c r="J230" s="77"/>
      <c r="K230" s="79"/>
      <c r="L230" s="77"/>
      <c r="M230" s="79"/>
      <c r="N230" s="77"/>
      <c r="O230" s="79"/>
      <c r="P230" s="92"/>
      <c r="Q230" s="93"/>
    </row>
    <row r="231" spans="2:17" x14ac:dyDescent="0.25">
      <c r="B231" s="73"/>
      <c r="C231" s="74"/>
      <c r="D231" s="80"/>
      <c r="E231" s="81"/>
      <c r="F231" s="81"/>
      <c r="G231" s="81"/>
      <c r="H231" s="81"/>
      <c r="I231" s="82"/>
      <c r="J231" s="80"/>
      <c r="K231" s="82"/>
      <c r="L231" s="80"/>
      <c r="M231" s="82"/>
      <c r="N231" s="80"/>
      <c r="O231" s="82"/>
      <c r="P231" s="94"/>
      <c r="Q231" s="95"/>
    </row>
    <row r="232" spans="2:17" x14ac:dyDescent="0.25">
      <c r="B232" s="75"/>
      <c r="C232" s="76"/>
      <c r="D232" s="83"/>
      <c r="E232" s="84"/>
      <c r="F232" s="84"/>
      <c r="G232" s="84"/>
      <c r="H232" s="84"/>
      <c r="I232" s="85"/>
      <c r="J232" s="83"/>
      <c r="K232" s="85"/>
      <c r="L232" s="83"/>
      <c r="M232" s="85"/>
      <c r="N232" s="83"/>
      <c r="O232" s="85"/>
      <c r="P232" s="96"/>
      <c r="Q232" s="97"/>
    </row>
    <row r="233" spans="2:17" x14ac:dyDescent="0.25">
      <c r="B233" s="71"/>
      <c r="C233" s="72"/>
      <c r="D233" s="77"/>
      <c r="E233" s="78"/>
      <c r="F233" s="78"/>
      <c r="G233" s="78"/>
      <c r="H233" s="78"/>
      <c r="I233" s="79"/>
      <c r="J233" s="77"/>
      <c r="K233" s="79"/>
      <c r="L233" s="77"/>
      <c r="M233" s="79"/>
      <c r="N233" s="77"/>
      <c r="O233" s="79"/>
      <c r="P233" s="92"/>
      <c r="Q233" s="93"/>
    </row>
    <row r="234" spans="2:17" x14ac:dyDescent="0.25">
      <c r="B234" s="73"/>
      <c r="C234" s="74"/>
      <c r="D234" s="80"/>
      <c r="E234" s="81"/>
      <c r="F234" s="81"/>
      <c r="G234" s="81"/>
      <c r="H234" s="81"/>
      <c r="I234" s="82"/>
      <c r="J234" s="80"/>
      <c r="K234" s="82"/>
      <c r="L234" s="80"/>
      <c r="M234" s="82"/>
      <c r="N234" s="80"/>
      <c r="O234" s="82"/>
      <c r="P234" s="94"/>
      <c r="Q234" s="95"/>
    </row>
    <row r="235" spans="2:17" x14ac:dyDescent="0.25">
      <c r="B235" s="75"/>
      <c r="C235" s="76"/>
      <c r="D235" s="83"/>
      <c r="E235" s="84"/>
      <c r="F235" s="84"/>
      <c r="G235" s="84"/>
      <c r="H235" s="84"/>
      <c r="I235" s="85"/>
      <c r="J235" s="83"/>
      <c r="K235" s="85"/>
      <c r="L235" s="83"/>
      <c r="M235" s="85"/>
      <c r="N235" s="83"/>
      <c r="O235" s="85"/>
      <c r="P235" s="96"/>
      <c r="Q235" s="97"/>
    </row>
    <row r="236" spans="2:17" x14ac:dyDescent="0.25">
      <c r="B236" s="71"/>
      <c r="C236" s="72"/>
      <c r="D236" s="77"/>
      <c r="E236" s="78"/>
      <c r="F236" s="78"/>
      <c r="G236" s="78"/>
      <c r="H236" s="78"/>
      <c r="I236" s="79"/>
      <c r="J236" s="77"/>
      <c r="K236" s="79"/>
      <c r="L236" s="77"/>
      <c r="M236" s="79"/>
      <c r="N236" s="77"/>
      <c r="O236" s="79"/>
      <c r="P236" s="92"/>
      <c r="Q236" s="93"/>
    </row>
    <row r="237" spans="2:17" x14ac:dyDescent="0.25">
      <c r="B237" s="73"/>
      <c r="C237" s="74"/>
      <c r="D237" s="80"/>
      <c r="E237" s="81"/>
      <c r="F237" s="81"/>
      <c r="G237" s="81"/>
      <c r="H237" s="81"/>
      <c r="I237" s="82"/>
      <c r="J237" s="80"/>
      <c r="K237" s="82"/>
      <c r="L237" s="80"/>
      <c r="M237" s="82"/>
      <c r="N237" s="80"/>
      <c r="O237" s="82"/>
      <c r="P237" s="94"/>
      <c r="Q237" s="95"/>
    </row>
    <row r="238" spans="2:17" x14ac:dyDescent="0.25">
      <c r="B238" s="75"/>
      <c r="C238" s="76"/>
      <c r="D238" s="83"/>
      <c r="E238" s="84"/>
      <c r="F238" s="84"/>
      <c r="G238" s="84"/>
      <c r="H238" s="84"/>
      <c r="I238" s="85"/>
      <c r="J238" s="83"/>
      <c r="K238" s="85"/>
      <c r="L238" s="83"/>
      <c r="M238" s="85"/>
      <c r="N238" s="83"/>
      <c r="O238" s="85"/>
      <c r="P238" s="96"/>
      <c r="Q238" s="97"/>
    </row>
    <row r="239" spans="2:17" x14ac:dyDescent="0.25">
      <c r="B239" s="71"/>
      <c r="C239" s="72"/>
      <c r="D239" s="77"/>
      <c r="E239" s="78"/>
      <c r="F239" s="78"/>
      <c r="G239" s="78"/>
      <c r="H239" s="78"/>
      <c r="I239" s="79"/>
      <c r="J239" s="77"/>
      <c r="K239" s="79"/>
      <c r="L239" s="77"/>
      <c r="M239" s="79"/>
      <c r="N239" s="77"/>
      <c r="O239" s="79"/>
      <c r="P239" s="92"/>
      <c r="Q239" s="93"/>
    </row>
    <row r="240" spans="2:17" x14ac:dyDescent="0.25">
      <c r="B240" s="73"/>
      <c r="C240" s="74"/>
      <c r="D240" s="80"/>
      <c r="E240" s="81"/>
      <c r="F240" s="81"/>
      <c r="G240" s="81"/>
      <c r="H240" s="81"/>
      <c r="I240" s="82"/>
      <c r="J240" s="80"/>
      <c r="K240" s="82"/>
      <c r="L240" s="80"/>
      <c r="M240" s="82"/>
      <c r="N240" s="80"/>
      <c r="O240" s="82"/>
      <c r="P240" s="94"/>
      <c r="Q240" s="95"/>
    </row>
    <row r="241" spans="2:17" x14ac:dyDescent="0.25">
      <c r="B241" s="75"/>
      <c r="C241" s="76"/>
      <c r="D241" s="83"/>
      <c r="E241" s="84"/>
      <c r="F241" s="84"/>
      <c r="G241" s="84"/>
      <c r="H241" s="84"/>
      <c r="I241" s="85"/>
      <c r="J241" s="83"/>
      <c r="K241" s="85"/>
      <c r="L241" s="83"/>
      <c r="M241" s="85"/>
      <c r="N241" s="83"/>
      <c r="O241" s="85"/>
      <c r="P241" s="96"/>
      <c r="Q241" s="97"/>
    </row>
    <row r="242" spans="2:17" x14ac:dyDescent="0.25">
      <c r="B242" s="71"/>
      <c r="C242" s="72"/>
      <c r="D242" s="77"/>
      <c r="E242" s="78"/>
      <c r="F242" s="78"/>
      <c r="G242" s="78"/>
      <c r="H242" s="78"/>
      <c r="I242" s="79"/>
      <c r="J242" s="77"/>
      <c r="K242" s="79"/>
      <c r="L242" s="77"/>
      <c r="M242" s="79"/>
      <c r="N242" s="77"/>
      <c r="O242" s="79"/>
      <c r="P242" s="92"/>
      <c r="Q242" s="93"/>
    </row>
    <row r="243" spans="2:17" x14ac:dyDescent="0.25">
      <c r="B243" s="73"/>
      <c r="C243" s="74"/>
      <c r="D243" s="80"/>
      <c r="E243" s="81"/>
      <c r="F243" s="81"/>
      <c r="G243" s="81"/>
      <c r="H243" s="81"/>
      <c r="I243" s="82"/>
      <c r="J243" s="80"/>
      <c r="K243" s="82"/>
      <c r="L243" s="80"/>
      <c r="M243" s="82"/>
      <c r="N243" s="80"/>
      <c r="O243" s="82"/>
      <c r="P243" s="94"/>
      <c r="Q243" s="95"/>
    </row>
    <row r="244" spans="2:17" x14ac:dyDescent="0.25">
      <c r="B244" s="75"/>
      <c r="C244" s="76"/>
      <c r="D244" s="83"/>
      <c r="E244" s="84"/>
      <c r="F244" s="84"/>
      <c r="G244" s="84"/>
      <c r="H244" s="84"/>
      <c r="I244" s="85"/>
      <c r="J244" s="83"/>
      <c r="K244" s="85"/>
      <c r="L244" s="83"/>
      <c r="M244" s="85"/>
      <c r="N244" s="83"/>
      <c r="O244" s="85"/>
      <c r="P244" s="96"/>
      <c r="Q244" s="97"/>
    </row>
    <row r="245" spans="2:17" x14ac:dyDescent="0.25">
      <c r="B245" s="71"/>
      <c r="C245" s="72"/>
      <c r="D245" s="77"/>
      <c r="E245" s="78"/>
      <c r="F245" s="78"/>
      <c r="G245" s="78"/>
      <c r="H245" s="78"/>
      <c r="I245" s="79"/>
      <c r="J245" s="77"/>
      <c r="K245" s="79"/>
      <c r="L245" s="77"/>
      <c r="M245" s="79"/>
      <c r="N245" s="77"/>
      <c r="O245" s="79"/>
      <c r="P245" s="92"/>
      <c r="Q245" s="93"/>
    </row>
    <row r="246" spans="2:17" x14ac:dyDescent="0.25">
      <c r="B246" s="73"/>
      <c r="C246" s="74"/>
      <c r="D246" s="80"/>
      <c r="E246" s="81"/>
      <c r="F246" s="81"/>
      <c r="G246" s="81"/>
      <c r="H246" s="81"/>
      <c r="I246" s="82"/>
      <c r="J246" s="80"/>
      <c r="K246" s="82"/>
      <c r="L246" s="80"/>
      <c r="M246" s="82"/>
      <c r="N246" s="80"/>
      <c r="O246" s="82"/>
      <c r="P246" s="94"/>
      <c r="Q246" s="95"/>
    </row>
    <row r="247" spans="2:17" x14ac:dyDescent="0.25">
      <c r="B247" s="75"/>
      <c r="C247" s="76"/>
      <c r="D247" s="83"/>
      <c r="E247" s="84"/>
      <c r="F247" s="84"/>
      <c r="G247" s="84"/>
      <c r="H247" s="84"/>
      <c r="I247" s="85"/>
      <c r="J247" s="83"/>
      <c r="K247" s="85"/>
      <c r="L247" s="83"/>
      <c r="M247" s="85"/>
      <c r="N247" s="83"/>
      <c r="O247" s="85"/>
      <c r="P247" s="96"/>
      <c r="Q247" s="97"/>
    </row>
    <row r="248" spans="2:17" x14ac:dyDescent="0.25">
      <c r="B248" s="71"/>
      <c r="C248" s="72"/>
      <c r="D248" s="77"/>
      <c r="E248" s="78"/>
      <c r="F248" s="78"/>
      <c r="G248" s="78"/>
      <c r="H248" s="78"/>
      <c r="I248" s="79"/>
      <c r="J248" s="77"/>
      <c r="K248" s="79"/>
      <c r="L248" s="77"/>
      <c r="M248" s="79"/>
      <c r="N248" s="77"/>
      <c r="O248" s="79"/>
      <c r="P248" s="92"/>
      <c r="Q248" s="93"/>
    </row>
    <row r="249" spans="2:17" x14ac:dyDescent="0.25">
      <c r="B249" s="73"/>
      <c r="C249" s="74"/>
      <c r="D249" s="80"/>
      <c r="E249" s="81"/>
      <c r="F249" s="81"/>
      <c r="G249" s="81"/>
      <c r="H249" s="81"/>
      <c r="I249" s="82"/>
      <c r="J249" s="80"/>
      <c r="K249" s="82"/>
      <c r="L249" s="80"/>
      <c r="M249" s="82"/>
      <c r="N249" s="80"/>
      <c r="O249" s="82"/>
      <c r="P249" s="94"/>
      <c r="Q249" s="95"/>
    </row>
    <row r="250" spans="2:17" x14ac:dyDescent="0.25">
      <c r="B250" s="75"/>
      <c r="C250" s="76"/>
      <c r="D250" s="83"/>
      <c r="E250" s="84"/>
      <c r="F250" s="84"/>
      <c r="G250" s="84"/>
      <c r="H250" s="84"/>
      <c r="I250" s="85"/>
      <c r="J250" s="83"/>
      <c r="K250" s="85"/>
      <c r="L250" s="83"/>
      <c r="M250" s="85"/>
      <c r="N250" s="83"/>
      <c r="O250" s="85"/>
      <c r="P250" s="96"/>
      <c r="Q250" s="97"/>
    </row>
    <row r="251" spans="2:17" x14ac:dyDescent="0.25">
      <c r="B251" s="71"/>
      <c r="C251" s="72"/>
      <c r="D251" s="77"/>
      <c r="E251" s="78"/>
      <c r="F251" s="78"/>
      <c r="G251" s="78"/>
      <c r="H251" s="78"/>
      <c r="I251" s="79"/>
      <c r="J251" s="77"/>
      <c r="K251" s="79"/>
      <c r="L251" s="77"/>
      <c r="M251" s="79"/>
      <c r="N251" s="77"/>
      <c r="O251" s="79"/>
      <c r="P251" s="92"/>
      <c r="Q251" s="93"/>
    </row>
    <row r="252" spans="2:17" x14ac:dyDescent="0.25">
      <c r="B252" s="73"/>
      <c r="C252" s="74"/>
      <c r="D252" s="80"/>
      <c r="E252" s="81"/>
      <c r="F252" s="81"/>
      <c r="G252" s="81"/>
      <c r="H252" s="81"/>
      <c r="I252" s="82"/>
      <c r="J252" s="80"/>
      <c r="K252" s="82"/>
      <c r="L252" s="80"/>
      <c r="M252" s="82"/>
      <c r="N252" s="80"/>
      <c r="O252" s="82"/>
      <c r="P252" s="94"/>
      <c r="Q252" s="95"/>
    </row>
    <row r="253" spans="2:17" x14ac:dyDescent="0.25">
      <c r="B253" s="75"/>
      <c r="C253" s="76"/>
      <c r="D253" s="83"/>
      <c r="E253" s="84"/>
      <c r="F253" s="84"/>
      <c r="G253" s="84"/>
      <c r="H253" s="84"/>
      <c r="I253" s="85"/>
      <c r="J253" s="83"/>
      <c r="K253" s="85"/>
      <c r="L253" s="83"/>
      <c r="M253" s="85"/>
      <c r="N253" s="83"/>
      <c r="O253" s="85"/>
      <c r="P253" s="96"/>
      <c r="Q253" s="97"/>
    </row>
    <row r="254" spans="2:17" x14ac:dyDescent="0.25">
      <c r="B254" s="71"/>
      <c r="C254" s="72"/>
      <c r="D254" s="77"/>
      <c r="E254" s="78"/>
      <c r="F254" s="78"/>
      <c r="G254" s="78"/>
      <c r="H254" s="78"/>
      <c r="I254" s="79"/>
      <c r="J254" s="77"/>
      <c r="K254" s="79"/>
      <c r="L254" s="77"/>
      <c r="M254" s="79"/>
      <c r="N254" s="77"/>
      <c r="O254" s="79"/>
      <c r="P254" s="92"/>
      <c r="Q254" s="93"/>
    </row>
    <row r="255" spans="2:17" x14ac:dyDescent="0.25">
      <c r="B255" s="73"/>
      <c r="C255" s="74"/>
      <c r="D255" s="80"/>
      <c r="E255" s="81"/>
      <c r="F255" s="81"/>
      <c r="G255" s="81"/>
      <c r="H255" s="81"/>
      <c r="I255" s="82"/>
      <c r="J255" s="80"/>
      <c r="K255" s="82"/>
      <c r="L255" s="80"/>
      <c r="M255" s="82"/>
      <c r="N255" s="80"/>
      <c r="O255" s="82"/>
      <c r="P255" s="94"/>
      <c r="Q255" s="95"/>
    </row>
    <row r="256" spans="2:17" x14ac:dyDescent="0.25">
      <c r="B256" s="75"/>
      <c r="C256" s="76"/>
      <c r="D256" s="83"/>
      <c r="E256" s="84"/>
      <c r="F256" s="84"/>
      <c r="G256" s="84"/>
      <c r="H256" s="84"/>
      <c r="I256" s="85"/>
      <c r="J256" s="83"/>
      <c r="K256" s="85"/>
      <c r="L256" s="83"/>
      <c r="M256" s="85"/>
      <c r="N256" s="83"/>
      <c r="O256" s="85"/>
      <c r="P256" s="96"/>
      <c r="Q256" s="97"/>
    </row>
    <row r="257" spans="2:17" x14ac:dyDescent="0.25">
      <c r="B257" s="71"/>
      <c r="C257" s="72"/>
      <c r="D257" s="77"/>
      <c r="E257" s="78"/>
      <c r="F257" s="78"/>
      <c r="G257" s="78"/>
      <c r="H257" s="78"/>
      <c r="I257" s="79"/>
      <c r="J257" s="77"/>
      <c r="K257" s="79"/>
      <c r="L257" s="77"/>
      <c r="M257" s="79"/>
      <c r="N257" s="77"/>
      <c r="O257" s="79"/>
      <c r="P257" s="92"/>
      <c r="Q257" s="93"/>
    </row>
    <row r="258" spans="2:17" x14ac:dyDescent="0.25">
      <c r="B258" s="73"/>
      <c r="C258" s="74"/>
      <c r="D258" s="80"/>
      <c r="E258" s="81"/>
      <c r="F258" s="81"/>
      <c r="G258" s="81"/>
      <c r="H258" s="81"/>
      <c r="I258" s="82"/>
      <c r="J258" s="80"/>
      <c r="K258" s="82"/>
      <c r="L258" s="80"/>
      <c r="M258" s="82"/>
      <c r="N258" s="80"/>
      <c r="O258" s="82"/>
      <c r="P258" s="94"/>
      <c r="Q258" s="95"/>
    </row>
    <row r="259" spans="2:17" x14ac:dyDescent="0.25">
      <c r="B259" s="75"/>
      <c r="C259" s="76"/>
      <c r="D259" s="83"/>
      <c r="E259" s="84"/>
      <c r="F259" s="84"/>
      <c r="G259" s="84"/>
      <c r="H259" s="84"/>
      <c r="I259" s="85"/>
      <c r="J259" s="83"/>
      <c r="K259" s="85"/>
      <c r="L259" s="83"/>
      <c r="M259" s="85"/>
      <c r="N259" s="83"/>
      <c r="O259" s="85"/>
      <c r="P259" s="96"/>
      <c r="Q259" s="97"/>
    </row>
    <row r="260" spans="2:17" x14ac:dyDescent="0.25">
      <c r="B260" s="71"/>
      <c r="C260" s="72"/>
      <c r="D260" s="77"/>
      <c r="E260" s="78"/>
      <c r="F260" s="78"/>
      <c r="G260" s="78"/>
      <c r="H260" s="78"/>
      <c r="I260" s="79"/>
      <c r="J260" s="77"/>
      <c r="K260" s="79"/>
      <c r="L260" s="77"/>
      <c r="M260" s="79"/>
      <c r="N260" s="77"/>
      <c r="O260" s="79"/>
      <c r="P260" s="92"/>
      <c r="Q260" s="93"/>
    </row>
    <row r="261" spans="2:17" x14ac:dyDescent="0.25">
      <c r="B261" s="73"/>
      <c r="C261" s="74"/>
      <c r="D261" s="80"/>
      <c r="E261" s="81"/>
      <c r="F261" s="81"/>
      <c r="G261" s="81"/>
      <c r="H261" s="81"/>
      <c r="I261" s="82"/>
      <c r="J261" s="80"/>
      <c r="K261" s="82"/>
      <c r="L261" s="80"/>
      <c r="M261" s="82"/>
      <c r="N261" s="80"/>
      <c r="O261" s="82"/>
      <c r="P261" s="94"/>
      <c r="Q261" s="95"/>
    </row>
    <row r="262" spans="2:17" x14ac:dyDescent="0.25">
      <c r="B262" s="75"/>
      <c r="C262" s="76"/>
      <c r="D262" s="83"/>
      <c r="E262" s="84"/>
      <c r="F262" s="84"/>
      <c r="G262" s="84"/>
      <c r="H262" s="84"/>
      <c r="I262" s="85"/>
      <c r="J262" s="83"/>
      <c r="K262" s="85"/>
      <c r="L262" s="83"/>
      <c r="M262" s="85"/>
      <c r="N262" s="83"/>
      <c r="O262" s="85"/>
      <c r="P262" s="96"/>
      <c r="Q262" s="97"/>
    </row>
    <row r="263" spans="2:17" x14ac:dyDescent="0.25">
      <c r="B263" s="71"/>
      <c r="C263" s="72"/>
      <c r="D263" s="77"/>
      <c r="E263" s="78"/>
      <c r="F263" s="78"/>
      <c r="G263" s="78"/>
      <c r="H263" s="78"/>
      <c r="I263" s="79"/>
      <c r="J263" s="77"/>
      <c r="K263" s="79"/>
      <c r="L263" s="77"/>
      <c r="M263" s="79"/>
      <c r="N263" s="77"/>
      <c r="O263" s="79"/>
      <c r="P263" s="92"/>
      <c r="Q263" s="93"/>
    </row>
    <row r="264" spans="2:17" x14ac:dyDescent="0.25">
      <c r="B264" s="73"/>
      <c r="C264" s="74"/>
      <c r="D264" s="80"/>
      <c r="E264" s="81"/>
      <c r="F264" s="81"/>
      <c r="G264" s="81"/>
      <c r="H264" s="81"/>
      <c r="I264" s="82"/>
      <c r="J264" s="80"/>
      <c r="K264" s="82"/>
      <c r="L264" s="80"/>
      <c r="M264" s="82"/>
      <c r="N264" s="80"/>
      <c r="O264" s="82"/>
      <c r="P264" s="94"/>
      <c r="Q264" s="95"/>
    </row>
    <row r="265" spans="2:17" x14ac:dyDescent="0.25">
      <c r="B265" s="75"/>
      <c r="C265" s="76"/>
      <c r="D265" s="83"/>
      <c r="E265" s="84"/>
      <c r="F265" s="84"/>
      <c r="G265" s="84"/>
      <c r="H265" s="84"/>
      <c r="I265" s="85"/>
      <c r="J265" s="83"/>
      <c r="K265" s="85"/>
      <c r="L265" s="83"/>
      <c r="M265" s="85"/>
      <c r="N265" s="83"/>
      <c r="O265" s="85"/>
      <c r="P265" s="96"/>
      <c r="Q265" s="97"/>
    </row>
    <row r="266" spans="2:17" x14ac:dyDescent="0.25">
      <c r="B266" s="71"/>
      <c r="C266" s="72"/>
      <c r="D266" s="77"/>
      <c r="E266" s="78"/>
      <c r="F266" s="78"/>
      <c r="G266" s="78"/>
      <c r="H266" s="78"/>
      <c r="I266" s="79"/>
      <c r="J266" s="77"/>
      <c r="K266" s="79"/>
      <c r="L266" s="77"/>
      <c r="M266" s="79"/>
      <c r="N266" s="77"/>
      <c r="O266" s="79"/>
      <c r="P266" s="92"/>
      <c r="Q266" s="93"/>
    </row>
    <row r="267" spans="2:17" x14ac:dyDescent="0.25">
      <c r="B267" s="73"/>
      <c r="C267" s="74"/>
      <c r="D267" s="80"/>
      <c r="E267" s="81"/>
      <c r="F267" s="81"/>
      <c r="G267" s="81"/>
      <c r="H267" s="81"/>
      <c r="I267" s="82"/>
      <c r="J267" s="80"/>
      <c r="K267" s="82"/>
      <c r="L267" s="80"/>
      <c r="M267" s="82"/>
      <c r="N267" s="80"/>
      <c r="O267" s="82"/>
      <c r="P267" s="94"/>
      <c r="Q267" s="95"/>
    </row>
    <row r="268" spans="2:17" x14ac:dyDescent="0.25">
      <c r="B268" s="75"/>
      <c r="C268" s="76"/>
      <c r="D268" s="83"/>
      <c r="E268" s="84"/>
      <c r="F268" s="84"/>
      <c r="G268" s="84"/>
      <c r="H268" s="84"/>
      <c r="I268" s="85"/>
      <c r="J268" s="83"/>
      <c r="K268" s="85"/>
      <c r="L268" s="83"/>
      <c r="M268" s="85"/>
      <c r="N268" s="83"/>
      <c r="O268" s="85"/>
      <c r="P268" s="96"/>
      <c r="Q268" s="97"/>
    </row>
    <row r="269" spans="2:17" x14ac:dyDescent="0.25">
      <c r="B269" s="71"/>
      <c r="C269" s="72"/>
      <c r="D269" s="77"/>
      <c r="E269" s="78"/>
      <c r="F269" s="78"/>
      <c r="G269" s="78"/>
      <c r="H269" s="78"/>
      <c r="I269" s="79"/>
      <c r="J269" s="77"/>
      <c r="K269" s="79"/>
      <c r="L269" s="77"/>
      <c r="M269" s="79"/>
      <c r="N269" s="77"/>
      <c r="O269" s="79"/>
      <c r="P269" s="92"/>
      <c r="Q269" s="93"/>
    </row>
    <row r="270" spans="2:17" x14ac:dyDescent="0.25">
      <c r="B270" s="73"/>
      <c r="C270" s="74"/>
      <c r="D270" s="80"/>
      <c r="E270" s="81"/>
      <c r="F270" s="81"/>
      <c r="G270" s="81"/>
      <c r="H270" s="81"/>
      <c r="I270" s="82"/>
      <c r="J270" s="80"/>
      <c r="K270" s="82"/>
      <c r="L270" s="80"/>
      <c r="M270" s="82"/>
      <c r="N270" s="80"/>
      <c r="O270" s="82"/>
      <c r="P270" s="94"/>
      <c r="Q270" s="95"/>
    </row>
    <row r="271" spans="2:17" x14ac:dyDescent="0.25">
      <c r="B271" s="75"/>
      <c r="C271" s="76"/>
      <c r="D271" s="83"/>
      <c r="E271" s="84"/>
      <c r="F271" s="84"/>
      <c r="G271" s="84"/>
      <c r="H271" s="84"/>
      <c r="I271" s="85"/>
      <c r="J271" s="83"/>
      <c r="K271" s="85"/>
      <c r="L271" s="83"/>
      <c r="M271" s="85"/>
      <c r="N271" s="83"/>
      <c r="O271" s="85"/>
      <c r="P271" s="96"/>
      <c r="Q271" s="97"/>
    </row>
    <row r="272" spans="2:17" x14ac:dyDescent="0.25">
      <c r="B272" s="71"/>
      <c r="C272" s="72"/>
      <c r="D272" s="77"/>
      <c r="E272" s="78"/>
      <c r="F272" s="78"/>
      <c r="G272" s="78"/>
      <c r="H272" s="78"/>
      <c r="I272" s="79"/>
      <c r="J272" s="77"/>
      <c r="K272" s="79"/>
      <c r="L272" s="77"/>
      <c r="M272" s="79"/>
      <c r="N272" s="77"/>
      <c r="O272" s="79"/>
      <c r="P272" s="92"/>
      <c r="Q272" s="93"/>
    </row>
    <row r="273" spans="2:17" x14ac:dyDescent="0.25">
      <c r="B273" s="73"/>
      <c r="C273" s="74"/>
      <c r="D273" s="80"/>
      <c r="E273" s="81"/>
      <c r="F273" s="81"/>
      <c r="G273" s="81"/>
      <c r="H273" s="81"/>
      <c r="I273" s="82"/>
      <c r="J273" s="80"/>
      <c r="K273" s="82"/>
      <c r="L273" s="80"/>
      <c r="M273" s="82"/>
      <c r="N273" s="80"/>
      <c r="O273" s="82"/>
      <c r="P273" s="94"/>
      <c r="Q273" s="95"/>
    </row>
    <row r="274" spans="2:17" x14ac:dyDescent="0.25">
      <c r="B274" s="75"/>
      <c r="C274" s="76"/>
      <c r="D274" s="83"/>
      <c r="E274" s="84"/>
      <c r="F274" s="84"/>
      <c r="G274" s="84"/>
      <c r="H274" s="84"/>
      <c r="I274" s="85"/>
      <c r="J274" s="83"/>
      <c r="K274" s="85"/>
      <c r="L274" s="83"/>
      <c r="M274" s="85"/>
      <c r="N274" s="83"/>
      <c r="O274" s="85"/>
      <c r="P274" s="96"/>
      <c r="Q274" s="97"/>
    </row>
    <row r="275" spans="2:17" x14ac:dyDescent="0.25">
      <c r="B275" s="71"/>
      <c r="C275" s="72"/>
      <c r="D275" s="77"/>
      <c r="E275" s="78"/>
      <c r="F275" s="78"/>
      <c r="G275" s="78"/>
      <c r="H275" s="78"/>
      <c r="I275" s="79"/>
      <c r="J275" s="77"/>
      <c r="K275" s="79"/>
      <c r="L275" s="77"/>
      <c r="M275" s="79"/>
      <c r="N275" s="77"/>
      <c r="O275" s="79"/>
      <c r="P275" s="92"/>
      <c r="Q275" s="93"/>
    </row>
    <row r="276" spans="2:17" x14ac:dyDescent="0.25">
      <c r="B276" s="73"/>
      <c r="C276" s="74"/>
      <c r="D276" s="80"/>
      <c r="E276" s="81"/>
      <c r="F276" s="81"/>
      <c r="G276" s="81"/>
      <c r="H276" s="81"/>
      <c r="I276" s="82"/>
      <c r="J276" s="80"/>
      <c r="K276" s="82"/>
      <c r="L276" s="80"/>
      <c r="M276" s="82"/>
      <c r="N276" s="80"/>
      <c r="O276" s="82"/>
      <c r="P276" s="94"/>
      <c r="Q276" s="95"/>
    </row>
    <row r="277" spans="2:17" x14ac:dyDescent="0.25">
      <c r="B277" s="75"/>
      <c r="C277" s="76"/>
      <c r="D277" s="83"/>
      <c r="E277" s="84"/>
      <c r="F277" s="84"/>
      <c r="G277" s="84"/>
      <c r="H277" s="84"/>
      <c r="I277" s="85"/>
      <c r="J277" s="83"/>
      <c r="K277" s="85"/>
      <c r="L277" s="83"/>
      <c r="M277" s="85"/>
      <c r="N277" s="83"/>
      <c r="O277" s="85"/>
      <c r="P277" s="96"/>
      <c r="Q277" s="97"/>
    </row>
    <row r="278" spans="2:17" x14ac:dyDescent="0.25">
      <c r="B278" s="71"/>
      <c r="C278" s="72"/>
      <c r="D278" s="77"/>
      <c r="E278" s="78"/>
      <c r="F278" s="78"/>
      <c r="G278" s="78"/>
      <c r="H278" s="78"/>
      <c r="I278" s="79"/>
      <c r="J278" s="77"/>
      <c r="K278" s="79"/>
      <c r="L278" s="77"/>
      <c r="M278" s="79"/>
      <c r="N278" s="77"/>
      <c r="O278" s="79"/>
      <c r="P278" s="92"/>
      <c r="Q278" s="93"/>
    </row>
    <row r="279" spans="2:17" x14ac:dyDescent="0.25">
      <c r="B279" s="73"/>
      <c r="C279" s="74"/>
      <c r="D279" s="80"/>
      <c r="E279" s="81"/>
      <c r="F279" s="81"/>
      <c r="G279" s="81"/>
      <c r="H279" s="81"/>
      <c r="I279" s="82"/>
      <c r="J279" s="80"/>
      <c r="K279" s="82"/>
      <c r="L279" s="80"/>
      <c r="M279" s="82"/>
      <c r="N279" s="80"/>
      <c r="O279" s="82"/>
      <c r="P279" s="94"/>
      <c r="Q279" s="95"/>
    </row>
    <row r="280" spans="2:17" x14ac:dyDescent="0.25">
      <c r="B280" s="75"/>
      <c r="C280" s="76"/>
      <c r="D280" s="83"/>
      <c r="E280" s="84"/>
      <c r="F280" s="84"/>
      <c r="G280" s="84"/>
      <c r="H280" s="84"/>
      <c r="I280" s="85"/>
      <c r="J280" s="83"/>
      <c r="K280" s="85"/>
      <c r="L280" s="83"/>
      <c r="M280" s="85"/>
      <c r="N280" s="83"/>
      <c r="O280" s="85"/>
      <c r="P280" s="96"/>
      <c r="Q280" s="97"/>
    </row>
    <row r="281" spans="2:17" x14ac:dyDescent="0.25">
      <c r="B281" s="71"/>
      <c r="C281" s="72"/>
      <c r="D281" s="77"/>
      <c r="E281" s="78"/>
      <c r="F281" s="78"/>
      <c r="G281" s="78"/>
      <c r="H281" s="78"/>
      <c r="I281" s="79"/>
      <c r="J281" s="77"/>
      <c r="K281" s="79"/>
      <c r="L281" s="77"/>
      <c r="M281" s="79"/>
      <c r="N281" s="77"/>
      <c r="O281" s="79"/>
      <c r="P281" s="92"/>
      <c r="Q281" s="93"/>
    </row>
    <row r="282" spans="2:17" x14ac:dyDescent="0.25">
      <c r="B282" s="73"/>
      <c r="C282" s="74"/>
      <c r="D282" s="80"/>
      <c r="E282" s="81"/>
      <c r="F282" s="81"/>
      <c r="G282" s="81"/>
      <c r="H282" s="81"/>
      <c r="I282" s="82"/>
      <c r="J282" s="80"/>
      <c r="K282" s="82"/>
      <c r="L282" s="80"/>
      <c r="M282" s="82"/>
      <c r="N282" s="80"/>
      <c r="O282" s="82"/>
      <c r="P282" s="94"/>
      <c r="Q282" s="95"/>
    </row>
    <row r="283" spans="2:17" x14ac:dyDescent="0.25">
      <c r="B283" s="75"/>
      <c r="C283" s="76"/>
      <c r="D283" s="83"/>
      <c r="E283" s="84"/>
      <c r="F283" s="84"/>
      <c r="G283" s="84"/>
      <c r="H283" s="84"/>
      <c r="I283" s="85"/>
      <c r="J283" s="83"/>
      <c r="K283" s="85"/>
      <c r="L283" s="83"/>
      <c r="M283" s="85"/>
      <c r="N283" s="83"/>
      <c r="O283" s="85"/>
      <c r="P283" s="96"/>
      <c r="Q283" s="97"/>
    </row>
    <row r="284" spans="2:17" x14ac:dyDescent="0.25">
      <c r="B284" s="71"/>
      <c r="C284" s="72"/>
      <c r="D284" s="77"/>
      <c r="E284" s="78"/>
      <c r="F284" s="78"/>
      <c r="G284" s="78"/>
      <c r="H284" s="78"/>
      <c r="I284" s="79"/>
      <c r="J284" s="77"/>
      <c r="K284" s="79"/>
      <c r="L284" s="77"/>
      <c r="M284" s="79"/>
      <c r="N284" s="77"/>
      <c r="O284" s="79"/>
      <c r="P284" s="92"/>
      <c r="Q284" s="93"/>
    </row>
    <row r="285" spans="2:17" x14ac:dyDescent="0.25">
      <c r="B285" s="73"/>
      <c r="C285" s="74"/>
      <c r="D285" s="80"/>
      <c r="E285" s="81"/>
      <c r="F285" s="81"/>
      <c r="G285" s="81"/>
      <c r="H285" s="81"/>
      <c r="I285" s="82"/>
      <c r="J285" s="80"/>
      <c r="K285" s="82"/>
      <c r="L285" s="80"/>
      <c r="M285" s="82"/>
      <c r="N285" s="80"/>
      <c r="O285" s="82"/>
      <c r="P285" s="94"/>
      <c r="Q285" s="95"/>
    </row>
    <row r="286" spans="2:17" x14ac:dyDescent="0.25">
      <c r="B286" s="75"/>
      <c r="C286" s="76"/>
      <c r="D286" s="83"/>
      <c r="E286" s="84"/>
      <c r="F286" s="84"/>
      <c r="G286" s="84"/>
      <c r="H286" s="84"/>
      <c r="I286" s="85"/>
      <c r="J286" s="83"/>
      <c r="K286" s="85"/>
      <c r="L286" s="83"/>
      <c r="M286" s="85"/>
      <c r="N286" s="83"/>
      <c r="O286" s="85"/>
      <c r="P286" s="96"/>
      <c r="Q286" s="97"/>
    </row>
    <row r="287" spans="2:17" x14ac:dyDescent="0.25">
      <c r="B287" s="71"/>
      <c r="C287" s="72"/>
      <c r="D287" s="77"/>
      <c r="E287" s="78"/>
      <c r="F287" s="78"/>
      <c r="G287" s="78"/>
      <c r="H287" s="78"/>
      <c r="I287" s="79"/>
      <c r="J287" s="77"/>
      <c r="K287" s="79"/>
      <c r="L287" s="77"/>
      <c r="M287" s="79"/>
      <c r="N287" s="77"/>
      <c r="O287" s="79"/>
      <c r="P287" s="92"/>
      <c r="Q287" s="93"/>
    </row>
    <row r="288" spans="2:17" x14ac:dyDescent="0.25">
      <c r="B288" s="73"/>
      <c r="C288" s="74"/>
      <c r="D288" s="80"/>
      <c r="E288" s="81"/>
      <c r="F288" s="81"/>
      <c r="G288" s="81"/>
      <c r="H288" s="81"/>
      <c r="I288" s="82"/>
      <c r="J288" s="80"/>
      <c r="K288" s="82"/>
      <c r="L288" s="80"/>
      <c r="M288" s="82"/>
      <c r="N288" s="80"/>
      <c r="O288" s="82"/>
      <c r="P288" s="94"/>
      <c r="Q288" s="95"/>
    </row>
    <row r="289" spans="2:17" x14ac:dyDescent="0.25">
      <c r="B289" s="75"/>
      <c r="C289" s="76"/>
      <c r="D289" s="83"/>
      <c r="E289" s="84"/>
      <c r="F289" s="84"/>
      <c r="G289" s="84"/>
      <c r="H289" s="84"/>
      <c r="I289" s="85"/>
      <c r="J289" s="83"/>
      <c r="K289" s="85"/>
      <c r="L289" s="83"/>
      <c r="M289" s="85"/>
      <c r="N289" s="83"/>
      <c r="O289" s="85"/>
      <c r="P289" s="96"/>
      <c r="Q289" s="97"/>
    </row>
    <row r="290" spans="2:17" x14ac:dyDescent="0.25">
      <c r="B290" s="71"/>
      <c r="C290" s="72"/>
      <c r="D290" s="77"/>
      <c r="E290" s="78"/>
      <c r="F290" s="78"/>
      <c r="G290" s="78"/>
      <c r="H290" s="78"/>
      <c r="I290" s="79"/>
      <c r="J290" s="77"/>
      <c r="K290" s="79"/>
      <c r="L290" s="77"/>
      <c r="M290" s="79"/>
      <c r="N290" s="77"/>
      <c r="O290" s="79"/>
      <c r="P290" s="92"/>
      <c r="Q290" s="93"/>
    </row>
    <row r="291" spans="2:17" x14ac:dyDescent="0.25">
      <c r="B291" s="73"/>
      <c r="C291" s="74"/>
      <c r="D291" s="80"/>
      <c r="E291" s="81"/>
      <c r="F291" s="81"/>
      <c r="G291" s="81"/>
      <c r="H291" s="81"/>
      <c r="I291" s="82"/>
      <c r="J291" s="80"/>
      <c r="K291" s="82"/>
      <c r="L291" s="80"/>
      <c r="M291" s="82"/>
      <c r="N291" s="80"/>
      <c r="O291" s="82"/>
      <c r="P291" s="94"/>
      <c r="Q291" s="95"/>
    </row>
    <row r="292" spans="2:17" x14ac:dyDescent="0.25">
      <c r="B292" s="75"/>
      <c r="C292" s="76"/>
      <c r="D292" s="83"/>
      <c r="E292" s="84"/>
      <c r="F292" s="84"/>
      <c r="G292" s="84"/>
      <c r="H292" s="84"/>
      <c r="I292" s="85"/>
      <c r="J292" s="83"/>
      <c r="K292" s="85"/>
      <c r="L292" s="83"/>
      <c r="M292" s="85"/>
      <c r="N292" s="83"/>
      <c r="O292" s="85"/>
      <c r="P292" s="96"/>
      <c r="Q292" s="97"/>
    </row>
    <row r="293" spans="2:17" x14ac:dyDescent="0.25">
      <c r="B293" s="71"/>
      <c r="C293" s="72"/>
      <c r="D293" s="77"/>
      <c r="E293" s="78"/>
      <c r="F293" s="78"/>
      <c r="G293" s="78"/>
      <c r="H293" s="78"/>
      <c r="I293" s="79"/>
      <c r="J293" s="77"/>
      <c r="K293" s="79"/>
      <c r="L293" s="77"/>
      <c r="M293" s="79"/>
      <c r="N293" s="77"/>
      <c r="O293" s="79"/>
      <c r="P293" s="92"/>
      <c r="Q293" s="93"/>
    </row>
    <row r="294" spans="2:17" x14ac:dyDescent="0.25">
      <c r="B294" s="73"/>
      <c r="C294" s="74"/>
      <c r="D294" s="80"/>
      <c r="E294" s="81"/>
      <c r="F294" s="81"/>
      <c r="G294" s="81"/>
      <c r="H294" s="81"/>
      <c r="I294" s="82"/>
      <c r="J294" s="80"/>
      <c r="K294" s="82"/>
      <c r="L294" s="80"/>
      <c r="M294" s="82"/>
      <c r="N294" s="80"/>
      <c r="O294" s="82"/>
      <c r="P294" s="94"/>
      <c r="Q294" s="95"/>
    </row>
    <row r="295" spans="2:17" x14ac:dyDescent="0.25">
      <c r="B295" s="75"/>
      <c r="C295" s="76"/>
      <c r="D295" s="83"/>
      <c r="E295" s="84"/>
      <c r="F295" s="84"/>
      <c r="G295" s="84"/>
      <c r="H295" s="84"/>
      <c r="I295" s="85"/>
      <c r="J295" s="83"/>
      <c r="K295" s="85"/>
      <c r="L295" s="83"/>
      <c r="M295" s="85"/>
      <c r="N295" s="83"/>
      <c r="O295" s="85"/>
      <c r="P295" s="96"/>
      <c r="Q295" s="97"/>
    </row>
    <row r="296" spans="2:17" x14ac:dyDescent="0.25">
      <c r="B296" s="71"/>
      <c r="C296" s="72"/>
      <c r="D296" s="77"/>
      <c r="E296" s="78"/>
      <c r="F296" s="78"/>
      <c r="G296" s="78"/>
      <c r="H296" s="78"/>
      <c r="I296" s="79"/>
      <c r="J296" s="77"/>
      <c r="K296" s="79"/>
      <c r="L296" s="77"/>
      <c r="M296" s="79"/>
      <c r="N296" s="77"/>
      <c r="O296" s="79"/>
      <c r="P296" s="92"/>
      <c r="Q296" s="93"/>
    </row>
    <row r="297" spans="2:17" x14ac:dyDescent="0.25">
      <c r="B297" s="73"/>
      <c r="C297" s="74"/>
      <c r="D297" s="80"/>
      <c r="E297" s="81"/>
      <c r="F297" s="81"/>
      <c r="G297" s="81"/>
      <c r="H297" s="81"/>
      <c r="I297" s="82"/>
      <c r="J297" s="80"/>
      <c r="K297" s="82"/>
      <c r="L297" s="80"/>
      <c r="M297" s="82"/>
      <c r="N297" s="80"/>
      <c r="O297" s="82"/>
      <c r="P297" s="94"/>
      <c r="Q297" s="95"/>
    </row>
    <row r="298" spans="2:17" x14ac:dyDescent="0.25">
      <c r="B298" s="75"/>
      <c r="C298" s="76"/>
      <c r="D298" s="83"/>
      <c r="E298" s="84"/>
      <c r="F298" s="84"/>
      <c r="G298" s="84"/>
      <c r="H298" s="84"/>
      <c r="I298" s="85"/>
      <c r="J298" s="83"/>
      <c r="K298" s="85"/>
      <c r="L298" s="83"/>
      <c r="M298" s="85"/>
      <c r="N298" s="83"/>
      <c r="O298" s="85"/>
      <c r="P298" s="96"/>
      <c r="Q298" s="97"/>
    </row>
  </sheetData>
  <sheetProtection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620"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R41:S43"/>
    <mergeCell ref="R44:S46"/>
    <mergeCell ref="R47:S49"/>
    <mergeCell ref="R50:S52"/>
    <mergeCell ref="R53:S55"/>
    <mergeCell ref="R26:S28"/>
    <mergeCell ref="R29:S31"/>
    <mergeCell ref="R32:S34"/>
    <mergeCell ref="R35:S37"/>
    <mergeCell ref="R38:S40"/>
    <mergeCell ref="R11:S13"/>
    <mergeCell ref="R14:S16"/>
    <mergeCell ref="R17:S19"/>
    <mergeCell ref="R20:S22"/>
    <mergeCell ref="R23:S25"/>
    <mergeCell ref="P98:Q100"/>
    <mergeCell ref="B98:C100"/>
    <mergeCell ref="D98:I100"/>
    <mergeCell ref="J98:K100"/>
    <mergeCell ref="L98:M100"/>
    <mergeCell ref="N98:O100"/>
    <mergeCell ref="P92:Q94"/>
    <mergeCell ref="B95:C97"/>
    <mergeCell ref="D95:I97"/>
    <mergeCell ref="J95:K97"/>
    <mergeCell ref="L95:M97"/>
    <mergeCell ref="N95:O97"/>
    <mergeCell ref="P95:Q97"/>
    <mergeCell ref="B92:C94"/>
    <mergeCell ref="D92:I94"/>
    <mergeCell ref="J92:K94"/>
    <mergeCell ref="L92:M94"/>
    <mergeCell ref="N92:O94"/>
    <mergeCell ref="P86:Q88"/>
    <mergeCell ref="B89:C91"/>
    <mergeCell ref="D89:I91"/>
    <mergeCell ref="J89:K91"/>
    <mergeCell ref="L89:M91"/>
    <mergeCell ref="N89:O91"/>
    <mergeCell ref="P89:Q91"/>
    <mergeCell ref="B86:C88"/>
    <mergeCell ref="D86:I88"/>
    <mergeCell ref="J86:K88"/>
    <mergeCell ref="L86:M88"/>
    <mergeCell ref="N86:O88"/>
    <mergeCell ref="P80:Q82"/>
    <mergeCell ref="B83:C85"/>
    <mergeCell ref="D83:I85"/>
    <mergeCell ref="J83:K85"/>
    <mergeCell ref="L83:M85"/>
    <mergeCell ref="N83:O85"/>
    <mergeCell ref="P83:Q85"/>
    <mergeCell ref="B80:C82"/>
    <mergeCell ref="D80:I82"/>
    <mergeCell ref="J80:K82"/>
    <mergeCell ref="L80:M82"/>
    <mergeCell ref="N80:O82"/>
    <mergeCell ref="P74:Q76"/>
    <mergeCell ref="B77:C79"/>
    <mergeCell ref="D77:I79"/>
    <mergeCell ref="J77:K79"/>
    <mergeCell ref="L77:M79"/>
    <mergeCell ref="N77:O79"/>
    <mergeCell ref="P77:Q79"/>
    <mergeCell ref="B74:C76"/>
    <mergeCell ref="D74:I76"/>
    <mergeCell ref="J74:K76"/>
    <mergeCell ref="L74:M76"/>
    <mergeCell ref="N74:O76"/>
    <mergeCell ref="P68:Q70"/>
    <mergeCell ref="B71:C73"/>
    <mergeCell ref="D71:I73"/>
    <mergeCell ref="J71:K73"/>
    <mergeCell ref="L71:M73"/>
    <mergeCell ref="N71:O73"/>
    <mergeCell ref="P71:Q73"/>
    <mergeCell ref="B68:C70"/>
    <mergeCell ref="D68:I70"/>
    <mergeCell ref="J68:K70"/>
    <mergeCell ref="L68:M70"/>
    <mergeCell ref="N68:O70"/>
    <mergeCell ref="P62:Q64"/>
    <mergeCell ref="B65:C67"/>
    <mergeCell ref="D65:I67"/>
    <mergeCell ref="J65:K67"/>
    <mergeCell ref="L65:M67"/>
    <mergeCell ref="N65:O67"/>
    <mergeCell ref="P65:Q67"/>
    <mergeCell ref="B62:C64"/>
    <mergeCell ref="D62:I64"/>
    <mergeCell ref="J62:K64"/>
    <mergeCell ref="L62:M64"/>
    <mergeCell ref="N62:O64"/>
    <mergeCell ref="P56:Q58"/>
    <mergeCell ref="B59:C61"/>
    <mergeCell ref="D59:I61"/>
    <mergeCell ref="J59:K61"/>
    <mergeCell ref="L59:M61"/>
    <mergeCell ref="N59:O61"/>
    <mergeCell ref="P59:Q61"/>
    <mergeCell ref="B56:C58"/>
    <mergeCell ref="D56:I58"/>
    <mergeCell ref="J56:K58"/>
    <mergeCell ref="L56:M58"/>
    <mergeCell ref="N56:O58"/>
    <mergeCell ref="P50:Q52"/>
    <mergeCell ref="B53:C55"/>
    <mergeCell ref="D53:I55"/>
    <mergeCell ref="J53:K55"/>
    <mergeCell ref="L53:M55"/>
    <mergeCell ref="N53:O55"/>
    <mergeCell ref="P53:Q55"/>
    <mergeCell ref="B50:C52"/>
    <mergeCell ref="D50:I52"/>
    <mergeCell ref="J50:K52"/>
    <mergeCell ref="L50:M52"/>
    <mergeCell ref="N50:O52"/>
    <mergeCell ref="N47:O49"/>
    <mergeCell ref="P47:Q49"/>
    <mergeCell ref="N41:O43"/>
    <mergeCell ref="P41:Q43"/>
    <mergeCell ref="B44:C46"/>
    <mergeCell ref="D44:I46"/>
    <mergeCell ref="J44:K46"/>
    <mergeCell ref="L44:M46"/>
    <mergeCell ref="N44:O46"/>
    <mergeCell ref="P44:Q46"/>
    <mergeCell ref="N35:O37"/>
    <mergeCell ref="P35:Q37"/>
    <mergeCell ref="B38:C40"/>
    <mergeCell ref="D38:I40"/>
    <mergeCell ref="J38:K40"/>
    <mergeCell ref="L38:M40"/>
    <mergeCell ref="N38:O40"/>
    <mergeCell ref="P38:Q40"/>
    <mergeCell ref="N29:O31"/>
    <mergeCell ref="P29:Q31"/>
    <mergeCell ref="B32:C34"/>
    <mergeCell ref="D32:I34"/>
    <mergeCell ref="J32:K34"/>
    <mergeCell ref="L32:M34"/>
    <mergeCell ref="N32:O34"/>
    <mergeCell ref="P32:Q34"/>
    <mergeCell ref="L29:M31"/>
    <mergeCell ref="N23:O25"/>
    <mergeCell ref="P23:Q25"/>
    <mergeCell ref="B26:C28"/>
    <mergeCell ref="D26:I28"/>
    <mergeCell ref="J26:K28"/>
    <mergeCell ref="L26:M28"/>
    <mergeCell ref="N26:O28"/>
    <mergeCell ref="P26:Q28"/>
    <mergeCell ref="B23:C25"/>
    <mergeCell ref="D23:I25"/>
    <mergeCell ref="J23:K25"/>
    <mergeCell ref="L23:M25"/>
    <mergeCell ref="N14:O16"/>
    <mergeCell ref="P14:Q16"/>
    <mergeCell ref="N17:O19"/>
    <mergeCell ref="P17:Q19"/>
    <mergeCell ref="B20:C22"/>
    <mergeCell ref="D20:I22"/>
    <mergeCell ref="J20:K22"/>
    <mergeCell ref="L20:M22"/>
    <mergeCell ref="N20:O22"/>
    <mergeCell ref="P20:Q22"/>
    <mergeCell ref="B17:C19"/>
    <mergeCell ref="D17:I19"/>
    <mergeCell ref="J17:K19"/>
    <mergeCell ref="L17:M19"/>
    <mergeCell ref="P8:Q10"/>
    <mergeCell ref="B47:C49"/>
    <mergeCell ref="D47:I49"/>
    <mergeCell ref="J47:K49"/>
    <mergeCell ref="L47:M49"/>
    <mergeCell ref="B41:C43"/>
    <mergeCell ref="D41:I43"/>
    <mergeCell ref="J41:K43"/>
    <mergeCell ref="L41:M43"/>
    <mergeCell ref="B35:C37"/>
    <mergeCell ref="D35:I37"/>
    <mergeCell ref="J35:K37"/>
    <mergeCell ref="L35:M37"/>
    <mergeCell ref="B29:C31"/>
    <mergeCell ref="D29:I31"/>
    <mergeCell ref="J29:K31"/>
    <mergeCell ref="J11:K13"/>
    <mergeCell ref="L11:M13"/>
    <mergeCell ref="N11:O13"/>
    <mergeCell ref="P11:Q13"/>
    <mergeCell ref="B14:C16"/>
    <mergeCell ref="D14:I16"/>
    <mergeCell ref="J14:K16"/>
    <mergeCell ref="L14:M16"/>
    <mergeCell ref="K5:L5"/>
    <mergeCell ref="M5:N5"/>
    <mergeCell ref="A1:C3"/>
    <mergeCell ref="E1:F3"/>
    <mergeCell ref="G1:H3"/>
    <mergeCell ref="E5:F5"/>
    <mergeCell ref="G5:H5"/>
    <mergeCell ref="I5:J5"/>
    <mergeCell ref="B8:C10"/>
    <mergeCell ref="D8:I10"/>
    <mergeCell ref="J8:K10"/>
    <mergeCell ref="L8:M10"/>
    <mergeCell ref="N8:O10"/>
    <mergeCell ref="B101:C103"/>
    <mergeCell ref="D101:I103"/>
    <mergeCell ref="J101:K103"/>
    <mergeCell ref="L101:M103"/>
    <mergeCell ref="N101:O103"/>
    <mergeCell ref="P101:Q103"/>
    <mergeCell ref="B104:C106"/>
    <mergeCell ref="D104:I106"/>
    <mergeCell ref="J104:K106"/>
    <mergeCell ref="L104:M106"/>
    <mergeCell ref="N104:O106"/>
    <mergeCell ref="P104:Q106"/>
    <mergeCell ref="B107:C109"/>
    <mergeCell ref="D107:I109"/>
    <mergeCell ref="J107:K109"/>
    <mergeCell ref="L107:M109"/>
    <mergeCell ref="N107:O109"/>
    <mergeCell ref="P107:Q109"/>
    <mergeCell ref="B110:C112"/>
    <mergeCell ref="D110:I112"/>
    <mergeCell ref="J110:K112"/>
    <mergeCell ref="L110:M112"/>
    <mergeCell ref="N110:O112"/>
    <mergeCell ref="P110:Q112"/>
    <mergeCell ref="B113:C115"/>
    <mergeCell ref="D113:I115"/>
    <mergeCell ref="J113:K115"/>
    <mergeCell ref="L113:M115"/>
    <mergeCell ref="N113:O115"/>
    <mergeCell ref="P113:Q115"/>
    <mergeCell ref="B116:C118"/>
    <mergeCell ref="D116:I118"/>
    <mergeCell ref="J116:K118"/>
    <mergeCell ref="L116:M118"/>
    <mergeCell ref="N116:O118"/>
    <mergeCell ref="P116:Q118"/>
    <mergeCell ref="B119:C121"/>
    <mergeCell ref="D119:I121"/>
    <mergeCell ref="J119:K121"/>
    <mergeCell ref="L119:M121"/>
    <mergeCell ref="N119:O121"/>
    <mergeCell ref="P119:Q121"/>
    <mergeCell ref="B122:C124"/>
    <mergeCell ref="D122:I124"/>
    <mergeCell ref="J122:K124"/>
    <mergeCell ref="L122:M124"/>
    <mergeCell ref="N122:O124"/>
    <mergeCell ref="P122:Q124"/>
    <mergeCell ref="B125:C127"/>
    <mergeCell ref="D125:I127"/>
    <mergeCell ref="J125:K127"/>
    <mergeCell ref="L125:M127"/>
    <mergeCell ref="N125:O127"/>
    <mergeCell ref="P125:Q127"/>
    <mergeCell ref="B128:C130"/>
    <mergeCell ref="D128:I130"/>
    <mergeCell ref="J128:K130"/>
    <mergeCell ref="L128:M130"/>
    <mergeCell ref="N128:O130"/>
    <mergeCell ref="P128:Q130"/>
    <mergeCell ref="B131:C133"/>
    <mergeCell ref="D131:I133"/>
    <mergeCell ref="J131:K133"/>
    <mergeCell ref="L131:M133"/>
    <mergeCell ref="N131:O133"/>
    <mergeCell ref="P131:Q133"/>
    <mergeCell ref="B134:C136"/>
    <mergeCell ref="D134:I136"/>
    <mergeCell ref="J134:K136"/>
    <mergeCell ref="L134:M136"/>
    <mergeCell ref="N134:O136"/>
    <mergeCell ref="P134:Q136"/>
    <mergeCell ref="B137:C139"/>
    <mergeCell ref="D137:I139"/>
    <mergeCell ref="J137:K139"/>
    <mergeCell ref="L137:M139"/>
    <mergeCell ref="N137:O139"/>
    <mergeCell ref="P137:Q139"/>
    <mergeCell ref="B140:C142"/>
    <mergeCell ref="D140:I142"/>
    <mergeCell ref="J140:K142"/>
    <mergeCell ref="L140:M142"/>
    <mergeCell ref="N140:O142"/>
    <mergeCell ref="P140:Q142"/>
    <mergeCell ref="B143:C145"/>
    <mergeCell ref="D143:I145"/>
    <mergeCell ref="J143:K145"/>
    <mergeCell ref="L143:M145"/>
    <mergeCell ref="N143:O145"/>
    <mergeCell ref="P143:Q145"/>
    <mergeCell ref="B146:C148"/>
    <mergeCell ref="D146:I148"/>
    <mergeCell ref="J146:K148"/>
    <mergeCell ref="L146:M148"/>
    <mergeCell ref="N146:O148"/>
    <mergeCell ref="P146:Q148"/>
    <mergeCell ref="B149:C151"/>
    <mergeCell ref="D149:I151"/>
    <mergeCell ref="J149:K151"/>
    <mergeCell ref="L149:M151"/>
    <mergeCell ref="N149:O151"/>
    <mergeCell ref="P149:Q151"/>
    <mergeCell ref="B152:C154"/>
    <mergeCell ref="D152:I154"/>
    <mergeCell ref="J152:K154"/>
    <mergeCell ref="L152:M154"/>
    <mergeCell ref="N152:O154"/>
    <mergeCell ref="P152:Q154"/>
    <mergeCell ref="B155:C157"/>
    <mergeCell ref="D155:I157"/>
    <mergeCell ref="J155:K157"/>
    <mergeCell ref="L155:M157"/>
    <mergeCell ref="N155:O157"/>
    <mergeCell ref="P155:Q157"/>
    <mergeCell ref="B158:C160"/>
    <mergeCell ref="D158:I160"/>
    <mergeCell ref="J158:K160"/>
    <mergeCell ref="L158:M160"/>
    <mergeCell ref="N158:O160"/>
    <mergeCell ref="P158:Q160"/>
    <mergeCell ref="B161:C163"/>
    <mergeCell ref="D161:I163"/>
    <mergeCell ref="J161:K163"/>
    <mergeCell ref="L161:M163"/>
    <mergeCell ref="N161:O163"/>
    <mergeCell ref="P161:Q163"/>
    <mergeCell ref="B164:C166"/>
    <mergeCell ref="D164:I166"/>
    <mergeCell ref="J164:K166"/>
    <mergeCell ref="L164:M166"/>
    <mergeCell ref="N164:O166"/>
    <mergeCell ref="P164:Q166"/>
    <mergeCell ref="B167:C169"/>
    <mergeCell ref="D167:I169"/>
    <mergeCell ref="J167:K169"/>
    <mergeCell ref="L167:M169"/>
    <mergeCell ref="N167:O169"/>
    <mergeCell ref="P167:Q169"/>
    <mergeCell ref="B170:C172"/>
    <mergeCell ref="D170:I172"/>
    <mergeCell ref="J170:K172"/>
    <mergeCell ref="L170:M172"/>
    <mergeCell ref="N170:O172"/>
    <mergeCell ref="P170:Q172"/>
    <mergeCell ref="B173:C175"/>
    <mergeCell ref="D173:I175"/>
    <mergeCell ref="J173:K175"/>
    <mergeCell ref="L173:M175"/>
    <mergeCell ref="N173:O175"/>
    <mergeCell ref="P173:Q175"/>
    <mergeCell ref="B176:C178"/>
    <mergeCell ref="D176:I178"/>
    <mergeCell ref="J176:K178"/>
    <mergeCell ref="L176:M178"/>
    <mergeCell ref="N176:O178"/>
    <mergeCell ref="P176:Q178"/>
    <mergeCell ref="B179:C181"/>
    <mergeCell ref="D179:I181"/>
    <mergeCell ref="J179:K181"/>
    <mergeCell ref="L179:M181"/>
    <mergeCell ref="N179:O181"/>
    <mergeCell ref="P179:Q181"/>
    <mergeCell ref="B182:C184"/>
    <mergeCell ref="D182:I184"/>
    <mergeCell ref="J182:K184"/>
    <mergeCell ref="L182:M184"/>
    <mergeCell ref="N182:O184"/>
    <mergeCell ref="P182:Q184"/>
    <mergeCell ref="B185:C187"/>
    <mergeCell ref="D185:I187"/>
    <mergeCell ref="J185:K187"/>
    <mergeCell ref="L185:M187"/>
    <mergeCell ref="N185:O187"/>
    <mergeCell ref="P185:Q187"/>
    <mergeCell ref="B188:C190"/>
    <mergeCell ref="D188:I190"/>
    <mergeCell ref="J188:K190"/>
    <mergeCell ref="L188:M190"/>
    <mergeCell ref="N188:O190"/>
    <mergeCell ref="P188:Q190"/>
    <mergeCell ref="B191:C193"/>
    <mergeCell ref="D191:I193"/>
    <mergeCell ref="J191:K193"/>
    <mergeCell ref="L191:M193"/>
    <mergeCell ref="N191:O193"/>
    <mergeCell ref="P191:Q193"/>
    <mergeCell ref="B194:C196"/>
    <mergeCell ref="D194:I196"/>
    <mergeCell ref="J194:K196"/>
    <mergeCell ref="L194:M196"/>
    <mergeCell ref="N194:O196"/>
    <mergeCell ref="P194:Q196"/>
    <mergeCell ref="B197:C199"/>
    <mergeCell ref="D197:I199"/>
    <mergeCell ref="J197:K199"/>
    <mergeCell ref="L197:M199"/>
    <mergeCell ref="N197:O199"/>
    <mergeCell ref="P197:Q199"/>
    <mergeCell ref="B200:C202"/>
    <mergeCell ref="D200:I202"/>
    <mergeCell ref="J200:K202"/>
    <mergeCell ref="L200:M202"/>
    <mergeCell ref="N200:O202"/>
    <mergeCell ref="P200:Q202"/>
    <mergeCell ref="B203:C205"/>
    <mergeCell ref="D203:I205"/>
    <mergeCell ref="J203:K205"/>
    <mergeCell ref="L203:M205"/>
    <mergeCell ref="N203:O205"/>
    <mergeCell ref="P203:Q205"/>
    <mergeCell ref="B206:C208"/>
    <mergeCell ref="D206:I208"/>
    <mergeCell ref="J206:K208"/>
    <mergeCell ref="L206:M208"/>
    <mergeCell ref="N206:O208"/>
    <mergeCell ref="P206:Q208"/>
    <mergeCell ref="B209:C211"/>
    <mergeCell ref="D209:I211"/>
    <mergeCell ref="J209:K211"/>
    <mergeCell ref="L209:M211"/>
    <mergeCell ref="N209:O211"/>
    <mergeCell ref="P209:Q211"/>
    <mergeCell ref="B212:C214"/>
    <mergeCell ref="D212:I214"/>
    <mergeCell ref="J212:K214"/>
    <mergeCell ref="L212:M214"/>
    <mergeCell ref="N212:O214"/>
    <mergeCell ref="P212:Q214"/>
    <mergeCell ref="B215:C217"/>
    <mergeCell ref="D215:I217"/>
    <mergeCell ref="J215:K217"/>
    <mergeCell ref="L215:M217"/>
    <mergeCell ref="N215:O217"/>
    <mergeCell ref="P215:Q217"/>
    <mergeCell ref="B218:C220"/>
    <mergeCell ref="D218:I220"/>
    <mergeCell ref="J218:K220"/>
    <mergeCell ref="L218:M220"/>
    <mergeCell ref="N218:O220"/>
    <mergeCell ref="P218:Q220"/>
    <mergeCell ref="B221:C223"/>
    <mergeCell ref="D221:I223"/>
    <mergeCell ref="J221:K223"/>
    <mergeCell ref="L221:M223"/>
    <mergeCell ref="N221:O223"/>
    <mergeCell ref="P221:Q223"/>
    <mergeCell ref="B224:C226"/>
    <mergeCell ref="D224:I226"/>
    <mergeCell ref="J224:K226"/>
    <mergeCell ref="L224:M226"/>
    <mergeCell ref="N224:O226"/>
    <mergeCell ref="P224:Q226"/>
    <mergeCell ref="B227:C229"/>
    <mergeCell ref="D227:I229"/>
    <mergeCell ref="J227:K229"/>
    <mergeCell ref="L227:M229"/>
    <mergeCell ref="N227:O229"/>
    <mergeCell ref="P227:Q229"/>
    <mergeCell ref="B230:C232"/>
    <mergeCell ref="D230:I232"/>
    <mergeCell ref="J230:K232"/>
    <mergeCell ref="L230:M232"/>
    <mergeCell ref="N230:O232"/>
    <mergeCell ref="P230:Q232"/>
    <mergeCell ref="B233:C235"/>
    <mergeCell ref="D233:I235"/>
    <mergeCell ref="J233:K235"/>
    <mergeCell ref="L233:M235"/>
    <mergeCell ref="N233:O235"/>
    <mergeCell ref="P233:Q235"/>
    <mergeCell ref="B236:C238"/>
    <mergeCell ref="D236:I238"/>
    <mergeCell ref="J236:K238"/>
    <mergeCell ref="L236:M238"/>
    <mergeCell ref="N236:O238"/>
    <mergeCell ref="P236:Q238"/>
    <mergeCell ref="B239:C241"/>
    <mergeCell ref="D239:I241"/>
    <mergeCell ref="J239:K241"/>
    <mergeCell ref="L239:M241"/>
    <mergeCell ref="N239:O241"/>
    <mergeCell ref="P239:Q241"/>
    <mergeCell ref="B242:C244"/>
    <mergeCell ref="D242:I244"/>
    <mergeCell ref="J242:K244"/>
    <mergeCell ref="L242:M244"/>
    <mergeCell ref="N242:O244"/>
    <mergeCell ref="P242:Q244"/>
    <mergeCell ref="B245:C247"/>
    <mergeCell ref="D245:I247"/>
    <mergeCell ref="J245:K247"/>
    <mergeCell ref="L245:M247"/>
    <mergeCell ref="N245:O247"/>
    <mergeCell ref="P245:Q247"/>
    <mergeCell ref="B248:C250"/>
    <mergeCell ref="D248:I250"/>
    <mergeCell ref="J248:K250"/>
    <mergeCell ref="L248:M250"/>
    <mergeCell ref="N248:O250"/>
    <mergeCell ref="P248:Q250"/>
    <mergeCell ref="B251:C253"/>
    <mergeCell ref="D251:I253"/>
    <mergeCell ref="J251:K253"/>
    <mergeCell ref="L251:M253"/>
    <mergeCell ref="N251:O253"/>
    <mergeCell ref="P251:Q253"/>
    <mergeCell ref="B254:C256"/>
    <mergeCell ref="D254:I256"/>
    <mergeCell ref="J254:K256"/>
    <mergeCell ref="L254:M256"/>
    <mergeCell ref="N254:O256"/>
    <mergeCell ref="P254:Q256"/>
    <mergeCell ref="B257:C259"/>
    <mergeCell ref="D257:I259"/>
    <mergeCell ref="J257:K259"/>
    <mergeCell ref="L257:M259"/>
    <mergeCell ref="N257:O259"/>
    <mergeCell ref="P257:Q259"/>
    <mergeCell ref="B260:C262"/>
    <mergeCell ref="D260:I262"/>
    <mergeCell ref="J260:K262"/>
    <mergeCell ref="L260:M262"/>
    <mergeCell ref="N260:O262"/>
    <mergeCell ref="P260:Q262"/>
    <mergeCell ref="B263:C265"/>
    <mergeCell ref="D263:I265"/>
    <mergeCell ref="J263:K265"/>
    <mergeCell ref="L263:M265"/>
    <mergeCell ref="N263:O265"/>
    <mergeCell ref="P263:Q265"/>
    <mergeCell ref="B266:C268"/>
    <mergeCell ref="D266:I268"/>
    <mergeCell ref="J266:K268"/>
    <mergeCell ref="L266:M268"/>
    <mergeCell ref="N266:O268"/>
    <mergeCell ref="P266:Q268"/>
    <mergeCell ref="B269:C271"/>
    <mergeCell ref="D269:I271"/>
    <mergeCell ref="J269:K271"/>
    <mergeCell ref="L269:M271"/>
    <mergeCell ref="N269:O271"/>
    <mergeCell ref="P269:Q271"/>
    <mergeCell ref="B272:C274"/>
    <mergeCell ref="D272:I274"/>
    <mergeCell ref="J272:K274"/>
    <mergeCell ref="L272:M274"/>
    <mergeCell ref="N272:O274"/>
    <mergeCell ref="P272:Q274"/>
    <mergeCell ref="B275:C277"/>
    <mergeCell ref="D275:I277"/>
    <mergeCell ref="J275:K277"/>
    <mergeCell ref="L275:M277"/>
    <mergeCell ref="N275:O277"/>
    <mergeCell ref="P275:Q277"/>
    <mergeCell ref="B278:C280"/>
    <mergeCell ref="D278:I280"/>
    <mergeCell ref="J278:K280"/>
    <mergeCell ref="L278:M280"/>
    <mergeCell ref="N278:O280"/>
    <mergeCell ref="P278:Q280"/>
    <mergeCell ref="N290:O292"/>
    <mergeCell ref="P290:Q292"/>
    <mergeCell ref="B281:C283"/>
    <mergeCell ref="D281:I283"/>
    <mergeCell ref="J281:K283"/>
    <mergeCell ref="L281:M283"/>
    <mergeCell ref="N281:O283"/>
    <mergeCell ref="P281:Q283"/>
    <mergeCell ref="B284:C286"/>
    <mergeCell ref="D284:I286"/>
    <mergeCell ref="J284:K286"/>
    <mergeCell ref="L284:M286"/>
    <mergeCell ref="N284:O286"/>
    <mergeCell ref="P284:Q286"/>
    <mergeCell ref="D11:I13"/>
    <mergeCell ref="B11:C13"/>
    <mergeCell ref="B293:C295"/>
    <mergeCell ref="D293:I295"/>
    <mergeCell ref="J293:K295"/>
    <mergeCell ref="L293:M295"/>
    <mergeCell ref="N293:O295"/>
    <mergeCell ref="P293:Q295"/>
    <mergeCell ref="B296:C298"/>
    <mergeCell ref="D296:I298"/>
    <mergeCell ref="J296:K298"/>
    <mergeCell ref="L296:M298"/>
    <mergeCell ref="N296:O298"/>
    <mergeCell ref="P296:Q298"/>
    <mergeCell ref="B287:C289"/>
    <mergeCell ref="D287:I289"/>
    <mergeCell ref="J287:K289"/>
    <mergeCell ref="L287:M289"/>
    <mergeCell ref="N287:O289"/>
    <mergeCell ref="P287:Q289"/>
    <mergeCell ref="B290:C292"/>
    <mergeCell ref="D290:I292"/>
    <mergeCell ref="J290:K292"/>
    <mergeCell ref="L290:M292"/>
  </mergeCells>
  <conditionalFormatting sqref="R11:S100">
    <cfRule type="containsText" dxfId="38" priority="47" operator="containsText" text="EM ATRASO">
      <formula>NOT(ISERROR(SEARCH("EM ATRASO",R11)))</formula>
    </cfRule>
  </conditionalFormatting>
  <conditionalFormatting sqref="R11:S100">
    <cfRule type="containsText" dxfId="37" priority="46" operator="containsText" text="HOJE">
      <formula>NOT(ISERROR(SEARCH("HOJE",R11)))</formula>
    </cfRule>
  </conditionalFormatting>
  <conditionalFormatting sqref="P20:Q22">
    <cfRule type="cellIs" dxfId="36" priority="8" operator="equal">
      <formula>"Por Fazer"</formula>
    </cfRule>
    <cfRule type="cellIs" dxfId="35" priority="9" operator="equal">
      <formula>"Em progresso"</formula>
    </cfRule>
    <cfRule type="cellIs" dxfId="34" priority="10" operator="equal">
      <formula>"Concluída"</formula>
    </cfRule>
  </conditionalFormatting>
  <conditionalFormatting sqref="B23:N47 B50:N50 B53:N53 B56:N56 B59:N59 B62:N62 B65:N65 B68:N68 B71:N71 B74:N74 B77:N77 B80:N80 B83:N83 B86:N86 B89:N89 B92:N92 B95:N95 B98:N98 B101:N101 B107:N107 B113:N113 B119:N119 B125:N125 B131:N131 B137:N137 B143:N143 B149:N149 B155:N155 B161:N161 B167:N167 B173:N173 B179:N179 B185:N185 B191:N191 B197:N197 B203:N203 B209:N209 B215:N215 B221:N221 B227:N227 B233:N233 B239:N239 B245:N245 B251:N251 B257:N257 B263:N263 B269:N269 B275:N275 B281:N281 B287:N287 B293:N293 B104:N104 B110:N110 B116:N116 B122:N122 B128:N128 B134:N134 B140:N140 B146:N146 B152:N152 B158:N158 B164:N164 B170:N170 B176:N176 B182:N182 B188:N188 B194:N194 B200:N200 B206:N206 B212:N212 B218:N218 B224:N224 B230:N230 B236:N236 B242:N242 B248:N248 B254:N254 B260:N260 B266:N266 B272:N272 B278:N278 B284:N284 B290:N290 B296:N296">
    <cfRule type="expression" dxfId="33" priority="39" stopIfTrue="1">
      <formula>$N23:$N59="Urgente"</formula>
    </cfRule>
    <cfRule type="expression" dxfId="32" priority="40" stopIfTrue="1">
      <formula>$N23:$N59="Alta"</formula>
    </cfRule>
    <cfRule type="expression" dxfId="31" priority="41" stopIfTrue="1">
      <formula>$N23:$N59="Média"</formula>
    </cfRule>
    <cfRule type="expression" dxfId="30" priority="42" stopIfTrue="1">
      <formula>$N23:$N59="Baixa"</formula>
    </cfRule>
  </conditionalFormatting>
  <conditionalFormatting sqref="P23:Q298">
    <cfRule type="cellIs" dxfId="29" priority="36" operator="equal">
      <formula>"Por Fazer"</formula>
    </cfRule>
    <cfRule type="cellIs" dxfId="28" priority="37" operator="equal">
      <formula>"Em progresso"</formula>
    </cfRule>
    <cfRule type="cellIs" dxfId="27" priority="38" operator="equal">
      <formula>"Concluída"</formula>
    </cfRule>
  </conditionalFormatting>
  <conditionalFormatting sqref="B14:N16">
    <cfRule type="expression" dxfId="26" priority="25" stopIfTrue="1">
      <formula>$N14:$N50="Urgente"</formula>
    </cfRule>
    <cfRule type="expression" dxfId="25" priority="26" stopIfTrue="1">
      <formula>$N14:$N50="Alta"</formula>
    </cfRule>
    <cfRule type="expression" dxfId="24" priority="27" stopIfTrue="1">
      <formula>$N14:$N50="Média"</formula>
    </cfRule>
    <cfRule type="expression" dxfId="23" priority="28" stopIfTrue="1">
      <formula>$N14:$N50="Baixa"</formula>
    </cfRule>
  </conditionalFormatting>
  <conditionalFormatting sqref="P14:Q16">
    <cfRule type="cellIs" dxfId="22" priority="22" operator="equal">
      <formula>"Por Fazer"</formula>
    </cfRule>
    <cfRule type="cellIs" dxfId="21" priority="23" operator="equal">
      <formula>"Em progresso"</formula>
    </cfRule>
    <cfRule type="cellIs" dxfId="20" priority="24" operator="equal">
      <formula>"Concluída"</formula>
    </cfRule>
  </conditionalFormatting>
  <conditionalFormatting sqref="B17:N19">
    <cfRule type="expression" dxfId="19" priority="18" stopIfTrue="1">
      <formula>$N17:$N53="Urgente"</formula>
    </cfRule>
    <cfRule type="expression" dxfId="18" priority="19" stopIfTrue="1">
      <formula>$N17:$N53="Alta"</formula>
    </cfRule>
    <cfRule type="expression" dxfId="17" priority="20" stopIfTrue="1">
      <formula>$N17:$N53="Média"</formula>
    </cfRule>
    <cfRule type="expression" dxfId="16" priority="21" stopIfTrue="1">
      <formula>$N17:$N53="Baixa"</formula>
    </cfRule>
  </conditionalFormatting>
  <conditionalFormatting sqref="P17:Q19">
    <cfRule type="cellIs" dxfId="15" priority="15" operator="equal">
      <formula>"Por Fazer"</formula>
    </cfRule>
    <cfRule type="cellIs" dxfId="14" priority="16" operator="equal">
      <formula>"Em progresso"</formula>
    </cfRule>
    <cfRule type="cellIs" dxfId="13" priority="17" operator="equal">
      <formula>"Concluída"</formula>
    </cfRule>
  </conditionalFormatting>
  <conditionalFormatting sqref="B20:N22">
    <cfRule type="expression" dxfId="12" priority="11" stopIfTrue="1">
      <formula>$N20:$N56="Urgente"</formula>
    </cfRule>
    <cfRule type="expression" dxfId="11" priority="12" stopIfTrue="1">
      <formula>$N20:$N56="Alta"</formula>
    </cfRule>
    <cfRule type="expression" dxfId="10" priority="13" stopIfTrue="1">
      <formula>$N20:$N56="Média"</formula>
    </cfRule>
    <cfRule type="expression" dxfId="9" priority="14" stopIfTrue="1">
      <formula>$N20:$N56="Baixa"</formula>
    </cfRule>
  </conditionalFormatting>
  <conditionalFormatting sqref="B11:N13">
    <cfRule type="expression" dxfId="8" priority="4" stopIfTrue="1">
      <formula>$N11:$N47="Urgente"</formula>
    </cfRule>
    <cfRule type="expression" dxfId="7" priority="5" stopIfTrue="1">
      <formula>$N11:$N47="Alta"</formula>
    </cfRule>
    <cfRule type="expression" dxfId="6" priority="6" stopIfTrue="1">
      <formula>$N11:$N47="Média"</formula>
    </cfRule>
    <cfRule type="expression" dxfId="5" priority="7" stopIfTrue="1">
      <formula>$N11:$N47="Baixa"</formula>
    </cfRule>
  </conditionalFormatting>
  <conditionalFormatting sqref="P11:Q13">
    <cfRule type="cellIs" dxfId="4" priority="1" operator="equal">
      <formula>"Por Fazer"</formula>
    </cfRule>
    <cfRule type="cellIs" dxfId="3" priority="2" operator="equal">
      <formula>"Em progresso"</formula>
    </cfRule>
    <cfRule type="cellIs" dxfId="2" priority="3" operator="equal">
      <formula>"Concluída"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B006C9-5762-4794-9230-6099EC31585B}">
          <x14:formula1>
            <xm:f>DataBase!$F$3:$F$5</xm:f>
          </x14:formula1>
          <xm:sqref>P11:Q298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7F083-2246-41D1-9306-842D64DC77C5}">
  <sheetPr codeName="Planilha14"/>
  <dimension ref="B2:B4"/>
  <sheetViews>
    <sheetView workbookViewId="0">
      <selection activeCell="B2" sqref="B2:E2"/>
    </sheetView>
  </sheetViews>
  <sheetFormatPr defaultRowHeight="15" x14ac:dyDescent="0.25"/>
  <sheetData>
    <row r="2" spans="2:2" x14ac:dyDescent="0.25">
      <c r="B2" t="s">
        <v>56</v>
      </c>
    </row>
    <row r="3" spans="2:2" x14ac:dyDescent="0.25">
      <c r="B3" t="s">
        <v>57</v>
      </c>
    </row>
    <row r="4" spans="2:2" x14ac:dyDescent="0.25">
      <c r="B4" t="s">
        <v>58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DashBoard</vt:lpstr>
      <vt:lpstr>AddTask</vt:lpstr>
      <vt:lpstr>DataBase</vt:lpstr>
      <vt:lpstr>RaulDataBank</vt:lpstr>
      <vt:lpstr>Raul</vt:lpstr>
      <vt:lpstr>FernandoDataBank</vt:lpstr>
      <vt:lpstr>Fernando</vt:lpstr>
      <vt:lpstr>MárcioDataBank</vt:lpstr>
      <vt:lpstr>Márcio</vt:lpstr>
      <vt:lpstr>DouglasDataBank</vt:lpstr>
      <vt:lpstr>Douglas</vt:lpstr>
      <vt:lpstr>FúlvioDataBank</vt:lpstr>
      <vt:lpstr>Fúlvio</vt:lpstr>
      <vt:lpstr>Suggestion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Raul</dc:creator>
  <cp:lastModifiedBy>_____________________________Status_________________</cp:lastModifiedBy>
  <dcterms:created xsi:type="dcterms:W3CDTF">2019-04-18T17:48:42Z</dcterms:created>
  <dcterms:modified xsi:type="dcterms:W3CDTF">2019-04-26T13:21:54Z</dcterms:modified>
</cp:coreProperties>
</file>